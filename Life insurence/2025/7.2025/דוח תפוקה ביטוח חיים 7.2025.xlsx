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פוקה מצטברת מול אשתקד" sheetId="1" r:id="rId4"/>
    <sheet state="visible" name="דוח הנהלה" sheetId="2" r:id="rId5"/>
    <sheet state="visible" name="תפוקה חודשית מול אשתקד" sheetId="3" r:id="rId6"/>
    <sheet state="visible" name="תפוקה מצטברת מול יעד מצטבר" sheetId="4" r:id="rId7"/>
    <sheet state="visible" name="תפוקה מול יעד חודשי" sheetId="5" r:id="rId8"/>
    <sheet state="visible" name="עולים יורדים" sheetId="6" r:id="rId9"/>
    <sheet state="visible" name="הכשרה" sheetId="7" r:id="rId10"/>
    <sheet state="visible" name="מגדל" sheetId="8" r:id="rId11"/>
    <sheet state="visible" name="מנורה" sheetId="9" r:id="rId12"/>
    <sheet state="visible" name="איילון" sheetId="10" r:id="rId13"/>
    <sheet state="visible" name="הראל" sheetId="11" r:id="rId14"/>
    <sheet state="visible" name="הפניקס" sheetId="12" r:id="rId15"/>
    <sheet state="visible" name="כלל" sheetId="13" r:id="rId16"/>
    <sheet state="visible" name="מור" sheetId="14" r:id="rId17"/>
    <sheet state="visible" name="אלטשולר שחם" sheetId="15" r:id="rId18"/>
    <sheet state="visible" name="מדיהו " sheetId="16" r:id="rId19"/>
    <sheet state="visible" name="אנליסט " sheetId="17" r:id="rId20"/>
    <sheet state="visible" name="מיטב דש" sheetId="18" r:id="rId21"/>
    <sheet state="visible" name="אינפניטי" sheetId="19" r:id="rId22"/>
  </sheets>
  <definedNames>
    <definedName hidden="1" localSheetId="5" name="_xlnm._FilterDatabase">'עולים יורדים'!$A$1:$F$69</definedName>
  </definedNames>
  <calcPr/>
  <extLst>
    <ext uri="GoogleSheetsCustomDataVersion2">
      <go:sheetsCustomData xmlns:go="http://customooxmlschemas.google.com/" r:id="rId23" roundtripDataChecksum="FMDLEbSwOcXmF5QDYMofpkJLT9J91lep7wcsIEh7G6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ID#AAABtDocVU0
אלונה טוקיילו    (2025-10-21 10:14:25)
בשותפות עם אורן רכס</t>
      </text>
    </comment>
    <comment authorId="0" ref="C21">
      <text>
        <t xml:space="preserve">======
ID#AAABtDocVJg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hQ++KZrMwTmM3hHHXPOwP8QZ2d4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ID#AAABtDocVV0
אלונה טוקיילו    (2025-10-21 10:14:25)
בשותפות עם אורן רכס</t>
      </text>
    </comment>
    <comment authorId="0" ref="C19">
      <text>
        <t xml:space="preserve">======
ID#AAABtDocVJs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9xlTeNJo+Vwn0RmswOBC/YgKZ0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ID#AAABtDocVWQ
אלונה טוקיילו    (2025-10-21 10:14:25)
בשותפות עם אורן רכס</t>
      </text>
    </comment>
    <comment authorId="0" ref="C21">
      <text>
        <t xml:space="preserve">======
ID#AAABtDocVUw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82IBRKbWRZABTpnZGGDAfhDHvZ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ID#AAABtDocVV4
אלונה טוקיילו    (2025-10-21 10:14:25)
בשותפות עם אורן רכס</t>
      </text>
    </comment>
    <comment authorId="0" ref="C19">
      <text>
        <t xml:space="preserve">======
ID#AAABtDocVVc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hhPSQYW+kxDxAUIXaFjeiwS8C2C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ID#AAABtDocVVw
אלונה טוקיילו    (2025-10-21 10:14:25)
בשותפות עם אורן רכס</t>
      </text>
    </comment>
    <comment authorId="0" ref="C21">
      <text>
        <t xml:space="preserve">======
ID#AAABtDocVJU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iPS/YFs0U81dPJki1UTQ4NrRwBu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ID#AAABtDocVVY
אלונה טוקיילו    (2025-10-21 10:14:25)
בשותפות עם אורן רכס</t>
      </text>
    </comment>
    <comment authorId="0" ref="C21">
      <text>
        <t xml:space="preserve">======
ID#AAABtDocVVA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jYL/YR3Futp7qspf0S4wIQA9uHe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ID#AAABtDocVV8
אלונה טוקיילו    (2025-10-21 10:14:25)
בשותפות עם אורן רכס</t>
      </text>
    </comment>
    <comment authorId="0" ref="C19">
      <text>
        <t xml:space="preserve">======
ID#AAABtDocVJc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hVUlO4q3QKjUIj4Me75L3F4PG4g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ID#AAABtDocVU8
אלונה טוקיילו    (2025-10-21 10:14:25)
בשותפות עם אורן רכס</t>
      </text>
    </comment>
    <comment authorId="0" ref="C19">
      <text>
        <t xml:space="preserve">======
ID#AAABtDocVJY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h6PH/0cFq3auyREBPB6P6x1PH44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ID#AAABtDocVJw
אלונה טוקיילו    (2025-10-21 10:14:25)
בשותפות עם אורן רכס</t>
      </text>
    </comment>
    <comment authorId="0" ref="C21">
      <text>
        <t xml:space="preserve">======
ID#AAABtDocVJk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LbMnkpZ+RbbVcR+Dy1hxUbF/uA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ID#AAABtDocVVs
אלונה טוקיילו    (2025-10-21 10:14:25)
בשותפות עם אורן רכס</t>
      </text>
    </comment>
    <comment authorId="0" ref="C19">
      <text>
        <t xml:space="preserve">======
ID#AAABtDocVVI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jEpJufqSZIw03HkBZPWvgeSyzR/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ID#AAABtDocVVg
אלונה טוקיילו    (2025-10-21 10:14:25)
בשותפות עם אורן רכס</t>
      </text>
    </comment>
    <comment authorId="0" ref="C19">
      <text>
        <t xml:space="preserve">======
ID#AAABtDocVJo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39vitcBndZpSP8wc2zb7Ln8qWy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ID#AAABtDocVWI
אלונה טוקיילו    (2025-10-21 10:14:25)
בשותפות עם אורן רכס</t>
      </text>
    </comment>
    <comment authorId="0" ref="C19">
      <text>
        <t xml:space="preserve">======
ID#AAABtDocVVE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j9uwr/xY5ZjrXYk6ddPt7/Bg3kS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ID#AAABtDocVVo
אלונה טוקיילו    (2025-10-21 10:14:25)
בשותפות עם אורן רכס</t>
      </text>
    </comment>
    <comment authorId="0" ref="C19">
      <text>
        <t xml:space="preserve">======
ID#AAABtDocVU4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gz9JJHejfsvkvMexNj57BbYihqQ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ID#AAABtDocVWA
אלונה טוקיילו    (2025-10-21 10:14:25)
בשותפות עם אורן רכס</t>
      </text>
    </comment>
    <comment authorId="0" ref="C21">
      <text>
        <t xml:space="preserve">======
ID#AAABtDocVVM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iVYNPBHs59ImX+My4K4ZuzUeB5M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ID#AAABtDocVVk
אלונה טוקיילו    (2025-10-21 10:14:25)
בשותפות עם אורן רכס</t>
      </text>
    </comment>
    <comment authorId="0" ref="C21">
      <text>
        <t xml:space="preserve">======
ID#AAABtDocVVQ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hHNwpDoTH5JROseUNe8tpFpllbM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ID#AAABtDocVWE
אלונה טוקיילו    (2025-10-21 10:14:25)
בשותפות עם אורן רכס</t>
      </text>
    </comment>
    <comment authorId="0" ref="C19">
      <text>
        <t xml:space="preserve">======
ID#AAABtDocVVU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jZH5VRbrIIwtrs6m0BYBA6FPQ60A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ID#AAABtDocVWM
אלונה טוקיילו    (2025-10-21 10:14:25)
בשותפות עם אורן רכס</t>
      </text>
    </comment>
    <comment authorId="0" ref="C19">
      <text>
        <t xml:space="preserve">======
ID#AAABtDocVJQ
אלונה טוקיילו    (2025-10-21 10:14:25)
בשותפות עם אורן רכס</t>
      </text>
    </comment>
  </commentList>
  <extLst>
    <ext uri="GoogleSheetsCustomDataVersion2">
      <go:sheetsCustomData xmlns:go="http://customooxmlschemas.google.com/" r:id="rId1" roundtripDataSignature="AMtx7mgkxOeM2plw5kwRtd86J4d4CdZ6LQ=="/>
    </ext>
  </extLst>
</comments>
</file>

<file path=xl/sharedStrings.xml><?xml version="1.0" encoding="utf-8"?>
<sst xmlns="http://schemas.openxmlformats.org/spreadsheetml/2006/main" count="3959" uniqueCount="140">
  <si>
    <t>שינוי מול אשתקד %</t>
  </si>
  <si>
    <t>תפוקה מצטברת 07/2025</t>
  </si>
  <si>
    <t>תפוקה מצטברת 07/2024</t>
  </si>
  <si>
    <t>שם סוכן</t>
  </si>
  <si>
    <t xml:space="preserve">מפקח </t>
  </si>
  <si>
    <t>מחלקה</t>
  </si>
  <si>
    <t>פנסיוני</t>
  </si>
  <si>
    <t>סיכונים</t>
  </si>
  <si>
    <t xml:space="preserve">פיננסים </t>
  </si>
  <si>
    <t>ניודי פנסיה</t>
  </si>
  <si>
    <t>פיננסים</t>
  </si>
  <si>
    <t xml:space="preserve">סיכונים </t>
  </si>
  <si>
    <t xml:space="preserve">ניודי פנסיה </t>
  </si>
  <si>
    <t>גל אלמגור סוכ</t>
  </si>
  <si>
    <t>יוסי אביב</t>
  </si>
  <si>
    <t xml:space="preserve">ישירים </t>
  </si>
  <si>
    <t>דניאלה אביב</t>
  </si>
  <si>
    <t xml:space="preserve">רותי </t>
  </si>
  <si>
    <t xml:space="preserve">אילנית </t>
  </si>
  <si>
    <t>דני פחימה</t>
  </si>
  <si>
    <t>סה"כ ישיר</t>
  </si>
  <si>
    <t>בראשית סוכנות לביטוח</t>
  </si>
  <si>
    <t xml:space="preserve">שותפים 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</si>
  <si>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</si>
  <si>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</si>
  <si>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</si>
  <si>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</si>
  <si>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</si>
  <si>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א.ד. אבידן ביטוחים בע"מ</t>
  </si>
  <si>
    <t xml:space="preserve">גל אלמגור -ראם </t>
  </si>
  <si>
    <t>אלרם סוכנות לביטוח</t>
  </si>
  <si>
    <t>רכס אורן</t>
  </si>
  <si>
    <t>גולדר אבי</t>
  </si>
  <si>
    <t>מרדכי חג'ג'</t>
  </si>
  <si>
    <t>בדר צבי</t>
  </si>
  <si>
    <t>סה"כ חברות בנות</t>
  </si>
  <si>
    <t>מועלם אלפרד</t>
  </si>
  <si>
    <t xml:space="preserve">ערן גירוני </t>
  </si>
  <si>
    <t xml:space="preserve">סוכנים </t>
  </si>
  <si>
    <t>גרניק בנימין</t>
  </si>
  <si>
    <t>סאוסן שלבי</t>
  </si>
  <si>
    <t>סברא סמיר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</si>
  <si>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</si>
  <si>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</si>
  <si>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</si>
  <si>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</si>
  <si>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</si>
  <si>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</si>
  <si>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</si>
  <si>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</si>
  <si>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</si>
  <si>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</si>
  <si>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</si>
  <si>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</si>
  <si>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</si>
  <si>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דאי דניאל</t>
  </si>
  <si>
    <t>אחמד עלי אחמד</t>
  </si>
  <si>
    <t>לילי שרון</t>
  </si>
  <si>
    <t>עבוד כיתי</t>
  </si>
  <si>
    <t>יעקב ישראל שטרן</t>
  </si>
  <si>
    <t xml:space="preserve">ניר יבלונקה </t>
  </si>
  <si>
    <t>יונתן מנחם</t>
  </si>
  <si>
    <t>ינאי חיים בוני</t>
  </si>
  <si>
    <t>יהונתן שיוביץ</t>
  </si>
  <si>
    <t>סיון פיינרו</t>
  </si>
  <si>
    <t>דורי כדורי דאי</t>
  </si>
  <si>
    <t>לא מפוקחים</t>
  </si>
  <si>
    <t>מכלול סוכנות לביטוח</t>
  </si>
  <si>
    <t>דורון ענק הביטוח</t>
  </si>
  <si>
    <t xml:space="preserve">אבו חיט ניזאם </t>
  </si>
  <si>
    <t>סטו וסרמן</t>
  </si>
  <si>
    <t>מטאנס זוהיר</t>
  </si>
  <si>
    <t>סוכנים ערן</t>
  </si>
  <si>
    <t>עאטף עדווי</t>
  </si>
  <si>
    <t>איתי אדן</t>
  </si>
  <si>
    <t>אביב מור יוסף</t>
  </si>
  <si>
    <t>גול זאב</t>
  </si>
  <si>
    <t>סטולרז אסף</t>
  </si>
  <si>
    <t>שירלי בוכריס</t>
  </si>
  <si>
    <t>אילנית כהן</t>
  </si>
  <si>
    <t>גל אלמגור קפיטל</t>
  </si>
  <si>
    <t>שלומי אחלופי</t>
  </si>
  <si>
    <t>מחמוד פארס</t>
  </si>
  <si>
    <t>סוכנים איתי</t>
  </si>
  <si>
    <t>אריאל בר-חיים</t>
  </si>
  <si>
    <t>פרמיום</t>
  </si>
  <si>
    <t>שלי מזרחי</t>
  </si>
  <si>
    <t xml:space="preserve">פרמיום </t>
  </si>
  <si>
    <t>חנה כצנלסון</t>
  </si>
  <si>
    <t xml:space="preserve">מיכאל וקסלר </t>
  </si>
  <si>
    <t xml:space="preserve">שני לוי </t>
  </si>
  <si>
    <t>נעם הלשטוק</t>
  </si>
  <si>
    <t>אורטל / לנג ביג סוכנות לביטוח פנסיוני</t>
  </si>
  <si>
    <t>נור אבו ראס</t>
  </si>
  <si>
    <t>סה"כ פרימיום</t>
  </si>
  <si>
    <t>סה"כ כולל</t>
  </si>
  <si>
    <t>בס"ד</t>
  </si>
  <si>
    <r>
      <rPr>
        <rFont val="Calibri"/>
        <b/>
        <color theme="1"/>
        <sz val="12.0"/>
      </rPr>
      <t xml:space="preserve">תפוקה </t>
    </r>
    <r>
      <rPr>
        <rFont val="Calibri"/>
        <b/>
        <i/>
        <color rgb="FFFF0000"/>
        <sz val="11.0"/>
      </rPr>
      <t>מצטברת</t>
    </r>
    <r>
      <rPr>
        <rFont val="Calibri"/>
        <b/>
        <i/>
        <color theme="1"/>
        <sz val="11.0"/>
      </rPr>
      <t xml:space="preserve"> לפי קבוצות</t>
    </r>
  </si>
  <si>
    <t xml:space="preserve">קבוצה </t>
  </si>
  <si>
    <t>תפוקה מצטברת  07/2025</t>
  </si>
  <si>
    <t>השגת יעדים מצטבר %</t>
  </si>
  <si>
    <t>חברות בת</t>
  </si>
  <si>
    <t xml:space="preserve">סוכני פרימיום </t>
  </si>
  <si>
    <t xml:space="preserve">סה"כ מכירות </t>
  </si>
  <si>
    <r>
      <rPr>
        <rFont val="Calibri"/>
        <b/>
        <color theme="1"/>
        <sz val="12.0"/>
      </rPr>
      <t xml:space="preserve">תפוקה </t>
    </r>
    <r>
      <rPr>
        <rFont val="Calibri"/>
        <b/>
        <color rgb="FFFF0000"/>
        <sz val="12.0"/>
      </rPr>
      <t>מצטברת</t>
    </r>
    <r>
      <rPr>
        <rFont val="Calibri"/>
        <b/>
        <color theme="1"/>
        <sz val="12.0"/>
      </rPr>
      <t xml:space="preserve"> לפי מפקחים</t>
    </r>
  </si>
  <si>
    <t>מפקח</t>
  </si>
  <si>
    <t>יעדים מצטבר</t>
  </si>
  <si>
    <r>
      <rPr>
        <rFont val="Calibri"/>
        <b/>
        <color theme="1"/>
        <sz val="12.0"/>
      </rPr>
      <t xml:space="preserve">תפוקה </t>
    </r>
    <r>
      <rPr>
        <rFont val="Calibri"/>
        <b/>
        <color rgb="FFFF0000"/>
        <sz val="12.0"/>
      </rPr>
      <t>מצטברת</t>
    </r>
    <r>
      <rPr>
        <rFont val="Calibri"/>
        <b/>
        <color theme="1"/>
        <sz val="12.0"/>
      </rPr>
      <t xml:space="preserve"> לפי חברות</t>
    </r>
  </si>
  <si>
    <t>עולים בולטים</t>
  </si>
  <si>
    <t>סוכן</t>
  </si>
  <si>
    <t>שינוי % מול תקופה חופפת אשתקד</t>
  </si>
  <si>
    <t>עליה מול תקופה חופפת אשתקד</t>
  </si>
  <si>
    <t>תפוקה מצטברת - 2024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</si>
  <si>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</si>
  <si>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</si>
  <si>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</si>
  <si>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</si>
  <si>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</si>
  <si>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</si>
  <si>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</si>
  <si>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</si>
  <si>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</si>
  <si>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יורדים בולטים</t>
  </si>
  <si>
    <t xml:space="preserve">מדיהו </t>
  </si>
  <si>
    <t>ירידה מול תקופה חופפת אשתקד</t>
  </si>
  <si>
    <t xml:space="preserve">אנליסט </t>
  </si>
  <si>
    <t>מיטב דש</t>
  </si>
  <si>
    <t>אינפניטי</t>
  </si>
  <si>
    <t>סה"כ</t>
  </si>
  <si>
    <t>תפוקה חודשית  07/2025</t>
  </si>
  <si>
    <t>תפוקה חודשית 07/2024</t>
  </si>
  <si>
    <t>השגת יעדים%</t>
  </si>
  <si>
    <t>יעד מצטבר 07/2025</t>
  </si>
  <si>
    <t>יעד חודשי 07/2025</t>
  </si>
  <si>
    <t>תפוקה חודשית 07/2025</t>
  </si>
  <si>
    <t xml:space="preserve">סוכנים איתי </t>
  </si>
  <si>
    <t>שינוי %</t>
  </si>
  <si>
    <t>עליה/ירידה</t>
  </si>
  <si>
    <t>תפוקה מצטברת - 2025</t>
  </si>
  <si>
    <t xml:space="preserve">תפוקה מצטברת - 2024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</si>
</sst>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??_ ;_ @_ "/>
    <numFmt numFmtId="165" formatCode="_ * #,##0.00_ ;_ * \-#,##0.00_ ;_ * &quot;-&quot;??_ ;_ @_ "/>
  </numFmts>
  <fonts count="15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rgb="FF333333"/>
      <name val="Calibri"/>
    </font>
    <font>
      <sz val="12.0"/>
      <color theme="1"/>
      <name val="Arial"/>
    </font>
    <font>
      <sz val="16.0"/>
      <color theme="1"/>
      <name val="Calibri"/>
    </font>
    <font>
      <b/>
      <sz val="14.0"/>
      <color theme="1"/>
      <name val="Calibri"/>
    </font>
    <font>
      <b/>
      <i/>
      <sz val="11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  <font>
      <sz val="9.0"/>
      <color rgb="FF333333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DADADA"/>
        <bgColor rgb="FFDADADA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F95DF"/>
        <bgColor rgb="FFBF95DF"/>
      </patternFill>
    </fill>
    <fill>
      <patternFill patternType="solid">
        <fgColor rgb="FFE9D9AB"/>
        <bgColor rgb="FFE9D9AB"/>
      </patternFill>
    </fill>
    <fill>
      <patternFill patternType="solid">
        <fgColor rgb="FFE1CCF0"/>
        <bgColor rgb="FFE1CCF0"/>
      </patternFill>
    </fill>
    <fill>
      <patternFill patternType="solid">
        <fgColor rgb="FFF0E5C6"/>
        <bgColor rgb="FFF0E5C6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F8FBFC"/>
        <bgColor rgb="FFF8FBFC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C6C3C6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2" shrinkToFit="0" vertical="center" wrapText="1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readingOrder="2" shrinkToFit="0" vertical="center" wrapText="1"/>
    </xf>
    <xf borderId="5" fillId="4" fontId="2" numFmtId="0" xfId="0" applyAlignment="1" applyBorder="1" applyFill="1" applyFont="1">
      <alignment horizontal="center" readingOrder="2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horizontal="center" vertical="center"/>
    </xf>
    <xf borderId="1" fillId="5" fontId="2" numFmtId="0" xfId="0" applyAlignment="1" applyBorder="1" applyFill="1" applyFont="1">
      <alignment horizontal="center" readingOrder="2" shrinkToFit="0" vertical="center" wrapText="1"/>
    </xf>
    <xf borderId="1" fillId="5" fontId="5" numFmtId="0" xfId="0" applyAlignment="1" applyBorder="1" applyFont="1">
      <alignment horizontal="center" readingOrder="2" shrinkToFit="0" vertical="center" wrapText="1"/>
    </xf>
    <xf borderId="1" fillId="2" fontId="6" numFmtId="164" xfId="0" applyAlignment="1" applyBorder="1" applyFont="1" applyNumberForma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2" shrinkToFit="0" vertical="center" wrapText="1"/>
    </xf>
    <xf borderId="1" fillId="4" fontId="5" numFmtId="164" xfId="0" applyAlignment="1" applyBorder="1" applyFont="1" applyNumberFormat="1">
      <alignment horizontal="center" readingOrder="2" shrinkToFit="0" vertical="center" wrapText="1"/>
    </xf>
    <xf borderId="0" fillId="0" fontId="4" numFmtId="164" xfId="0" applyAlignment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1" fillId="6" fontId="4" numFmtId="164" xfId="0" applyAlignment="1" applyBorder="1" applyFill="1" applyFont="1" applyNumberFormat="1">
      <alignment horizontal="center" vertical="center"/>
    </xf>
    <xf borderId="1" fillId="7" fontId="4" numFmtId="164" xfId="0" applyAlignment="1" applyBorder="1" applyFill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8" fillId="0" fontId="1" numFmtId="0" xfId="0" applyAlignment="1" applyBorder="1" applyFont="1">
      <alignment horizontal="center" readingOrder="2" shrinkToFit="0" vertical="center" wrapText="1"/>
    </xf>
    <xf borderId="8" fillId="0" fontId="4" numFmtId="9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readingOrder="2" shrinkToFit="0" vertical="center" wrapText="1"/>
    </xf>
    <xf borderId="10" fillId="8" fontId="2" numFmtId="0" xfId="0" applyAlignment="1" applyBorder="1" applyFill="1" applyFont="1">
      <alignment horizontal="center" readingOrder="2" shrinkToFit="0" vertical="center" wrapText="1"/>
    </xf>
    <xf borderId="10" fillId="8" fontId="5" numFmtId="0" xfId="0" applyAlignment="1" applyBorder="1" applyFont="1">
      <alignment horizontal="center" readingOrder="2" shrinkToFit="0" vertical="center" wrapText="1"/>
    </xf>
    <xf borderId="10" fillId="8" fontId="4" numFmtId="9" xfId="0" applyAlignment="1" applyBorder="1" applyFont="1" applyNumberFormat="1">
      <alignment horizontal="center" vertical="center"/>
    </xf>
    <xf borderId="10" fillId="8" fontId="2" numFmtId="164" xfId="0" applyAlignment="1" applyBorder="1" applyFont="1" applyNumberFormat="1">
      <alignment horizontal="center" readingOrder="2" shrinkToFit="0" vertical="center" wrapText="1"/>
    </xf>
    <xf borderId="9" fillId="0" fontId="4" numFmtId="9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" fillId="0" fontId="7" numFmtId="0" xfId="0" applyAlignment="1" applyBorder="1" applyFont="1">
      <alignment horizontal="center" readingOrder="2" shrinkToFit="0" vertical="center" wrapText="1"/>
    </xf>
    <xf borderId="0" fillId="0" fontId="4" numFmtId="9" xfId="0" applyAlignment="1" applyFont="1" applyNumberFormat="1">
      <alignment horizontal="center" vertical="center"/>
    </xf>
    <xf borderId="10" fillId="8" fontId="2" numFmtId="164" xfId="0" applyAlignment="1" applyBorder="1" applyFont="1" applyNumberFormat="1">
      <alignment horizontal="center" readingOrder="0" vertical="center"/>
    </xf>
    <xf borderId="10" fillId="8" fontId="2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readingOrder="2" shrinkToFit="0" vertical="center" wrapText="1"/>
    </xf>
    <xf borderId="11" fillId="0" fontId="8" numFmtId="0" xfId="0" applyAlignment="1" applyBorder="1" applyFont="1">
      <alignment horizontal="center" readingOrder="2" shrinkToFit="0" vertical="center" wrapText="1"/>
    </xf>
    <xf borderId="4" fillId="0" fontId="8" numFmtId="0" xfId="0" applyAlignment="1" applyBorder="1" applyFont="1">
      <alignment horizontal="center" readingOrder="2"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4" xfId="0" applyAlignment="1" applyFont="1" applyNumberFormat="1">
      <alignment horizontal="center" readingOrder="0" vertical="center"/>
    </xf>
    <xf borderId="10" fillId="0" fontId="5" numFmtId="0" xfId="0" applyAlignment="1" applyBorder="1" applyFont="1">
      <alignment horizontal="center" readingOrder="1" shrinkToFit="0" vertical="center" wrapText="1"/>
    </xf>
    <xf borderId="0" fillId="0" fontId="2" numFmtId="164" xfId="0" applyAlignment="1" applyFont="1" applyNumberFormat="1">
      <alignment vertical="center"/>
    </xf>
    <xf borderId="12" fillId="9" fontId="2" numFmtId="164" xfId="0" applyAlignment="1" applyBorder="1" applyFill="1" applyFont="1" applyNumberFormat="1">
      <alignment horizontal="center" readingOrder="2" shrinkToFit="0" vertical="center" wrapText="1"/>
    </xf>
    <xf borderId="13" fillId="10" fontId="2" numFmtId="164" xfId="0" applyAlignment="1" applyBorder="1" applyFill="1" applyFont="1" applyNumberFormat="1">
      <alignment horizontal="center" readingOrder="2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11" fontId="2" numFmtId="164" xfId="0" applyAlignment="1" applyBorder="1" applyFill="1" applyFont="1" applyNumberFormat="1">
      <alignment horizontal="center" readingOrder="2" shrinkToFit="0" vertical="center" wrapText="1"/>
    </xf>
    <xf borderId="13" fillId="2" fontId="2" numFmtId="164" xfId="0" applyAlignment="1" applyBorder="1" applyFont="1" applyNumberFormat="1">
      <alignment horizontal="center" readingOrder="0" vertical="center"/>
    </xf>
    <xf borderId="16" fillId="0" fontId="3" numFmtId="0" xfId="0" applyBorder="1" applyFont="1"/>
    <xf borderId="17" fillId="12" fontId="5" numFmtId="164" xfId="0" applyAlignment="1" applyBorder="1" applyFill="1" applyFont="1" applyNumberFormat="1">
      <alignment horizontal="center" readingOrder="2" shrinkToFit="0" vertical="center" wrapText="1"/>
    </xf>
    <xf borderId="18" fillId="12" fontId="5" numFmtId="164" xfId="0" applyAlignment="1" applyBorder="1" applyFont="1" applyNumberFormat="1">
      <alignment horizontal="center" readingOrder="2" shrinkToFit="0" vertical="center" wrapText="1"/>
    </xf>
    <xf borderId="19" fillId="12" fontId="5" numFmtId="164" xfId="0" applyAlignment="1" applyBorder="1" applyFont="1" applyNumberFormat="1">
      <alignment horizontal="center" readingOrder="2" shrinkToFit="0" vertical="center" wrapText="1"/>
    </xf>
    <xf borderId="17" fillId="13" fontId="5" numFmtId="164" xfId="0" applyAlignment="1" applyBorder="1" applyFill="1" applyFont="1" applyNumberFormat="1">
      <alignment horizontal="center" readingOrder="2" shrinkToFit="0" vertical="center" wrapText="1"/>
    </xf>
    <xf borderId="18" fillId="13" fontId="5" numFmtId="164" xfId="0" applyAlignment="1" applyBorder="1" applyFont="1" applyNumberFormat="1">
      <alignment horizontal="center" readingOrder="2" shrinkToFit="0" vertical="center" wrapText="1"/>
    </xf>
    <xf borderId="20" fillId="13" fontId="5" numFmtId="164" xfId="0" applyAlignment="1" applyBorder="1" applyFont="1" applyNumberFormat="1">
      <alignment horizontal="center" readingOrder="2" shrinkToFit="0" vertical="center" wrapText="1"/>
    </xf>
    <xf borderId="21" fillId="13" fontId="5" numFmtId="164" xfId="0" applyAlignment="1" applyBorder="1" applyFont="1" applyNumberFormat="1">
      <alignment horizontal="center" readingOrder="2" shrinkToFit="0" vertical="center" wrapText="1"/>
    </xf>
    <xf borderId="22" fillId="14" fontId="5" numFmtId="164" xfId="0" applyAlignment="1" applyBorder="1" applyFill="1" applyFont="1" applyNumberFormat="1">
      <alignment horizontal="center" readingOrder="0" vertical="center"/>
    </xf>
    <xf borderId="23" fillId="14" fontId="5" numFmtId="164" xfId="0" applyAlignment="1" applyBorder="1" applyFont="1" applyNumberFormat="1">
      <alignment horizontal="center" readingOrder="0" vertical="center"/>
    </xf>
    <xf borderId="24" fillId="14" fontId="5" numFmtId="164" xfId="0" applyAlignment="1" applyBorder="1" applyFont="1" applyNumberFormat="1">
      <alignment horizontal="center" readingOrder="0" vertical="center"/>
    </xf>
    <xf borderId="25" fillId="0" fontId="6" numFmtId="164" xfId="0" applyAlignment="1" applyBorder="1" applyFont="1" applyNumberFormat="1">
      <alignment horizontal="center" readingOrder="0" vertical="center"/>
    </xf>
    <xf borderId="11" fillId="0" fontId="4" numFmtId="164" xfId="0" applyAlignment="1" applyBorder="1" applyFont="1" applyNumberFormat="1">
      <alignment horizontal="center" readingOrder="1" vertical="center"/>
    </xf>
    <xf borderId="1" fillId="0" fontId="4" numFmtId="164" xfId="0" applyAlignment="1" applyBorder="1" applyFont="1" applyNumberFormat="1">
      <alignment horizontal="center" readingOrder="1" vertical="center"/>
    </xf>
    <xf borderId="26" fillId="0" fontId="4" numFmtId="164" xfId="0" applyAlignment="1" applyBorder="1" applyFont="1" applyNumberFormat="1">
      <alignment horizontal="center" readingOrder="1" vertical="center"/>
    </xf>
    <xf borderId="11" fillId="0" fontId="4" numFmtId="9" xfId="0" applyAlignment="1" applyBorder="1" applyFont="1" applyNumberFormat="1">
      <alignment horizontal="center" readingOrder="1" vertical="center"/>
    </xf>
    <xf borderId="1" fillId="0" fontId="4" numFmtId="9" xfId="0" applyAlignment="1" applyBorder="1" applyFont="1" applyNumberFormat="1">
      <alignment horizontal="center" readingOrder="1" vertical="center"/>
    </xf>
    <xf borderId="26" fillId="0" fontId="4" numFmtId="9" xfId="0" applyAlignment="1" applyBorder="1" applyFont="1" applyNumberFormat="1">
      <alignment horizontal="center" readingOrder="1" vertical="center"/>
    </xf>
    <xf borderId="27" fillId="0" fontId="6" numFmtId="164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center" readingOrder="0" vertical="center"/>
    </xf>
    <xf borderId="28" fillId="0" fontId="6" numFmtId="164" xfId="0" applyAlignment="1" applyBorder="1" applyFont="1" applyNumberFormat="1">
      <alignment horizontal="center" readingOrder="0" vertical="center"/>
    </xf>
    <xf borderId="29" fillId="0" fontId="4" numFmtId="164" xfId="0" applyAlignment="1" applyBorder="1" applyFont="1" applyNumberFormat="1">
      <alignment horizontal="center" readingOrder="1" vertical="center"/>
    </xf>
    <xf borderId="30" fillId="0" fontId="4" numFmtId="164" xfId="0" applyAlignment="1" applyBorder="1" applyFont="1" applyNumberFormat="1">
      <alignment horizontal="center" readingOrder="1" vertical="center"/>
    </xf>
    <xf borderId="31" fillId="0" fontId="4" numFmtId="164" xfId="0" applyAlignment="1" applyBorder="1" applyFont="1" applyNumberFormat="1">
      <alignment horizontal="center" readingOrder="1" vertical="center"/>
    </xf>
    <xf borderId="32" fillId="0" fontId="4" numFmtId="9" xfId="0" applyAlignment="1" applyBorder="1" applyFont="1" applyNumberFormat="1">
      <alignment horizontal="center" readingOrder="1" vertical="center"/>
    </xf>
    <xf borderId="8" fillId="0" fontId="4" numFmtId="9" xfId="0" applyAlignment="1" applyBorder="1" applyFont="1" applyNumberFormat="1">
      <alignment horizontal="center" readingOrder="1" vertical="center"/>
    </xf>
    <xf borderId="33" fillId="0" fontId="4" numFmtId="9" xfId="0" applyAlignment="1" applyBorder="1" applyFont="1" applyNumberFormat="1">
      <alignment horizontal="center" readingOrder="1" vertical="center"/>
    </xf>
    <xf borderId="34" fillId="15" fontId="2" numFmtId="164" xfId="0" applyAlignment="1" applyBorder="1" applyFill="1" applyFont="1" applyNumberFormat="1">
      <alignment horizontal="center" readingOrder="2" shrinkToFit="0" vertical="center" wrapText="1"/>
    </xf>
    <xf borderId="35" fillId="15" fontId="10" numFmtId="164" xfId="0" applyAlignment="1" applyBorder="1" applyFont="1" applyNumberFormat="1">
      <alignment horizontal="center" readingOrder="1" shrinkToFit="0" vertical="center" wrapText="1"/>
    </xf>
    <xf borderId="35" fillId="15" fontId="10" numFmtId="9" xfId="0" applyAlignment="1" applyBorder="1" applyFont="1" applyNumberFormat="1">
      <alignment horizontal="center" readingOrder="1" shrinkToFit="0" vertical="center" wrapText="1"/>
    </xf>
    <xf borderId="36" fillId="15" fontId="10" numFmtId="9" xfId="0" applyAlignment="1" applyBorder="1" applyFont="1" applyNumberFormat="1">
      <alignment horizontal="center" readingOrder="1" shrinkToFit="0" vertical="center" wrapText="1"/>
    </xf>
    <xf borderId="37" fillId="15" fontId="10" numFmtId="9" xfId="0" applyAlignment="1" applyBorder="1" applyFont="1" applyNumberFormat="1">
      <alignment horizontal="center" readingOrder="1" shrinkToFit="0" vertical="center" wrapText="1"/>
    </xf>
    <xf borderId="10" fillId="15" fontId="2" numFmtId="10" xfId="0" applyAlignment="1" applyBorder="1" applyFont="1" applyNumberFormat="1">
      <alignment horizontal="center" readingOrder="1" shrinkToFit="0" vertical="center" wrapText="1"/>
    </xf>
    <xf borderId="35" fillId="15" fontId="2" numFmtId="10" xfId="0" applyAlignment="1" applyBorder="1" applyFont="1" applyNumberFormat="1">
      <alignment horizontal="center" readingOrder="1" shrinkToFit="0" vertical="center" wrapText="1"/>
    </xf>
    <xf borderId="38" fillId="16" fontId="10" numFmtId="164" xfId="0" applyAlignment="1" applyBorder="1" applyFill="1" applyFont="1" applyNumberFormat="1">
      <alignment horizontal="center" readingOrder="2" shrinkToFit="0" vertical="center" wrapText="1"/>
    </xf>
    <xf borderId="38" fillId="16" fontId="10" numFmtId="9" xfId="0" applyAlignment="1" applyBorder="1" applyFont="1" applyNumberFormat="1">
      <alignment horizontal="center" readingOrder="2" shrinkToFit="0" vertical="center" wrapText="1"/>
    </xf>
    <xf borderId="0" fillId="0" fontId="4" numFmtId="0" xfId="0" applyAlignment="1" applyFont="1">
      <alignment horizontal="left" readingOrder="1"/>
    </xf>
    <xf borderId="38" fillId="16" fontId="4" numFmtId="0" xfId="0" applyAlignment="1" applyBorder="1" applyFont="1">
      <alignment horizontal="left" readingOrder="1"/>
    </xf>
    <xf borderId="0" fillId="0" fontId="5" numFmtId="0" xfId="0" applyAlignment="1" applyFont="1">
      <alignment horizontal="center" readingOrder="1" vertical="center"/>
    </xf>
    <xf borderId="0" fillId="0" fontId="11" numFmtId="0" xfId="0" applyAlignment="1" applyFont="1">
      <alignment horizontal="left" readingOrder="1"/>
    </xf>
    <xf borderId="0" fillId="0" fontId="6" numFmtId="0" xfId="0" applyAlignment="1" applyFont="1">
      <alignment horizontal="left" readingOrder="1"/>
    </xf>
    <xf borderId="39" fillId="9" fontId="2" numFmtId="164" xfId="0" applyAlignment="1" applyBorder="1" applyFont="1" applyNumberFormat="1">
      <alignment horizontal="center" readingOrder="2" shrinkToFit="0" vertical="center" wrapText="1"/>
    </xf>
    <xf borderId="13" fillId="17" fontId="12" numFmtId="0" xfId="0" applyAlignment="1" applyBorder="1" applyFill="1" applyFont="1">
      <alignment horizontal="center" readingOrder="0" vertical="center"/>
    </xf>
    <xf borderId="13" fillId="18" fontId="2" numFmtId="0" xfId="0" applyAlignment="1" applyBorder="1" applyFill="1" applyFont="1">
      <alignment horizontal="center" readingOrder="0" vertical="center"/>
    </xf>
    <xf borderId="40" fillId="0" fontId="3" numFmtId="0" xfId="0" applyBorder="1" applyFont="1"/>
    <xf borderId="41" fillId="14" fontId="5" numFmtId="164" xfId="0" applyAlignment="1" applyBorder="1" applyFont="1" applyNumberFormat="1">
      <alignment horizontal="center" readingOrder="0" vertical="center"/>
    </xf>
    <xf borderId="42" fillId="14" fontId="5" numFmtId="164" xfId="0" applyAlignment="1" applyBorder="1" applyFont="1" applyNumberFormat="1">
      <alignment horizontal="center" readingOrder="0" vertical="center"/>
    </xf>
    <xf borderId="43" fillId="14" fontId="5" numFmtId="164" xfId="0" applyAlignment="1" applyBorder="1" applyFont="1" applyNumberFormat="1">
      <alignment horizontal="center" readingOrder="0" vertical="center"/>
    </xf>
    <xf borderId="17" fillId="19" fontId="6" numFmtId="9" xfId="0" applyAlignment="1" applyBorder="1" applyFill="1" applyFont="1" applyNumberFormat="1">
      <alignment horizontal="center" readingOrder="0" vertical="center"/>
    </xf>
    <xf borderId="18" fillId="19" fontId="6" numFmtId="9" xfId="0" applyAlignment="1" applyBorder="1" applyFont="1" applyNumberFormat="1">
      <alignment horizontal="center" readingOrder="0" vertical="center"/>
    </xf>
    <xf borderId="21" fillId="19" fontId="6" numFmtId="9" xfId="0" applyAlignment="1" applyBorder="1" applyFont="1" applyNumberFormat="1">
      <alignment horizontal="center" readingOrder="0" vertical="center"/>
    </xf>
    <xf borderId="44" fillId="20" fontId="6" numFmtId="9" xfId="0" applyAlignment="1" applyBorder="1" applyFill="1" applyFont="1" applyNumberFormat="1">
      <alignment horizontal="center" readingOrder="0" vertical="center"/>
    </xf>
    <xf borderId="45" fillId="20" fontId="6" numFmtId="9" xfId="0" applyAlignment="1" applyBorder="1" applyFont="1" applyNumberFormat="1">
      <alignment horizontal="center" readingOrder="0" vertical="center"/>
    </xf>
    <xf borderId="46" fillId="20" fontId="6" numFmtId="9" xfId="0" applyAlignment="1" applyBorder="1" applyFont="1" applyNumberFormat="1">
      <alignment horizontal="center" readingOrder="0" vertical="center"/>
    </xf>
    <xf borderId="47" fillId="0" fontId="5" numFmtId="0" xfId="0" applyAlignment="1" applyBorder="1" applyFont="1">
      <alignment horizontal="center" readingOrder="2" shrinkToFit="0" vertical="center" wrapText="1"/>
    </xf>
    <xf borderId="11" fillId="0" fontId="4" numFmtId="164" xfId="0" applyBorder="1" applyFont="1" applyNumberFormat="1"/>
    <xf borderId="1" fillId="0" fontId="4" numFmtId="0" xfId="0" applyAlignment="1" applyBorder="1" applyFont="1">
      <alignment horizontal="center" readingOrder="1" vertical="center"/>
    </xf>
    <xf borderId="48" fillId="15" fontId="2" numFmtId="164" xfId="0" applyAlignment="1" applyBorder="1" applyFont="1" applyNumberFormat="1">
      <alignment horizontal="center" readingOrder="2" shrinkToFit="0" vertical="center" wrapText="1"/>
    </xf>
    <xf borderId="49" fillId="15" fontId="10" numFmtId="9" xfId="0" applyAlignment="1" applyBorder="1" applyFont="1" applyNumberFormat="1">
      <alignment horizontal="center" readingOrder="1" shrinkToFit="0" vertical="center" wrapText="1"/>
    </xf>
    <xf borderId="50" fillId="15" fontId="10" numFmtId="9" xfId="0" applyAlignment="1" applyBorder="1" applyFont="1" applyNumberFormat="1">
      <alignment horizontal="center" readingOrder="1" shrinkToFit="0" vertical="center" wrapText="1"/>
    </xf>
    <xf borderId="51" fillId="15" fontId="10" numFmtId="9" xfId="0" applyAlignment="1" applyBorder="1" applyFont="1" applyNumberFormat="1">
      <alignment horizontal="center" readingOrder="1" shrinkToFit="0" vertical="center" wrapText="1"/>
    </xf>
    <xf borderId="48" fillId="15" fontId="2" numFmtId="10" xfId="0" applyAlignment="1" applyBorder="1" applyFont="1" applyNumberFormat="1">
      <alignment horizontal="center" readingOrder="1" shrinkToFit="0" vertical="center" wrapText="1"/>
    </xf>
    <xf borderId="49" fillId="15" fontId="2" numFmtId="10" xfId="0" applyAlignment="1" applyBorder="1" applyFont="1" applyNumberFormat="1">
      <alignment horizontal="center" readingOrder="1" shrinkToFit="0" vertical="center" wrapText="1"/>
    </xf>
    <xf borderId="50" fillId="15" fontId="10" numFmtId="10" xfId="0" applyAlignment="1" applyBorder="1" applyFont="1" applyNumberFormat="1">
      <alignment horizontal="center" readingOrder="1" shrinkToFit="0" vertical="center" wrapText="1"/>
    </xf>
    <xf borderId="52" fillId="15" fontId="10" numFmtId="10" xfId="0" applyAlignment="1" applyBorder="1" applyFont="1" applyNumberFormat="1">
      <alignment horizontal="center" readingOrder="1" shrinkToFit="0" vertical="center" wrapText="1"/>
    </xf>
    <xf borderId="52" fillId="15" fontId="10" numFmtId="9" xfId="0" applyAlignment="1" applyBorder="1" applyFont="1" applyNumberFormat="1">
      <alignment horizontal="center" readingOrder="1" shrinkToFit="0" vertical="center" wrapText="1"/>
    </xf>
    <xf borderId="35" fillId="21" fontId="2" numFmtId="164" xfId="0" applyAlignment="1" applyBorder="1" applyFill="1" applyFont="1" applyNumberFormat="1">
      <alignment horizontal="center" readingOrder="2" shrinkToFit="0" vertical="center" wrapText="1"/>
    </xf>
    <xf borderId="48" fillId="21" fontId="2" numFmtId="164" xfId="0" applyAlignment="1" applyBorder="1" applyFont="1" applyNumberFormat="1">
      <alignment horizontal="center" readingOrder="2" shrinkToFit="0" vertical="center" wrapText="1"/>
    </xf>
    <xf borderId="39" fillId="0" fontId="5" numFmtId="0" xfId="0" applyAlignment="1" applyBorder="1" applyFont="1">
      <alignment horizontal="center" readingOrder="1" shrinkToFit="0" vertical="center" wrapText="1"/>
    </xf>
    <xf borderId="44" fillId="7" fontId="5" numFmtId="0" xfId="0" applyAlignment="1" applyBorder="1" applyFont="1">
      <alignment horizontal="center" readingOrder="1" shrinkToFit="0" vertical="center" wrapText="1"/>
    </xf>
    <xf borderId="44" fillId="15" fontId="5" numFmtId="9" xfId="0" applyAlignment="1" applyBorder="1" applyFont="1" applyNumberFormat="1">
      <alignment horizontal="center" readingOrder="0" vertical="center"/>
    </xf>
    <xf borderId="44" fillId="15" fontId="5" numFmtId="9" xfId="0" applyAlignment="1" applyBorder="1" applyFont="1" applyNumberFormat="1">
      <alignment horizontal="center" readingOrder="0" shrinkToFit="0" vertical="center" wrapText="1"/>
    </xf>
    <xf borderId="53" fillId="12" fontId="5" numFmtId="164" xfId="0" applyAlignment="1" applyBorder="1" applyFont="1" applyNumberFormat="1">
      <alignment horizontal="center" readingOrder="2" shrinkToFit="0" vertical="center" wrapText="1"/>
    </xf>
    <xf borderId="10" fillId="13" fontId="5" numFmtId="164" xfId="0" applyAlignment="1" applyBorder="1" applyFont="1" applyNumberFormat="1">
      <alignment horizontal="center" readingOrder="2" shrinkToFit="0" vertical="center" wrapText="1"/>
    </xf>
    <xf borderId="1" fillId="0" fontId="4" numFmtId="0" xfId="0" applyAlignment="1" applyBorder="1" applyFont="1">
      <alignment readingOrder="0"/>
    </xf>
    <xf borderId="1" fillId="7" fontId="4" numFmtId="164" xfId="0" applyAlignment="1" applyBorder="1" applyFont="1" applyNumberFormat="1">
      <alignment horizontal="left" readingOrder="1"/>
    </xf>
    <xf borderId="1" fillId="6" fontId="4" numFmtId="164" xfId="0" applyAlignment="1" applyBorder="1" applyFont="1" applyNumberFormat="1">
      <alignment horizontal="left" readingOrder="1"/>
    </xf>
    <xf borderId="54" fillId="0" fontId="4" numFmtId="164" xfId="0" applyAlignment="1" applyBorder="1" applyFont="1" applyNumberFormat="1">
      <alignment horizontal="center" readingOrder="1" vertical="center"/>
    </xf>
    <xf borderId="9" fillId="0" fontId="4" numFmtId="9" xfId="0" applyAlignment="1" applyBorder="1" applyFont="1" applyNumberFormat="1">
      <alignment horizontal="center" readingOrder="1" vertical="center"/>
    </xf>
    <xf borderId="1" fillId="0" fontId="4" numFmtId="164" xfId="0" applyAlignment="1" applyBorder="1" applyFont="1" applyNumberFormat="1">
      <alignment horizontal="center" readingOrder="1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  <xf borderId="44" fillId="21" fontId="5" numFmtId="0" xfId="0" applyAlignment="1" applyBorder="1" applyFont="1">
      <alignment horizontal="center" readingOrder="1" shrinkToFit="0" vertical="center" wrapText="1"/>
    </xf>
    <xf borderId="10" fillId="14" fontId="5" numFmtId="9" xfId="0" applyAlignment="1" applyBorder="1" applyFont="1" applyNumberFormat="1">
      <alignment horizontal="center" readingOrder="0" vertical="center"/>
    </xf>
    <xf borderId="10" fillId="14" fontId="5" numFmtId="9" xfId="0" applyAlignment="1" applyBorder="1" applyFont="1" applyNumberFormat="1">
      <alignment horizontal="center" readingOrder="0" shrinkToFit="0" vertical="center" wrapText="1"/>
    </xf>
    <xf borderId="55" fillId="15" fontId="2" numFmtId="164" xfId="0" applyAlignment="1" applyBorder="1" applyFont="1" applyNumberFormat="1">
      <alignment horizontal="center" readingOrder="2" shrinkToFit="0" vertical="center" wrapText="1"/>
    </xf>
    <xf borderId="49" fillId="15" fontId="10" numFmtId="164" xfId="0" applyAlignment="1" applyBorder="1" applyFont="1" applyNumberFormat="1">
      <alignment horizontal="center" readingOrder="1" shrinkToFit="0" vertical="center" wrapText="1"/>
    </xf>
    <xf borderId="50" fillId="15" fontId="10" numFmtId="164" xfId="0" applyAlignment="1" applyBorder="1" applyFont="1" applyNumberFormat="1">
      <alignment horizontal="center" readingOrder="1" shrinkToFit="0" vertical="center" wrapText="1"/>
    </xf>
    <xf borderId="51" fillId="15" fontId="10" numFmtId="164" xfId="0" applyAlignment="1" applyBorder="1" applyFont="1" applyNumberFormat="1">
      <alignment horizontal="center" readingOrder="1" shrinkToFit="0" vertical="center" wrapText="1"/>
    </xf>
    <xf borderId="48" fillId="15" fontId="10" numFmtId="9" xfId="0" applyAlignment="1" applyBorder="1" applyFont="1" applyNumberFormat="1">
      <alignment horizontal="center" readingOrder="1" shrinkToFit="0" vertical="center" wrapText="1"/>
    </xf>
    <xf borderId="2" fillId="4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4" fontId="5" numFmtId="164" xfId="0" applyAlignment="1" applyBorder="1" applyFont="1" applyNumberFormat="1">
      <alignment horizontal="center" readingOrder="0" vertical="center"/>
    </xf>
    <xf borderId="56" fillId="6" fontId="4" numFmtId="164" xfId="0" applyAlignment="1" applyBorder="1" applyFont="1" applyNumberFormat="1">
      <alignment horizontal="center" vertical="center"/>
    </xf>
    <xf borderId="35" fillId="8" fontId="2" numFmtId="0" xfId="0" applyAlignment="1" applyBorder="1" applyFont="1">
      <alignment horizontal="center" readingOrder="2" shrinkToFit="0" vertical="center" wrapText="1"/>
    </xf>
    <xf borderId="37" fillId="8" fontId="5" numFmtId="0" xfId="0" applyAlignment="1" applyBorder="1" applyFont="1">
      <alignment horizontal="center" readingOrder="2" shrinkToFit="0" vertical="center" wrapText="1"/>
    </xf>
    <xf borderId="57" fillId="8" fontId="5" numFmtId="0" xfId="0" applyAlignment="1" applyBorder="1" applyFont="1">
      <alignment horizontal="center" readingOrder="2" shrinkToFit="0" vertical="center" wrapText="1"/>
    </xf>
    <xf borderId="36" fillId="0" fontId="4" numFmtId="9" xfId="0" applyAlignment="1" applyBorder="1" applyFont="1" applyNumberFormat="1">
      <alignment horizontal="center" vertical="center"/>
    </xf>
    <xf borderId="52" fillId="8" fontId="5" numFmtId="164" xfId="0" applyAlignment="1" applyBorder="1" applyFont="1" applyNumberFormat="1">
      <alignment horizontal="center" readingOrder="2" shrinkToFit="0" vertical="center" wrapText="1"/>
    </xf>
    <xf borderId="57" fillId="8" fontId="5" numFmtId="164" xfId="0" applyAlignment="1" applyBorder="1" applyFont="1" applyNumberFormat="1">
      <alignment horizontal="center" readingOrder="2" shrinkToFit="0" vertical="center" wrapText="1"/>
    </xf>
    <xf borderId="35" fillId="8" fontId="2" numFmtId="164" xfId="0" applyAlignment="1" applyBorder="1" applyFont="1" applyNumberFormat="1">
      <alignment horizontal="center" readingOrder="0" vertical="center"/>
    </xf>
    <xf borderId="36" fillId="8" fontId="4" numFmtId="9" xfId="0" applyAlignment="1" applyBorder="1" applyFont="1" applyNumberFormat="1">
      <alignment horizontal="center" vertical="center"/>
    </xf>
    <xf borderId="37" fillId="8" fontId="5" numFmtId="164" xfId="0" applyAlignment="1" applyBorder="1" applyFont="1" applyNumberFormat="1">
      <alignment horizontal="center" readingOrder="2" shrinkToFit="0" vertical="center" wrapText="1"/>
    </xf>
    <xf borderId="58" fillId="8" fontId="5" numFmtId="0" xfId="0" applyAlignment="1" applyBorder="1" applyFont="1">
      <alignment horizontal="center" readingOrder="2" shrinkToFit="0" vertical="center" wrapText="1"/>
    </xf>
    <xf borderId="1" fillId="8" fontId="4" numFmtId="9" xfId="0" applyAlignment="1" applyBorder="1" applyFont="1" applyNumberFormat="1">
      <alignment horizontal="center" vertical="center"/>
    </xf>
    <xf borderId="35" fillId="8" fontId="2" numFmtId="164" xfId="0" applyAlignment="1" applyBorder="1" applyFont="1" applyNumberFormat="1">
      <alignment horizontal="center" readingOrder="2" shrinkToFit="0" vertical="center" wrapText="1"/>
    </xf>
    <xf borderId="0" fillId="0" fontId="1" numFmtId="0" xfId="0" applyFont="1"/>
    <xf borderId="0" fillId="0" fontId="4" numFmtId="164" xfId="0" applyAlignment="1" applyFont="1" applyNumberFormat="1">
      <alignment horizontal="center"/>
    </xf>
    <xf borderId="2" fillId="4" fontId="2" numFmtId="0" xfId="0" applyAlignment="1" applyBorder="1" applyFont="1">
      <alignment horizontal="center" readingOrder="0" vertical="center"/>
    </xf>
    <xf borderId="59" fillId="8" fontId="2" numFmtId="0" xfId="0" applyAlignment="1" applyBorder="1" applyFont="1">
      <alignment horizontal="center" readingOrder="2" shrinkToFit="0" vertical="center" wrapText="1"/>
    </xf>
    <xf borderId="60" fillId="8" fontId="5" numFmtId="0" xfId="0" applyAlignment="1" applyBorder="1" applyFont="1">
      <alignment horizontal="center" readingOrder="2" shrinkToFit="0" vertical="center" wrapText="1"/>
    </xf>
    <xf borderId="60" fillId="8" fontId="5" numFmtId="164" xfId="0" applyAlignment="1" applyBorder="1" applyFont="1" applyNumberFormat="1">
      <alignment horizontal="center" readingOrder="2" shrinkToFit="0" vertical="center" wrapText="1"/>
    </xf>
    <xf borderId="49" fillId="8" fontId="2" numFmtId="0" xfId="0" applyAlignment="1" applyBorder="1" applyFont="1">
      <alignment horizontal="center" readingOrder="2" shrinkToFit="0" vertical="center" wrapText="1"/>
    </xf>
    <xf borderId="52" fillId="8" fontId="5" numFmtId="0" xfId="0" applyAlignment="1" applyBorder="1" applyFont="1">
      <alignment horizontal="center" readingOrder="2" shrinkToFit="0" vertical="center" wrapText="1"/>
    </xf>
    <xf borderId="49" fillId="8" fontId="2" numFmtId="164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center" readingOrder="2" shrinkToFit="0" vertical="center" wrapText="1"/>
    </xf>
    <xf borderId="35" fillId="8" fontId="2" numFmtId="164" xfId="0" applyAlignment="1" applyBorder="1" applyFont="1" applyNumberFormat="1">
      <alignment horizontal="center" readingOrder="1" shrinkToFit="0" vertical="center" wrapText="1"/>
    </xf>
    <xf borderId="56" fillId="2" fontId="2" numFmtId="9" xfId="0" applyAlignment="1" applyBorder="1" applyFont="1" applyNumberFormat="1">
      <alignment readingOrder="0" vertical="center"/>
    </xf>
    <xf borderId="56" fillId="4" fontId="2" numFmtId="9" xfId="0" applyAlignment="1" applyBorder="1" applyFont="1" applyNumberFormat="1">
      <alignment readingOrder="0" vertical="center"/>
    </xf>
    <xf borderId="56" fillId="3" fontId="2" numFmtId="9" xfId="0" applyAlignment="1" applyBorder="1" applyFont="1" applyNumberFormat="1">
      <alignment readingOrder="0" shrinkToFit="0" vertical="center" wrapText="1"/>
    </xf>
    <xf borderId="56" fillId="22" fontId="2" numFmtId="9" xfId="0" applyAlignment="1" applyBorder="1" applyFill="1" applyFont="1" applyNumberFormat="1">
      <alignment readingOrder="0" shrinkToFit="0" vertical="center" wrapText="1"/>
    </xf>
    <xf borderId="1" fillId="13" fontId="4" numFmtId="164" xfId="0" applyAlignment="1" applyBorder="1" applyFont="1" applyNumberFormat="1">
      <alignment horizontal="left" readingOrder="1"/>
    </xf>
    <xf borderId="0" fillId="0" fontId="4" numFmtId="164" xfId="0" applyAlignment="1" applyFont="1" applyNumberFormat="1">
      <alignment horizontal="left" readingOrder="1"/>
    </xf>
    <xf borderId="1" fillId="0" fontId="4" numFmtId="0" xfId="0" applyAlignment="1" applyBorder="1" applyFont="1">
      <alignment horizontal="center" readingOrder="2" shrinkToFit="0" vertical="center" wrapText="1"/>
    </xf>
    <xf borderId="0" fillId="0" fontId="1" numFmtId="0" xfId="0" applyAlignment="1" applyFont="1">
      <alignment horizontal="center" readingOrder="2" shrinkToFit="0" vertical="center" wrapText="1"/>
    </xf>
    <xf borderId="0" fillId="0" fontId="1" numFmtId="164" xfId="0" applyAlignment="1" applyFont="1" applyNumberFormat="1">
      <alignment horizontal="left" readingOrder="1"/>
    </xf>
    <xf borderId="2" fillId="8" fontId="2" numFmtId="0" xfId="0" applyAlignment="1" applyBorder="1" applyFont="1">
      <alignment horizontal="center" readingOrder="2" shrinkToFit="0" vertical="center" wrapText="1"/>
    </xf>
    <xf borderId="2" fillId="4" fontId="2" numFmtId="0" xfId="0" applyAlignment="1" applyBorder="1" applyFont="1">
      <alignment horizontal="center" readingOrder="1" shrinkToFit="0" vertical="center" wrapText="1"/>
    </xf>
    <xf borderId="1" fillId="8" fontId="2" numFmtId="164" xfId="0" applyAlignment="1" applyBorder="1" applyFont="1" applyNumberFormat="1">
      <alignment horizontal="center" readingOrder="2" shrinkToFit="0" vertical="center" wrapText="1"/>
    </xf>
    <xf borderId="1" fillId="4" fontId="2" numFmtId="164" xfId="0" applyAlignment="1" applyBorder="1" applyFont="1" applyNumberFormat="1">
      <alignment horizontal="center" readingOrder="1" shrinkToFit="0" vertical="center" wrapText="1"/>
    </xf>
    <xf borderId="1" fillId="16" fontId="4" numFmtId="164" xfId="0" applyAlignment="1" applyBorder="1" applyFont="1" applyNumberFormat="1">
      <alignment horizontal="center"/>
    </xf>
    <xf borderId="1" fillId="7" fontId="4" numFmtId="164" xfId="0" applyAlignment="1" applyBorder="1" applyFont="1" applyNumberFormat="1">
      <alignment horizontal="center" readingOrder="1" vertical="center"/>
    </xf>
    <xf borderId="56" fillId="16" fontId="4" numFmtId="164" xfId="0" applyAlignment="1" applyBorder="1" applyFont="1" applyNumberFormat="1">
      <alignment horizontal="center"/>
    </xf>
    <xf borderId="56" fillId="7" fontId="4" numFmtId="164" xfId="0" applyAlignment="1" applyBorder="1" applyFont="1" applyNumberFormat="1">
      <alignment horizontal="center" readingOrder="1" vertical="center"/>
    </xf>
    <xf borderId="10" fillId="8" fontId="10" numFmtId="164" xfId="0" applyAlignment="1" applyBorder="1" applyFont="1" applyNumberFormat="1">
      <alignment horizontal="center"/>
    </xf>
    <xf borderId="18" fillId="16" fontId="4" numFmtId="164" xfId="0" applyAlignment="1" applyBorder="1" applyFont="1" applyNumberFormat="1">
      <alignment horizontal="center"/>
    </xf>
    <xf borderId="18" fillId="7" fontId="4" numFmtId="164" xfId="0" applyAlignment="1" applyBorder="1" applyFont="1" applyNumberFormat="1">
      <alignment horizontal="center" readingOrder="1" vertical="center"/>
    </xf>
    <xf borderId="10" fillId="8" fontId="4" numFmtId="164" xfId="0" applyAlignment="1" applyBorder="1" applyFont="1" applyNumberFormat="1">
      <alignment horizontal="center"/>
    </xf>
    <xf borderId="10" fillId="8" fontId="2" numFmtId="164" xfId="0" applyAlignment="1" applyBorder="1" applyFont="1" applyNumberFormat="1">
      <alignment horizontal="center" readingOrder="1" shrinkToFit="0" vertical="center" wrapText="1"/>
    </xf>
    <xf borderId="10" fillId="8" fontId="2" numFmtId="164" xfId="0" applyBorder="1" applyFont="1" applyNumberFormat="1"/>
    <xf borderId="10" fillId="8" fontId="4" numFmtId="164" xfId="0" applyBorder="1" applyFont="1" applyNumberFormat="1"/>
    <xf borderId="1" fillId="0" fontId="4" numFmtId="164" xfId="0" applyAlignment="1" applyBorder="1" applyFont="1" applyNumberFormat="1">
      <alignment horizontal="center"/>
    </xf>
    <xf borderId="10" fillId="8" fontId="2" numFmtId="164" xfId="0" applyAlignment="1" applyBorder="1" applyFont="1" applyNumberFormat="1">
      <alignment horizontal="center"/>
    </xf>
    <xf borderId="38" fillId="16" fontId="4" numFmtId="0" xfId="0" applyBorder="1" applyFont="1"/>
    <xf borderId="0" fillId="0" fontId="4" numFmtId="3" xfId="0" applyFont="1" applyNumberFormat="1"/>
    <xf borderId="48" fillId="8" fontId="2" numFmtId="0" xfId="0" applyAlignment="1" applyBorder="1" applyFont="1">
      <alignment horizontal="center" readingOrder="2" shrinkToFit="0" vertical="center" wrapText="1"/>
    </xf>
    <xf borderId="48" fillId="8" fontId="5" numFmtId="0" xfId="0" applyAlignment="1" applyBorder="1" applyFont="1">
      <alignment horizontal="center" readingOrder="2" shrinkToFit="0" vertical="center" wrapText="1"/>
    </xf>
    <xf borderId="48" fillId="8" fontId="2" numFmtId="164" xfId="0" applyAlignment="1" applyBorder="1" applyFont="1" applyNumberFormat="1">
      <alignment horizontal="center" readingOrder="1" shrinkToFit="0" vertical="center" wrapText="1"/>
    </xf>
    <xf borderId="8" fillId="0" fontId="4" numFmtId="164" xfId="0" applyAlignment="1" applyBorder="1" applyFont="1" applyNumberFormat="1">
      <alignment horizontal="center"/>
    </xf>
    <xf borderId="9" fillId="0" fontId="4" numFmtId="164" xfId="0" applyAlignment="1" applyBorder="1" applyFont="1" applyNumberFormat="1">
      <alignment horizontal="center"/>
    </xf>
    <xf borderId="0" fillId="0" fontId="13" numFmtId="0" xfId="0" applyFont="1"/>
    <xf borderId="1" fillId="0" fontId="4" numFmtId="0" xfId="0" applyBorder="1" applyFont="1"/>
    <xf borderId="1" fillId="0" fontId="4" numFmtId="3" xfId="0" applyBorder="1" applyFont="1" applyNumberFormat="1"/>
    <xf borderId="38" fillId="16" fontId="4" numFmtId="164" xfId="0" applyBorder="1" applyFont="1" applyNumberFormat="1"/>
    <xf borderId="1" fillId="0" fontId="6" numFmtId="164" xfId="0" applyAlignment="1" applyBorder="1" applyFont="1" applyNumberFormat="1">
      <alignment horizontal="center"/>
    </xf>
    <xf borderId="1" fillId="16" fontId="6" numFmtId="164" xfId="0" applyAlignment="1" applyBorder="1" applyFont="1" applyNumberFormat="1">
      <alignment horizontal="center"/>
    </xf>
    <xf borderId="61" fillId="23" fontId="14" numFmtId="1" xfId="0" applyAlignment="1" applyBorder="1" applyFill="1" applyFont="1" applyNumberFormat="1">
      <alignment horizontal="right" vertical="center"/>
    </xf>
    <xf borderId="1" fillId="24" fontId="14" numFmtId="3" xfId="0" applyAlignment="1" applyBorder="1" applyFill="1" applyFont="1" applyNumberFormat="1">
      <alignment horizontal="center"/>
    </xf>
    <xf borderId="1" fillId="0" fontId="4" numFmtId="164" xfId="0" applyBorder="1" applyFont="1" applyNumberFormat="1"/>
    <xf borderId="0" fillId="0" fontId="4" numFmtId="3" xfId="0" applyAlignment="1" applyFont="1" applyNumberFormat="1">
      <alignment horizontal="center" vertical="center"/>
    </xf>
    <xf borderId="38" fillId="16" fontId="4" numFmtId="4" xfId="0" applyBorder="1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4.43" defaultRowHeight="15.0"/>
  <cols>
    <col customWidth="1" min="1" max="1" width="27.57"/>
    <col customWidth="1" min="2" max="2" width="10.14"/>
    <col customWidth="1" min="3" max="3" width="10.43"/>
    <col customWidth="1" min="4" max="4" width="10.71"/>
    <col customWidth="1" min="5" max="5" width="11.0"/>
    <col customWidth="1" min="6" max="6" width="11.71"/>
    <col customWidth="1" min="7" max="7" width="13.57"/>
    <col customWidth="1" min="8" max="8" width="14.71"/>
    <col customWidth="1" min="9" max="9" width="13.57"/>
    <col customWidth="1" min="10" max="10" width="15.0"/>
    <col customWidth="1" min="11" max="11" width="16.14"/>
    <col customWidth="1" min="12" max="12" width="15.0"/>
    <col customWidth="1" min="13" max="13" width="13.57"/>
    <col customWidth="1" min="14" max="15" width="16.43"/>
    <col customWidth="1" min="16" max="26" width="27.71"/>
  </cols>
  <sheetData>
    <row r="1" ht="15.75" customHeight="1">
      <c r="A1" s="1"/>
      <c r="B1" s="1"/>
      <c r="C1" s="1"/>
      <c r="D1" s="2" t="s">
        <v>0</v>
      </c>
      <c r="E1" s="3"/>
      <c r="F1" s="4"/>
      <c r="G1" s="5"/>
      <c r="H1" s="6" t="s">
        <v>1</v>
      </c>
      <c r="I1" s="3"/>
      <c r="J1" s="3"/>
      <c r="K1" s="4"/>
      <c r="L1" s="7" t="s">
        <v>2</v>
      </c>
      <c r="M1" s="8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3</v>
      </c>
      <c r="B2" s="12" t="s">
        <v>4</v>
      </c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" t="s">
        <v>6</v>
      </c>
      <c r="I2" s="14" t="s">
        <v>7</v>
      </c>
      <c r="J2" s="14" t="s">
        <v>10</v>
      </c>
      <c r="K2" s="14" t="s">
        <v>9</v>
      </c>
      <c r="L2" s="15" t="s">
        <v>6</v>
      </c>
      <c r="M2" s="15" t="s">
        <v>11</v>
      </c>
      <c r="N2" s="15" t="s">
        <v>10</v>
      </c>
      <c r="O2" s="15" t="s">
        <v>12</v>
      </c>
      <c r="P2" s="16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" t="s">
        <v>13</v>
      </c>
      <c r="B3" s="1" t="s">
        <v>14</v>
      </c>
      <c r="C3" s="1" t="s">
        <v>15</v>
      </c>
      <c r="D3" s="17">
        <f t="shared" ref="D3:E3" si="1">IF(H3=0,0%,IF(L3=0,100%,H3/L3-1))</f>
        <v>0.7538738449</v>
      </c>
      <c r="E3" s="17">
        <f t="shared" si="1"/>
        <v>-0.6620767574</v>
      </c>
      <c r="F3" s="17">
        <f t="shared" ref="F3:G3" si="2">IF(J3=0,0%,IF(N3=G29,100%,J3/N3-1))</f>
        <v>0.2106261205</v>
      </c>
      <c r="G3" s="17">
        <f t="shared" si="2"/>
        <v>0.9523079113</v>
      </c>
      <c r="H3" s="18">
        <f>VLOOKUP(A3,'הכשרה'!A:G,4,0)+VLOOKUP('תפוקה מצטברת מול אשתקד'!A3,'מגדל'!A:G,4,0)+VLOOKUP('תפוקה מצטברת מול אשתקד'!A3,'מנורה'!A:G,4,0)+VLOOKUP('תפוקה מצטברת מול אשתקד'!A3,'איילון'!A:G,4,0)+VLOOKUP('תפוקה מצטברת מול אשתקד'!A3,'הראל'!A:G,4,0)+VLOOKUP('תפוקה מצטברת מול אשתקד'!A3,'הפניקס'!A:G,4,0)+VLOOKUP('תפוקה מצטברת מול אשתקד'!A3,'כלל'!A:G,4,0)+VLOOKUP('תפוקה מצטברת מול אשתקד'!A3,'מור'!A:G,4,0)+VLOOKUP('תפוקה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אשתקד'!A3,'אינפניטי'!A:G,4,0)</f>
        <v>7943583.205</v>
      </c>
      <c r="I3" s="18">
        <f>VLOOKUP(A3,'הכשרה'!A:G,5,0)+VLOOKUP('תפוקה מצטברת מול אשתקד'!A3,'מגדל'!A:G,5,0)+VLOOKUP('תפוקה מצטברת מול אשתקד'!A3,'מנורה'!A:G,5,0)+VLOOKUP('תפוקה מצטברת מול אשתקד'!A3,'איילון'!A:G,5,0)+VLOOKUP('תפוקה מצטברת מול אשתקד'!A3,'הראל'!A:G,5,0)+VLOOKUP('תפוקה מצטברת מול אשתקד'!A3,'הפניקס'!A:G,5,0)+VLOOKUP('תפוקה מצטברת מול אשתקד'!A3,'כלל'!A:G,5,0)+VLOOKUP('תפוקה מצטברת מול אשתקד'!A3,'מור'!A:G,5,0)+VLOOKUP('תפוקה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אשתקד'!A3,'אינפניטי'!A:G,5,0)</f>
        <v>284148.8185</v>
      </c>
      <c r="J3" s="18">
        <f>VLOOKUP(A3,'הכשרה'!A:G,6,0)+VLOOKUP('תפוקה מצטברת מול אשתקד'!A3,'מגדל'!A:G,6,0)+VLOOKUP('תפוקה מצטברת מול אשתקד'!A3,'מנורה'!A:G,6,0)+VLOOKUP('תפוקה מצטברת מול אשתקד'!A3,'איילון'!A:G,6,0)+VLOOKUP(A3,'הראל'!A:G,6,0)+VLOOKUP('תפוקה מצטברת מול אשתקד'!A3,'הפניקס'!A:G,6,0)+VLOOKUP('תפוקה מצטברת מול אשתקד'!A3,'כלל'!A:G,6,0)+VLOOKUP('תפוקה מצטברת מול אשתקד'!A3,'מור'!A:G,6,0)+VLOOKUP('תפוקה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אשתקד'!A3,'אינפניטי'!A:G,6,0)</f>
        <v>19291897.51</v>
      </c>
      <c r="K3" s="18">
        <f>VLOOKUP(A3,'הכשרה'!A:G,7,0)+VLOOKUP('תפוקה מצטברת מול אשתקד'!A3,'מגדל'!A:G,7,0)+VLOOKUP('תפוקה מצטברת מול אשתקד'!A3,'מנורה'!A:G,7,0)+VLOOKUP('תפוקה מצטברת מול אשתקד'!A3,'איילון'!A:G,7,0)+VLOOKUP('תפוקה מצטברת מול אשתקד'!A3,'הראל'!A:G,7,0)+VLOOKUP('תפוקה מצטברת מול אשתקד'!A3,'הפניקס'!A:G,7,0)+VLOOKUP('תפוקה מצטברת מול אשתקד'!A3,'כלל'!A:G,7,0)+VLOOKUP('תפוקה מצטברת מול אשתקד'!A3,'מור'!A:G,7,0)+VLOOKUP('תפוקה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אשתקד'!A3,'אינפניטי'!A:G,7,0)</f>
        <v>50754485.55</v>
      </c>
      <c r="L3" s="19">
        <f>VLOOKUP(A3,'הכשרה'!A:K,8,0)+VLOOKUP('תפוקה מצטברת מול אשתקד'!A3,'מגדל'!A:K,8,0)+VLOOKUP('תפוקה מצטברת מול אשתקד'!A3,'מנורה'!A:K,8,0)+VLOOKUP('תפוקה מצטברת מול אשתקד'!A3,'איילון'!A:K,8,0)+VLOOKUP('תפוקה מצטברת מול אשתקד'!A3,'הראל'!A:K,8,0)+VLOOKUP('תפוקה מצטברת מול אשתקד'!A3,'הפניקס'!A:K,8,0)+VLOOKUP('תפוקה מצטברת מול אשתקד'!A3,'כלל'!A:K,8,0)+VLOOKUP('תפוקה מצטברת מול אשתקד'!A3,'מור'!A:K,8,0)+VLOOKUP('תפוקה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אשתקד'!A3,'אינפניטי'!A:K,8,0)</f>
        <v>4529164.528</v>
      </c>
      <c r="M3" s="19">
        <f>VLOOKUP(A3,'הכשרה'!A:K,9,0)+VLOOKUP('תפוקה מצטברת מול אשתקד'!A3,'מגדל'!A:K,9,0)+VLOOKUP('תפוקה מצטברת מול אשתקד'!A3,'מנורה'!A:K,9,0)+VLOOKUP('תפוקה מצטברת מול אשתקד'!A3,'איילון'!A:K,9,0)+VLOOKUP('תפוקה מצטברת מול אשתקד'!A3,'הראל'!A:K,9,0)+VLOOKUP('תפוקה מצטברת מול אשתקד'!A3,'הפניקס'!A:K,9,0)+VLOOKUP('תפוקה מצטברת מול אשתקד'!A3,'כלל'!A:K,9,0)+VLOOKUP('תפוקה מצטברת מול אשתקד'!A3,'מור'!A:K,9,0)+VLOOKUP('תפוקה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אשתקד'!A3,'אינפניטי'!A:K,9,0)</f>
        <v>840867.9329</v>
      </c>
      <c r="N3" s="19">
        <f>VLOOKUP(A3,'הכשרה'!A:K,10,0)+VLOOKUP('תפוקה מצטברת מול אשתקד'!A3,'מגדל'!A:K,10,0)+VLOOKUP('תפוקה מצטברת מול אשתקד'!A3,'מנורה'!A:K,10,0)+VLOOKUP('תפוקה מצטברת מול אשתקד'!A3,'איילון'!A:K,10,0)+VLOOKUP('תפוקה מצטברת מול אשתקד'!A3,'הראל'!A:K,10,0)+VLOOKUP('תפוקה מצטברת מול אשתקד'!A3,'הפניקס'!A:K,10,0)+VLOOKUP('תפוקה מצטברת מול אשתקד'!A3,'כלל'!A:K,10,0)+VLOOKUP('תפוקה מצטברת מול אשתקד'!A3,'מור'!A:K,10,0)+VLOOKUP('תפוקה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אשתקד'!A3,'אינפניטי'!A:K,10,0)</f>
        <v>15935471.06</v>
      </c>
      <c r="O3" s="19">
        <f>VLOOKUP(A3,'הכשרה'!A:K,11,0)+VLOOKUP('תפוקה מצטברת מול אשתקד'!A3,'מגדל'!A:K,11,0)+VLOOKUP('תפוקה מצטברת מול אשתקד'!A3,'מנורה'!A:K,11,0)+VLOOKUP('תפוקה מצטברת מול אשתקד'!A3,'איילון'!A:K,11,0)+VLOOKUP('תפוקה מצטברת מול אשתקד'!A3,'הראל'!A:K,11,0)+VLOOKUP('תפוקה מצטברת מול אשתקד'!A3,'הפניקס'!A:K,11,0)+VLOOKUP('תפוקה מצטברת מול אשתקד'!A3,'כלל'!A:K,11,0)+VLOOKUP('תפוקה מצטברת מול אשתקד'!A3,'מור'!A:K,11,0)+VLOOKUP('תפוקה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אשתקד'!A3,'אינפניטי'!A:K,11,0)</f>
        <v>25997172.5</v>
      </c>
      <c r="P3" s="2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" t="s">
        <v>16</v>
      </c>
      <c r="B4" s="1" t="s">
        <v>14</v>
      </c>
      <c r="C4" s="1" t="s">
        <v>15</v>
      </c>
      <c r="D4" s="17">
        <f t="shared" ref="D4:F4" si="3">IF(H4=0,0%,IF(L4=0,100%,H4/L4-1))</f>
        <v>-0.4387746804</v>
      </c>
      <c r="E4" s="17">
        <f t="shared" si="3"/>
        <v>-0.4227216221</v>
      </c>
      <c r="F4" s="17">
        <f t="shared" si="3"/>
        <v>-0.49415328</v>
      </c>
      <c r="G4" s="17">
        <f t="shared" ref="G4:G5" si="5">IF(K4=0,0%,IF(O4=H30,100%,K4/O4-1))</f>
        <v>-0.8358676332</v>
      </c>
      <c r="H4" s="18">
        <f>VLOOKUP(A4,'הכשרה'!A:G,4,0)+VLOOKUP('תפוקה מצטברת מול אשתקד'!A4,'מגדל'!A:G,4,0)+VLOOKUP('תפוקה מצטברת מול אשתקד'!A4,'מנורה'!A:G,4,0)+VLOOKUP('תפוקה מצטברת מול אשתקד'!A4,'איילון'!A:G,4,0)+VLOOKUP('תפוקה מצטברת מול אשתקד'!A4,'הראל'!A:G,4,0)+VLOOKUP('תפוקה מצטברת מול אשתקד'!A4,'הפניקס'!A:G,4,0)+VLOOKUP('תפוקה מצטברת מול אשתקד'!A4,'כלל'!A:G,4,0)+VLOOKUP('תפוקה מצטברת מול אשתקד'!A4,'מור'!A:G,4,0)+VLOOKUP('תפוקה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אשתקד'!A4,'אינפניטי'!A:G,4,0)</f>
        <v>430369.6519</v>
      </c>
      <c r="I4" s="18">
        <f>VLOOKUP(A4,'הכשרה'!A:G,5,0)+VLOOKUP('תפוקה מצטברת מול אשתקד'!A4,'מגדל'!A:G,5,0)+VLOOKUP('תפוקה מצטברת מול אשתקד'!A4,'מנורה'!A:G,5,0)+VLOOKUP('תפוקה מצטברת מול אשתקד'!A4,'איילון'!A:G,5,0)+VLOOKUP('תפוקה מצטברת מול אשתקד'!A4,'הראל'!A:G,5,0)+VLOOKUP('תפוקה מצטברת מול אשתקד'!A4,'הפניקס'!A:G,5,0)+VLOOKUP('תפוקה מצטברת מול אשתקד'!A4,'כלל'!A:G,5,0)+VLOOKUP('תפוקה מצטברת מול אשתקד'!A4,'מור'!A:G,5,0)+VLOOKUP('תפוקה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אשתקד'!A4,'אינפניטי'!A:G,5,0)</f>
        <v>3951.306216</v>
      </c>
      <c r="J4" s="18">
        <f>VLOOKUP(A4,'הכשרה'!A:G,6,0)+VLOOKUP('תפוקה מצטברת מול אשתקד'!A4,'מגדל'!A:G,6,0)+VLOOKUP('תפוקה מצטברת מול אשתקד'!A4,'מנורה'!A:G,6,0)+VLOOKUP('תפוקה מצטברת מול אשתקד'!A4,'איילון'!A:G,6,0)+VLOOKUP(A4,'הראל'!A:G,6,0)+VLOOKUP('תפוקה מצטברת מול אשתקד'!A4,'הפניקס'!A:G,6,0)+VLOOKUP('תפוקה מצטברת מול אשתקד'!A4,'כלל'!A:G,6,0)+VLOOKUP('תפוקה מצטברת מול אשתקד'!A4,'מור'!A:G,6,0)+VLOOKUP('תפוקה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אשתקד'!A4,'אינפניטי'!A:G,6,0)</f>
        <v>2919924.977</v>
      </c>
      <c r="K4" s="18">
        <f>VLOOKUP(A4,'הכשרה'!A:G,7,0)+VLOOKUP('תפוקה מצטברת מול אשתקד'!A4,'מגדל'!A:G,7,0)+VLOOKUP('תפוקה מצטברת מול אשתקד'!A4,'מנורה'!A:G,7,0)+VLOOKUP('תפוקה מצטברת מול אשתקד'!A4,'איילון'!A:G,7,0)+VLOOKUP('תפוקה מצטברת מול אשתקד'!A4,'הראל'!A:G,7,0)+VLOOKUP('תפוקה מצטברת מול אשתקד'!A4,'הפניקס'!A:G,7,0)+VLOOKUP('תפוקה מצטברת מול אשתקד'!A4,'כלל'!A:G,7,0)+VLOOKUP('תפוקה מצטברת מול אשתקד'!A4,'מור'!A:G,7,0)+VLOOKUP('תפוקה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אשתקד'!A4,'אינפניטי'!A:G,7,0)</f>
        <v>1041834.18</v>
      </c>
      <c r="L4" s="19">
        <f>VLOOKUP(A4,'הכשרה'!A:K,8,0)+VLOOKUP('תפוקה מצטברת מול אשתקד'!A4,'מגדל'!A:K,8,0)+VLOOKUP('תפוקה מצטברת מול אשתקד'!A4,'מנורה'!A:K,8,0)+VLOOKUP('תפוקה מצטברת מול אשתקד'!A4,'איילון'!A:K,8,0)+VLOOKUP('תפוקה מצטברת מול אשתקד'!A4,'הראל'!A:K,8,0)+VLOOKUP('תפוקה מצטברת מול אשתקד'!A4,'הפניקס'!A:K,8,0)+VLOOKUP('תפוקה מצטברת מול אשתקד'!A4,'כלל'!A:K,8,0)+VLOOKUP('תפוקה מצטברת מול אשתקד'!A4,'מור'!A:K,8,0)+VLOOKUP('תפוקה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אשתקד'!A4,'אינפניטי'!A:K,8,0)</f>
        <v>766839.3369</v>
      </c>
      <c r="M4" s="19">
        <f>VLOOKUP(A4,'הכשרה'!A:K,9,0)+VLOOKUP('תפוקה מצטברת מול אשתקד'!A4,'מגדל'!A:K,9,0)+VLOOKUP('תפוקה מצטברת מול אשתקד'!A4,'מנורה'!A:K,9,0)+VLOOKUP('תפוקה מצטברת מול אשתקד'!A4,'איילון'!A:K,9,0)+VLOOKUP('תפוקה מצטברת מול אשתקד'!A4,'הראל'!A:K,9,0)+VLOOKUP('תפוקה מצטברת מול אשתקד'!A4,'הפניקס'!A:K,9,0)+VLOOKUP('תפוקה מצטברת מול אשתקד'!A4,'כלל'!A:K,9,0)+VLOOKUP('תפוקה מצטברת מול אשתקד'!A4,'מור'!A:K,9,0)+VLOOKUP('תפוקה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אשתקד'!A4,'אינפניטי'!A:K,9,0)</f>
        <v>6844.715422</v>
      </c>
      <c r="N4" s="19">
        <f>VLOOKUP(A4,'הכשרה'!A:K,10,0)+VLOOKUP('תפוקה מצטברת מול אשתקד'!A4,'מגדל'!A:K,10,0)+VLOOKUP('תפוקה מצטברת מול אשתקד'!A4,'מנורה'!A:K,10,0)+VLOOKUP('תפוקה מצטברת מול אשתקד'!A4,'איילון'!A:K,10,0)+VLOOKUP('תפוקה מצטברת מול אשתקד'!A4,'הראל'!A:K,10,0)+VLOOKUP('תפוקה מצטברת מול אשתקד'!A4,'הפניקס'!A:K,10,0)+VLOOKUP('תפוקה מצטברת מול אשתקד'!A4,'כלל'!A:K,10,0)+VLOOKUP('תפוקה מצטברת מול אשתקד'!A4,'מור'!A:K,10,0)+VLOOKUP('תפוקה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אשתקד'!A4,'אינפניטי'!A:K,10,0)</f>
        <v>5772351.31</v>
      </c>
      <c r="O4" s="19">
        <f>VLOOKUP(A4,'הכשרה'!A:K,11,0)+VLOOKUP('תפוקה מצטברת מול אשתקד'!A4,'מגדל'!A:K,11,0)+VLOOKUP('תפוקה מצטברת מול אשתקד'!A4,'מנורה'!A:K,11,0)+VLOOKUP('תפוקה מצטברת מול אשתקד'!A4,'איילון'!A:K,11,0)+VLOOKUP('תפוקה מצטברת מול אשתקד'!A4,'הראל'!A:K,11,0)+VLOOKUP('תפוקה מצטברת מול אשתקד'!A4,'הפניקס'!A:K,11,0)+VLOOKUP('תפוקה מצטברת מול אשתקד'!A4,'כלל'!A:K,11,0)+VLOOKUP('תפוקה מצטברת מול אשתקד'!A4,'מור'!A:K,11,0)+VLOOKUP('תפוקה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אשתקד'!A4,'אינפניטי'!A:K,11,0)</f>
        <v>6347524.26</v>
      </c>
      <c r="P4" s="2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" t="s">
        <v>17</v>
      </c>
      <c r="B5" s="1" t="s">
        <v>14</v>
      </c>
      <c r="C5" s="1" t="s">
        <v>15</v>
      </c>
      <c r="D5" s="17">
        <f t="shared" ref="D5:F5" si="4">IF(H5=0,0%,IF(L5=0,100%,H5/L5-1))</f>
        <v>0</v>
      </c>
      <c r="E5" s="17">
        <f t="shared" si="4"/>
        <v>1</v>
      </c>
      <c r="F5" s="17">
        <f t="shared" si="4"/>
        <v>1</v>
      </c>
      <c r="G5" s="17">
        <f t="shared" si="5"/>
        <v>0</v>
      </c>
      <c r="H5" s="18">
        <f>VLOOKUP(A5,'הכשרה'!A:G,4,0)+VLOOKUP('תפוקה מצטברת מול אשתקד'!A5,'מגדל'!A:G,4,0)+VLOOKUP('תפוקה מצטברת מול אשתקד'!A5,'מנורה'!A:G,4,0)+VLOOKUP('תפוקה מצטברת מול אשתקד'!A5,'איילון'!A:G,4,0)+VLOOKUP('תפוקה מצטברת מול אשתקד'!A5,'הראל'!A:G,4,0)+VLOOKUP('תפוקה מצטברת מול אשתקד'!A5,'הפניקס'!A:G,4,0)+VLOOKUP('תפוקה מצטברת מול אשתקד'!A5,'כלל'!A:G,4,0)+VLOOKUP('תפוקה מצטברת מול אשתקד'!A5,'מור'!A:G,4,0)+VLOOKUP('תפוקה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אשתקד'!A5,'אינפניטי'!A:G,4,0)</f>
        <v>0</v>
      </c>
      <c r="I5" s="18">
        <f>VLOOKUP(A5,'הכשרה'!A:G,5,0)+VLOOKUP('תפוקה מצטברת מול אשתקד'!A5,'מגדל'!A:G,5,0)+VLOOKUP('תפוקה מצטברת מול אשתקד'!A5,'מנורה'!A:G,5,0)+VLOOKUP('תפוקה מצטברת מול אשתקד'!A5,'איילון'!A:G,5,0)+VLOOKUP('תפוקה מצטברת מול אשתקד'!A5,'הראל'!A:G,5,0)+VLOOKUP('תפוקה מצטברת מול אשתקד'!A5,'הפניקס'!A:G,5,0)+VLOOKUP('תפוקה מצטברת מול אשתקד'!A5,'כלל'!A:G,5,0)+VLOOKUP('תפוקה מצטברת מול אשתקד'!A5,'מור'!A:G,5,0)+VLOOKUP('תפוקה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אשתקד'!A5,'אינפניטי'!A:G,5,0)</f>
        <v>53005.69616</v>
      </c>
      <c r="J5" s="18">
        <f>VLOOKUP(A5,'הכשרה'!A:G,6,0)+VLOOKUP('תפוקה מצטברת מול אשתקד'!A5,'מגדל'!A:G,6,0)+VLOOKUP('תפוקה מצטברת מול אשתקד'!A5,'מנורה'!A:G,6,0)+VLOOKUP('תפוקה מצטברת מול אשתקד'!A5,'איילון'!A:G,6,0)+VLOOKUP(A5,'הראל'!A:G,6,0)+VLOOKUP('תפוקה מצטברת מול אשתקד'!A5,'הפניקס'!A:G,6,0)+VLOOKUP('תפוקה מצטברת מול אשתקד'!A5,'כלל'!A:G,6,0)+VLOOKUP('תפוקה מצטברת מול אשתקד'!A5,'מור'!A:G,6,0)+VLOOKUP('תפוקה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אשתקד'!A5,'אינפניטי'!A:G,6,0)</f>
        <v>300000</v>
      </c>
      <c r="K5" s="18">
        <f>VLOOKUP(A5,'הכשרה'!A:G,7,0)+VLOOKUP('תפוקה מצטברת מול אשתקד'!A5,'מגדל'!A:G,7,0)+VLOOKUP('תפוקה מצטברת מול אשתקד'!A5,'מנורה'!A:G,7,0)+VLOOKUP('תפוקה מצטברת מול אשתקד'!A5,'איילון'!A:G,7,0)+VLOOKUP('תפוקה מצטברת מול אשתקד'!A5,'הראל'!A:G,7,0)+VLOOKUP('תפוקה מצטברת מול אשתקד'!A5,'הפניקס'!A:G,7,0)+VLOOKUP('תפוקה מצטברת מול אשתקד'!A5,'כלל'!A:G,7,0)+VLOOKUP('תפוקה מצטברת מול אשתקד'!A5,'מור'!A:G,7,0)+VLOOKUP('תפוקה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אשתקד'!A5,'אינפניטי'!A:G,7,0)</f>
        <v>0</v>
      </c>
      <c r="L5" s="19">
        <f>VLOOKUP(A5,'הכשרה'!A:K,8,0)+VLOOKUP('תפוקה מצטברת מול אשתקד'!A5,'מגדל'!A:K,8,0)+VLOOKUP('תפוקה מצטברת מול אשתקד'!A5,'מנורה'!A:K,8,0)+VLOOKUP('תפוקה מצטברת מול אשתקד'!A5,'איילון'!A:K,8,0)+VLOOKUP('תפוקה מצטברת מול אשתקד'!A5,'הראל'!A:K,8,0)+VLOOKUP('תפוקה מצטברת מול אשתקד'!A5,'הפניקס'!A:K,8,0)+VLOOKUP('תפוקה מצטברת מול אשתקד'!A5,'כלל'!A:K,8,0)+VLOOKUP('תפוקה מצטברת מול אשתקד'!A5,'מור'!A:K,8,0)+VLOOKUP('תפוקה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אשתקד'!A5,'אינפניטי'!A:K,8,0)</f>
        <v>0</v>
      </c>
      <c r="M5" s="19">
        <f>VLOOKUP(A5,'הכשרה'!A:K,9,0)+VLOOKUP('תפוקה מצטברת מול אשתקד'!A5,'מגדל'!A:K,9,0)+VLOOKUP('תפוקה מצטברת מול אשתקד'!A5,'מנורה'!A:K,9,0)+VLOOKUP('תפוקה מצטברת מול אשתקד'!A5,'איילון'!A:K,9,0)+VLOOKUP('תפוקה מצטברת מול אשתקד'!A5,'הראל'!A:K,9,0)+VLOOKUP('תפוקה מצטברת מול אשתקד'!A5,'הפניקס'!A:K,9,0)+VLOOKUP('תפוקה מצטברת מול אשתקד'!A5,'כלל'!A:K,9,0)+VLOOKUP('תפוקה מצטברת מול אשתקד'!A5,'מור'!A:K,9,0)+VLOOKUP('תפוקה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אשתקד'!A5,'אינפניטי'!A:K,9,0)</f>
        <v>0</v>
      </c>
      <c r="N5" s="19">
        <f>VLOOKUP(A5,'הכשרה'!A:K,10,0)+VLOOKUP('תפוקה מצטברת מול אשתקד'!A5,'מגדל'!A:K,10,0)+VLOOKUP('תפוקה מצטברת מול אשתקד'!A5,'מנורה'!A:K,10,0)+VLOOKUP('תפוקה מצטברת מול אשתקד'!A5,'איילון'!A:K,10,0)+VLOOKUP('תפוקה מצטברת מול אשתקד'!A5,'הראל'!A:K,10,0)+VLOOKUP('תפוקה מצטברת מול אשתקד'!A5,'הפניקס'!A:K,10,0)+VLOOKUP('תפוקה מצטברת מול אשתקד'!A5,'כלל'!A:K,10,0)+VLOOKUP('תפוקה מצטברת מול אשתקד'!A5,'מור'!A:K,10,0)+VLOOKUP('תפוקה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אשתקד'!A5,'אינפניטי'!A:K,10,0)</f>
        <v>0</v>
      </c>
      <c r="O5" s="19">
        <f>VLOOKUP(A5,'הכשרה'!A:K,11,0)+VLOOKUP('תפוקה מצטברת מול אשתקד'!A5,'מגדל'!A:K,11,0)+VLOOKUP('תפוקה מצטברת מול אשתקד'!A5,'מנורה'!A:K,11,0)+VLOOKUP('תפוקה מצטברת מול אשתקד'!A5,'איילון'!A:K,11,0)+VLOOKUP('תפוקה מצטברת מול אשתקד'!A5,'הראל'!A:K,11,0)+VLOOKUP('תפוקה מצטברת מול אשתקד'!A5,'הפניקס'!A:K,11,0)+VLOOKUP('תפוקה מצטברת מול אשתקד'!A5,'כלל'!A:K,11,0)+VLOOKUP('תפוקה מצטברת מול אשתקד'!A5,'מור'!A:K,11,0)+VLOOKUP('תפוקה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אשתקד'!A5,'אינפניטי'!A:K,11,0)</f>
        <v>0</v>
      </c>
      <c r="P5" s="2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1" t="s">
        <v>18</v>
      </c>
      <c r="B6" s="1" t="s">
        <v>14</v>
      </c>
      <c r="C6" s="21" t="s">
        <v>15</v>
      </c>
      <c r="D6" s="22">
        <f t="shared" ref="D6:F6" si="6">IF(H6=0,0%,IF(L6=0,100%,H6/L6-1))</f>
        <v>1</v>
      </c>
      <c r="E6" s="22">
        <f t="shared" si="6"/>
        <v>1</v>
      </c>
      <c r="F6" s="22">
        <f t="shared" si="6"/>
        <v>1</v>
      </c>
      <c r="G6" s="17">
        <v>1.0</v>
      </c>
      <c r="H6" s="18">
        <f>VLOOKUP(A6,'הכשרה'!A:G,4,0)+VLOOKUP('תפוקה מצטברת מול אשתקד'!A6,'מגדל'!A:G,4,0)+VLOOKUP('תפוקה מצטברת מול אשתקד'!A6,'מנורה'!A:G,4,0)+VLOOKUP('תפוקה מצטברת מול אשתקד'!A6,'איילון'!A:G,4,0)+VLOOKUP('תפוקה מצטברת מול אשתקד'!A6,'הראל'!A:G,4,0)+VLOOKUP('תפוקה מצטברת מול אשתקד'!A6,'הפניקס'!A:G,4,0)+VLOOKUP('תפוקה מצטברת מול אשתקד'!A6,'כלל'!A:G,4,0)+VLOOKUP('תפוקה מצטברת מול אשתקד'!A6,'מור'!A:G,4,0)+VLOOKUP('תפוקה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אשתקד'!A6,'אינפניטי'!A:G,4,0)</f>
        <v>94229.89054</v>
      </c>
      <c r="I6" s="18">
        <f>VLOOKUP(A6,'הכשרה'!A:G,5,0)+VLOOKUP('תפוקה מצטברת מול אשתקד'!A6,'מגדל'!A:G,5,0)+VLOOKUP('תפוקה מצטברת מול אשתקד'!A6,'מנורה'!A:G,5,0)+VLOOKUP('תפוקה מצטברת מול אשתקד'!A6,'איילון'!A:G,5,0)+VLOOKUP('תפוקה מצטברת מול אשתקד'!A6,'הראל'!A:G,5,0)+VLOOKUP('תפוקה מצטברת מול אשתקד'!A6,'הפניקס'!A:G,5,0)+VLOOKUP('תפוקה מצטברת מול אשתקד'!A6,'כלל'!A:G,5,0)+VLOOKUP('תפוקה מצטברת מול אשתקד'!A6,'מור'!A:G,5,0)+VLOOKUP('תפוקה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אשתקד'!A6,'אינפניטי'!A:G,5,0)</f>
        <v>40998.67849</v>
      </c>
      <c r="J6" s="18">
        <f>VLOOKUP(A6,'הכשרה'!A:G,6,0)+VLOOKUP('תפוקה מצטברת מול אשתקד'!A6,'מגדל'!A:G,6,0)+VLOOKUP('תפוקה מצטברת מול אשתקד'!A6,'מנורה'!A:G,6,0)+VLOOKUP('תפוקה מצטברת מול אשתקד'!A6,'איילון'!A:G,6,0)+VLOOKUP(A6,'הראל'!A:G,6,0)+VLOOKUP('תפוקה מצטברת מול אשתקד'!A6,'הפניקס'!A:G,6,0)+VLOOKUP('תפוקה מצטברת מול אשתקד'!A6,'כלל'!A:G,6,0)+VLOOKUP('תפוקה מצטברת מול אשתקד'!A6,'מור'!A:G,6,0)+VLOOKUP('תפוקה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אשתקד'!A6,'אינפניטי'!A:G,6,0)</f>
        <v>785770.3447</v>
      </c>
      <c r="K6" s="18">
        <f>VLOOKUP(A6,'הכשרה'!A:G,7,0)+VLOOKUP('תפוקה מצטברת מול אשתקד'!A6,'מגדל'!A:G,7,0)+VLOOKUP('תפוקה מצטברת מול אשתקד'!A6,'מנורה'!A:G,7,0)+VLOOKUP('תפוקה מצטברת מול אשתקד'!A6,'איילון'!A:G,7,0)+VLOOKUP('תפוקה מצטברת מול אשתקד'!A6,'הראל'!A:G,7,0)+VLOOKUP('תפוקה מצטברת מול אשתקד'!A6,'הפניקס'!A:G,7,0)+VLOOKUP('תפוקה מצטברת מול אשתקד'!A6,'כלל'!A:G,7,0)+VLOOKUP('תפוקה מצטברת מול אשתקד'!A6,'מור'!A:G,7,0)+VLOOKUP('תפוקה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אשתקד'!A6,'אינפניטי'!A:G,7,0)</f>
        <v>937262.66</v>
      </c>
      <c r="L6" s="19">
        <f>VLOOKUP(A6,'הכשרה'!A:K,8,0)+VLOOKUP('תפוקה מצטברת מול אשתקד'!A6,'מגדל'!A:K,8,0)+VLOOKUP('תפוקה מצטברת מול אשתקד'!A6,'מנורה'!A:K,8,0)+VLOOKUP('תפוקה מצטברת מול אשתקד'!A6,'איילון'!A:K,8,0)+VLOOKUP('תפוקה מצטברת מול אשתקד'!A6,'הראל'!A:K,8,0)+VLOOKUP('תפוקה מצטברת מול אשתקד'!A6,'הפניקס'!A:K,8,0)+VLOOKUP('תפוקה מצטברת מול אשתקד'!A6,'כלל'!A:K,8,0)+VLOOKUP('תפוקה מצטברת מול אשתקד'!A6,'מור'!A:K,8,0)+VLOOKUP('תפוקה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אשתקד'!A6,'אינפניטי'!A:K,8,0)</f>
        <v>0</v>
      </c>
      <c r="M6" s="19">
        <f>VLOOKUP(A6,'הכשרה'!A:K,9,0)+VLOOKUP('תפוקה מצטברת מול אשתקד'!A6,'מגדל'!A:K,9,0)+VLOOKUP('תפוקה מצטברת מול אשתקד'!A6,'מנורה'!A:K,9,0)+VLOOKUP('תפוקה מצטברת מול אשתקד'!A6,'איילון'!A:K,9,0)+VLOOKUP('תפוקה מצטברת מול אשתקד'!A6,'הראל'!A:K,9,0)+VLOOKUP('תפוקה מצטברת מול אשתקד'!A6,'הפניקס'!A:K,9,0)+VLOOKUP('תפוקה מצטברת מול אשתקד'!A6,'כלל'!A:K,9,0)+VLOOKUP('תפוקה מצטברת מול אשתקד'!A6,'מור'!A:K,9,0)+VLOOKUP('תפוקה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אשתקד'!A6,'אינפניטי'!A:K,9,0)</f>
        <v>0</v>
      </c>
      <c r="N6" s="19">
        <f>VLOOKUP(A6,'הכשרה'!A:K,10,0)+VLOOKUP('תפוקה מצטברת מול אשתקד'!A6,'מגדל'!A:K,10,0)+VLOOKUP('תפוקה מצטברת מול אשתקד'!A6,'מנורה'!A:K,10,0)+VLOOKUP('תפוקה מצטברת מול אשתקד'!A6,'איילון'!A:K,10,0)+VLOOKUP('תפוקה מצטברת מול אשתקד'!A6,'הראל'!A:K,10,0)+VLOOKUP('תפוקה מצטברת מול אשתקד'!A6,'הפניקס'!A:K,10,0)+VLOOKUP('תפוקה מצטברת מול אשתקד'!A6,'כלל'!A:K,10,0)+VLOOKUP('תפוקה מצטברת מול אשתקד'!A6,'מור'!A:K,10,0)+VLOOKUP('תפוקה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אשתקד'!A6,'אינפניטי'!A:K,10,0)</f>
        <v>0</v>
      </c>
      <c r="O6" s="19">
        <f>VLOOKUP(A6,'הכשרה'!A:K,11,0)+VLOOKUP('תפוקה מצטברת מול אשתקד'!A6,'מגדל'!A:K,11,0)+VLOOKUP('תפוקה מצטברת מול אשתקד'!A6,'מנורה'!A:K,11,0)+VLOOKUP('תפוקה מצטברת מול אשתקד'!A6,'איילון'!A:K,11,0)+VLOOKUP('תפוקה מצטברת מול אשתקד'!A6,'הראל'!A:K,11,0)+VLOOKUP('תפוקה מצטברת מול אשתקד'!A6,'הפניקס'!A:K,11,0)+VLOOKUP('תפוקה מצטברת מול אשתקד'!A6,'כלל'!A:K,11,0)+VLOOKUP('תפוקה מצטברת מול אשתקד'!A6,'מור'!A:K,11,0)+VLOOKUP('תפוקה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אשתקד'!A6,'אינפניטי'!A:K,11,0)</f>
        <v>0</v>
      </c>
      <c r="P6" s="2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" t="s">
        <v>19</v>
      </c>
      <c r="B7" s="1" t="s">
        <v>14</v>
      </c>
      <c r="C7" s="23" t="s">
        <v>15</v>
      </c>
      <c r="D7" s="17">
        <f t="shared" ref="D7:F7" si="7">IF(H7=0,0%,IF(L7=0,100%,H7/L7-1))</f>
        <v>-0.5118437723</v>
      </c>
      <c r="E7" s="17">
        <f t="shared" si="7"/>
        <v>-0.5783905857</v>
      </c>
      <c r="F7" s="17">
        <f t="shared" si="7"/>
        <v>0.1594243158</v>
      </c>
      <c r="G7" s="17">
        <f t="shared" ref="G7:G8" si="9">IF(K7=0,0%,IF(O7=H74,100%,K7/O7-1))</f>
        <v>-0.4976872791</v>
      </c>
      <c r="H7" s="18">
        <f>VLOOKUP(A7,'הכשרה'!A:G,4,0)+VLOOKUP('תפוקה מצטברת מול אשתקד'!A7,'מגדל'!A:G,4,0)+VLOOKUP('תפוקה מצטברת מול אשתקד'!A7,'מנורה'!A:G,4,0)+VLOOKUP('תפוקה מצטברת מול אשתקד'!A7,'איילון'!A:G,4,0)+VLOOKUP('תפוקה מצטברת מול אשתקד'!A7,'הראל'!A:G,4,0)+VLOOKUP('תפוקה מצטברת מול אשתקד'!A7,'הפניקס'!A:G,4,0)+VLOOKUP('תפוקה מצטברת מול אשתקד'!A7,'כלל'!A:G,4,0)+VLOOKUP('תפוקה מצטברת מול אשתקד'!A7,'מור'!A:G,4,0)+VLOOKUP('תפוקה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אשתקד'!A7,'אינפניטי'!A:G,4,0)</f>
        <v>19388.55</v>
      </c>
      <c r="I7" s="18">
        <f>VLOOKUP(A7,'הכשרה'!A:G,5,0)+VLOOKUP('תפוקה מצטברת מול אשתקד'!A7,'מגדל'!A:G,5,0)+VLOOKUP('תפוקה מצטברת מול אשתקד'!A7,'מנורה'!A:G,5,0)+VLOOKUP('תפוקה מצטברת מול אשתקד'!A7,'איילון'!A:G,5,0)+VLOOKUP('תפוקה מצטברת מול אשתקד'!A7,'הראל'!A:G,5,0)+VLOOKUP('תפוקה מצטברת מול אשתקד'!A7,'הפניקס'!A:G,5,0)+VLOOKUP('תפוקה מצטברת מול אשתקד'!A7,'כלל'!A:G,5,0)+VLOOKUP('תפוקה מצטברת מול אשתקד'!A7,'מור'!A:G,5,0)+VLOOKUP('תפוקה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אשתקד'!A7,'אינפניטי'!A:G,5,0)</f>
        <v>1778.28</v>
      </c>
      <c r="J7" s="18">
        <f>VLOOKUP(A7,'הכשרה'!A:G,6,0)+VLOOKUP('תפוקה מצטברת מול אשתקד'!A7,'מגדל'!A:G,6,0)+VLOOKUP('תפוקה מצטברת מול אשתקד'!A7,'מנורה'!A:G,6,0)+VLOOKUP('תפוקה מצטברת מול אשתקד'!A7,'איילון'!A:G,6,0)+VLOOKUP(A7,'הראל'!A:G,6,0)+VLOOKUP('תפוקה מצטברת מול אשתקד'!A7,'הפניקס'!A:G,6,0)+VLOOKUP('תפוקה מצטברת מול אשתקד'!A7,'כלל'!A:G,6,0)+VLOOKUP('תפוקה מצטברת מול אשתקד'!A7,'מור'!A:G,6,0)+VLOOKUP('תפוקה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אשתקד'!A7,'אינפניטי'!A:G,6,0)</f>
        <v>12228.97</v>
      </c>
      <c r="K7" s="18">
        <f>VLOOKUP(A7,'הכשרה'!A:G,7,0)+VLOOKUP('תפוקה מצטברת מול אשתקד'!A7,'מגדל'!A:G,7,0)+VLOOKUP('תפוקה מצטברת מול אשתקד'!A7,'מנורה'!A:G,7,0)+VLOOKUP('תפוקה מצטברת מול אשתקד'!A7,'איילון'!A:G,7,0)+VLOOKUP('תפוקה מצטברת מול אשתקד'!A7,'הראל'!A:G,7,0)+VLOOKUP('תפוקה מצטברת מול אשתקד'!A7,'הפניקס'!A:G,7,0)+VLOOKUP('תפוקה מצטברת מול אשתקד'!A7,'כלל'!A:G,7,0)+VLOOKUP('תפוקה מצטברת מול אשתקד'!A7,'מור'!A:G,7,0)+VLOOKUP('תפוקה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אשתקד'!A7,'אינפניטי'!A:G,7,0)</f>
        <v>53154.27</v>
      </c>
      <c r="L7" s="19">
        <f>VLOOKUP(A7,'הכשרה'!A:K,8,0)+VLOOKUP('תפוקה מצטברת מול אשתקד'!A7,'מגדל'!A:K,8,0)+VLOOKUP('תפוקה מצטברת מול אשתקד'!A7,'מנורה'!A:K,8,0)+VLOOKUP('תפוקה מצטברת מול אשתקד'!A7,'איילון'!A:K,8,0)+VLOOKUP('תפוקה מצטברת מול אשתקד'!A7,'הראל'!A:K,8,0)+VLOOKUP('תפוקה מצטברת מול אשתקד'!A7,'הפניקס'!A:K,8,0)+VLOOKUP('תפוקה מצטברת מול אשתקד'!A7,'כלל'!A:K,8,0)+VLOOKUP('תפוקה מצטברת מול אשתקד'!A7,'מור'!A:K,8,0)+VLOOKUP('תפוקה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אשתקד'!A7,'אינפניטי'!A:K,8,0)</f>
        <v>39717.92</v>
      </c>
      <c r="M7" s="19">
        <f>VLOOKUP(A7,'הכשרה'!A:K,9,0)+VLOOKUP('תפוקה מצטברת מול אשתקד'!A7,'מגדל'!A:K,9,0)+VLOOKUP('תפוקה מצטברת מול אשתקד'!A7,'מנורה'!A:K,9,0)+VLOOKUP('תפוקה מצטברת מול אשתקד'!A7,'איילון'!A:K,9,0)+VLOOKUP('תפוקה מצטברת מול אשתקד'!A7,'הראל'!A:K,9,0)+VLOOKUP('תפוקה מצטברת מול אשתקד'!A7,'הפניקס'!A:K,9,0)+VLOOKUP('תפוקה מצטברת מול אשתקד'!A7,'כלל'!A:K,9,0)+VLOOKUP('תפוקה מצטברת מול אשתקד'!A7,'מור'!A:K,9,0)+VLOOKUP('תפוקה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אשתקד'!A7,'אינפניטי'!A:K,9,0)</f>
        <v>4217.837505</v>
      </c>
      <c r="N7" s="19">
        <f>VLOOKUP(A7,'הכשרה'!A:K,10,0)+VLOOKUP('תפוקה מצטברת מול אשתקד'!A7,'מגדל'!A:K,10,0)+VLOOKUP('תפוקה מצטברת מול אשתקד'!A7,'מנורה'!A:K,10,0)+VLOOKUP('תפוקה מצטברת מול אשתקד'!A7,'איילון'!A:K,10,0)+VLOOKUP('תפוקה מצטברת מול אשתקד'!A7,'הראל'!A:K,10,0)+VLOOKUP('תפוקה מצטברת מול אשתקד'!A7,'הפניקס'!A:K,10,0)+VLOOKUP('תפוקה מצטברת מול אשתקד'!A7,'כלל'!A:K,10,0)+VLOOKUP('תפוקה מצטברת מול אשתקד'!A7,'מור'!A:K,10,0)+VLOOKUP('תפוקה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אשתקד'!A7,'אינפניטי'!A:K,10,0)</f>
        <v>10547.45</v>
      </c>
      <c r="O7" s="19">
        <f>VLOOKUP(A7,'הכשרה'!A:K,11,0)+VLOOKUP('תפוקה מצטברת מול אשתקד'!A7,'מגדל'!A:K,11,0)+VLOOKUP('תפוקה מצטברת מול אשתקד'!A7,'מנורה'!A:K,11,0)+VLOOKUP('תפוקה מצטברת מול אשתקד'!A7,'איילון'!A:K,11,0)+VLOOKUP('תפוקה מצטברת מול אשתקד'!A7,'הראל'!A:K,11,0)+VLOOKUP('תפוקה מצטברת מול אשתקד'!A7,'הפניקס'!A:K,11,0)+VLOOKUP('תפוקה מצטברת מול אשתקד'!A7,'כלל'!A:K,11,0)+VLOOKUP('תפוקה מצטברת מול אשתקד'!A7,'מור'!A:K,11,0)+VLOOKUP('תפוקה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אשתקד'!A7,'אינפניטי'!A:K,11,0)</f>
        <v>105819.08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6.25" customHeight="1">
      <c r="A8" s="24" t="s">
        <v>20</v>
      </c>
      <c r="B8" s="25"/>
      <c r="C8" s="25"/>
      <c r="D8" s="26">
        <f t="shared" ref="D8:F8" si="8">IF(H8=0,0%,IF(L8=0,100%,H8/L8-1))</f>
        <v>0.5907072444</v>
      </c>
      <c r="E8" s="26">
        <f t="shared" si="8"/>
        <v>-0.5493965932</v>
      </c>
      <c r="F8" s="26">
        <f t="shared" si="8"/>
        <v>0.07327676951</v>
      </c>
      <c r="G8" s="17">
        <f t="shared" si="9"/>
        <v>0.6266840538</v>
      </c>
      <c r="H8" s="27">
        <f t="shared" ref="H8:O8" si="10">SUM(H3:H7)</f>
        <v>8487571.297</v>
      </c>
      <c r="I8" s="27">
        <f t="shared" si="10"/>
        <v>383882.7793</v>
      </c>
      <c r="J8" s="27">
        <f t="shared" si="10"/>
        <v>23309821.8</v>
      </c>
      <c r="K8" s="27">
        <f t="shared" si="10"/>
        <v>52786736.66</v>
      </c>
      <c r="L8" s="27">
        <f t="shared" si="10"/>
        <v>5335721.785</v>
      </c>
      <c r="M8" s="27">
        <f t="shared" si="10"/>
        <v>851930.4859</v>
      </c>
      <c r="N8" s="27">
        <f t="shared" si="10"/>
        <v>21718369.82</v>
      </c>
      <c r="O8" s="27">
        <f t="shared" si="10"/>
        <v>32450515.84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23" t="s">
        <v>21</v>
      </c>
      <c r="B9" s="1" t="s">
        <v>14</v>
      </c>
      <c r="C9" s="23" t="s">
        <v>22</v>
      </c>
      <c r="D9" s="28">
        <f t="shared" ref="D9:F9" si="11">IF(H9=0,0%,IF(L9=0,100%,H9/L9-1))</f>
        <v>13.00898678</v>
      </c>
      <c r="E9" s="28">
        <f t="shared" si="11"/>
        <v>0.677054772</v>
      </c>
      <c r="F9" s="28">
        <f t="shared" si="11"/>
        <v>0</v>
      </c>
      <c r="G9" s="28">
        <f t="shared" ref="G9:G20" si="13">IF(K9=0,0%,IF(O9=H33,100%,K9/O9-1))</f>
        <v>-0.5945826478</v>
      </c>
      <c r="H9" s="18">
        <f>VLOOKUP(A9,'הכשרה'!A:G,4,0)+VLOOKUP('תפוקה מצטברת מול אשתקד'!A9,'מגדל'!A:G,4,0)+VLOOKUP('תפוקה מצטברת מול אשתקד'!A9,'מנורה'!A:G,4,0)+VLOOKUP('תפוקה מצטברת מול אשתקד'!A9,'איילון'!A:G,4,0)+VLOOKUP('תפוקה מצטברת מול אשתקד'!A9,'הראל'!A:G,4,0)+VLOOKUP('תפוקה מצטברת מול אשתקד'!A9,'הפניקס'!A:G,4,0)+VLOOKUP('תפוקה מצטברת מול אשתקד'!A9,'כלל'!A:G,4,0)+VLOOKUP('תפוקה מצטברת מול אשתקד'!A9,'מור'!A:G,4,0)+VLOOKUP('תפוקה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אשתקד'!A9,'אינפניטי'!A:G,4,0)</f>
        <v>37973.94499</v>
      </c>
      <c r="I9" s="18">
        <f>VLOOKUP(A9,'הכשרה'!A:G,5,0)+VLOOKUP('תפוקה מצטברת מול אשתקד'!A9,'מגדל'!A:G,5,0)+VLOOKUP('תפוקה מצטברת מול אשתקד'!A9,'מנורה'!A:G,5,0)+VLOOKUP('תפוקה מצטברת מול אשתקד'!A9,'איילון'!A:G,5,0)+VLOOKUP('תפוקה מצטברת מול אשתקד'!A9,'הראל'!A:G,5,0)+VLOOKUP('תפוקה מצטברת מול אשתקד'!A9,'הפניקס'!A:G,5,0)+VLOOKUP('תפוקה מצטברת מול אשתקד'!A9,'כלל'!A:G,5,0)+VLOOKUP('תפוקה מצטברת מול אשתקד'!A9,'מור'!A:G,5,0)+VLOOKUP('תפוקה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אשתקד'!A9,'אינפניטי'!A:G,5,0)</f>
        <v>1173.13</v>
      </c>
      <c r="J9" s="18">
        <f>VLOOKUP(A9,'הכשרה'!A:G,6,0)+VLOOKUP('תפוקה מצטברת מול אשתקד'!A9,'מגדל'!A:G,6,0)+VLOOKUP('תפוקה מצטברת מול אשתקד'!A9,'מנורה'!A:G,6,0)+VLOOKUP('תפוקה מצטברת מול אשתקד'!A9,'איילון'!A:G,6,0)+VLOOKUP(A9,'הראל'!A:G,6,0)+VLOOKUP('תפוקה מצטברת מול אשתקד'!A9,'הפניקס'!A:G,6,0)+VLOOKUP('תפוקה מצטברת מול אשתקד'!A9,'כלל'!A:G,6,0)+VLOOKUP('תפוקה מצטברת מול אשתקד'!A9,'מור'!A:G,6,0)+VLOOKUP('תפוקה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אשתקד'!A9,'אינפניטי'!A:G,6,0)</f>
        <v>0</v>
      </c>
      <c r="K9" s="18">
        <f>VLOOKUP(A9,'הכשרה'!A:G,7,0)+VLOOKUP('תפוקה מצטברת מול אשתקד'!A9,'מגדל'!A:G,7,0)+VLOOKUP('תפוקה מצטברת מול אשתקד'!A9,'מנורה'!A:G,7,0)+VLOOKUP('תפוקה מצטברת מול אשתקד'!A9,'איילון'!A:G,7,0)+VLOOKUP('תפוקה מצטברת מול אשתקד'!A9,'הראל'!A:G,7,0)+VLOOKUP('תפוקה מצטברת מול אשתקד'!A9,'הפניקס'!A:G,7,0)+VLOOKUP('תפוקה מצטברת מול אשתקד'!A9,'כלל'!A:G,7,0)+VLOOKUP('תפוקה מצטברת מול אשתקד'!A9,'מור'!A:G,7,0)+VLOOKUP('תפוקה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אשתקד'!A9,'אינפניטי'!A:G,7,0)</f>
        <v>-321158.48</v>
      </c>
      <c r="L9" s="19">
        <f>VLOOKUP(A9,'הכשרה'!A:K,8,0)+VLOOKUP('תפוקה מצטברת מול אשתקד'!A9,'מגדל'!A:K,8,0)+VLOOKUP('תפוקה מצטברת מול אשתקד'!A9,'מנורה'!A:K,8,0)+VLOOKUP('תפוקה מצטברת מול אשתקד'!A9,'איילון'!A:K,8,0)+VLOOKUP('תפוקה מצטברת מול אשתקד'!A9,'הראל'!A:K,8,0)+VLOOKUP('תפוקה מצטברת מול אשתקד'!A9,'הפניקס'!A:K,8,0)+VLOOKUP('תפוקה מצטברת מול אשתקד'!A9,'כלל'!A:K,8,0)+VLOOKUP('תפוקה מצטברת מול אשתקד'!A9,'מור'!A:K,8,0)+VLOOKUP('תפוקה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אשתקד'!A9,'אינפניטי'!A:K,8,0)</f>
        <v>2710.684619</v>
      </c>
      <c r="M9" s="19">
        <f>VLOOKUP(A9,'הכשרה'!A:K,9,0)+VLOOKUP('תפוקה מצטברת מול אשתקד'!A9,'מגדל'!A:K,9,0)+VLOOKUP('תפוקה מצטברת מול אשתקד'!A9,'מנורה'!A:K,9,0)+VLOOKUP('תפוקה מצטברת מול אשתקד'!A9,'איילון'!A:K,9,0)+VLOOKUP('תפוקה מצטברת מול אשתקד'!A9,'הראל'!A:K,9,0)+VLOOKUP('תפוקה מצטברת מול אשתקד'!A9,'הפניקס'!A:K,9,0)+VLOOKUP('תפוקה מצטברת מול אשתקד'!A9,'כלל'!A:K,9,0)+VLOOKUP('תפוקה מצטברת מול אשתקד'!A9,'מור'!A:K,9,0)+VLOOKUP('תפוקה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אשתקד'!A9,'אינפניטי'!A:K,9,0)</f>
        <v>699.518</v>
      </c>
      <c r="N9" s="19">
        <f>VLOOKUP(A9,'הכשרה'!A:K,10,0)+VLOOKUP('תפוקה מצטברת מול אשתקד'!A9,'מגדל'!A:K,10,0)+VLOOKUP('תפוקה מצטברת מול אשתקד'!A9,'מנורה'!A:K,10,0)+VLOOKUP('תפוקה מצטברת מול אשתקד'!A9,'איילון'!A:K,10,0)+VLOOKUP('תפוקה מצטברת מול אשתקד'!A9,'הראל'!A:K,10,0)+VLOOKUP('תפוקה מצטברת מול אשתקד'!A9,'הפניקס'!A:K,10,0)+VLOOKUP('תפוקה מצטברת מול אשתקד'!A9,'כלל'!A:K,10,0)+VLOOKUP('תפוקה מצטברת מול אשתקד'!A9,'מור'!A:K,10,0)+VLOOKUP('תפוקה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אשתקד'!A9,'אינפניטי'!A:K,10,0)</f>
        <v>0</v>
      </c>
      <c r="O9" s="19">
        <f>VLOOKUP(A9,'הכשרה'!A:K,11,0)+VLOOKUP('תפוקה מצטברת מול אשתקד'!A9,'מגדל'!A:K,11,0)+VLOOKUP('תפוקה מצטברת מול אשתקד'!A9,'מנורה'!A:K,11,0)+VLOOKUP('תפוקה מצטברת מול אשתקד'!A9,'איילון'!A:K,11,0)+VLOOKUP('תפוקה מצטברת מול אשתקד'!A9,'הראל'!A:K,11,0)+VLOOKUP('תפוקה מצטברת מול אשתקד'!A9,'הפניקס'!A:K,11,0)+VLOOKUP('תפוקה מצטברת מול אשתקד'!A9,'כלל'!A:K,11,0)+VLOOKUP('תפוקה מצטברת מול אשתקד'!A9,'מור'!A:K,11,0)+VLOOKUP('תפוקה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אשתקד'!A9,'אינפניטי'!A:K,11,0)</f>
        <v>-792167.5731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" t="s">
        <v>23</v>
      </c>
      <c r="B10" s="1" t="s">
        <v>14</v>
      </c>
      <c r="C10" s="1" t="s">
        <v>22</v>
      </c>
      <c r="D10" s="17">
        <f t="shared" ref="D10:F10" si="12">IF(H10=0,0%,IF(L10=0,100%,H10/L10-1))</f>
        <v>0.02141524403</v>
      </c>
      <c r="E10" s="17">
        <f t="shared" si="12"/>
        <v>1.005248999</v>
      </c>
      <c r="F10" s="17">
        <f t="shared" si="12"/>
        <v>0.2676377529</v>
      </c>
      <c r="G10" s="17">
        <f t="shared" si="13"/>
        <v>0.6030440574</v>
      </c>
      <c r="H10" s="18">
        <f>VLOOKUP(A10,'הכשרה'!A:G,4,0)+VLOOKUP('תפוקה מצטברת מול אשתקד'!A10,'מגדל'!A:G,4,0)+VLOOKUP('תפוקה מצטברת מול אשתקד'!A10,'מנורה'!A:G,4,0)+VLOOKUP('תפוקה מצטברת מול אשתקד'!A10,'איילון'!A:G,4,0)+VLOOKUP('תפוקה מצטברת מול אשתקד'!A10,'הראל'!A:G,4,0)+VLOOKUP('תפוקה מצטברת מול אשתקד'!A10,'הפניקס'!A:G,4,0)+VLOOKUP('תפוקה מצטברת מול אשתקד'!A10,'כלל'!A:G,4,0)+VLOOKUP('תפוקה מצטברת מול אשתקד'!A10,'מור'!A:G,4,0)+VLOOKUP('תפוקה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אשתקד'!A10,'אינפניטי'!A:G,4,0)</f>
        <v>802630.5142</v>
      </c>
      <c r="I10" s="18">
        <f>VLOOKUP(A10,'הכשרה'!A:G,5,0)+VLOOKUP('תפוקה מצטברת מול אשתקד'!A10,'מגדל'!A:G,5,0)+VLOOKUP('תפוקה מצטברת מול אשתקד'!A10,'מנורה'!A:G,5,0)+VLOOKUP('תפוקה מצטברת מול אשתקד'!A10,'איילון'!A:G,5,0)+VLOOKUP('תפוקה מצטברת מול אשתקד'!A10,'הראל'!A:G,5,0)+VLOOKUP('תפוקה מצטברת מול אשתקד'!A10,'הפניקס'!A:G,5,0)+VLOOKUP('תפוקה מצטברת מול אשתקד'!A10,'כלל'!A:G,5,0)+VLOOKUP('תפוקה מצטברת מול אשתקד'!A10,'מור'!A:G,5,0)+VLOOKUP('תפוקה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אשתקד'!A10,'אינפניטי'!A:G,5,0)</f>
        <v>1023238.43</v>
      </c>
      <c r="J10" s="18">
        <f>VLOOKUP(A10,'הכשרה'!A:G,6,0)+VLOOKUP('תפוקה מצטברת מול אשתקד'!A10,'מגדל'!A:G,6,0)+VLOOKUP('תפוקה מצטברת מול אשתקד'!A10,'מנורה'!A:G,6,0)+VLOOKUP('תפוקה מצטברת מול אשתקד'!A10,'איילון'!A:G,6,0)+VLOOKUP(A10,'הראל'!A:G,6,0)+VLOOKUP('תפוקה מצטברת מול אשתקד'!A10,'הפניקס'!A:G,6,0)+VLOOKUP('תפוקה מצטברת מול אשתקד'!A10,'כלל'!A:G,6,0)+VLOOKUP('תפוקה מצטברת מול אשתקד'!A10,'מור'!A:G,6,0)+VLOOKUP('תפוקה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אשתקד'!A10,'אינפניטי'!A:G,6,0)</f>
        <v>336893.6402</v>
      </c>
      <c r="K10" s="18">
        <f>VLOOKUP(A10,'הכשרה'!A:G,7,0)+VLOOKUP('תפוקה מצטברת מול אשתקד'!A10,'מגדל'!A:G,7,0)+VLOOKUP('תפוקה מצטברת מול אשתקד'!A10,'מנורה'!A:G,7,0)+VLOOKUP('תפוקה מצטברת מול אשתקד'!A10,'איילון'!A:G,7,0)+VLOOKUP('תפוקה מצטברת מול אשתקד'!A10,'הראל'!A:G,7,0)+VLOOKUP('תפוקה מצטברת מול אשתקד'!A10,'הפניקס'!A:G,7,0)+VLOOKUP('תפוקה מצטברת מול אשתקד'!A10,'כלל'!A:G,7,0)+VLOOKUP('תפוקה מצטברת מול אשתקד'!A10,'מור'!A:G,7,0)+VLOOKUP('תפוקה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אשתקד'!A10,'אינפניטי'!A:G,7,0)</f>
        <v>1488051.84</v>
      </c>
      <c r="L10" s="19">
        <f>VLOOKUP(A10,'הכשרה'!A:K,8,0)+VLOOKUP('תפוקה מצטברת מול אשתקד'!A10,'מגדל'!A:K,8,0)+VLOOKUP('תפוקה מצטברת מול אשתקד'!A10,'מנורה'!A:K,8,0)+VLOOKUP('תפוקה מצטברת מול אשתקד'!A10,'איילון'!A:K,8,0)+VLOOKUP('תפוקה מצטברת מול אשתקד'!A10,'הראל'!A:K,8,0)+VLOOKUP('תפוקה מצטברת מול אשתקד'!A10,'הפניקס'!A:K,8,0)+VLOOKUP('תפוקה מצטברת מול אשתקד'!A10,'כלל'!A:K,8,0)+VLOOKUP('תפוקה מצטברת מול אשתקד'!A10,'מור'!A:K,8,0)+VLOOKUP('תפוקה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אשתקד'!A10,'אינפניטי'!A:K,8,0)</f>
        <v>785802.3648</v>
      </c>
      <c r="M10" s="19">
        <f>VLOOKUP(A10,'הכשרה'!A:K,9,0)+VLOOKUP('תפוקה מצטברת מול אשתקד'!A10,'מגדל'!A:K,9,0)+VLOOKUP('תפוקה מצטברת מול אשתקד'!A10,'מנורה'!A:K,9,0)+VLOOKUP('תפוקה מצטברת מול אשתקד'!A10,'איילון'!A:K,9,0)+VLOOKUP('תפוקה מצטברת מול אשתקד'!A10,'הראל'!A:K,9,0)+VLOOKUP('תפוקה מצטברת מול אשתקד'!A10,'הפניקס'!A:K,9,0)+VLOOKUP('תפוקה מצטברת מול אשתקד'!A10,'כלל'!A:K,9,0)+VLOOKUP('תפוקה מצטברת מול אשתקד'!A10,'מור'!A:K,9,0)+VLOOKUP('תפוקה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אשתקד'!A10,'אינפניטי'!A:K,9,0)</f>
        <v>510279.9855</v>
      </c>
      <c r="N10" s="19">
        <f>VLOOKUP(A10,'הכשרה'!A:K,10,0)+VLOOKUP('תפוקה מצטברת מול אשתקד'!A10,'מגדל'!A:K,10,0)+VLOOKUP('תפוקה מצטברת מול אשתקד'!A10,'מנורה'!A:K,10,0)+VLOOKUP('תפוקה מצטברת מול אשתקד'!A10,'איילון'!A:K,10,0)+VLOOKUP('תפוקה מצטברת מול אשתקד'!A10,'הראל'!A:K,10,0)+VLOOKUP('תפוקה מצטברת מול אשתקד'!A10,'הפניקס'!A:K,10,0)+VLOOKUP('תפוקה מצטברת מול אשתקד'!A10,'כלל'!A:K,10,0)+VLOOKUP('תפוקה מצטברת מול אשתקד'!A10,'מור'!A:K,10,0)+VLOOKUP('תפוקה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אשתקד'!A10,'אינפניטי'!A:K,10,0)</f>
        <v>265764.9154</v>
      </c>
      <c r="O10" s="19">
        <f>VLOOKUP(A10,'הכשרה'!A:K,11,0)+VLOOKUP('תפוקה מצטברת מול אשתקד'!A10,'מגדל'!A:K,11,0)+VLOOKUP('תפוקה מצטברת מול אשתקד'!A10,'מנורה'!A:K,11,0)+VLOOKUP('תפוקה מצטברת מול אשתקד'!A10,'איילון'!A:K,11,0)+VLOOKUP('תפוקה מצטברת מול אשתקד'!A10,'הראל'!A:K,11,0)+VLOOKUP('תפוקה מצטברת מול אשתקד'!A10,'הפניקס'!A:K,11,0)+VLOOKUP('תפוקה מצטברת מול אשתקד'!A10,'כלל'!A:K,11,0)+VLOOKUP('תפוקה מצטברת מול אשתקד'!A10,'מור'!A:K,11,0)+VLOOKUP('תפוקה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אשתקד'!A10,'אינפניטי'!A:K,11,0)</f>
        <v>928266.34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" t="s">
        <v>24</v>
      </c>
      <c r="B11" s="1" t="s">
        <v>14</v>
      </c>
      <c r="C11" s="1" t="s">
        <v>22</v>
      </c>
      <c r="D11" s="17">
        <f t="shared" ref="D11:F11" si="14">IF(H11=0,0%,IF(L11=0,100%,H11/L11-1))</f>
        <v>-0.392734358</v>
      </c>
      <c r="E11" s="17">
        <f t="shared" si="14"/>
        <v>-0.5010626409</v>
      </c>
      <c r="F11" s="17">
        <f t="shared" si="14"/>
        <v>2.307248629</v>
      </c>
      <c r="G11" s="17">
        <f t="shared" si="13"/>
        <v>-1.215930963</v>
      </c>
      <c r="H11" s="18">
        <f>VLOOKUP(A11,'הכשרה'!A:G,4,0)+VLOOKUP('תפוקה מצטברת מול אשתקד'!A11,'מגדל'!A:G,4,0)+VLOOKUP('תפוקה מצטברת מול אשתקד'!A11,'מנורה'!A:G,4,0)+VLOOKUP('תפוקה מצטברת מול אשתקד'!A11,'איילון'!A:G,4,0)+VLOOKUP('תפוקה מצטברת מול אשתקד'!A11,'הראל'!A:G,4,0)+VLOOKUP('תפוקה מצטברת מול אשתקד'!A11,'הפניקס'!A:G,4,0)+VLOOKUP('תפוקה מצטברת מול אשתקד'!A11,'כלל'!A:G,4,0)+VLOOKUP('תפוקה מצטברת מול אשתקד'!A11,'מור'!A:G,4,0)+VLOOKUP('תפוקה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אשתקד'!A11,'אינפניטי'!A:G,4,0)</f>
        <v>139802.9738</v>
      </c>
      <c r="I11" s="18">
        <f>VLOOKUP(A11,'הכשרה'!A:G,5,0)+VLOOKUP('תפוקה מצטברת מול אשתקד'!A11,'מגדל'!A:G,5,0)+VLOOKUP('תפוקה מצטברת מול אשתקד'!A11,'מנורה'!A:G,5,0)+VLOOKUP('תפוקה מצטברת מול אשתקד'!A11,'איילון'!A:G,5,0)+VLOOKUP('תפוקה מצטברת מול אשתקד'!A11,'הראל'!A:G,5,0)+VLOOKUP('תפוקה מצטברת מול אשתקד'!A11,'הפניקס'!A:G,5,0)+VLOOKUP('תפוקה מצטברת מול אשתקד'!A11,'כלל'!A:G,5,0)+VLOOKUP('תפוקה מצטברת מול אשתקד'!A11,'מור'!A:G,5,0)+VLOOKUP('תפוקה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אשתקד'!A11,'אינפניטי'!A:G,5,0)</f>
        <v>40596.43216</v>
      </c>
      <c r="J11" s="18">
        <f>VLOOKUP(A11,'הכשרה'!A:G,6,0)+VLOOKUP('תפוקה מצטברת מול אשתקד'!A11,'מגדל'!A:G,6,0)+VLOOKUP('תפוקה מצטברת מול אשתקד'!A11,'מנורה'!A:G,6,0)+VLOOKUP('תפוקה מצטברת מול אשתקד'!A11,'איילון'!A:G,6,0)+VLOOKUP(A11,'הראל'!A:G,6,0)+VLOOKUP('תפוקה מצטברת מול אשתקד'!A11,'הפניקס'!A:G,6,0)+VLOOKUP('תפוקה מצטברת מול אשתקד'!A11,'כלל'!A:G,6,0)+VLOOKUP('תפוקה מצטברת מול אשתקד'!A11,'מור'!A:G,6,0)+VLOOKUP('תפוקה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אשתקד'!A11,'אינפניטי'!A:G,6,0)</f>
        <v>899639.4827</v>
      </c>
      <c r="K11" s="18">
        <f>VLOOKUP(A11,'הכשרה'!A:G,7,0)+VLOOKUP('תפוקה מצטברת מול אשתקד'!A11,'מגדל'!A:G,7,0)+VLOOKUP('תפוקה מצטברת מול אשתקד'!A11,'מנורה'!A:G,7,0)+VLOOKUP('תפוקה מצטברת מול אשתקד'!A11,'איילון'!A:G,7,0)+VLOOKUP('תפוקה מצטברת מול אשתקד'!A11,'הראל'!A:G,7,0)+VLOOKUP('תפוקה מצטברת מול אשתקד'!A11,'הפניקס'!A:G,7,0)+VLOOKUP('תפוקה מצטברת מול אשתקד'!A11,'כלל'!A:G,7,0)+VLOOKUP('תפוקה מצטברת מול אשתקד'!A11,'מור'!A:G,7,0)+VLOOKUP('תפוקה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אשתקד'!A11,'אינפניטי'!A:G,7,0)</f>
        <v>81331.63</v>
      </c>
      <c r="L11" s="19">
        <f>VLOOKUP(A11,'הכשרה'!A:K,8,0)+VLOOKUP('תפוקה מצטברת מול אשתקד'!A11,'מגדל'!A:K,8,0)+VLOOKUP('תפוקה מצטברת מול אשתקד'!A11,'מנורה'!A:K,8,0)+VLOOKUP('תפוקה מצטברת מול אשתקד'!A11,'איילון'!A:K,8,0)+VLOOKUP('תפוקה מצטברת מול אשתקד'!A11,'הראל'!A:K,8,0)+VLOOKUP('תפוקה מצטברת מול אשתקד'!A11,'הפניקס'!A:K,8,0)+VLOOKUP('תפוקה מצטברת מול אשתקד'!A11,'כלל'!A:K,8,0)+VLOOKUP('תפוקה מצטברת מול אשתקד'!A11,'מור'!A:K,8,0)+VLOOKUP('תפוקה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אשתקד'!A11,'אינפניטי'!A:K,8,0)</f>
        <v>230217.1638</v>
      </c>
      <c r="M11" s="19">
        <f>VLOOKUP(A11,'הכשרה'!A:K,9,0)+VLOOKUP('תפוקה מצטברת מול אשתקד'!A11,'מגדל'!A:K,9,0)+VLOOKUP('תפוקה מצטברת מול אשתקד'!A11,'מנורה'!A:K,9,0)+VLOOKUP('תפוקה מצטברת מול אשתקד'!A11,'איילון'!A:K,9,0)+VLOOKUP('תפוקה מצטברת מול אשתקד'!A11,'הראל'!A:K,9,0)+VLOOKUP('תפוקה מצטברת מול אשתקד'!A11,'הפניקס'!A:K,9,0)+VLOOKUP('תפוקה מצטברת מול אשתקד'!A11,'כלל'!A:K,9,0)+VLOOKUP('תפוקה מצטברת מול אשתקד'!A11,'מור'!A:K,9,0)+VLOOKUP('תפוקה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אשתקד'!A11,'אינפניטי'!A:K,9,0)</f>
        <v>81365.78954</v>
      </c>
      <c r="N11" s="19">
        <f>VLOOKUP(A11,'הכשרה'!A:K,10,0)+VLOOKUP('תפוקה מצטברת מול אשתקד'!A11,'מגדל'!A:K,10,0)+VLOOKUP('תפוקה מצטברת מול אשתקד'!A11,'מנורה'!A:K,10,0)+VLOOKUP('תפוקה מצטברת מול אשתקד'!A11,'איילון'!A:K,10,0)+VLOOKUP('תפוקה מצטברת מול אשתקד'!A11,'הראל'!A:K,10,0)+VLOOKUP('תפוקה מצטברת מול אשתקד'!A11,'הפניקס'!A:K,10,0)+VLOOKUP('תפוקה מצטברת מול אשתקד'!A11,'כלל'!A:K,10,0)+VLOOKUP('תפוקה מצטברת מול אשתקד'!A11,'מור'!A:K,10,0)+VLOOKUP('תפוקה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אשתקד'!A11,'אינפניטי'!A:K,10,0)</f>
        <v>272020.5172</v>
      </c>
      <c r="O11" s="19">
        <f>VLOOKUP(A11,'הכשרה'!A:K,11,0)+VLOOKUP('תפוקה מצטברת מול אשתקד'!A11,'מגדל'!A:K,11,0)+VLOOKUP('תפוקה מצטברת מול אשתקד'!A11,'מנורה'!A:K,11,0)+VLOOKUP('תפוקה מצטברת מול אשתקד'!A11,'איילון'!A:K,11,0)+VLOOKUP('תפוקה מצטברת מול אשתקד'!A11,'הראל'!A:K,11,0)+VLOOKUP('תפוקה מצטברת מול אשתקד'!A11,'הפניקס'!A:K,11,0)+VLOOKUP('תפוקה מצטברת מול אשתקד'!A11,'כלל'!A:K,11,0)+VLOOKUP('תפוקה מצטברת מול אשתקד'!A11,'מור'!A:K,11,0)+VLOOKUP('תפוקה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אשתקד'!A11,'אינפניטי'!A:K,11,0)</f>
        <v>-376655.71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" t="s">
        <v>25</v>
      </c>
      <c r="B12" s="1" t="s">
        <v>14</v>
      </c>
      <c r="C12" s="1" t="s">
        <v>22</v>
      </c>
      <c r="D12" s="17">
        <f t="shared" ref="D12:F12" si="15">IF(H12=0,0%,IF(L12=0,100%,H12/L12-1))</f>
        <v>1627.820997</v>
      </c>
      <c r="E12" s="17">
        <f t="shared" si="15"/>
        <v>39.42196554</v>
      </c>
      <c r="F12" s="17">
        <f t="shared" si="15"/>
        <v>1</v>
      </c>
      <c r="G12" s="17">
        <f t="shared" si="13"/>
        <v>-3.319765278</v>
      </c>
      <c r="H12" s="18">
        <f>VLOOKUP(A12,'הכשרה'!A:G,4,0)+VLOOKUP('תפוקה מצטברת מול אשתקד'!A12,'מגדל'!A:G,4,0)+VLOOKUP('תפוקה מצטברת מול אשתקד'!A12,'מנורה'!A:G,4,0)+VLOOKUP('תפוקה מצטברת מול אשתקד'!A12,'איילון'!A:G,4,0)+VLOOKUP('תפוקה מצטברת מול אשתקד'!A12,'הראל'!A:G,4,0)+VLOOKUP('תפוקה מצטברת מול אשתקד'!A12,'הפניקס'!A:G,4,0)+VLOOKUP('תפוקה מצטברת מול אשתקד'!A12,'כלל'!A:G,4,0)+VLOOKUP('תפוקה מצטברת מול אשתקד'!A12,'מור'!A:G,4,0)+VLOOKUP('תפוקה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אשתקד'!A12,'אינפניטי'!A:G,4,0)</f>
        <v>225510.267</v>
      </c>
      <c r="I12" s="18">
        <f>VLOOKUP(A12,'הכשרה'!A:G,5,0)+VLOOKUP('תפוקה מצטברת מול אשתקד'!A12,'מגדל'!A:G,5,0)+VLOOKUP('תפוקה מצטברת מול אשתקד'!A12,'מנורה'!A:G,5,0)+VLOOKUP('תפוקה מצטברת מול אשתקד'!A12,'איילון'!A:G,5,0)+VLOOKUP('תפוקה מצטברת מול אשתקד'!A12,'הראל'!A:G,5,0)+VLOOKUP('תפוקה מצטברת מול אשתקד'!A12,'הפניקס'!A:G,5,0)+VLOOKUP('תפוקה מצטברת מול אשתקד'!A12,'כלל'!A:G,5,0)+VLOOKUP('תפוקה מצטברת מול אשתקד'!A12,'מור'!A:G,5,0)+VLOOKUP('תפוקה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אשתקד'!A12,'אינפניטי'!A:G,5,0)</f>
        <v>16003.137</v>
      </c>
      <c r="J12" s="18">
        <f>VLOOKUP(A12,'הכשרה'!A:G,6,0)+VLOOKUP('תפוקה מצטברת מול אשתקד'!A12,'מגדל'!A:G,6,0)+VLOOKUP('תפוקה מצטברת מול אשתקד'!A12,'מנורה'!A:G,6,0)+VLOOKUP('תפוקה מצטברת מול אשתקד'!A12,'איילון'!A:G,6,0)+VLOOKUP(A12,'הראל'!A:G,6,0)+VLOOKUP('תפוקה מצטברת מול אשתקד'!A12,'הפניקס'!A:G,6,0)+VLOOKUP('תפוקה מצטברת מול אשתקד'!A12,'כלל'!A:G,6,0)+VLOOKUP('תפוקה מצטברת מול אשתקד'!A12,'מור'!A:G,6,0)+VLOOKUP('תפוקה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אשתקד'!A12,'אינפניטי'!A:G,6,0)</f>
        <v>1814271.11</v>
      </c>
      <c r="K12" s="18">
        <f>VLOOKUP(A12,'הכשרה'!A:G,7,0)+VLOOKUP('תפוקה מצטברת מול אשתקד'!A12,'מגדל'!A:G,7,0)+VLOOKUP('תפוקה מצטברת מול אשתקד'!A12,'מנורה'!A:G,7,0)+VLOOKUP('תפוקה מצטברת מול אשתקד'!A12,'איילון'!A:G,7,0)+VLOOKUP('תפוקה מצטברת מול אשתקד'!A12,'הראל'!A:G,7,0)+VLOOKUP('תפוקה מצטברת מול אשתקד'!A12,'הפניקס'!A:G,7,0)+VLOOKUP('תפוקה מצטברת מול אשתקד'!A12,'כלל'!A:G,7,0)+VLOOKUP('תפוקה מצטברת מול אשתקד'!A12,'מור'!A:G,7,0)+VLOOKUP('תפוקה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אשתקד'!A12,'אינפניטי'!A:G,7,0)</f>
        <v>542020.65</v>
      </c>
      <c r="L12" s="19">
        <f>VLOOKUP(A12,'הכשרה'!A:K,8,0)+VLOOKUP('תפוקה מצטברת מול אשתקד'!A12,'מגדל'!A:K,8,0)+VLOOKUP('תפוקה מצטברת מול אשתקד'!A12,'מנורה'!A:K,8,0)+VLOOKUP('תפוקה מצטברת מול אשתקד'!A12,'איילון'!A:K,8,0)+VLOOKUP('תפוקה מצטברת מול אשתקד'!A12,'הראל'!A:K,8,0)+VLOOKUP('תפוקה מצטברת מול אשתקד'!A12,'הפניקס'!A:K,8,0)+VLOOKUP('תפוקה מצטברת מול אשתקד'!A12,'כלל'!A:K,8,0)+VLOOKUP('תפוקה מצטברת מול אשתקד'!A12,'מור'!A:K,8,0)+VLOOKUP('תפוקה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אשתקד'!A12,'אינפניטי'!A:K,8,0)</f>
        <v>138.45</v>
      </c>
      <c r="M12" s="19">
        <f>VLOOKUP(A12,'הכשרה'!A:K,9,0)+VLOOKUP('תפוקה מצטברת מול אשתקד'!A12,'מגדל'!A:K,9,0)+VLOOKUP('תפוקה מצטברת מול אשתקד'!A12,'מנורה'!A:K,9,0)+VLOOKUP('תפוקה מצטברת מול אשתקד'!A12,'איילון'!A:K,9,0)+VLOOKUP('תפוקה מצטברת מול אשתקד'!A12,'הראל'!A:K,9,0)+VLOOKUP('תפוקה מצטברת מול אשתקד'!A12,'הפניקס'!A:K,9,0)+VLOOKUP('תפוקה מצטברת מול אשתקד'!A12,'כלל'!A:K,9,0)+VLOOKUP('תפוקה מצטברת מול אשתקד'!A12,'מור'!A:K,9,0)+VLOOKUP('תפוקה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אשתקד'!A12,'אינפניטי'!A:K,9,0)</f>
        <v>395.902</v>
      </c>
      <c r="N12" s="19">
        <f>VLOOKUP(A12,'הכשרה'!A:K,10,0)+VLOOKUP('תפוקה מצטברת מול אשתקד'!A12,'מגדל'!A:K,10,0)+VLOOKUP('תפוקה מצטברת מול אשתקד'!A12,'מנורה'!A:K,10,0)+VLOOKUP('תפוקה מצטברת מול אשתקד'!A12,'איילון'!A:K,10,0)+VLOOKUP('תפוקה מצטברת מול אשתקד'!A12,'הראל'!A:K,10,0)+VLOOKUP('תפוקה מצטברת מול אשתקד'!A12,'הפניקס'!A:K,10,0)+VLOOKUP('תפוקה מצטברת מול אשתקד'!A12,'כלל'!A:K,10,0)+VLOOKUP('תפוקה מצטברת מול אשתקד'!A12,'מור'!A:K,10,0)+VLOOKUP('תפוקה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אשתקד'!A12,'אינפניטי'!A:K,10,0)</f>
        <v>0</v>
      </c>
      <c r="O12" s="19">
        <f>VLOOKUP(A12,'הכשרה'!A:K,11,0)+VLOOKUP('תפוקה מצטברת מול אשתקד'!A12,'מגדל'!A:K,11,0)+VLOOKUP('תפוקה מצטברת מול אשתקד'!A12,'מנורה'!A:K,11,0)+VLOOKUP('תפוקה מצטברת מול אשתקד'!A12,'איילון'!A:K,11,0)+VLOOKUP('תפוקה מצטברת מול אשתקד'!A12,'הראל'!A:K,11,0)+VLOOKUP('תפוקה מצטברת מול אשתקד'!A12,'הפניקס'!A:K,11,0)+VLOOKUP('תפוקה מצטברת מול אשתקד'!A12,'כלל'!A:K,11,0)+VLOOKUP('תפוקה מצטברת מול אשתקד'!A12,'מור'!A:K,11,0)+VLOOKUP('תפוקה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אשתקד'!A12,'אינפניטי'!A:K,11,0)</f>
        <v>-233653.23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" t="s">
        <v>26</v>
      </c>
      <c r="B13" s="1" t="s">
        <v>14</v>
      </c>
      <c r="C13" s="1" t="s">
        <v>22</v>
      </c>
      <c r="D13" s="17">
        <f t="shared" ref="D13:F13" si="16">IF(H13=0,0%,IF(L13=0,100%,H13/L13-1))</f>
        <v>1</v>
      </c>
      <c r="E13" s="17">
        <f t="shared" si="16"/>
        <v>-0.329092808</v>
      </c>
      <c r="F13" s="17">
        <f t="shared" si="16"/>
        <v>-0.9976010774</v>
      </c>
      <c r="G13" s="17">
        <f t="shared" si="13"/>
        <v>-1.027499517</v>
      </c>
      <c r="H13" s="18">
        <f>VLOOKUP(A13,'הכשרה'!A:G,4,0)+VLOOKUP('תפוקה מצטברת מול אשתקד'!A13,'מגדל'!A:G,4,0)+VLOOKUP('תפוקה מצטברת מול אשתקד'!A13,'מנורה'!A:G,4,0)+VLOOKUP('תפוקה מצטברת מול אשתקד'!A13,'איילון'!A:G,4,0)+VLOOKUP('תפוקה מצטברת מול אשתקד'!A13,'הראל'!A:G,4,0)+VLOOKUP('תפוקה מצטברת מול אשתקד'!A13,'הפניקס'!A:G,4,0)+VLOOKUP('תפוקה מצטברת מול אשתקד'!A13,'כלל'!A:G,4,0)+VLOOKUP('תפוקה מצטברת מול אשתקד'!A13,'מור'!A:G,4,0)+VLOOKUP('תפוקה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אשתקד'!A13,'אינפניטי'!A:G,4,0)</f>
        <v>66506.9825</v>
      </c>
      <c r="I13" s="18">
        <f>VLOOKUP(A13,'הכשרה'!A:G,5,0)+VLOOKUP('תפוקה מצטברת מול אשתקד'!A13,'מגדל'!A:G,5,0)+VLOOKUP('תפוקה מצטברת מול אשתקד'!A13,'מנורה'!A:G,5,0)+VLOOKUP('תפוקה מצטברת מול אשתקד'!A13,'איילון'!A:G,5,0)+VLOOKUP('תפוקה מצטברת מול אשתקד'!A13,'הראל'!A:G,5,0)+VLOOKUP('תפוקה מצטברת מול אשתקד'!A13,'הפניקס'!A:G,5,0)+VLOOKUP('תפוקה מצטברת מול אשתקד'!A13,'כלל'!A:G,5,0)+VLOOKUP('תפוקה מצטברת מול אשתקד'!A13,'מור'!A:G,5,0)+VLOOKUP('תפוקה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אשתקד'!A13,'אינפניטי'!A:G,5,0)</f>
        <v>142979.0172</v>
      </c>
      <c r="J13" s="18">
        <f>VLOOKUP(A13,'הכשרה'!A:G,6,0)+VLOOKUP('תפוקה מצטברת מול אשתקד'!A13,'מגדל'!A:G,6,0)+VLOOKUP('תפוקה מצטברת מול אשתקד'!A13,'מנורה'!A:G,6,0)+VLOOKUP('תפוקה מצטברת מול אשתקד'!A13,'איילון'!A:G,6,0)+VLOOKUP(A13,'הראל'!A:G,6,0)+VLOOKUP('תפוקה מצטברת מול אשתקד'!A13,'הפניקס'!A:G,6,0)+VLOOKUP('תפוקה מצטברת מול אשתקד'!A13,'כלל'!A:G,6,0)+VLOOKUP('תפוקה מצטברת מול אשתקד'!A13,'מור'!A:G,6,0)+VLOOKUP('תפוקה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אשתקד'!A13,'אינפניטי'!A:G,6,0)</f>
        <v>2349.83</v>
      </c>
      <c r="K13" s="18">
        <f>VLOOKUP(A13,'הכשרה'!A:G,7,0)+VLOOKUP('תפוקה מצטברת מול אשתקד'!A13,'מגדל'!A:G,7,0)+VLOOKUP('תפוקה מצטברת מול אשתקד'!A13,'מנורה'!A:G,7,0)+VLOOKUP('תפוקה מצטברת מול אשתקד'!A13,'איילון'!A:G,7,0)+VLOOKUP('תפוקה מצטברת מול אשתקד'!A13,'הראל'!A:G,7,0)+VLOOKUP('תפוקה מצטברת מול אשתקד'!A13,'הפניקס'!A:G,7,0)+VLOOKUP('תפוקה מצטברת מול אשתקד'!A13,'כלל'!A:G,7,0)+VLOOKUP('תפוקה מצטברת מול אשתקד'!A13,'מור'!A:G,7,0)+VLOOKUP('תפוקה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אשתקד'!A13,'אינפניטי'!A:G,7,0)</f>
        <v>-4433.24</v>
      </c>
      <c r="L13" s="19">
        <f>VLOOKUP(A13,'הכשרה'!A:K,8,0)+VLOOKUP('תפוקה מצטברת מול אשתקד'!A13,'מגדל'!A:K,8,0)+VLOOKUP('תפוקה מצטברת מול אשתקד'!A13,'מנורה'!A:K,8,0)+VLOOKUP('תפוקה מצטברת מול אשתקד'!A13,'איילון'!A:K,8,0)+VLOOKUP('תפוקה מצטברת מול אשתקד'!A13,'הראל'!A:K,8,0)+VLOOKUP('תפוקה מצטברת מול אשתקד'!A13,'הפניקס'!A:K,8,0)+VLOOKUP('תפוקה מצטברת מול אשתקד'!A13,'כלל'!A:K,8,0)+VLOOKUP('תפוקה מצטברת מול אשתקד'!A13,'מור'!A:K,8,0)+VLOOKUP('תפוקה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אשתקד'!A13,'אינפניטי'!A:K,8,0)</f>
        <v>0</v>
      </c>
      <c r="M13" s="19">
        <f>VLOOKUP(A13,'הכשרה'!A:K,9,0)+VLOOKUP('תפוקה מצטברת מול אשתקד'!A13,'מגדל'!A:K,9,0)+VLOOKUP('תפוקה מצטברת מול אשתקד'!A13,'מנורה'!A:K,9,0)+VLOOKUP('תפוקה מצטברת מול אשתקד'!A13,'איילון'!A:K,9,0)+VLOOKUP('תפוקה מצטברת מול אשתקד'!A13,'הראל'!A:K,9,0)+VLOOKUP('תפוקה מצטברת מול אשתקד'!A13,'הפניקס'!A:K,9,0)+VLOOKUP('תפוקה מצטברת מול אשתקד'!A13,'כלל'!A:K,9,0)+VLOOKUP('תפוקה מצטברת מול אשתקד'!A13,'מור'!A:K,9,0)+VLOOKUP('תפוקה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אשתקד'!A13,'אינפניטי'!A:K,9,0)</f>
        <v>213112.9594</v>
      </c>
      <c r="N13" s="19">
        <f>VLOOKUP(A13,'הכשרה'!A:K,10,0)+VLOOKUP('תפוקה מצטברת מול אשתקד'!A13,'מגדל'!A:K,10,0)+VLOOKUP('תפוקה מצטברת מול אשתקד'!A13,'מנורה'!A:K,10,0)+VLOOKUP('תפוקה מצטברת מול אשתקד'!A13,'איילון'!A:K,10,0)+VLOOKUP('תפוקה מצטברת מול אשתקד'!A13,'הראל'!A:K,10,0)+VLOOKUP('תפוקה מצטברת מול אשתקד'!A13,'הפניקס'!A:K,10,0)+VLOOKUP('תפוקה מצטברת מול אשתקד'!A13,'כלל'!A:K,10,0)+VLOOKUP('תפוקה מצטברת מול אשתקד'!A13,'מור'!A:K,10,0)+VLOOKUP('תפוקה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אשתקד'!A13,'אינפניטי'!A:K,10,0)</f>
        <v>979535.58</v>
      </c>
      <c r="O13" s="19">
        <f>VLOOKUP(A13,'הכשרה'!A:K,11,0)+VLOOKUP('תפוקה מצטברת מול אשתקד'!A13,'מגדל'!A:K,11,0)+VLOOKUP('תפוקה מצטברת מול אשתקד'!A13,'מנורה'!A:K,11,0)+VLOOKUP('תפוקה מצטברת מול אשתקד'!A13,'איילון'!A:K,11,0)+VLOOKUP('תפוקה מצטברת מול אשתקד'!A13,'הראל'!A:K,11,0)+VLOOKUP('תפוקה מצטברת מול אשתקד'!A13,'הפניקס'!A:K,11,0)+VLOOKUP('תפוקה מצטברת מול אשתקד'!A13,'כלל'!A:K,11,0)+VLOOKUP('תפוקה מצטברת מול אשתקד'!A13,'מור'!A:K,11,0)+VLOOKUP('תפוקה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אשתקד'!A13,'אינפניטי'!A:K,11,0)</f>
        <v>161211.56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" t="s">
        <v>27</v>
      </c>
      <c r="B14" s="1" t="s">
        <v>14</v>
      </c>
      <c r="C14" s="1" t="s">
        <v>22</v>
      </c>
      <c r="D14" s="17">
        <f t="shared" ref="D14:F14" si="17">IF(H14=0,0%,IF(L14=0,100%,H14/L14-1))</f>
        <v>-0.7253543456</v>
      </c>
      <c r="E14" s="17">
        <f t="shared" si="17"/>
        <v>0.1934914375</v>
      </c>
      <c r="F14" s="17">
        <f t="shared" si="17"/>
        <v>-0.3879057909</v>
      </c>
      <c r="G14" s="17">
        <f t="shared" si="13"/>
        <v>-0.9479933968</v>
      </c>
      <c r="H14" s="18">
        <f>VLOOKUP(A14,'הכשרה'!A:G,4,0)+VLOOKUP('תפוקה מצטברת מול אשתקד'!A14,'מגדל'!A:G,4,0)+VLOOKUP('תפוקה מצטברת מול אשתקד'!A14,'מנורה'!A:G,4,0)+VLOOKUP('תפוקה מצטברת מול אשתקד'!A14,'איילון'!A:G,4,0)+VLOOKUP('תפוקה מצטברת מול אשתקד'!A14,'הראל'!A:G,4,0)+VLOOKUP('תפוקה מצטברת מול אשתקד'!A14,'הפניקס'!A:G,4,0)+VLOOKUP('תפוקה מצטברת מול אשתקד'!A14,'כלל'!A:G,4,0)+VLOOKUP('תפוקה מצטברת מול אשתקד'!A14,'מור'!A:G,4,0)+VLOOKUP('תפוקה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אשתקד'!A14,'אינפניטי'!A:G,4,0)</f>
        <v>175246.4568</v>
      </c>
      <c r="I14" s="18">
        <f>VLOOKUP(A14,'הכשרה'!A:G,5,0)+VLOOKUP('תפוקה מצטברת מול אשתקד'!A14,'מגדל'!A:G,5,0)+VLOOKUP('תפוקה מצטברת מול אשתקד'!A14,'מנורה'!A:G,5,0)+VLOOKUP('תפוקה מצטברת מול אשתקד'!A14,'איילון'!A:G,5,0)+VLOOKUP('תפוקה מצטברת מול אשתקד'!A14,'הראל'!A:G,5,0)+VLOOKUP('תפוקה מצטברת מול אשתקד'!A14,'הפניקס'!A:G,5,0)+VLOOKUP('תפוקה מצטברת מול אשתקד'!A14,'כלל'!A:G,5,0)+VLOOKUP('תפוקה מצטברת מול אשתקד'!A14,'מור'!A:G,5,0)+VLOOKUP('תפוקה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אשתקד'!A14,'אינפניטי'!A:G,5,0)</f>
        <v>44291.821</v>
      </c>
      <c r="J14" s="18">
        <f>VLOOKUP(A14,'הכשרה'!A:G,6,0)+VLOOKUP('תפוקה מצטברת מול אשתקד'!A14,'מגדל'!A:G,6,0)+VLOOKUP('תפוקה מצטברת מול אשתקד'!A14,'מנורה'!A:G,6,0)+VLOOKUP('תפוקה מצטברת מול אשתקד'!A14,'איילון'!A:G,6,0)+VLOOKUP(A14,'הראל'!A:G,6,0)+VLOOKUP('תפוקה מצטברת מול אשתקד'!A14,'הפניקס'!A:G,6,0)+VLOOKUP('תפוקה מצטברת מול אשתקד'!A14,'כלל'!A:G,6,0)+VLOOKUP('תפוקה מצטברת מול אשתקד'!A14,'מור'!A:G,6,0)+VLOOKUP('תפוקה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אשתקד'!A14,'אינפניטי'!A:G,6,0)</f>
        <v>982065.15</v>
      </c>
      <c r="K14" s="18">
        <f>VLOOKUP(A14,'הכשרה'!A:G,7,0)+VLOOKUP('תפוקה מצטברת מול אשתקד'!A14,'מגדל'!A:G,7,0)+VLOOKUP('תפוקה מצטברת מול אשתקד'!A14,'מנורה'!A:G,7,0)+VLOOKUP('תפוקה מצטברת מול אשתקד'!A14,'איילון'!A:G,7,0)+VLOOKUP('תפוקה מצטברת מול אשתקד'!A14,'הראל'!A:G,7,0)+VLOOKUP('תפוקה מצטברת מול אשתקד'!A14,'הפניקס'!A:G,7,0)+VLOOKUP('תפוקה מצטברת מול אשתקד'!A14,'כלל'!A:G,7,0)+VLOOKUP('תפוקה מצטברת מול אשתקד'!A14,'מור'!A:G,7,0)+VLOOKUP('תפוקה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אשתקד'!A14,'אינפניטי'!A:G,7,0)</f>
        <v>287720.33</v>
      </c>
      <c r="L14" s="19">
        <f>VLOOKUP(A14,'הכשרה'!A:K,8,0)+VLOOKUP('תפוקה מצטברת מול אשתקד'!A14,'מגדל'!A:K,8,0)+VLOOKUP('תפוקה מצטברת מול אשתקד'!A14,'מנורה'!A:K,8,0)+VLOOKUP('תפוקה מצטברת מול אשתקד'!A14,'איילון'!A:K,8,0)+VLOOKUP('תפוקה מצטברת מול אשתקד'!A14,'הראל'!A:K,8,0)+VLOOKUP('תפוקה מצטברת מול אשתקד'!A14,'הפניקס'!A:K,8,0)+VLOOKUP('תפוקה מצטברת מול אשתקד'!A14,'כלל'!A:K,8,0)+VLOOKUP('תפוקה מצטברת מול אשתקד'!A14,'מור'!A:K,8,0)+VLOOKUP('תפוקה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אשתקד'!A14,'אינפניטי'!A:K,8,0)</f>
        <v>638082.0306</v>
      </c>
      <c r="M14" s="19">
        <f>VLOOKUP(A14,'הכשרה'!A:K,9,0)+VLOOKUP('תפוקה מצטברת מול אשתקד'!A14,'מגדל'!A:K,9,0)+VLOOKUP('תפוקה מצטברת מול אשתקד'!A14,'מנורה'!A:K,9,0)+VLOOKUP('תפוקה מצטברת מול אשתקד'!A14,'איילון'!A:K,9,0)+VLOOKUP('תפוקה מצטברת מול אשתקד'!A14,'הראל'!A:K,9,0)+VLOOKUP('תפוקה מצטברת מול אשתקד'!A14,'הפניקס'!A:K,9,0)+VLOOKUP('תפוקה מצטברת מול אשתקד'!A14,'כלל'!A:K,9,0)+VLOOKUP('תפוקה מצטברת מול אשתקד'!A14,'מור'!A:K,9,0)+VLOOKUP('תפוקה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אשתקד'!A14,'אינפניטי'!A:K,9,0)</f>
        <v>37111.13428</v>
      </c>
      <c r="N14" s="19">
        <f>VLOOKUP(A14,'הכשרה'!A:K,10,0)+VLOOKUP('תפוקה מצטברת מול אשתקד'!A14,'מגדל'!A:K,10,0)+VLOOKUP('תפוקה מצטברת מול אשתקד'!A14,'מנורה'!A:K,10,0)+VLOOKUP('תפוקה מצטברת מול אשתקד'!A14,'איילון'!A:K,10,0)+VLOOKUP('תפוקה מצטברת מול אשתקד'!A14,'הראל'!A:K,10,0)+VLOOKUP('תפוקה מצטברת מול אשתקד'!A14,'הפניקס'!A:K,10,0)+VLOOKUP('תפוקה מצטברת מול אשתקד'!A14,'כלל'!A:K,10,0)+VLOOKUP('תפוקה מצטברת מול אשתקד'!A14,'מור'!A:K,10,0)+VLOOKUP('תפוקה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אשתקד'!A14,'אינפניטי'!A:K,10,0)</f>
        <v>1604434.637</v>
      </c>
      <c r="O14" s="19">
        <f>VLOOKUP(A14,'הכשרה'!A:K,11,0)+VLOOKUP('תפוקה מצטברת מול אשתקד'!A14,'מגדל'!A:K,11,0)+VLOOKUP('תפוקה מצטברת מול אשתקד'!A14,'מנורה'!A:K,11,0)+VLOOKUP('תפוקה מצטברת מול אשתקד'!A14,'איילון'!A:K,11,0)+VLOOKUP('תפוקה מצטברת מול אשתקד'!A14,'הראל'!A:K,11,0)+VLOOKUP('תפוקה מצטברת מול אשתקד'!A14,'הפניקס'!A:K,11,0)+VLOOKUP('תפוקה מצטברת מול אשתקד'!A14,'כלל'!A:K,11,0)+VLOOKUP('תפוקה מצטברת מול אשתקד'!A14,'מור'!A:K,11,0)+VLOOKUP('תפוקה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אשתקד'!A14,'אינפניטי'!A:K,11,0)</f>
        <v>5532380.744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" t="s">
        <v>28</v>
      </c>
      <c r="B15" s="1" t="s">
        <v>14</v>
      </c>
      <c r="C15" s="1" t="s">
        <v>22</v>
      </c>
      <c r="D15" s="17">
        <f t="shared" ref="D15:F15" si="18">IF(H15=0,0%,IF(L15=0,100%,H15/L15-1))</f>
        <v>4.174104305</v>
      </c>
      <c r="E15" s="17">
        <f t="shared" si="18"/>
        <v>0</v>
      </c>
      <c r="F15" s="17">
        <f t="shared" si="18"/>
        <v>1</v>
      </c>
      <c r="G15" s="17" t="str">
        <f t="shared" si="13"/>
        <v>#DIV/0!</v>
      </c>
      <c r="H15" s="18">
        <f>VLOOKUP(A15,'הכשרה'!A:G,4,0)+VLOOKUP('תפוקה מצטברת מול אשתקד'!A15,'מגדל'!A:G,4,0)+VLOOKUP('תפוקה מצטברת מול אשתקד'!A15,'מנורה'!A:G,4,0)+VLOOKUP('תפוקה מצטברת מול אשתקד'!A15,'איילון'!A:G,4,0)+VLOOKUP('תפוקה מצטברת מול אשתקד'!A15,'הראל'!A:G,4,0)+VLOOKUP('תפוקה מצטברת מול אשתקד'!A15,'הפניקס'!A:G,4,0)+VLOOKUP('תפוקה מצטברת מול אשתקד'!A15,'כלל'!A:G,4,0)+VLOOKUP('תפוקה מצטברת מול אשתקד'!A15,'מור'!A:G,4,0)+VLOOKUP('תפוקה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אשתקד'!A15,'אינפניטי'!A:G,4,0)</f>
        <v>122818.49</v>
      </c>
      <c r="I15" s="18">
        <f>VLOOKUP(A15,'הכשרה'!A:G,5,0)+VLOOKUP('תפוקה מצטברת מול אשתקד'!A15,'מגדל'!A:G,5,0)+VLOOKUP('תפוקה מצטברת מול אשתקד'!A15,'מנורה'!A:G,5,0)+VLOOKUP('תפוקה מצטברת מול אשתקד'!A15,'איילון'!A:G,5,0)+VLOOKUP('תפוקה מצטברת מול אשתקד'!A15,'הראל'!A:G,5,0)+VLOOKUP('תפוקה מצטברת מול אשתקד'!A15,'הפניקס'!A:G,5,0)+VLOOKUP('תפוקה מצטברת מול אשתקד'!A15,'כלל'!A:G,5,0)+VLOOKUP('תפוקה מצטברת מול אשתקד'!A15,'מור'!A:G,5,0)+VLOOKUP('תפוקה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אשתקד'!A15,'אינפניטי'!A:G,5,0)</f>
        <v>0</v>
      </c>
      <c r="J15" s="18">
        <f>VLOOKUP(A15,'הכשרה'!A:G,6,0)+VLOOKUP('תפוקה מצטברת מול אשתקד'!A15,'מגדל'!A:G,6,0)+VLOOKUP('תפוקה מצטברת מול אשתקד'!A15,'מנורה'!A:G,6,0)+VLOOKUP('תפוקה מצטברת מול אשתקד'!A15,'איילון'!A:G,6,0)+VLOOKUP(A15,'הראל'!A:G,6,0)+VLOOKUP('תפוקה מצטברת מול אשתקד'!A15,'הפניקס'!A:G,6,0)+VLOOKUP('תפוקה מצטברת מול אשתקד'!A15,'כלל'!A:G,6,0)+VLOOKUP('תפוקה מצטברת מול אשתקד'!A15,'מור'!A:G,6,0)+VLOOKUP('תפוקה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אשתקד'!A15,'אינפניטי'!A:G,6,0)</f>
        <v>266565.67</v>
      </c>
      <c r="K15" s="18">
        <f>VLOOKUP(A15,'הכשרה'!A:G,7,0)+VLOOKUP('תפוקה מצטברת מול אשתקד'!A15,'מגדל'!A:G,7,0)+VLOOKUP('תפוקה מצטברת מול אשתקד'!A15,'מנורה'!A:G,7,0)+VLOOKUP('תפוקה מצטברת מול אשתקד'!A15,'איילון'!A:G,7,0)+VLOOKUP('תפוקה מצטברת מול אשתקד'!A15,'הראל'!A:G,7,0)+VLOOKUP('תפוקה מצטברת מול אשתקד'!A15,'הפניקס'!A:G,7,0)+VLOOKUP('תפוקה מצטברת מול אשתקד'!A15,'כלל'!A:G,7,0)+VLOOKUP('תפוקה מצטברת מול אשתקד'!A15,'מור'!A:G,7,0)+VLOOKUP('תפוקה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אשתקד'!A15,'אינפניטי'!A:G,7,0)</f>
        <v>113981.56</v>
      </c>
      <c r="L15" s="19">
        <f>VLOOKUP(A15,'הכשרה'!A:K,8,0)+VLOOKUP('תפוקה מצטברת מול אשתקד'!A15,'מגדל'!A:K,8,0)+VLOOKUP('תפוקה מצטברת מול אשתקד'!A15,'מנורה'!A:K,8,0)+VLOOKUP('תפוקה מצטברת מול אשתקד'!A15,'איילון'!A:K,8,0)+VLOOKUP('תפוקה מצטברת מול אשתקד'!A15,'הראל'!A:K,8,0)+VLOOKUP('תפוקה מצטברת מול אשתקד'!A15,'הפניקס'!A:K,8,0)+VLOOKUP('תפוקה מצטברת מול אשתקד'!A15,'כלל'!A:K,8,0)+VLOOKUP('תפוקה מצטברת מול אשתקד'!A15,'מור'!A:K,8,0)+VLOOKUP('תפוקה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אשתקד'!A15,'אינפניטי'!A:K,8,0)</f>
        <v>23737.15</v>
      </c>
      <c r="M15" s="19">
        <f>VLOOKUP(A15,'הכשרה'!A:K,9,0)+VLOOKUP('תפוקה מצטברת מול אשתקד'!A15,'מגדל'!A:K,9,0)+VLOOKUP('תפוקה מצטברת מול אשתקד'!A15,'מנורה'!A:K,9,0)+VLOOKUP('תפוקה מצטברת מול אשתקד'!A15,'איילון'!A:K,9,0)+VLOOKUP('תפוקה מצטברת מול אשתקד'!A15,'הראל'!A:K,9,0)+VLOOKUP('תפוקה מצטברת מול אשתקד'!A15,'הפניקס'!A:K,9,0)+VLOOKUP('תפוקה מצטברת מול אשתקד'!A15,'כלל'!A:K,9,0)+VLOOKUP('תפוקה מצטברת מול אשתקד'!A15,'מור'!A:K,9,0)+VLOOKUP('תפוקה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אשתקד'!A15,'אינפניטי'!A:K,9,0)</f>
        <v>552.0850493</v>
      </c>
      <c r="N15" s="19">
        <f>VLOOKUP(A15,'הכשרה'!A:K,10,0)+VLOOKUP('תפוקה מצטברת מול אשתקד'!A15,'מגדל'!A:K,10,0)+VLOOKUP('תפוקה מצטברת מול אשתקד'!A15,'מנורה'!A:K,10,0)+VLOOKUP('תפוקה מצטברת מול אשתקד'!A15,'איילון'!A:K,10,0)+VLOOKUP('תפוקה מצטברת מול אשתקד'!A15,'הראל'!A:K,10,0)+VLOOKUP('תפוקה מצטברת מול אשתקד'!A15,'הפניקס'!A:K,10,0)+VLOOKUP('תפוקה מצטברת מול אשתקד'!A15,'כלל'!A:K,10,0)+VLOOKUP('תפוקה מצטברת מול אשתקד'!A15,'מור'!A:K,10,0)+VLOOKUP('תפוקה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אשתקד'!A15,'אינפניטי'!A:K,10,0)</f>
        <v>0</v>
      </c>
      <c r="O15" s="19">
        <f>VLOOKUP(A15,'הכשרה'!A:K,11,0)+VLOOKUP('תפוקה מצטברת מול אשתקד'!A15,'מגדל'!A:K,11,0)+VLOOKUP('תפוקה מצטברת מול אשתקד'!A15,'מנורה'!A:K,11,0)+VLOOKUP('תפוקה מצטברת מול אשתקד'!A15,'איילון'!A:K,11,0)+VLOOKUP('תפוקה מצטברת מול אשתקד'!A15,'הראל'!A:K,11,0)+VLOOKUP('תפוקה מצטברת מול אשתקד'!A15,'הפניקס'!A:K,11,0)+VLOOKUP('תפוקה מצטברת מול אשתקד'!A15,'כלל'!A:K,11,0)+VLOOKUP('תפוקה מצטברת מול אשתקד'!A15,'מור'!A:K,11,0)+VLOOKUP('תפוקה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אשתקד'!A15,'אינפניטי'!A:K,11,0)</f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" t="s">
        <v>29</v>
      </c>
      <c r="B16" s="1" t="s">
        <v>14</v>
      </c>
      <c r="C16" s="1" t="s">
        <v>22</v>
      </c>
      <c r="D16" s="17">
        <f t="shared" ref="D16:F16" si="19">IF(H16=0,0%,IF(L16=0,100%,H16/L16-1))</f>
        <v>0.02744433025</v>
      </c>
      <c r="E16" s="17">
        <f t="shared" si="19"/>
        <v>1.038348262</v>
      </c>
      <c r="F16" s="17">
        <f t="shared" si="19"/>
        <v>0.09832077931</v>
      </c>
      <c r="G16" s="17">
        <f t="shared" si="13"/>
        <v>16.72214946</v>
      </c>
      <c r="H16" s="18">
        <f>VLOOKUP(A16,'הכשרה'!A:G,4,0)+VLOOKUP('תפוקה מצטברת מול אשתקד'!A16,'מגדל'!A:G,4,0)+VLOOKUP('תפוקה מצטברת מול אשתקד'!A16,'מנורה'!A:G,4,0)+VLOOKUP('תפוקה מצטברת מול אשתקד'!A16,'איילון'!A:G,4,0)+VLOOKUP('תפוקה מצטברת מול אשתקד'!A16,'הראל'!A:G,4,0)+VLOOKUP('תפוקה מצטברת מול אשתקד'!A16,'הפניקס'!A:G,4,0)+VLOOKUP('תפוקה מצטברת מול אשתקד'!A16,'כלל'!A:G,4,0)+VLOOKUP('תפוקה מצטברת מול אשתקד'!A16,'מור'!A:G,4,0)+VLOOKUP('תפוקה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אשתקד'!A16,'אינפניטי'!A:G,4,0)</f>
        <v>130488.1085</v>
      </c>
      <c r="I16" s="18">
        <f>VLOOKUP(A16,'הכשרה'!A:G,5,0)+VLOOKUP('תפוקה מצטברת מול אשתקד'!A16,'מגדל'!A:G,5,0)+VLOOKUP('תפוקה מצטברת מול אשתקד'!A16,'מנורה'!A:G,5,0)+VLOOKUP('תפוקה מצטברת מול אשתקד'!A16,'איילון'!A:G,5,0)+VLOOKUP('תפוקה מצטברת מול אשתקד'!A16,'הראל'!A:G,5,0)+VLOOKUP('תפוקה מצטברת מול אשתקד'!A16,'הפניקס'!A:G,5,0)+VLOOKUP('תפוקה מצטברת מול אשתקד'!A16,'כלל'!A:G,5,0)+VLOOKUP('תפוקה מצטברת מול אשתקד'!A16,'מור'!A:G,5,0)+VLOOKUP('תפוקה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אשתקד'!A16,'אינפניטי'!A:G,5,0)</f>
        <v>39357.478</v>
      </c>
      <c r="J16" s="18">
        <f>VLOOKUP(A16,'הכשרה'!A:G,6,0)+VLOOKUP('תפוקה מצטברת מול אשתקד'!A16,'מגדל'!A:G,6,0)+VLOOKUP('תפוקה מצטברת מול אשתקד'!A16,'מנורה'!A:G,6,0)+VLOOKUP('תפוקה מצטברת מול אשתקד'!A16,'איילון'!A:G,6,0)+VLOOKUP(A16,'הראל'!A:G,6,0)+VLOOKUP('תפוקה מצטברת מול אשתקד'!A16,'הפניקס'!A:G,6,0)+VLOOKUP('תפוקה מצטברת מול אשתקד'!A16,'כלל'!A:G,6,0)+VLOOKUP('תפוקה מצטברת מול אשתקד'!A16,'מור'!A:G,6,0)+VLOOKUP('תפוקה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אשתקד'!A16,'אינפניטי'!A:G,6,0)</f>
        <v>25369.24</v>
      </c>
      <c r="K16" s="18">
        <f>VLOOKUP(A16,'הכשרה'!A:G,7,0)+VLOOKUP('תפוקה מצטברת מול אשתקד'!A16,'מגדל'!A:G,7,0)+VLOOKUP('תפוקה מצטברת מול אשתקד'!A16,'מנורה'!A:G,7,0)+VLOOKUP('תפוקה מצטברת מול אשתקד'!A16,'איילון'!A:G,7,0)+VLOOKUP('תפוקה מצטברת מול אשתקד'!A16,'הראל'!A:G,7,0)+VLOOKUP('תפוקה מצטברת מול אשתקד'!A16,'הפניקס'!A:G,7,0)+VLOOKUP('תפוקה מצטברת מול אשתקד'!A16,'כלל'!A:G,7,0)+VLOOKUP('תפוקה מצטברת מול אשתקד'!A16,'מור'!A:G,7,0)+VLOOKUP('תפוקה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אשתקד'!A16,'אינפניטי'!A:G,7,0)</f>
        <v>118506.56</v>
      </c>
      <c r="L16" s="19">
        <f>VLOOKUP(A16,'הכשרה'!A:K,8,0)+VLOOKUP('תפוקה מצטברת מול אשתקד'!A16,'מגדל'!A:K,8,0)+VLOOKUP('תפוקה מצטברת מול אשתקד'!A16,'מנורה'!A:K,8,0)+VLOOKUP('תפוקה מצטברת מול אשתקד'!A16,'איילון'!A:K,8,0)+VLOOKUP('תפוקה מצטברת מול אשתקד'!A16,'הראל'!A:K,8,0)+VLOOKUP('תפוקה מצטברת מול אשתקד'!A16,'הפניקס'!A:K,8,0)+VLOOKUP('תפוקה מצטברת מול אשתקד'!A16,'כלל'!A:K,8,0)+VLOOKUP('תפוקה מצטברת מול אשתקד'!A16,'מור'!A:K,8,0)+VLOOKUP('תפוקה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אשתקד'!A16,'אינפניטי'!A:K,8,0)</f>
        <v>127002.607</v>
      </c>
      <c r="M16" s="19">
        <f>VLOOKUP(A16,'הכשרה'!A:K,9,0)+VLOOKUP('תפוקה מצטברת מול אשתקד'!A16,'מגדל'!A:K,9,0)+VLOOKUP('תפוקה מצטברת מול אשתקד'!A16,'מנורה'!A:K,9,0)+VLOOKUP('תפוקה מצטברת מול אשתקד'!A16,'איילון'!A:K,9,0)+VLOOKUP('תפוקה מצטברת מול אשתקד'!A16,'הראל'!A:K,9,0)+VLOOKUP('תפוקה מצטברת מול אשתקד'!A16,'הפניקס'!A:K,9,0)+VLOOKUP('תפוקה מצטברת מול אשתקד'!A16,'כלל'!A:K,9,0)+VLOOKUP('תפוקה מצטברת מול אשתקד'!A16,'מור'!A:K,9,0)+VLOOKUP('תפוקה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אשתקד'!A16,'אינפניטי'!A:K,9,0)</f>
        <v>19308.515</v>
      </c>
      <c r="N16" s="19">
        <f>VLOOKUP(A16,'הכשרה'!A:K,10,0)+VLOOKUP('תפוקה מצטברת מול אשתקד'!A16,'מגדל'!A:K,10,0)+VLOOKUP('תפוקה מצטברת מול אשתקד'!A16,'מנורה'!A:K,10,0)+VLOOKUP('תפוקה מצטברת מול אשתקד'!A16,'איילון'!A:K,10,0)+VLOOKUP('תפוקה מצטברת מול אשתקד'!A16,'הראל'!A:K,10,0)+VLOOKUP('תפוקה מצטברת מול אשתקד'!A16,'הפניקס'!A:K,10,0)+VLOOKUP('תפוקה מצטברת מול אשתקד'!A16,'כלל'!A:K,10,0)+VLOOKUP('תפוקה מצטברת מול אשתקד'!A16,'מור'!A:K,10,0)+VLOOKUP('תפוקה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אשתקד'!A16,'אינפניטי'!A:K,10,0)</f>
        <v>23098.20635</v>
      </c>
      <c r="O16" s="19">
        <f>VLOOKUP(A16,'הכשרה'!A:K,11,0)+VLOOKUP('תפוקה מצטברת מול אשתקד'!A16,'מגדל'!A:K,11,0)+VLOOKUP('תפוקה מצטברת מול אשתקד'!A16,'מנורה'!A:K,11,0)+VLOOKUP('תפוקה מצטברת מול אשתקד'!A16,'איילון'!A:K,11,0)+VLOOKUP('תפוקה מצטברת מול אשתקד'!A16,'הראל'!A:K,11,0)+VLOOKUP('תפוקה מצטברת מול אשתקד'!A16,'הפניקס'!A:K,11,0)+VLOOKUP('תפוקה מצטברת מול אשתקד'!A16,'כלל'!A:K,11,0)+VLOOKUP('תפוקה מצטברת מול אשתקד'!A16,'מור'!A:K,11,0)+VLOOKUP('תפוקה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אשתקד'!A16,'אינפניטי'!A:K,11,0)</f>
        <v>6686.917986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" t="s">
        <v>30</v>
      </c>
      <c r="B17" s="1" t="s">
        <v>14</v>
      </c>
      <c r="C17" s="1" t="s">
        <v>22</v>
      </c>
      <c r="D17" s="17">
        <f t="shared" ref="D17:F17" si="20">IF(H17=0,0%,IF(L17=0,100%,H17/L17-1))</f>
        <v>0.01331613099</v>
      </c>
      <c r="E17" s="17">
        <f t="shared" si="20"/>
        <v>0.4462707489</v>
      </c>
      <c r="F17" s="17">
        <f t="shared" si="20"/>
        <v>-0.4655892015</v>
      </c>
      <c r="G17" s="17">
        <f t="shared" si="13"/>
        <v>-0.6323235585</v>
      </c>
      <c r="H17" s="18">
        <f>VLOOKUP(A17,'הכשרה'!A:G,4,0)+VLOOKUP('תפוקה מצטברת מול אשתקד'!A17,'מגדל'!A:G,4,0)+VLOOKUP('תפוקה מצטברת מול אשתקד'!A17,'מנורה'!A:G,4,0)+VLOOKUP('תפוקה מצטברת מול אשתקד'!A17,'איילון'!A:G,4,0)+VLOOKUP('תפוקה מצטברת מול אשתקד'!A17,'הראל'!A:G,4,0)+VLOOKUP('תפוקה מצטברת מול אשתקד'!A17,'הפניקס'!A:G,4,0)+VLOOKUP('תפוקה מצטברת מול אשתקד'!A17,'כלל'!A:G,4,0)+VLOOKUP('תפוקה מצטברת מול אשתקד'!A17,'מור'!A:G,4,0)+VLOOKUP('תפוקה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אשתקד'!A17,'אינפניטי'!A:G,4,0)</f>
        <v>489009.4055</v>
      </c>
      <c r="I17" s="18">
        <f>VLOOKUP(A17,'הכשרה'!A:G,5,0)+VLOOKUP('תפוקה מצטברת מול אשתקד'!A17,'מגדל'!A:G,5,0)+VLOOKUP('תפוקה מצטברת מול אשתקד'!A17,'מנורה'!A:G,5,0)+VLOOKUP('תפוקה מצטברת מול אשתקד'!A17,'איילון'!A:G,5,0)+VLOOKUP('תפוקה מצטברת מול אשתקד'!A17,'הראל'!A:G,5,0)+VLOOKUP('תפוקה מצטברת מול אשתקד'!A17,'הפניקס'!A:G,5,0)+VLOOKUP('תפוקה מצטברת מול אשתקד'!A17,'כלל'!A:G,5,0)+VLOOKUP('תפוקה מצטברת מול אשתקד'!A17,'מור'!A:G,5,0)+VLOOKUP('תפוקה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אשתקד'!A17,'אינפניטי'!A:G,5,0)</f>
        <v>238894.2591</v>
      </c>
      <c r="J17" s="18">
        <f>VLOOKUP(A17,'הכשרה'!A:G,6,0)+VLOOKUP('תפוקה מצטברת מול אשתקד'!A17,'מגדל'!A:G,6,0)+VLOOKUP('תפוקה מצטברת מול אשתקד'!A17,'מנורה'!A:G,6,0)+VLOOKUP('תפוקה מצטברת מול אשתקד'!A17,'איילון'!A:G,6,0)+VLOOKUP(A17,'הראל'!A:G,6,0)+VLOOKUP('תפוקה מצטברת מול אשתקד'!A17,'הפניקס'!A:G,6,0)+VLOOKUP('תפוקה מצטברת מול אשתקד'!A17,'כלל'!A:G,6,0)+VLOOKUP('תפוקה מצטברת מול אשתקד'!A17,'מור'!A:G,6,0)+VLOOKUP('תפוקה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אשתקד'!A17,'אינפניטי'!A:G,6,0)</f>
        <v>3435204.1</v>
      </c>
      <c r="K17" s="18">
        <f>VLOOKUP(A17,'הכשרה'!A:G,7,0)+VLOOKUP('תפוקה מצטברת מול אשתקד'!A17,'מגדל'!A:G,7,0)+VLOOKUP('תפוקה מצטברת מול אשתקד'!A17,'מנורה'!A:G,7,0)+VLOOKUP('תפוקה מצטברת מול אשתקד'!A17,'איילון'!A:G,7,0)+VLOOKUP('תפוקה מצטברת מול אשתקד'!A17,'הראל'!A:G,7,0)+VLOOKUP('תפוקה מצטברת מול אשתקד'!A17,'הפניקס'!A:G,7,0)+VLOOKUP('תפוקה מצטברת מול אשתקד'!A17,'כלל'!A:G,7,0)+VLOOKUP('תפוקה מצטברת מול אשתקד'!A17,'מור'!A:G,7,0)+VLOOKUP('תפוקה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אשתקד'!A17,'אינפניטי'!A:G,7,0)</f>
        <v>839902.76</v>
      </c>
      <c r="L17" s="19">
        <f>VLOOKUP(A17,'הכשרה'!A:K,8,0)+VLOOKUP('תפוקה מצטברת מול אשתקד'!A17,'מגדל'!A:K,8,0)+VLOOKUP('תפוקה מצטברת מול אשתקד'!A17,'מנורה'!A:K,8,0)+VLOOKUP('תפוקה מצטברת מול אשתקד'!A17,'איילון'!A:K,8,0)+VLOOKUP('תפוקה מצטברת מול אשתקד'!A17,'הראל'!A:K,8,0)+VLOOKUP('תפוקה מצטברת מול אשתקד'!A17,'הפניקס'!A:K,8,0)+VLOOKUP('תפוקה מצטברת מול אשתקד'!A17,'כלל'!A:K,8,0)+VLOOKUP('תפוקה מצטברת מול אשתקד'!A17,'מור'!A:K,8,0)+VLOOKUP('תפוקה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אשתקד'!A17,'אינפניטי'!A:K,8,0)</f>
        <v>482583.2636</v>
      </c>
      <c r="M17" s="19">
        <f>VLOOKUP(A17,'הכשרה'!A:K,9,0)+VLOOKUP('תפוקה מצטברת מול אשתקד'!A17,'מגדל'!A:K,9,0)+VLOOKUP('תפוקה מצטברת מול אשתקד'!A17,'מנורה'!A:K,9,0)+VLOOKUP('תפוקה מצטברת מול אשתקד'!A17,'איילון'!A:K,9,0)+VLOOKUP('תפוקה מצטברת מול אשתקד'!A17,'הראל'!A:K,9,0)+VLOOKUP('תפוקה מצטברת מול אשתקד'!A17,'הפניקס'!A:K,9,0)+VLOOKUP('תפוקה מצטברת מול אשתקד'!A17,'כלל'!A:K,9,0)+VLOOKUP('תפוקה מצטברת מול אשתקד'!A17,'מור'!A:K,9,0)+VLOOKUP('תפוקה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אשתקד'!A17,'אינפניטי'!A:K,9,0)</f>
        <v>165179.4862</v>
      </c>
      <c r="N17" s="19">
        <f>VLOOKUP(A17,'הכשרה'!A:K,10,0)+VLOOKUP('תפוקה מצטברת מול אשתקד'!A17,'מגדל'!A:K,10,0)+VLOOKUP('תפוקה מצטברת מול אשתקד'!A17,'מנורה'!A:K,10,0)+VLOOKUP('תפוקה מצטברת מול אשתקד'!A17,'איילון'!A:K,10,0)+VLOOKUP('תפוקה מצטברת מול אשתקד'!A17,'הראל'!A:K,10,0)+VLOOKUP('תפוקה מצטברת מול אשתקד'!A17,'הפניקס'!A:K,10,0)+VLOOKUP('תפוקה מצטברת מול אשתקד'!A17,'כלל'!A:K,10,0)+VLOOKUP('תפוקה מצטברת מול אשתקד'!A17,'מור'!A:K,10,0)+VLOOKUP('תפוקה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אשתקד'!A17,'אינפניטי'!A:K,10,0)</f>
        <v>6428021.495</v>
      </c>
      <c r="O17" s="19">
        <f>VLOOKUP(A17,'הכשרה'!A:K,11,0)+VLOOKUP('תפוקה מצטברת מול אשתקד'!A17,'מגדל'!A:K,11,0)+VLOOKUP('תפוקה מצטברת מול אשתקד'!A17,'מנורה'!A:K,11,0)+VLOOKUP('תפוקה מצטברת מול אשתקד'!A17,'איילון'!A:K,11,0)+VLOOKUP('תפוקה מצטברת מול אשתקד'!A17,'הראל'!A:K,11,0)+VLOOKUP('תפוקה מצטברת מול אשתקד'!A17,'הפניקס'!A:K,11,0)+VLOOKUP('תפוקה מצטברת מול אשתקד'!A17,'כלל'!A:K,11,0)+VLOOKUP('תפוקה מצטברת מול אשתקד'!A17,'מור'!A:K,11,0)+VLOOKUP('תפוקה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אשתקד'!A17,'אינפניטי'!A:K,11,0)</f>
        <v>2284352.94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" t="s">
        <v>31</v>
      </c>
      <c r="B18" s="1" t="s">
        <v>14</v>
      </c>
      <c r="C18" s="1" t="s">
        <v>22</v>
      </c>
      <c r="D18" s="17">
        <f t="shared" ref="D18:F18" si="21">IF(H18=0,0%,IF(L18=0,100%,H18/L18-1))</f>
        <v>0.2834687732</v>
      </c>
      <c r="E18" s="17">
        <f t="shared" si="21"/>
        <v>-0.02439987683</v>
      </c>
      <c r="F18" s="17">
        <f t="shared" si="21"/>
        <v>-0.3784651373</v>
      </c>
      <c r="G18" s="17">
        <f t="shared" si="13"/>
        <v>-0.4917872829</v>
      </c>
      <c r="H18" s="18">
        <f>VLOOKUP(A18,'הכשרה'!A:G,4,0)+VLOOKUP('תפוקה מצטברת מול אשתקד'!A18,'מגדל'!A:G,4,0)+VLOOKUP('תפוקה מצטברת מול אשתקד'!A18,'מנורה'!A:G,4,0)+VLOOKUP('תפוקה מצטברת מול אשתקד'!A18,'איילון'!A:G,4,0)+VLOOKUP('תפוקה מצטברת מול אשתקד'!A18,'הראל'!A:G,4,0)+VLOOKUP('תפוקה מצטברת מול אשתקד'!A18,'הפניקס'!A:G,4,0)+VLOOKUP('תפוקה מצטברת מול אשתקד'!A18,'כלל'!A:G,4,0)+VLOOKUP('תפוקה מצטברת מול אשתקד'!A18,'מור'!A:G,4,0)+VLOOKUP('תפוקה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אשתקד'!A18,'אינפניטי'!A:G,4,0)</f>
        <v>824787.1294</v>
      </c>
      <c r="I18" s="18">
        <f>VLOOKUP(A18,'הכשרה'!A:G,5,0)+VLOOKUP('תפוקה מצטברת מול אשתקד'!A18,'מגדל'!A:G,5,0)+VLOOKUP('תפוקה מצטברת מול אשתקד'!A18,'מנורה'!A:G,5,0)+VLOOKUP('תפוקה מצטברת מול אשתקד'!A18,'איילון'!A:G,5,0)+VLOOKUP('תפוקה מצטברת מול אשתקד'!A18,'הראל'!A:G,5,0)+VLOOKUP('תפוקה מצטברת מול אשתקד'!A18,'הפניקס'!A:G,5,0)+VLOOKUP('תפוקה מצטברת מול אשתקד'!A18,'כלל'!A:G,5,0)+VLOOKUP('תפוקה מצטברת מול אשתקד'!A18,'מור'!A:G,5,0)+VLOOKUP('תפוקה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אשתקד'!A18,'אינפניטי'!A:G,5,0)</f>
        <v>150515.7981</v>
      </c>
      <c r="J18" s="18">
        <f>VLOOKUP(A18,'הכשרה'!A:G,6,0)+VLOOKUP('תפוקה מצטברת מול אשתקד'!A18,'מגדל'!A:G,6,0)+VLOOKUP('תפוקה מצטברת מול אשתקד'!A18,'מנורה'!A:G,6,0)+VLOOKUP('תפוקה מצטברת מול אשתקד'!A18,'איילון'!A:G,6,0)+VLOOKUP(A18,'הראל'!A:G,6,0)+VLOOKUP('תפוקה מצטברת מול אשתקד'!A18,'הפניקס'!A:G,6,0)+VLOOKUP('תפוקה מצטברת מול אשתקד'!A18,'כלל'!A:G,6,0)+VLOOKUP('תפוקה מצטברת מול אשתקד'!A18,'מור'!A:G,6,0)+VLOOKUP('תפוקה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אשתקד'!A18,'אינפניטי'!A:G,6,0)</f>
        <v>8468202.718</v>
      </c>
      <c r="K18" s="18">
        <f>VLOOKUP(A18,'הכשרה'!A:G,7,0)+VLOOKUP('תפוקה מצטברת מול אשתקד'!A18,'מגדל'!A:G,7,0)+VLOOKUP('תפוקה מצטברת מול אשתקד'!A18,'מנורה'!A:G,7,0)+VLOOKUP('תפוקה מצטברת מול אשתקד'!A18,'איילון'!A:G,7,0)+VLOOKUP('תפוקה מצטברת מול אשתקד'!A18,'הראל'!A:G,7,0)+VLOOKUP('תפוקה מצטברת מול אשתקד'!A18,'הפניקס'!A:G,7,0)+VLOOKUP('תפוקה מצטברת מול אשתקד'!A18,'כלל'!A:G,7,0)+VLOOKUP('תפוקה מצטברת מול אשתקד'!A18,'מור'!A:G,7,0)+VLOOKUP('תפוקה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אשתקד'!A18,'אינפניטי'!A:G,7,0)</f>
        <v>4199971.74</v>
      </c>
      <c r="L18" s="19">
        <f>VLOOKUP(A18,'הכשרה'!A:K,8,0)+VLOOKUP('תפוקה מצטברת מול אשתקד'!A18,'מגדל'!A:K,8,0)+VLOOKUP('תפוקה מצטברת מול אשתקד'!A18,'מנורה'!A:K,8,0)+VLOOKUP('תפוקה מצטברת מול אשתקד'!A18,'איילון'!A:K,8,0)+VLOOKUP('תפוקה מצטברת מול אשתקד'!A18,'הראל'!A:K,8,0)+VLOOKUP('תפוקה מצטברת מול אשתקד'!A18,'הפניקס'!A:K,8,0)+VLOOKUP('תפוקה מצטברת מול אשתקד'!A18,'כלל'!A:K,8,0)+VLOOKUP('תפוקה מצטברת מול אשתקד'!A18,'מור'!A:K,8,0)+VLOOKUP('תפוקה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אשתקד'!A18,'אינפניטי'!A:K,8,0)</f>
        <v>642623.4487</v>
      </c>
      <c r="M18" s="19">
        <f>VLOOKUP(A18,'הכשרה'!A:K,9,0)+VLOOKUP('תפוקה מצטברת מול אשתקד'!A18,'מגדל'!A:K,9,0)+VLOOKUP('תפוקה מצטברת מול אשתקד'!A18,'מנורה'!A:K,9,0)+VLOOKUP('תפוקה מצטברת מול אשתקד'!A18,'איילון'!A:K,9,0)+VLOOKUP('תפוקה מצטברת מול אשתקד'!A18,'הראל'!A:K,9,0)+VLOOKUP('תפוקה מצטברת מול אשתקד'!A18,'הפניקס'!A:K,9,0)+VLOOKUP('תפוקה מצטברת מול אשתקד'!A18,'כלל'!A:K,9,0)+VLOOKUP('תפוקה מצטברת מול אשתקד'!A18,'מור'!A:K,9,0)+VLOOKUP('תפוקה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אשתקד'!A18,'אינפניטי'!A:K,9,0)</f>
        <v>154280.2164</v>
      </c>
      <c r="N18" s="19">
        <f>VLOOKUP(A18,'הכשרה'!A:K,10,0)+VLOOKUP('תפוקה מצטברת מול אשתקד'!A18,'מגדל'!A:K,10,0)+VLOOKUP('תפוקה מצטברת מול אשתקד'!A18,'מנורה'!A:K,10,0)+VLOOKUP('תפוקה מצטברת מול אשתקד'!A18,'איילון'!A:K,10,0)+VLOOKUP('תפוקה מצטברת מול אשתקד'!A18,'הראל'!A:K,10,0)+VLOOKUP('תפוקה מצטברת מול אשתקד'!A18,'הפניקס'!A:K,10,0)+VLOOKUP('תפוקה מצטברת מול אשתקד'!A18,'כלל'!A:K,10,0)+VLOOKUP('תפוקה מצטברת מול אשתקד'!A18,'מור'!A:K,10,0)+VLOOKUP('תפוקה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אשתקד'!A18,'אינפניטי'!A:K,10,0)</f>
        <v>13624662.47</v>
      </c>
      <c r="O18" s="19">
        <f>VLOOKUP(A18,'הכשרה'!A:K,11,0)+VLOOKUP('תפוקה מצטברת מול אשתקד'!A18,'מגדל'!A:K,11,0)+VLOOKUP('תפוקה מצטברת מול אשתקד'!A18,'מנורה'!A:K,11,0)+VLOOKUP('תפוקה מצטברת מול אשתקד'!A18,'איילון'!A:K,11,0)+VLOOKUP('תפוקה מצטברת מול אשתקד'!A18,'הראל'!A:K,11,0)+VLOOKUP('תפוקה מצטברת מול אשתקד'!A18,'הפניקס'!A:K,11,0)+VLOOKUP('תפוקה מצטברת מול אשתקד'!A18,'כלל'!A:K,11,0)+VLOOKUP('תפוקה מצטברת מול אשתקד'!A18,'מור'!A:K,11,0)+VLOOKUP('תפוקה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אשתקד'!A18,'אינפניטי'!A:K,11,0)</f>
        <v>8264200.4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" t="s">
        <v>32</v>
      </c>
      <c r="B19" s="1" t="s">
        <v>14</v>
      </c>
      <c r="C19" s="1" t="s">
        <v>22</v>
      </c>
      <c r="D19" s="17">
        <f t="shared" ref="D19:F19" si="22">IF(H19=0,0%,IF(L19=0,100%,H19/L19-1))</f>
        <v>5.792343766</v>
      </c>
      <c r="E19" s="17">
        <f t="shared" si="22"/>
        <v>0.1579920456</v>
      </c>
      <c r="F19" s="17">
        <f t="shared" si="22"/>
        <v>0</v>
      </c>
      <c r="G19" s="17">
        <f t="shared" si="13"/>
        <v>1</v>
      </c>
      <c r="H19" s="18">
        <f>VLOOKUP(A19,'הכשרה'!A:G,4,0)+VLOOKUP('תפוקה מצטברת מול אשתקד'!A19,'מגדל'!A:G,4,0)+VLOOKUP('תפוקה מצטברת מול אשתקד'!A19,'מנורה'!A:G,4,0)+VLOOKUP('תפוקה מצטברת מול אשתקד'!A19,'איילון'!A:G,4,0)+VLOOKUP('תפוקה מצטברת מול אשתקד'!A19,'הראל'!A:G,4,0)+VLOOKUP('תפוקה מצטברת מול אשתקד'!A19,'הפניקס'!A:G,4,0)+VLOOKUP('תפוקה מצטברת מול אשתקד'!A19,'כלל'!A:G,4,0)+VLOOKUP('תפוקה מצטברת מול אשתקד'!A19,'מור'!A:G,4,0)+VLOOKUP('תפוקה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אשתקד'!A19,'אינפניטי'!A:G,4,0)</f>
        <v>8690.763604</v>
      </c>
      <c r="I19" s="18">
        <f>VLOOKUP(A19,'הכשרה'!A:G,5,0)+VLOOKUP('תפוקה מצטברת מול אשתקד'!A19,'מגדל'!A:G,5,0)+VLOOKUP('תפוקה מצטברת מול אשתקד'!A19,'מנורה'!A:G,5,0)+VLOOKUP('תפוקה מצטברת מול אשתקד'!A19,'איילון'!A:G,5,0)+VLOOKUP('תפוקה מצטברת מול אשתקד'!A19,'הראל'!A:G,5,0)+VLOOKUP('תפוקה מצטברת מול אשתקד'!A19,'הפניקס'!A:G,5,0)+VLOOKUP('תפוקה מצטברת מול אשתקד'!A19,'כלל'!A:G,5,0)+VLOOKUP('תפוקה מצטברת מול אשתקד'!A19,'מור'!A:G,5,0)+VLOOKUP('תפוקה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אשתקד'!A19,'אינפניטי'!A:G,5,0)</f>
        <v>9451.813565</v>
      </c>
      <c r="J19" s="18">
        <f>VLOOKUP(A19,'הכשרה'!A:G,6,0)+VLOOKUP('תפוקה מצטברת מול אשתקד'!A19,'מגדל'!A:G,6,0)+VLOOKUP('תפוקה מצטברת מול אשתקד'!A19,'מנורה'!A:G,6,0)+VLOOKUP('תפוקה מצטברת מול אשתקד'!A19,'איילון'!A:G,6,0)+VLOOKUP(A19,'הראל'!A:G,6,0)+VLOOKUP('תפוקה מצטברת מול אשתקד'!A19,'הפניקס'!A:G,6,0)+VLOOKUP('תפוקה מצטברת מול אשתקד'!A19,'כלל'!A:G,6,0)+VLOOKUP('תפוקה מצטברת מול אשתקד'!A19,'מור'!A:G,6,0)+VLOOKUP('תפוקה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אשתקד'!A19,'אינפניטי'!A:G,6,0)</f>
        <v>0</v>
      </c>
      <c r="K19" s="18">
        <f>VLOOKUP(A19,'הכשרה'!A:G,7,0)+VLOOKUP('תפוקה מצטברת מול אשתקד'!A19,'מגדל'!A:G,7,0)+VLOOKUP('תפוקה מצטברת מול אשתקד'!A19,'מנורה'!A:G,7,0)+VLOOKUP('תפוקה מצטברת מול אשתקד'!A19,'איילון'!A:G,7,0)+VLOOKUP('תפוקה מצטברת מול אשתקד'!A19,'הראל'!A:G,7,0)+VLOOKUP('תפוקה מצטברת מול אשתקד'!A19,'הפניקס'!A:G,7,0)+VLOOKUP('תפוקה מצטברת מול אשתקד'!A19,'כלל'!A:G,7,0)+VLOOKUP('תפוקה מצטברת מול אשתקד'!A19,'מור'!A:G,7,0)+VLOOKUP('תפוקה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אשתקד'!A19,'אינפניטי'!A:G,7,0)</f>
        <v>-204933.07</v>
      </c>
      <c r="L19" s="19">
        <f>VLOOKUP(A19,'הכשרה'!A:K,8,0)+VLOOKUP('תפוקה מצטברת מול אשתקד'!A19,'מגדל'!A:K,8,0)+VLOOKUP('תפוקה מצטברת מול אשתקד'!A19,'מנורה'!A:K,8,0)+VLOOKUP('תפוקה מצטברת מול אשתקד'!A19,'איילון'!A:K,8,0)+VLOOKUP('תפוקה מצטברת מול אשתקד'!A19,'הראל'!A:K,8,0)+VLOOKUP('תפוקה מצטברת מול אשתקד'!A19,'הפניקס'!A:K,8,0)+VLOOKUP('תפוקה מצטברת מול אשתקד'!A19,'כלל'!A:K,8,0)+VLOOKUP('תפוקה מצטברת מול אשתקד'!A19,'מור'!A:K,8,0)+VLOOKUP('תפוקה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אשתקד'!A19,'אינפניטי'!A:K,8,0)</f>
        <v>1279.494075</v>
      </c>
      <c r="M19" s="19">
        <f>VLOOKUP(A19,'הכשרה'!A:K,9,0)+VLOOKUP('תפוקה מצטברת מול אשתקד'!A19,'מגדל'!A:K,9,0)+VLOOKUP('תפוקה מצטברת מול אשתקד'!A19,'מנורה'!A:K,9,0)+VLOOKUP('תפוקה מצטברת מול אשתקד'!A19,'איילון'!A:K,9,0)+VLOOKUP('תפוקה מצטברת מול אשתקד'!A19,'הראל'!A:K,9,0)+VLOOKUP('תפוקה מצטברת מול אשתקד'!A19,'הפניקס'!A:K,9,0)+VLOOKUP('תפוקה מצטברת מול אשתקד'!A19,'כלל'!A:K,9,0)+VLOOKUP('תפוקה מצטברת מול אשתקד'!A19,'מור'!A:K,9,0)+VLOOKUP('תפוקה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אשתקד'!A19,'אינפניטי'!A:K,9,0)</f>
        <v>8162.243947</v>
      </c>
      <c r="N19" s="19">
        <f>VLOOKUP(A19,'הכשרה'!A:K,10,0)+VLOOKUP('תפוקה מצטברת מול אשתקד'!A19,'מגדל'!A:K,10,0)+VLOOKUP('תפוקה מצטברת מול אשתקד'!A19,'מנורה'!A:K,10,0)+VLOOKUP('תפוקה מצטברת מול אשתקד'!A19,'איילון'!A:K,10,0)+VLOOKUP('תפוקה מצטברת מול אשתקד'!A19,'הראל'!A:K,10,0)+VLOOKUP('תפוקה מצטברת מול אשתקד'!A19,'הפניקס'!A:K,10,0)+VLOOKUP('תפוקה מצטברת מול אשתקד'!A19,'כלל'!A:K,10,0)+VLOOKUP('תפוקה מצטברת מול אשתקד'!A19,'מור'!A:K,10,0)+VLOOKUP('תפוקה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אשתקד'!A19,'אינפניטי'!A:K,10,0)</f>
        <v>101702.6411</v>
      </c>
      <c r="O19" s="19">
        <f>VLOOKUP(A19,'הכשרה'!A:K,11,0)+VLOOKUP('תפוקה מצטברת מול אשתקד'!A19,'מגדל'!A:K,11,0)+VLOOKUP('תפוקה מצטברת מול אשתקד'!A19,'מנורה'!A:K,11,0)+VLOOKUP('תפוקה מצטברת מול אשתקד'!A19,'איילון'!A:K,11,0)+VLOOKUP('תפוקה מצטברת מול אשתקד'!A19,'הראל'!A:K,11,0)+VLOOKUP('תפוקה מצטברת מול אשתקד'!A19,'הפניקס'!A:K,11,0)+VLOOKUP('תפוקה מצטברת מול אשתקד'!A19,'כלל'!A:K,11,0)+VLOOKUP('תפוקה מצטברת מול אשתקד'!A19,'מור'!A:K,11,0)+VLOOKUP('תפוקה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אשתקד'!A19,'אינפניטי'!A:K,11,0)</f>
        <v>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1" t="s">
        <v>33</v>
      </c>
      <c r="B20" s="1" t="s">
        <v>14</v>
      </c>
      <c r="C20" s="1" t="s">
        <v>22</v>
      </c>
      <c r="D20" s="17">
        <f t="shared" ref="D20:F20" si="23">IF(H20=0,0%,IF(L20=0,100%,H20/L20-1))</f>
        <v>1</v>
      </c>
      <c r="E20" s="17">
        <f t="shared" si="23"/>
        <v>1</v>
      </c>
      <c r="F20" s="17">
        <f t="shared" si="23"/>
        <v>1</v>
      </c>
      <c r="G20" s="17" t="str">
        <f t="shared" si="13"/>
        <v>#DIV/0!</v>
      </c>
      <c r="H20" s="18">
        <f>VLOOKUP(A20,'הכשרה'!A:G,4,0)+VLOOKUP('תפוקה מצטברת מול אשתקד'!A20,'מגדל'!A:G,4,0)+VLOOKUP('תפוקה מצטברת מול אשתקד'!A20,'מנורה'!A:G,4,0)+VLOOKUP('תפוקה מצטברת מול אשתקד'!A20,'איילון'!A:G,4,0)+VLOOKUP('תפוקה מצטברת מול אשתקד'!A20,'הראל'!A:G,4,0)+VLOOKUP('תפוקה מצטברת מול אשתקד'!A20,'הפניקס'!A:G,4,0)+VLOOKUP('תפוקה מצטברת מול אשתקד'!A20,'כלל'!A:G,4,0)+VLOOKUP('תפוקה מצטברת מול אשתקד'!A20,'מור'!A:G,4,0)+VLOOKUP('תפוקה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אשתקד'!A20,'אינפניטי'!A:G,4,0)</f>
        <v>65836.57775</v>
      </c>
      <c r="I20" s="18">
        <f>VLOOKUP(A20,'הכשרה'!A:G,5,0)+VLOOKUP('תפוקה מצטברת מול אשתקד'!A20,'מגדל'!A:G,5,0)+VLOOKUP('תפוקה מצטברת מול אשתקד'!A20,'מנורה'!A:G,5,0)+VLOOKUP('תפוקה מצטברת מול אשתקד'!A20,'איילון'!A:G,5,0)+VLOOKUP('תפוקה מצטברת מול אשתקד'!A20,'הראל'!A:G,5,0)+VLOOKUP('תפוקה מצטברת מול אשתקד'!A20,'הפניקס'!A:G,5,0)+VLOOKUP('תפוקה מצטברת מול אשתקד'!A20,'כלל'!A:G,5,0)+VLOOKUP('תפוקה מצטברת מול אשתקד'!A20,'מור'!A:G,5,0)+VLOOKUP('תפוקה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אשתקד'!A20,'אינפניטי'!A:G,5,0)</f>
        <v>8429.59</v>
      </c>
      <c r="J20" s="18">
        <f>VLOOKUP(A20,'הכשרה'!A:G,6,0)+VLOOKUP('תפוקה מצטברת מול אשתקד'!A20,'מגדל'!A:G,6,0)+VLOOKUP('תפוקה מצטברת מול אשתקד'!A20,'מנורה'!A:G,6,0)+VLOOKUP('תפוקה מצטברת מול אשתקד'!A20,'איילון'!A:G,6,0)+VLOOKUP(A20,'הראל'!A:G,6,0)+VLOOKUP('תפוקה מצטברת מול אשתקד'!A20,'הפניקס'!A:G,6,0)+VLOOKUP('תפוקה מצטברת מול אשתקד'!A20,'כלל'!A:G,6,0)+VLOOKUP('תפוקה מצטברת מול אשתקד'!A20,'מור'!A:G,6,0)+VLOOKUP('תפוקה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אשתקד'!A20,'אינפניטי'!A:G,6,0)</f>
        <v>110647.08</v>
      </c>
      <c r="K20" s="18">
        <f>VLOOKUP(A20,'הכשרה'!A:G,7,0)+VLOOKUP('תפוקה מצטברת מול אשתקד'!A20,'מגדל'!A:G,7,0)+VLOOKUP('תפוקה מצטברת מול אשתקד'!A20,'מנורה'!A:G,7,0)+VLOOKUP('תפוקה מצטברת מול אשתקד'!A20,'איילון'!A:G,7,0)+VLOOKUP('תפוקה מצטברת מול אשתקד'!A20,'הראל'!A:G,7,0)+VLOOKUP('תפוקה מצטברת מול אשתקד'!A20,'הפניקס'!A:G,7,0)+VLOOKUP('תפוקה מצטברת מול אשתקד'!A20,'כלל'!A:G,7,0)+VLOOKUP('תפוקה מצטברת מול אשתקד'!A20,'מור'!A:G,7,0)+VLOOKUP('תפוקה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אשתקד'!A20,'אינפניטי'!A:G,7,0)</f>
        <v>43942.64</v>
      </c>
      <c r="L20" s="19">
        <f>VLOOKUP(A20,'הכשרה'!A:K,8,0)+VLOOKUP('תפוקה מצטברת מול אשתקד'!A20,'מגדל'!A:K,8,0)+VLOOKUP('תפוקה מצטברת מול אשתקד'!A20,'מנורה'!A:K,8,0)+VLOOKUP('תפוקה מצטברת מול אשתקד'!A20,'איילון'!A:K,8,0)+VLOOKUP('תפוקה מצטברת מול אשתקד'!A20,'הראל'!A:K,8,0)+VLOOKUP('תפוקה מצטברת מול אשתקד'!A20,'הפניקס'!A:K,8,0)+VLOOKUP('תפוקה מצטברת מול אשתקד'!A20,'כלל'!A:K,8,0)+VLOOKUP('תפוקה מצטברת מול אשתקד'!A20,'מור'!A:K,8,0)+VLOOKUP('תפוקה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אשתקד'!A20,'אינפניטי'!A:K,8,0)</f>
        <v>0</v>
      </c>
      <c r="M20" s="19">
        <f>VLOOKUP(A20,'הכשרה'!A:K,9,0)+VLOOKUP('תפוקה מצטברת מול אשתקד'!A20,'מגדל'!A:K,9,0)+VLOOKUP('תפוקה מצטברת מול אשתקד'!A20,'מנורה'!A:K,9,0)+VLOOKUP('תפוקה מצטברת מול אשתקד'!A20,'איילון'!A:K,9,0)+VLOOKUP('תפוקה מצטברת מול אשתקד'!A20,'הראל'!A:K,9,0)+VLOOKUP('תפוקה מצטברת מול אשתקד'!A20,'הפניקס'!A:K,9,0)+VLOOKUP('תפוקה מצטברת מול אשתקד'!A20,'כלל'!A:K,9,0)+VLOOKUP('תפוקה מצטברת מול אשתקד'!A20,'מור'!A:K,9,0)+VLOOKUP('תפוקה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אשתקד'!A20,'אינפניטי'!A:K,9,0)</f>
        <v>0</v>
      </c>
      <c r="N20" s="19">
        <f>VLOOKUP(A20,'הכשרה'!A:K,10,0)+VLOOKUP('תפוקה מצטברת מול אשתקד'!A20,'מגדל'!A:K,10,0)+VLOOKUP('תפוקה מצטברת מול אשתקד'!A20,'מנורה'!A:K,10,0)+VLOOKUP('תפוקה מצטברת מול אשתקד'!A20,'איילון'!A:K,10,0)+VLOOKUP('תפוקה מצטברת מול אשתקד'!A20,'הראל'!A:K,10,0)+VLOOKUP('תפוקה מצטברת מול אשתקד'!A20,'הפניקס'!A:K,10,0)+VLOOKUP('תפוקה מצטברת מול אשתקד'!A20,'כלל'!A:K,10,0)+VLOOKUP('תפוקה מצטברת מול אשתקד'!A20,'מור'!A:K,10,0)+VLOOKUP('תפוקה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אשתקד'!A20,'אינפניטי'!A:K,10,0)</f>
        <v>0</v>
      </c>
      <c r="O20" s="19">
        <f>VLOOKUP(A20,'הכשרה'!A:K,11,0)+VLOOKUP('תפוקה מצטברת מול אשתקד'!A20,'מגדל'!A:K,11,0)+VLOOKUP('תפוקה מצטברת מול אשתקד'!A20,'מנורה'!A:K,11,0)+VLOOKUP('תפוקה מצטברת מול אשתקד'!A20,'איילון'!A:K,11,0)+VLOOKUP('תפוקה מצטברת מול אשתקד'!A20,'הראל'!A:K,11,0)+VLOOKUP('תפוקה מצטברת מול אשתקד'!A20,'הפניקס'!A:K,11,0)+VLOOKUP('תפוקה מצטברת מול אשתקד'!A20,'כלל'!A:K,11,0)+VLOOKUP('תפוקה מצטברת מול אשתקד'!A20,'מור'!A:K,11,0)+VLOOKUP('תפוקה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אשתקד'!A20,'אינפניטי'!A:K,11,0)</f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1" t="s">
        <v>34</v>
      </c>
      <c r="B21" s="1" t="s">
        <v>14</v>
      </c>
      <c r="C21" s="21" t="s">
        <v>22</v>
      </c>
      <c r="D21" s="22">
        <f t="shared" ref="D21:F21" si="24">IF(H21=0,0%,IF(L21=0,100%,H21/L21-1))</f>
        <v>0</v>
      </c>
      <c r="E21" s="22">
        <f t="shared" si="24"/>
        <v>0</v>
      </c>
      <c r="F21" s="22">
        <f t="shared" si="24"/>
        <v>0</v>
      </c>
      <c r="G21" s="17">
        <f t="shared" ref="G21:G30" si="26">IF(K21=0,0%,IF(O21=H44,100%,K21/O21-1))</f>
        <v>0</v>
      </c>
      <c r="H21" s="18">
        <f>VLOOKUP(A21,'הכשרה'!A:G,4,0)+VLOOKUP('תפוקה מצטברת מול אשתקד'!A21,'מגדל'!A:G,4,0)+VLOOKUP('תפוקה מצטברת מול אשתקד'!A21,'מנורה'!A:G,4,0)+VLOOKUP('תפוקה מצטברת מול אשתקד'!A21,'איילון'!A:G,4,0)+VLOOKUP('תפוקה מצטברת מול אשתקד'!A21,'הראל'!A:G,4,0)+VLOOKUP('תפוקה מצטברת מול אשתקד'!A21,'הפניקס'!A:G,4,0)+VLOOKUP('תפוקה מצטברת מול אשתקד'!A21,'כלל'!A:G,4,0)+VLOOKUP('תפוקה מצטברת מול אשתקד'!A21,'מור'!A:G,4,0)+VLOOKUP('תפוקה מצטברת מול אשתקד'!A21,'אלטשולר שחם'!A:G,4,0)+VLOOKUP('תפוקה מצטברת מול אשתקד'!A21,'מדיהו '!A:G,4,0)+VLOOKUP('תפוקה מצטברת מול אשתקד'!A21,'אנליסט '!A:G,4,0)+VLOOKUP('תפוקה מצטברת מול אשתקד'!A21,'מיטב דש'!A:G,4,0)+VLOOKUP('תפוקה מצטברת מול אשתקד'!A21,'אינפניטי'!A:G,4,0)</f>
        <v>0</v>
      </c>
      <c r="I21" s="18">
        <f>VLOOKUP(A21,'הכשרה'!A:G,5,0)+VLOOKUP('תפוקה מצטברת מול אשתקד'!A21,'מגדל'!A:G,5,0)+VLOOKUP('תפוקה מצטברת מול אשתקד'!A21,'מנורה'!A:G,5,0)+VLOOKUP('תפוקה מצטברת מול אשתקד'!A21,'איילון'!A:G,5,0)+VLOOKUP('תפוקה מצטברת מול אשתקד'!A21,'הראל'!A:G,5,0)+VLOOKUP('תפוקה מצטברת מול אשתקד'!A21,'הפניקס'!A:G,5,0)+VLOOKUP('תפוקה מצטברת מול אשתקד'!A21,'כלל'!A:G,5,0)+VLOOKUP('תפוקה מצטברת מול אשתקד'!A21,'מור'!A:G,5,0)+VLOOKUP('תפוקה מצטברת מול אשתקד'!A21,'אלטשולר שחם'!A:G,5,0)+VLOOKUP('תפוקה מצטברת מול אשתקד'!A21,'מדיהו '!A:G,5,0)+VLOOKUP('תפוקה מצטברת מול אשתקד'!A21,'אנליסט '!A:G,5,0)+VLOOKUP('תפוקה מצטברת מול אשתקד'!A21,'מיטב דש'!A:G,5,0)+VLOOKUP('תפוקה מצטברת מול אשתקד'!A21,'אינפניטי'!A:G,5,0)</f>
        <v>0</v>
      </c>
      <c r="J21" s="18">
        <f>VLOOKUP(A21,'הכשרה'!A:G,6,0)+VLOOKUP('תפוקה מצטברת מול אשתקד'!A21,'מגדל'!A:G,6,0)+VLOOKUP('תפוקה מצטברת מול אשתקד'!A21,'מנורה'!A:G,6,0)+VLOOKUP('תפוקה מצטברת מול אשתקד'!A21,'איילון'!A:G,6,0)+VLOOKUP(A21,'הראל'!A:G,6,0)+VLOOKUP('תפוקה מצטברת מול אשתקד'!A21,'הפניקס'!A:G,6,0)+VLOOKUP('תפוקה מצטברת מול אשתקד'!A21,'כלל'!A:G,6,0)+VLOOKUP('תפוקה מצטברת מול אשתקד'!A21,'מור'!A:G,6,0)+VLOOKUP('תפוקה מצטברת מול אשתקד'!A21,'אלטשולר שחם'!A:G,6,0)+VLOOKUP('תפוקה מצטברת מול אשתקד'!A21,'מדיהו '!A:G,6,0)+VLOOKUP('תפוקה מצטברת מול אשתקד'!A21,'אנליסט '!A:G,6,0)+VLOOKUP('תפוקה מצטברת מול אשתקד'!A21,'מיטב דש'!A:G,6,0)+VLOOKUP('תפוקה מצטברת מול אשתקד'!A21,'אינפניטי'!A:G,6,0)</f>
        <v>0</v>
      </c>
      <c r="K21" s="18">
        <f>VLOOKUP(A21,'הכשרה'!A:G,7,0)+VLOOKUP('תפוקה מצטברת מול אשתקד'!A21,'מגדל'!A:G,7,0)+VLOOKUP('תפוקה מצטברת מול אשתקד'!A21,'מנורה'!A:G,7,0)+VLOOKUP('תפוקה מצטברת מול אשתקד'!A21,'איילון'!A:G,7,0)+VLOOKUP('תפוקה מצטברת מול אשתקד'!A21,'הראל'!A:G,7,0)+VLOOKUP('תפוקה מצטברת מול אשתקד'!A21,'הפניקס'!A:G,7,0)+VLOOKUP('תפוקה מצטברת מול אשתקד'!A21,'כלל'!A:G,7,0)+VLOOKUP('תפוקה מצטברת מול אשתקד'!A21,'מור'!A:G,7,0)+VLOOKUP('תפוקה מצטברת מול אשתקד'!A21,'אלטשולר שחם'!A:G,7,0)+VLOOKUP('תפוקה מצטברת מול אשתקד'!A21,'מדיהו '!A:K,7,0)+VLOOKUP(A21,'אנליסט '!A:G,7,0)+VLOOKUP('תפוקה מצטברת מול אשתקד'!A21,'מיטב דש'!A:G,7,0)+VLOOKUP('תפוקה מצטברת מול אשתקד'!A21,'אינפניטי'!A:G,7,0)</f>
        <v>0</v>
      </c>
      <c r="L21" s="19">
        <f>VLOOKUP(A21,'הכשרה'!A:K,8,0)+VLOOKUP('תפוקה מצטברת מול אשתקד'!A21,'מגדל'!A:K,8,0)+VLOOKUP('תפוקה מצטברת מול אשתקד'!A21,'מנורה'!A:K,8,0)+VLOOKUP('תפוקה מצטברת מול אשתקד'!A21,'איילון'!A:K,8,0)+VLOOKUP('תפוקה מצטברת מול אשתקד'!A21,'הראל'!A:K,8,0)+VLOOKUP('תפוקה מצטברת מול אשתקד'!A21,'הפניקס'!A:K,8,0)+VLOOKUP('תפוקה מצטברת מול אשתקד'!A21,'כלל'!A:K,8,0)+VLOOKUP('תפוקה מצטברת מול אשתקד'!A21,'מור'!A:K,8,0)+VLOOKUP('תפוקה מצטברת מול אשתקד'!A21,'אלטשולר שחם'!A:K,8,0)+VLOOKUP('תפוקה מצטברת מול אשתקד'!A21,'מדיהו '!A:K,8,0)+VLOOKUP('תפוקה מצטברת מול אשתקד'!A21,'אנליסט '!A:K,8,0)+VLOOKUP('תפוקה מצטברת מול אשתקד'!A21,'מיטב דש'!A:K,8,0)+VLOOKUP('תפוקה מצטברת מול אשתקד'!A21,'אינפניטי'!A:K,8,0)</f>
        <v>0</v>
      </c>
      <c r="M21" s="19">
        <f>VLOOKUP(A21,'הכשרה'!A:K,9,0)+VLOOKUP('תפוקה מצטברת מול אשתקד'!A21,'מגדל'!A:K,9,0)+VLOOKUP('תפוקה מצטברת מול אשתקד'!A21,'מנורה'!A:K,9,0)+VLOOKUP('תפוקה מצטברת מול אשתקד'!A21,'איילון'!A:K,9,0)+VLOOKUP('תפוקה מצטברת מול אשתקד'!A21,'הראל'!A:K,9,0)+VLOOKUP('תפוקה מצטברת מול אשתקד'!A21,'הפניקס'!A:K,9,0)+VLOOKUP('תפוקה מצטברת מול אשתקד'!A21,'כלל'!A:K,9,0)+VLOOKUP('תפוקה מצטברת מול אשתקד'!A21,'מור'!A:K,9,0)+VLOOKUP('תפוקה מצטברת מול אשתקד'!A21,'אלטשולר שחם'!A:K,9,0)+VLOOKUP('תפוקה מצטברת מול אשתקד'!A21,'מדיהו '!A:K,9,0)+VLOOKUP('תפוקה מצטברת מול אשתקד'!A21,'אנליסט '!A:K,9,0)+VLOOKUP('תפוקה מצטברת מול אשתקד'!A21,'מיטב דש'!A:K,9,0)+VLOOKUP('תפוקה מצטברת מול אשתקד'!A21,'אינפניטי'!A:K,9,0)</f>
        <v>4120.683044</v>
      </c>
      <c r="N21" s="19">
        <f>VLOOKUP(A21,'הכשרה'!A:K,10,0)+VLOOKUP('תפוקה מצטברת מול אשתקד'!A21,'מגדל'!A:K,10,0)+VLOOKUP('תפוקה מצטברת מול אשתקד'!A21,'מנורה'!A:K,10,0)+VLOOKUP('תפוקה מצטברת מול אשתקד'!A21,'איילון'!A:K,10,0)+VLOOKUP('תפוקה מצטברת מול אשתקד'!A21,'הראל'!A:K,10,0)+VLOOKUP('תפוקה מצטברת מול אשתקד'!A21,'הפניקס'!A:K,10,0)+VLOOKUP('תפוקה מצטברת מול אשתקד'!A21,'כלל'!A:K,10,0)+VLOOKUP('תפוקה מצטברת מול אשתקד'!A21,'מור'!A:K,10,0)+VLOOKUP('תפוקה מצטברת מול אשתקד'!A21,'אלטשולר שחם'!A:K,10,0)+VLOOKUP('תפוקה מצטברת מול אשתקד'!A21,'מדיהו '!A:K,10,0)+VLOOKUP('תפוקה מצטברת מול אשתקד'!A21,'אנליסט '!A:K,10,0)+VLOOKUP('תפוקה מצטברת מול אשתקד'!A21,'מיטב דש'!A:K,10,0)+VLOOKUP('תפוקה מצטברת מול אשתקד'!A21,'אינפניטי'!A:K,10,0)</f>
        <v>147099.029</v>
      </c>
      <c r="O21" s="19">
        <f>VLOOKUP(A21,'הכשרה'!A:K,11,0)+VLOOKUP('תפוקה מצטברת מול אשתקד'!A21,'מגדל'!A:K,11,0)+VLOOKUP('תפוקה מצטברת מול אשתקד'!A21,'מנורה'!A:K,11,0)+VLOOKUP('תפוקה מצטברת מול אשתקד'!A21,'איילון'!A:K,11,0)+VLOOKUP('תפוקה מצטברת מול אשתקד'!A21,'הראל'!A:K,11,0)+VLOOKUP('תפוקה מצטברת מול אשתקד'!A21,'הפניקס'!A:K,11,0)+VLOOKUP('תפוקה מצטברת מול אשתקד'!A21,'כלל'!A:K,11,0)+VLOOKUP('תפוקה מצטברת מול אשתקד'!A21,'מור'!A:K,11,0)+VLOOKUP('תפוקה מצטברת מול אשתקד'!A21,'אלטשולר שחם'!A:K,11,0)+VLOOKUP('תפוקה מצטברת מול אשתקד'!A21,'מדיהו '!A:K,11,0)+VLOOKUP('תפוקה מצטברת מול אשתקד'!A21,'אנליסט '!A:K,11,0)+VLOOKUP('תפוקה מצטברת מול אשתקד'!A21,'מיטב דש'!A:K,11,0)+VLOOKUP('תפוקה מצטברת מול אשתקד'!A21,'אינפניטי'!A:K,11,0)</f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24" t="s">
        <v>35</v>
      </c>
      <c r="B22" s="25"/>
      <c r="C22" s="25"/>
      <c r="D22" s="26">
        <f t="shared" ref="D22:F22" si="25">IF(H22=0,0%,IF(L22=0,100%,H22/L22-1))</f>
        <v>0.05286830856</v>
      </c>
      <c r="E22" s="26">
        <f t="shared" si="25"/>
        <v>0.4356069829</v>
      </c>
      <c r="F22" s="26">
        <f t="shared" si="25"/>
        <v>-0.3030379848</v>
      </c>
      <c r="G22" s="17">
        <f t="shared" si="26"/>
        <v>-0.5445276126</v>
      </c>
      <c r="H22" s="27">
        <f t="shared" ref="H22:O22" si="27">SUM(H9:H21)</f>
        <v>3089301.614</v>
      </c>
      <c r="I22" s="27">
        <f t="shared" si="27"/>
        <v>1714930.906</v>
      </c>
      <c r="J22" s="27">
        <f t="shared" si="27"/>
        <v>16341208.02</v>
      </c>
      <c r="K22" s="27">
        <f t="shared" si="27"/>
        <v>7184904.92</v>
      </c>
      <c r="L22" s="27">
        <f t="shared" si="27"/>
        <v>2934176.657</v>
      </c>
      <c r="M22" s="27">
        <f t="shared" si="27"/>
        <v>1194568.518</v>
      </c>
      <c r="N22" s="27">
        <f t="shared" si="27"/>
        <v>23446339.49</v>
      </c>
      <c r="O22" s="27">
        <f t="shared" si="27"/>
        <v>15774622.39</v>
      </c>
      <c r="P22" s="29"/>
      <c r="Q22" s="29"/>
      <c r="R22" s="29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3" t="s">
        <v>36</v>
      </c>
      <c r="B23" s="23" t="s">
        <v>37</v>
      </c>
      <c r="C23" s="23" t="s">
        <v>38</v>
      </c>
      <c r="D23" s="28">
        <f t="shared" ref="D23:F23" si="28">IF(H23=0,0%,IF(L23=0,100%,H23/L23-1))</f>
        <v>-0.1742131077</v>
      </c>
      <c r="E23" s="28">
        <f t="shared" si="28"/>
        <v>-0.01550917903</v>
      </c>
      <c r="F23" s="28">
        <f t="shared" si="28"/>
        <v>-0.7623002985</v>
      </c>
      <c r="G23" s="17">
        <f t="shared" si="26"/>
        <v>-0.2641725308</v>
      </c>
      <c r="H23" s="18">
        <f>VLOOKUP(A23,'הכשרה'!A:G,4,0)+VLOOKUP('תפוקה מצטברת מול אשתקד'!A23,'מגדל'!A:G,4,0)+VLOOKUP('תפוקה מצטברת מול אשתקד'!A23,'מנורה'!A:G,4,0)+VLOOKUP('תפוקה מצטברת מול אשתקד'!A23,'איילון'!A:G,4,0)+VLOOKUP('תפוקה מצטברת מול אשתקד'!A23,'הראל'!A:G,4,0)+VLOOKUP('תפוקה מצטברת מול אשתקד'!A23,'הפניקס'!A:G,4,0)+VLOOKUP('תפוקה מצטברת מול אשתקד'!A23,'כלל'!A:G,4,0)+VLOOKUP('תפוקה מצטברת מול אשתקד'!A23,'מור'!A:G,4,0)+VLOOKUP('תפוקה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אשתקד'!A23,'אינפניטי'!A:G,4,0)</f>
        <v>809886.0115</v>
      </c>
      <c r="I23" s="18">
        <f>VLOOKUP(A23,'הכשרה'!A:G,5,0)+VLOOKUP('תפוקה מצטברת מול אשתקד'!A23,'מגדל'!A:G,5,0)+VLOOKUP('תפוקה מצטברת מול אשתקד'!A23,'מנורה'!A:G,5,0)+VLOOKUP('תפוקה מצטברת מול אשתקד'!A23,'איילון'!A:G,5,0)+VLOOKUP('תפוקה מצטברת מול אשתקד'!A23,'הראל'!A:G,5,0)+VLOOKUP('תפוקה מצטברת מול אשתקד'!A23,'הפניקס'!A:G,5,0)+VLOOKUP('תפוקה מצטברת מול אשתקד'!A23,'כלל'!A:G,5,0)+VLOOKUP('תפוקה מצטברת מול אשתקד'!A23,'מור'!A:G,5,0)+VLOOKUP('תפוקה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אשתקד'!A23,'אינפניטי'!A:G,5,0)</f>
        <v>125595.537</v>
      </c>
      <c r="J23" s="18">
        <f>VLOOKUP(A23,'הכשרה'!A:G,6,0)+VLOOKUP('תפוקה מצטברת מול אשתקד'!A23,'מגדל'!A:G,6,0)+VLOOKUP('תפוקה מצטברת מול אשתקד'!A23,'מנורה'!A:G,6,0)+VLOOKUP('תפוקה מצטברת מול אשתקד'!A23,'איילון'!A:G,6,0)+VLOOKUP(A23,'הראל'!A:G,6,0)+VLOOKUP('תפוקה מצטברת מול אשתקד'!A23,'הפניקס'!A:G,6,0)+VLOOKUP('תפוקה מצטברת מול אשתקד'!A23,'כלל'!A:G,6,0)+VLOOKUP('תפוקה מצטברת מול אשתקד'!A23,'מור'!A:G,6,0)+VLOOKUP('תפוקה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אשתקד'!A23,'אינפניטי'!A:G,6,0)</f>
        <v>330864.84</v>
      </c>
      <c r="K23" s="18">
        <f>VLOOKUP(A23,'הכשרה'!A:G,7,0)+VLOOKUP('תפוקה מצטברת מול אשתקד'!A23,'מגדל'!A:G,7,0)+VLOOKUP('תפוקה מצטברת מול אשתקד'!A23,'מנורה'!A:G,7,0)+VLOOKUP('תפוקה מצטברת מול אשתקד'!A23,'איילון'!A:G,7,0)+VLOOKUP('תפוקה מצטברת מול אשתקד'!A23,'הראל'!A:G,7,0)+VLOOKUP('תפוקה מצטברת מול אשתקד'!A23,'הפניקס'!A:G,7,0)+VLOOKUP('תפוקה מצטברת מול אשתקד'!A23,'כלל'!A:G,7,0)+VLOOKUP('תפוקה מצטברת מול אשתקד'!A23,'מור'!A:G,7,0)+VLOOKUP('תפוקה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אשתקד'!A23,'אינפניטי'!A:G,7,0)</f>
        <v>2854242.49</v>
      </c>
      <c r="L23" s="19">
        <f>VLOOKUP(A23,'הכשרה'!A:K,8,0)+VLOOKUP('תפוקה מצטברת מול אשתקד'!A23,'מגדל'!A:K,8,0)+VLOOKUP('תפוקה מצטברת מול אשתקד'!A23,'מנורה'!A:K,8,0)+VLOOKUP('תפוקה מצטברת מול אשתקד'!A23,'איילון'!A:K,8,0)+VLOOKUP('תפוקה מצטברת מול אשתקד'!A23,'הראל'!A:K,8,0)+VLOOKUP('תפוקה מצטברת מול אשתקד'!A23,'הפניקס'!A:K,8,0)+VLOOKUP('תפוקה מצטברת מול אשתקד'!A23,'כלל'!A:K,8,0)+VLOOKUP('תפוקה מצטברת מול אשתקד'!A23,'מור'!A:K,8,0)+VLOOKUP('תפוקה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אשתקד'!A23,'אינפניטי'!A:K,8,0)</f>
        <v>980744.5711</v>
      </c>
      <c r="M23" s="19">
        <f>VLOOKUP(A23,'הכשרה'!A:K,9,0)+VLOOKUP('תפוקה מצטברת מול אשתקד'!A23,'מגדל'!A:K,9,0)+VLOOKUP('תפוקה מצטברת מול אשתקד'!A23,'מנורה'!A:K,9,0)+VLOOKUP('תפוקה מצטברת מול אשתקד'!A23,'איילון'!A:K,9,0)+VLOOKUP('תפוקה מצטברת מול אשתקד'!A23,'הראל'!A:K,9,0)+VLOOKUP('תפוקה מצטברת מול אשתקד'!A23,'הפניקס'!A:K,9,0)+VLOOKUP('תפוקה מצטברת מול אשתקד'!A23,'כלל'!A:K,9,0)+VLOOKUP('תפוקה מצטברת מול אשתקד'!A23,'מור'!A:K,9,0)+VLOOKUP('תפוקה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אשתקד'!A23,'אינפניטי'!A:K,9,0)</f>
        <v>127574.1067</v>
      </c>
      <c r="N23" s="19">
        <f>VLOOKUP(A23,'הכשרה'!A:K,10,0)+VLOOKUP('תפוקה מצטברת מול אשתקד'!A23,'מגדל'!A:K,10,0)+VLOOKUP('תפוקה מצטברת מול אשתקד'!A23,'מנורה'!A:K,10,0)+VLOOKUP('תפוקה מצטברת מול אשתקד'!A23,'איילון'!A:K,10,0)+VLOOKUP('תפוקה מצטברת מול אשתקד'!A23,'הראל'!A:K,10,0)+VLOOKUP('תפוקה מצטברת מול אשתקד'!A23,'הפניקס'!A:K,10,0)+VLOOKUP('תפוקה מצטברת מול אשתקד'!A23,'כלל'!A:K,10,0)+VLOOKUP('תפוקה מצטברת מול אשתקד'!A23,'מור'!A:K,10,0)+VLOOKUP('תפוקה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אשתקד'!A23,'אינפניטי'!A:K,10,0)</f>
        <v>1391944.701</v>
      </c>
      <c r="O23" s="19">
        <f>VLOOKUP(A23,'הכשרה'!A:K,11,0)+VLOOKUP('תפוקה מצטברת מול אשתקד'!A23,'מגדל'!A:K,11,0)+VLOOKUP('תפוקה מצטברת מול אשתקד'!A23,'מנורה'!A:K,11,0)+VLOOKUP('תפוקה מצטברת מול אשתקד'!A23,'איילון'!A:K,11,0)+VLOOKUP('תפוקה מצטברת מול אשתקד'!A23,'הראל'!A:K,11,0)+VLOOKUP('תפוקה מצטברת מול אשתקד'!A23,'הפניקס'!A:K,11,0)+VLOOKUP('תפוקה מצטברת מול אשתקד'!A23,'כלל'!A:K,11,0)+VLOOKUP('תפוקה מצטברת מול אשתקד'!A23,'מור'!A:K,11,0)+VLOOKUP('תפוקה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אשתקד'!A23,'אינפניטי'!A:K,11,0)</f>
        <v>3878956.154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0" t="s">
        <v>39</v>
      </c>
      <c r="B24" s="1" t="s">
        <v>37</v>
      </c>
      <c r="C24" s="23" t="s">
        <v>38</v>
      </c>
      <c r="D24" s="17">
        <f t="shared" ref="D24:F24" si="29">IF(H24=0,0%,IF(L24=0,100%,H24/L24-1))</f>
        <v>0</v>
      </c>
      <c r="E24" s="17">
        <f t="shared" si="29"/>
        <v>-0.7827264086</v>
      </c>
      <c r="F24" s="17">
        <f t="shared" si="29"/>
        <v>0</v>
      </c>
      <c r="G24" s="17">
        <f t="shared" si="26"/>
        <v>-0.974013766</v>
      </c>
      <c r="H24" s="18">
        <f>VLOOKUP(A24,'הכשרה'!A:G,4,0)+VLOOKUP('תפוקה מצטברת מול אשתקד'!A24,'מגדל'!A:G,4,0)+VLOOKUP('תפוקה מצטברת מול אשתקד'!A24,'מנורה'!A:G,4,0)+VLOOKUP('תפוקה מצטברת מול אשתקד'!A24,'איילון'!A:G,4,0)+VLOOKUP('תפוקה מצטברת מול אשתקד'!A24,'הראל'!A:G,4,0)+VLOOKUP('תפוקה מצטברת מול אשתקד'!A24,'הפניקס'!A:G,4,0)+VLOOKUP('תפוקה מצטברת מול אשתקד'!A24,'כלל'!A:G,4,0)+VLOOKUP('תפוקה מצטברת מול אשתקד'!A24,'מור'!A:G,4,0)+VLOOKUP('תפוקה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אשתקד'!A24,'אינפניטי'!A:G,4,0)</f>
        <v>0</v>
      </c>
      <c r="I24" s="18">
        <f>VLOOKUP(A24,'הכשרה'!A:G,5,0)+VLOOKUP('תפוקה מצטברת מול אשתקד'!A24,'מגדל'!A:G,5,0)+VLOOKUP('תפוקה מצטברת מול אשתקד'!A24,'מנורה'!A:G,5,0)+VLOOKUP('תפוקה מצטברת מול אשתקד'!A24,'איילון'!A:G,5,0)+VLOOKUP('תפוקה מצטברת מול אשתקד'!A24,'הראל'!A:G,5,0)+VLOOKUP('תפוקה מצטברת מול אשתקד'!A24,'הפניקס'!A:G,5,0)+VLOOKUP('תפוקה מצטברת מול אשתקד'!A24,'כלל'!A:G,5,0)+VLOOKUP('תפוקה מצטברת מול אשתקד'!A24,'מור'!A:G,5,0)+VLOOKUP('תפוקה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אשתקד'!A24,'אינפניטי'!A:G,5,0)</f>
        <v>3083.808349</v>
      </c>
      <c r="J24" s="18">
        <f>VLOOKUP(A24,'הכשרה'!A:G,6,0)+VLOOKUP('תפוקה מצטברת מול אשתקד'!A24,'מגדל'!A:G,6,0)+VLOOKUP('תפוקה מצטברת מול אשתקד'!A24,'מנורה'!A:G,6,0)+VLOOKUP('תפוקה מצטברת מול אשתקד'!A24,'איילון'!A:G,6,0)+VLOOKUP(A24,'הראל'!A:G,6,0)+VLOOKUP('תפוקה מצטברת מול אשתקד'!A24,'הפניקס'!A:G,6,0)+VLOOKUP('תפוקה מצטברת מול אשתקד'!A24,'כלל'!A:G,6,0)+VLOOKUP('תפוקה מצטברת מול אשתקד'!A24,'מור'!A:G,6,0)+VLOOKUP('תפוקה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אשתקד'!A24,'אינפניטי'!A:G,6,0)</f>
        <v>0</v>
      </c>
      <c r="K24" s="18">
        <f>VLOOKUP(A24,'הכשרה'!A:G,7,0)+VLOOKUP('תפוקה מצטברת מול אשתקד'!A24,'מגדל'!A:G,7,0)+VLOOKUP('תפוקה מצטברת מול אשתקד'!A24,'מנורה'!A:G,7,0)+VLOOKUP('תפוקה מצטברת מול אשתקד'!A24,'איילון'!A:G,7,0)+VLOOKUP('תפוקה מצטברת מול אשתקד'!A24,'הראל'!A:G,7,0)+VLOOKUP('תפוקה מצטברת מול אשתקד'!A24,'הפניקס'!A:G,7,0)+VLOOKUP('תפוקה מצטברת מול אשתקד'!A24,'כלל'!A:G,7,0)+VLOOKUP('תפוקה מצטברת מול אשתקד'!A24,'מור'!A:G,7,0)+VLOOKUP('תפוקה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אשתקד'!A24,'אינפניטי'!A:G,7,0)</f>
        <v>-11711.17</v>
      </c>
      <c r="L24" s="19">
        <f>VLOOKUP(A24,'הכשרה'!A:K,8,0)+VLOOKUP('תפוקה מצטברת מול אשתקד'!A24,'מגדל'!A:K,8,0)+VLOOKUP('תפוקה מצטברת מול אשתקד'!A24,'מנורה'!A:K,8,0)+VLOOKUP('תפוקה מצטברת מול אשתקד'!A24,'איילון'!A:K,8,0)+VLOOKUP('תפוקה מצטברת מול אשתקד'!A24,'הראל'!A:K,8,0)+VLOOKUP('תפוקה מצטברת מול אשתקד'!A24,'הפניקס'!A:K,8,0)+VLOOKUP('תפוקה מצטברת מול אשתקד'!A24,'כלל'!A:K,8,0)+VLOOKUP('תפוקה מצטברת מול אשתקד'!A24,'מור'!A:K,8,0)+VLOOKUP('תפוקה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אשתקד'!A24,'אינפניטי'!A:K,8,0)</f>
        <v>92069.84165</v>
      </c>
      <c r="M24" s="19">
        <f>VLOOKUP(A24,'הכשרה'!A:K,9,0)+VLOOKUP('תפוקה מצטברת מול אשתקד'!A24,'מגדל'!A:K,9,0)+VLOOKUP('תפוקה מצטברת מול אשתקד'!A24,'מנורה'!A:K,9,0)+VLOOKUP('תפוקה מצטברת מול אשתקד'!A24,'איילון'!A:K,9,0)+VLOOKUP('תפוקה מצטברת מול אשתקד'!A24,'הראל'!A:K,9,0)+VLOOKUP('תפוקה מצטברת מול אשתקד'!A24,'הפניקס'!A:K,9,0)+VLOOKUP('תפוקה מצטברת מול אשתקד'!A24,'כלל'!A:K,9,0)+VLOOKUP('תפוקה מצטברת מול אשתקד'!A24,'מור'!A:K,9,0)+VLOOKUP('תפוקה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אשתקד'!A24,'אינפניטי'!A:K,9,0)</f>
        <v>14193.20374</v>
      </c>
      <c r="N24" s="19">
        <f>VLOOKUP(A24,'הכשרה'!A:K,10,0)+VLOOKUP('תפוקה מצטברת מול אשתקד'!A24,'מגדל'!A:K,10,0)+VLOOKUP('תפוקה מצטברת מול אשתקד'!A24,'מנורה'!A:K,10,0)+VLOOKUP('תפוקה מצטברת מול אשתקד'!A24,'איילון'!A:K,10,0)+VLOOKUP('תפוקה מצטברת מול אשתקד'!A24,'הראל'!A:K,10,0)+VLOOKUP('תפוקה מצטברת מול אשתקד'!A24,'הפניקס'!A:K,10,0)+VLOOKUP('תפוקה מצטברת מול אשתקד'!A24,'כלל'!A:K,10,0)+VLOOKUP('תפוקה מצטברת מול אשתקד'!A24,'מור'!A:K,10,0)+VLOOKUP('תפוקה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אשתקד'!A24,'אינפניטי'!A:K,10,0)</f>
        <v>238023.9076</v>
      </c>
      <c r="O24" s="19">
        <f>VLOOKUP(A24,'הכשרה'!A:K,11,0)+VLOOKUP('תפוקה מצטברת מול אשתקד'!A24,'מגדל'!A:K,11,0)+VLOOKUP('תפוקה מצטברת מול אשתקד'!A24,'מנורה'!A:K,11,0)+VLOOKUP('תפוקה מצטברת מול אשתקד'!A24,'איילון'!A:K,11,0)+VLOOKUP('תפוקה מצטברת מול אשתקד'!A24,'הראל'!A:K,11,0)+VLOOKUP('תפוקה מצטברת מול אשתקד'!A24,'הפניקס'!A:K,11,0)+VLOOKUP('תפוקה מצטברת מול אשתקד'!A24,'כלל'!A:K,11,0)+VLOOKUP('תפוקה מצטברת מול אשתקד'!A24,'מור'!A:K,11,0)+VLOOKUP('תפוקה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אשתקד'!A24,'אינפניטי'!A:K,11,0)</f>
        <v>-450668.227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0" t="s">
        <v>40</v>
      </c>
      <c r="B25" s="1" t="s">
        <v>37</v>
      </c>
      <c r="C25" s="23" t="s">
        <v>38</v>
      </c>
      <c r="D25" s="17">
        <f t="shared" ref="D25:F25" si="30">IF(H25=0,0%,IF(L25=0,100%,H25/L25-1))</f>
        <v>0.9965724118</v>
      </c>
      <c r="E25" s="17">
        <f t="shared" si="30"/>
        <v>-0.4326187515</v>
      </c>
      <c r="F25" s="17">
        <f t="shared" si="30"/>
        <v>-0.907147882</v>
      </c>
      <c r="G25" s="17">
        <f t="shared" si="26"/>
        <v>1.38951429</v>
      </c>
      <c r="H25" s="18">
        <f>VLOOKUP(A25,'הכשרה'!A:G,4,0)+VLOOKUP('תפוקה מצטברת מול אשתקד'!A25,'מגדל'!A:G,4,0)+VLOOKUP('תפוקה מצטברת מול אשתקד'!A25,'מנורה'!A:G,4,0)+VLOOKUP('תפוקה מצטברת מול אשתקד'!A25,'איילון'!A:G,4,0)+VLOOKUP('תפוקה מצטברת מול אשתקד'!A25,'הראל'!A:G,4,0)+VLOOKUP('תפוקה מצטברת מול אשתקד'!A25,'הפניקס'!A:G,4,0)+VLOOKUP('תפוקה מצטברת מול אשתקד'!A25,'כלל'!A:G,4,0)+VLOOKUP('תפוקה מצטברת מול אשתקד'!A25,'מור'!A:G,4,0)+VLOOKUP('תפוקה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אשתקד'!A25,'אינפניטי'!A:G,4,0)</f>
        <v>28190.67325</v>
      </c>
      <c r="I25" s="18">
        <f>VLOOKUP(A25,'הכשרה'!A:G,5,0)+VLOOKUP('תפוקה מצטברת מול אשתקד'!A25,'מגדל'!A:G,5,0)+VLOOKUP('תפוקה מצטברת מול אשתקד'!A25,'מנורה'!A:G,5,0)+VLOOKUP('תפוקה מצטברת מול אשתקד'!A25,'איילון'!A:G,5,0)+VLOOKUP('תפוקה מצטברת מול אשתקד'!A25,'הראל'!A:G,5,0)+VLOOKUP('תפוקה מצטברת מול אשתקד'!A25,'הפניקס'!A:G,5,0)+VLOOKUP('תפוקה מצטברת מול אשתקד'!A25,'כלל'!A:G,5,0)+VLOOKUP('תפוקה מצטברת מול אשתקד'!A25,'מור'!A:G,5,0)+VLOOKUP('תפוקה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אשתקד'!A25,'אינפניטי'!A:G,5,0)</f>
        <v>12804.42403</v>
      </c>
      <c r="J25" s="18">
        <f>VLOOKUP(A25,'הכשרה'!A:G,6,0)+VLOOKUP('תפוקה מצטברת מול אשתקד'!A25,'מגדל'!A:G,6,0)+VLOOKUP('תפוקה מצטברת מול אשתקד'!A25,'מנורה'!A:G,6,0)+VLOOKUP('תפוקה מצטברת מול אשתקד'!A25,'איילון'!A:G,6,0)+VLOOKUP(A25,'הראל'!A:G,6,0)+VLOOKUP('תפוקה מצטברת מול אשתקד'!A25,'הפניקס'!A:G,6,0)+VLOOKUP('תפוקה מצטברת מול אשתקד'!A25,'כלל'!A:G,6,0)+VLOOKUP('תפוקה מצטברת מול אשתקד'!A25,'מור'!A:G,6,0)+VLOOKUP('תפוקה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אשתקד'!A25,'אינפניטי'!A:G,6,0)</f>
        <v>3976.649296</v>
      </c>
      <c r="K25" s="18">
        <f>VLOOKUP(A25,'הכשרה'!A:G,7,0)+VLOOKUP('תפוקה מצטברת מול אשתקד'!A25,'מגדל'!A:G,7,0)+VLOOKUP('תפוקה מצטברת מול אשתקד'!A25,'מנורה'!A:G,7,0)+VLOOKUP('תפוקה מצטברת מול אשתקד'!A25,'איילון'!A:G,7,0)+VLOOKUP('תפוקה מצטברת מול אשתקד'!A25,'הראל'!A:G,7,0)+VLOOKUP('תפוקה מצטברת מול אשתקד'!A25,'הפניקס'!A:G,7,0)+VLOOKUP('תפוקה מצטברת מול אשתקד'!A25,'כלל'!A:G,7,0)+VLOOKUP('תפוקה מצטברת מול אשתקד'!A25,'מור'!A:G,7,0)+VLOOKUP('תפוקה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אשתקד'!A25,'אינפניטי'!A:G,7,0)</f>
        <v>-14017.99</v>
      </c>
      <c r="L25" s="19">
        <f>VLOOKUP(A25,'הכשרה'!A:K,8,0)+VLOOKUP('תפוקה מצטברת מול אשתקד'!A25,'מגדל'!A:K,8,0)+VLOOKUP('תפוקה מצטברת מול אשתקד'!A25,'מנורה'!A:K,8,0)+VLOOKUP('תפוקה מצטברת מול אשתקד'!A25,'איילון'!A:K,8,0)+VLOOKUP('תפוקה מצטברת מול אשתקד'!A25,'הראל'!A:K,8,0)+VLOOKUP('תפוקה מצטברת מול אשתקד'!A25,'הפניקס'!A:K,8,0)+VLOOKUP('תפוקה מצטברת מול אשתקד'!A25,'כלל'!A:K,8,0)+VLOOKUP('תפוקה מצטברת מול אשתקד'!A25,'מור'!A:K,8,0)+VLOOKUP('תפוקה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אשתקד'!A25,'אינפניטי'!A:K,8,0)</f>
        <v>14119.5346</v>
      </c>
      <c r="M25" s="19">
        <f>VLOOKUP(A25,'הכשרה'!A:K,9,0)+VLOOKUP('תפוקה מצטברת מול אשתקד'!A25,'מגדל'!A:K,9,0)+VLOOKUP('תפוקה מצטברת מול אשתקד'!A25,'מנורה'!A:K,9,0)+VLOOKUP('תפוקה מצטברת מול אשתקד'!A25,'איילון'!A:K,9,0)+VLOOKUP('תפוקה מצטברת מול אשתקד'!A25,'הראל'!A:K,9,0)+VLOOKUP('תפוקה מצטברת מול אשתקד'!A25,'הפניקס'!A:K,9,0)+VLOOKUP('תפוקה מצטברת מול אשתקד'!A25,'כלל'!A:K,9,0)+VLOOKUP('תפוקה מצטברת מול אשתקד'!A25,'מור'!A:K,9,0)+VLOOKUP('תפוקה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אשתקד'!A25,'אינפניטי'!A:K,9,0)</f>
        <v>22567.58409</v>
      </c>
      <c r="N25" s="19">
        <f>VLOOKUP(A25,'הכשרה'!A:K,10,0)+VLOOKUP('תפוקה מצטברת מול אשתקד'!A25,'מגדל'!A:K,10,0)+VLOOKUP('תפוקה מצטברת מול אשתקד'!A25,'מנורה'!A:K,10,0)+VLOOKUP('תפוקה מצטברת מול אשתקד'!A25,'איילון'!A:K,10,0)+VLOOKUP('תפוקה מצטברת מול אשתקד'!A25,'הראל'!A:K,10,0)+VLOOKUP('תפוקה מצטברת מול אשתקד'!A25,'הפניקס'!A:K,10,0)+VLOOKUP('תפוקה מצטברת מול אשתקד'!A25,'כלל'!A:K,10,0)+VLOOKUP('תפוקה מצטברת מול אשתקד'!A25,'מור'!A:K,10,0)+VLOOKUP('תפוקה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אשתקד'!A25,'אינפניטי'!A:K,10,0)</f>
        <v>42827.77152</v>
      </c>
      <c r="O25" s="19">
        <f>VLOOKUP(A25,'הכשרה'!A:K,11,0)+VLOOKUP('תפוקה מצטברת מול אשתקד'!A25,'מגדל'!A:K,11,0)+VLOOKUP('תפוקה מצטברת מול אשתקד'!A25,'מנורה'!A:K,11,0)+VLOOKUP('תפוקה מצטברת מול אשתקד'!A25,'איילון'!A:K,11,0)+VLOOKUP('תפוקה מצטברת מול אשתקד'!A25,'הראל'!A:K,11,0)+VLOOKUP('תפוקה מצטברת מול אשתקד'!A25,'הפניקס'!A:K,11,0)+VLOOKUP('תפוקה מצטברת מול אשתקד'!A25,'כלל'!A:K,11,0)+VLOOKUP('תפוקה מצטברת מול אשתקד'!A25,'מור'!A:K,11,0)+VLOOKUP('תפוקה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אשתקד'!A25,'אינפניטי'!A:K,11,0)</f>
        <v>-5866.46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0" t="s">
        <v>41</v>
      </c>
      <c r="B26" s="1" t="s">
        <v>37</v>
      </c>
      <c r="C26" s="23" t="s">
        <v>38</v>
      </c>
      <c r="D26" s="17">
        <f t="shared" ref="D26:F26" si="31">IF(H26=0,0%,IF(L26=0,100%,H26/L26-1))</f>
        <v>-0.09461711454</v>
      </c>
      <c r="E26" s="17">
        <f t="shared" si="31"/>
        <v>0.02197905903</v>
      </c>
      <c r="F26" s="17">
        <f t="shared" si="31"/>
        <v>0.22808777</v>
      </c>
      <c r="G26" s="17">
        <f t="shared" si="26"/>
        <v>2.169114989</v>
      </c>
      <c r="H26" s="18">
        <f>VLOOKUP(A26,'הכשרה'!A:G,4,0)+VLOOKUP('תפוקה מצטברת מול אשתקד'!A26,'מגדל'!A:G,4,0)+VLOOKUP('תפוקה מצטברת מול אשתקד'!A26,'מנורה'!A:G,4,0)+VLOOKUP('תפוקה מצטברת מול אשתקד'!A26,'איילון'!A:G,4,0)+VLOOKUP('תפוקה מצטברת מול אשתקד'!A26,'הראל'!A:G,4,0)+VLOOKUP('תפוקה מצטברת מול אשתקד'!A26,'הפניקס'!A:G,4,0)+VLOOKUP('תפוקה מצטברת מול אשתקד'!A26,'כלל'!A:G,4,0)+VLOOKUP('תפוקה מצטברת מול אשתקד'!A26,'מור'!A:G,4,0)+VLOOKUP('תפוקה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אשתקד'!A26,'אינפניטי'!A:G,4,0)</f>
        <v>1004008.831</v>
      </c>
      <c r="I26" s="18">
        <f>VLOOKUP(A26,'הכשרה'!A:G,5,0)+VLOOKUP('תפוקה מצטברת מול אשתקד'!A26,'מגדל'!A:G,5,0)+VLOOKUP('תפוקה מצטברת מול אשתקד'!A26,'מנורה'!A:G,5,0)+VLOOKUP('תפוקה מצטברת מול אשתקד'!A26,'איילון'!A:G,5,0)+VLOOKUP('תפוקה מצטברת מול אשתקד'!A26,'הראל'!A:G,5,0)+VLOOKUP('תפוקה מצטברת מול אשתקד'!A26,'הפניקס'!A:G,5,0)+VLOOKUP('תפוקה מצטברת מול אשתקד'!A26,'כלל'!A:G,5,0)+VLOOKUP('תפוקה מצטברת מול אשתקד'!A26,'מור'!A:G,5,0)+VLOOKUP('תפוקה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אשתקד'!A26,'אינפניטי'!A:G,5,0)</f>
        <v>105776.9615</v>
      </c>
      <c r="J26" s="18">
        <f>VLOOKUP(A26,'הכשרה'!A:G,6,0)+VLOOKUP('תפוקה מצטברת מול אשתקד'!A26,'מגדל'!A:G,6,0)+VLOOKUP('תפוקה מצטברת מול אשתקד'!A26,'מנורה'!A:G,6,0)+VLOOKUP('תפוקה מצטברת מול אשתקד'!A26,'איילון'!A:G,6,0)+VLOOKUP(A26,'הראל'!A:G,6,0)+VLOOKUP('תפוקה מצטברת מול אשתקד'!A26,'הפניקס'!A:G,6,0)+VLOOKUP('תפוקה מצטברת מול אשתקד'!A26,'כלל'!A:G,6,0)+VLOOKUP('תפוקה מצטברת מול אשתקד'!A26,'מור'!A:G,6,0)+VLOOKUP('תפוקה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אשתקד'!A26,'אינפניטי'!A:G,6,0)</f>
        <v>843545.7344</v>
      </c>
      <c r="K26" s="18">
        <f>VLOOKUP(A26,'הכשרה'!A:G,7,0)+VLOOKUP('תפוקה מצטברת מול אשתקד'!A26,'מגדל'!A:G,7,0)+VLOOKUP('תפוקה מצטברת מול אשתקד'!A26,'מנורה'!A:G,7,0)+VLOOKUP('תפוקה מצטברת מול אשתקד'!A26,'איילון'!A:G,7,0)+VLOOKUP('תפוקה מצטברת מול אשתקד'!A26,'הראל'!A:G,7,0)+VLOOKUP('תפוקה מצטברת מול אשתקד'!A26,'הפניקס'!A:G,7,0)+VLOOKUP('תפוקה מצטברת מול אשתקד'!A26,'כלל'!A:G,7,0)+VLOOKUP('תפוקה מצטברת מול אשתקד'!A26,'מור'!A:G,7,0)+VLOOKUP('תפוקה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אשתקד'!A26,'אינפניטי'!A:G,7,0)</f>
        <v>2127579.39</v>
      </c>
      <c r="L26" s="19">
        <f>VLOOKUP(A26,'הכשרה'!A:K,8,0)+VLOOKUP('תפוקה מצטברת מול אשתקד'!A26,'מגדל'!A:K,8,0)+VLOOKUP('תפוקה מצטברת מול אשתקד'!A26,'מנורה'!A:K,8,0)+VLOOKUP('תפוקה מצטברת מול אשתקד'!A26,'איילון'!A:K,8,0)+VLOOKUP('תפוקה מצטברת מול אשתקד'!A26,'הראל'!A:K,8,0)+VLOOKUP('תפוקה מצטברת מול אשתקד'!A26,'הפניקס'!A:K,8,0)+VLOOKUP('תפוקה מצטברת מול אשתקד'!A26,'כלל'!A:K,8,0)+VLOOKUP('תפוקה מצטברת מול אשתקד'!A26,'מור'!A:K,8,0)+VLOOKUP('תפוקה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אשתקד'!A26,'אינפניטי'!A:K,8,0)</f>
        <v>1108932.859</v>
      </c>
      <c r="M26" s="19">
        <f>VLOOKUP(A26,'הכשרה'!A:K,9,0)+VLOOKUP('תפוקה מצטברת מול אשתקד'!A26,'מגדל'!A:K,9,0)+VLOOKUP('תפוקה מצטברת מול אשתקד'!A26,'מנורה'!A:K,9,0)+VLOOKUP('תפוקה מצטברת מול אשתקד'!A26,'איילון'!A:K,9,0)+VLOOKUP('תפוקה מצטברת מול אשתקד'!A26,'הראל'!A:K,9,0)+VLOOKUP('תפוקה מצטברת מול אשתקד'!A26,'הפניקס'!A:K,9,0)+VLOOKUP('תפוקה מצטברת מול אשתקד'!A26,'כלל'!A:K,9,0)+VLOOKUP('תפוקה מצטברת מול אשתקד'!A26,'מור'!A:K,9,0)+VLOOKUP('תפוקה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אשתקד'!A26,'אינפניטי'!A:K,9,0)</f>
        <v>103502.0831</v>
      </c>
      <c r="N26" s="19">
        <f>VLOOKUP(A26,'הכשרה'!A:K,10,0)+VLOOKUP('תפוקה מצטברת מול אשתקד'!A26,'מגדל'!A:K,10,0)+VLOOKUP('תפוקה מצטברת מול אשתקד'!A26,'מנורה'!A:K,10,0)+VLOOKUP('תפוקה מצטברת מול אשתקד'!A26,'איילון'!A:K,10,0)+VLOOKUP('תפוקה מצטברת מול אשתקד'!A26,'הראל'!A:K,10,0)+VLOOKUP('תפוקה מצטברת מול אשתקד'!A26,'הפניקס'!A:K,10,0)+VLOOKUP('תפוקה מצטברת מול אשתקד'!A26,'כלל'!A:K,10,0)+VLOOKUP('תפוקה מצטברת מול אשתקד'!A26,'מור'!A:K,10,0)+VLOOKUP('תפוקה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אשתקד'!A26,'אינפניטי'!A:K,10,0)</f>
        <v>686877.4</v>
      </c>
      <c r="O26" s="19">
        <f>VLOOKUP(A26,'הכשרה'!A:K,11,0)+VLOOKUP('תפוקה מצטברת מול אשתקד'!A26,'מגדל'!A:K,11,0)+VLOOKUP('תפוקה מצטברת מול אשתקד'!A26,'מנורה'!A:K,11,0)+VLOOKUP('תפוקה מצטברת מול אשתקד'!A26,'איילון'!A:K,11,0)+VLOOKUP('תפוקה מצטברת מול אשתקד'!A26,'הראל'!A:K,11,0)+VLOOKUP('תפוקה מצטברת מול אשתקד'!A26,'הפניקס'!A:K,11,0)+VLOOKUP('תפוקה מצטברת מול אשתקד'!A26,'כלל'!A:K,11,0)+VLOOKUP('תפוקה מצטברת מול אשתקד'!A26,'מור'!A:K,11,0)+VLOOKUP('תפוקה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אשתקד'!A26,'אינפניטי'!A:K,11,0)</f>
        <v>671348.12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0" t="s">
        <v>42</v>
      </c>
      <c r="B27" s="1" t="s">
        <v>37</v>
      </c>
      <c r="C27" s="23" t="s">
        <v>38</v>
      </c>
      <c r="D27" s="17">
        <f t="shared" ref="D27:F27" si="32">IF(H27=0,0%,IF(L27=0,100%,H27/L27-1))</f>
        <v>-0.6024240408</v>
      </c>
      <c r="E27" s="17">
        <f t="shared" si="32"/>
        <v>0.02580820021</v>
      </c>
      <c r="F27" s="17">
        <f t="shared" si="32"/>
        <v>6.792434069</v>
      </c>
      <c r="G27" s="17">
        <f t="shared" si="26"/>
        <v>0.2902265585</v>
      </c>
      <c r="H27" s="18">
        <f>VLOOKUP(A27,'הכשרה'!A:G,4,0)+VLOOKUP('תפוקה מצטברת מול אשתקד'!A27,'מגדל'!A:G,4,0)+VLOOKUP('תפוקה מצטברת מול אשתקד'!A27,'מנורה'!A:G,4,0)+VLOOKUP('תפוקה מצטברת מול אשתקד'!A27,'איילון'!A:G,4,0)+VLOOKUP('תפוקה מצטברת מול אשתקד'!A27,'הראל'!A:G,4,0)+VLOOKUP('תפוקה מצטברת מול אשתקד'!A27,'הפניקס'!A:G,4,0)+VLOOKUP('תפוקה מצטברת מול אשתקד'!A27,'כלל'!A:G,4,0)+VLOOKUP('תפוקה מצטברת מול אשתקד'!A27,'מור'!A:G,4,0)+VLOOKUP('תפוקה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אשתקד'!A27,'אינפניטי'!A:G,4,0)</f>
        <v>102321.9269</v>
      </c>
      <c r="I27" s="18">
        <f>VLOOKUP(A27,'הכשרה'!A:G,5,0)+VLOOKUP('תפוקה מצטברת מול אשתקד'!A27,'מגדל'!A:G,5,0)+VLOOKUP('תפוקה מצטברת מול אשתקד'!A27,'מנורה'!A:G,5,0)+VLOOKUP('תפוקה מצטברת מול אשתקד'!A27,'איילון'!A:G,5,0)+VLOOKUP('תפוקה מצטברת מול אשתקד'!A27,'הראל'!A:G,5,0)+VLOOKUP('תפוקה מצטברת מול אשתקד'!A27,'הפניקס'!A:G,5,0)+VLOOKUP('תפוקה מצטברת מול אשתקד'!A27,'כלל'!A:G,5,0)+VLOOKUP('תפוקה מצטברת מול אשתקד'!A27,'מור'!A:G,5,0)+VLOOKUP('תפוקה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אשתקד'!A27,'אינפניטי'!A:G,5,0)</f>
        <v>58156.03453</v>
      </c>
      <c r="J27" s="18">
        <f>VLOOKUP(A27,'הכשרה'!A:G,6,0)+VLOOKUP('תפוקה מצטברת מול אשתקד'!A27,'מגדל'!A:G,6,0)+VLOOKUP('תפוקה מצטברת מול אשתקד'!A27,'מנורה'!A:G,6,0)+VLOOKUP('תפוקה מצטברת מול אשתקד'!A27,'איילון'!A:G,6,0)+VLOOKUP(A27,'הראל'!A:G,6,0)+VLOOKUP('תפוקה מצטברת מול אשתקד'!A27,'הפניקס'!A:G,6,0)+VLOOKUP('תפוקה מצטברת מול אשתקד'!A27,'כלל'!A:G,6,0)+VLOOKUP('תפוקה מצטברת מול אשתקד'!A27,'מור'!A:G,6,0)+VLOOKUP('תפוקה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אשתקד'!A27,'אינפניטי'!A:G,6,0)</f>
        <v>200592.2924</v>
      </c>
      <c r="K27" s="18">
        <f>VLOOKUP(A27,'הכשרה'!A:G,7,0)+VLOOKUP('תפוקה מצטברת מול אשתקד'!A27,'מגדל'!A:G,7,0)+VLOOKUP('תפוקה מצטברת מול אשתקד'!A27,'מנורה'!A:G,7,0)+VLOOKUP('תפוקה מצטברת מול אשתקד'!A27,'איילון'!A:G,7,0)+VLOOKUP('תפוקה מצטברת מול אשתקד'!A27,'הראל'!A:G,7,0)+VLOOKUP('תפוקה מצטברת מול אשתקד'!A27,'הפניקס'!A:G,7,0)+VLOOKUP('תפוקה מצטברת מול אשתקד'!A27,'כלל'!A:G,7,0)+VLOOKUP('תפוקה מצטברת מול אשתקד'!A27,'מור'!A:G,7,0)+VLOOKUP('תפוקה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אשתקד'!A27,'אינפניטי'!A:G,7,0)</f>
        <v>190904</v>
      </c>
      <c r="L27" s="19">
        <f>VLOOKUP(A27,'הכשרה'!A:K,8,0)+VLOOKUP('תפוקה מצטברת מול אשתקד'!A27,'מגדל'!A:K,8,0)+VLOOKUP('תפוקה מצטברת מול אשתקד'!A27,'מנורה'!A:K,8,0)+VLOOKUP('תפוקה מצטברת מול אשתקד'!A27,'איילון'!A:K,8,0)+VLOOKUP('תפוקה מצטברת מול אשתקד'!A27,'הראל'!A:K,8,0)+VLOOKUP('תפוקה מצטברת מול אשתקד'!A27,'הפניקס'!A:K,8,0)+VLOOKUP('תפוקה מצטברת מול אשתקד'!A27,'כלל'!A:K,8,0)+VLOOKUP('תפוקה מצטברת מול אשתקד'!A27,'מור'!A:K,8,0)+VLOOKUP('תפוקה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אשתקד'!A27,'אינפניטי'!A:K,8,0)</f>
        <v>257364.4723</v>
      </c>
      <c r="M27" s="19">
        <f>VLOOKUP(A27,'הכשרה'!A:K,9,0)+VLOOKUP('תפוקה מצטברת מול אשתקד'!A27,'מגדל'!A:K,9,0)+VLOOKUP('תפוקה מצטברת מול אשתקד'!A27,'מנורה'!A:K,9,0)+VLOOKUP('תפוקה מצטברת מול אשתקד'!A27,'איילון'!A:K,9,0)+VLOOKUP('תפוקה מצטברת מול אשתקד'!A27,'הראל'!A:K,9,0)+VLOOKUP('תפוקה מצטברת מול אשתקד'!A27,'הפניקס'!A:K,9,0)+VLOOKUP('תפוקה מצטברת מול אשתקד'!A27,'כלל'!A:K,9,0)+VLOOKUP('תפוקה מצטברת מול אשתקד'!A27,'מור'!A:K,9,0)+VLOOKUP('תפוקה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אשתקד'!A27,'אינפניטי'!A:K,9,0)</f>
        <v>56692.893</v>
      </c>
      <c r="N27" s="19">
        <f>VLOOKUP(A27,'הכשרה'!A:K,10,0)+VLOOKUP('תפוקה מצטברת מול אשתקד'!A27,'מגדל'!A:K,10,0)+VLOOKUP('תפוקה מצטברת מול אשתקד'!A27,'מנורה'!A:K,10,0)+VLOOKUP('תפוקה מצטברת מול אשתקד'!A27,'איילון'!A:K,10,0)+VLOOKUP('תפוקה מצטברת מול אשתקד'!A27,'הראל'!A:K,10,0)+VLOOKUP('תפוקה מצטברת מול אשתקד'!A27,'הפניקס'!A:K,10,0)+VLOOKUP('תפוקה מצטברת מול אשתקד'!A27,'כלל'!A:K,10,0)+VLOOKUP('תפוקה מצטברת מול אשתקד'!A27,'מור'!A:K,10,0)+VLOOKUP('תפוקה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אשתקד'!A27,'אינפניטי'!A:K,10,0)</f>
        <v>25741.93001</v>
      </c>
      <c r="O27" s="19">
        <f>VLOOKUP(A27,'הכשרה'!A:K,11,0)+VLOOKUP('תפוקה מצטברת מול אשתקד'!A27,'מגדל'!A:K,11,0)+VLOOKUP('תפוקה מצטברת מול אשתקד'!A27,'מנורה'!A:K,11,0)+VLOOKUP('תפוקה מצטברת מול אשתקד'!A27,'איילון'!A:K,11,0)+VLOOKUP('תפוקה מצטברת מול אשתקד'!A27,'הראל'!A:K,11,0)+VLOOKUP('תפוקה מצטברת מול אשתקד'!A27,'הפניקס'!A:K,11,0)+VLOOKUP('תפוקה מצטברת מול אשתקד'!A27,'כלל'!A:K,11,0)+VLOOKUP('תפוקה מצטברת מול אשתקד'!A27,'מור'!A:K,11,0)+VLOOKUP('תפוקה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אשתקד'!A27,'אינפניטי'!A:K,11,0)</f>
        <v>147961.6109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0" t="s">
        <v>43</v>
      </c>
      <c r="B28" s="1" t="s">
        <v>37</v>
      </c>
      <c r="C28" s="23" t="s">
        <v>38</v>
      </c>
      <c r="D28" s="17">
        <f t="shared" ref="D28:F28" si="33">IF(H28=0,0%,IF(L28=0,100%,H28/L28-1))</f>
        <v>-0.7429605261</v>
      </c>
      <c r="E28" s="17">
        <f t="shared" si="33"/>
        <v>0.003850262021</v>
      </c>
      <c r="F28" s="17">
        <f t="shared" si="33"/>
        <v>0.7667816026</v>
      </c>
      <c r="G28" s="17">
        <f t="shared" si="26"/>
        <v>-0.7763437533</v>
      </c>
      <c r="H28" s="18">
        <f>VLOOKUP(A28,'הכשרה'!A:G,4,0)+VLOOKUP('תפוקה מצטברת מול אשתקד'!A28,'מגדל'!A:G,4,0)+VLOOKUP('תפוקה מצטברת מול אשתקד'!A28,'מנורה'!A:G,4,0)+VLOOKUP('תפוקה מצטברת מול אשתקד'!A28,'איילון'!A:G,4,0)+VLOOKUP('תפוקה מצטברת מול אשתקד'!A28,'הראל'!A:G,4,0)+VLOOKUP('תפוקה מצטברת מול אשתקד'!A28,'הפניקס'!A:G,4,0)+VLOOKUP('תפוקה מצטברת מול אשתקד'!A28,'כלל'!A:G,4,0)+VLOOKUP('תפוקה מצטברת מול אשתקד'!A28,'מור'!A:G,4,0)+VLOOKUP('תפוקה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אשתקד'!A28,'אינפניטי'!A:G,4,0)</f>
        <v>27454.89</v>
      </c>
      <c r="I28" s="18">
        <f>VLOOKUP(A28,'הכשרה'!A:G,5,0)+VLOOKUP('תפוקה מצטברת מול אשתקד'!A28,'מגדל'!A:G,5,0)+VLOOKUP('תפוקה מצטברת מול אשתקד'!A28,'מנורה'!A:G,5,0)+VLOOKUP('תפוקה מצטברת מול אשתקד'!A28,'איילון'!A:G,5,0)+VLOOKUP('תפוקה מצטברת מול אשתקד'!A28,'הראל'!A:G,5,0)+VLOOKUP('תפוקה מצטברת מול אשתקד'!A28,'הפניקס'!A:G,5,0)+VLOOKUP('תפוקה מצטברת מול אשתקד'!A28,'כלל'!A:G,5,0)+VLOOKUP('תפוקה מצטברת מול אשתקד'!A28,'מור'!A:G,5,0)+VLOOKUP('תפוקה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אשתקד'!A28,'אינפניטי'!A:G,5,0)</f>
        <v>49894.047</v>
      </c>
      <c r="J28" s="18">
        <f>VLOOKUP(A28,'הכשרה'!A:G,6,0)+VLOOKUP('תפוקה מצטברת מול אשתקד'!A28,'מגדל'!A:G,6,0)+VLOOKUP('תפוקה מצטברת מול אשתקד'!A28,'מנורה'!A:G,6,0)+VLOOKUP('תפוקה מצטברת מול אשתקד'!A28,'איילון'!A:G,6,0)+VLOOKUP(A28,'הראל'!A:G,6,0)+VLOOKUP('תפוקה מצטברת מול אשתקד'!A28,'הפניקס'!A:G,6,0)+VLOOKUP('תפוקה מצטברת מול אשתקד'!A28,'כלל'!A:G,6,0)+VLOOKUP('תפוקה מצטברת מול אשתקד'!A28,'מור'!A:G,6,0)+VLOOKUP('תפוקה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אשתקד'!A28,'אינפניטי'!A:G,6,0)</f>
        <v>225184.05</v>
      </c>
      <c r="K28" s="18">
        <f>VLOOKUP(A28,'הכשרה'!A:G,7,0)+VLOOKUP('תפוקה מצטברת מול אשתקד'!A28,'מגדל'!A:G,7,0)+VLOOKUP('תפוקה מצטברת מול אשתקד'!A28,'מנורה'!A:G,7,0)+VLOOKUP('תפוקה מצטברת מול אשתקד'!A28,'איילון'!A:G,7,0)+VLOOKUP('תפוקה מצטברת מול אשתקד'!A28,'הראל'!A:G,7,0)+VLOOKUP('תפוקה מצטברת מול אשתקד'!A28,'הפניקס'!A:G,7,0)+VLOOKUP('תפוקה מצטברת מול אשתקד'!A28,'כלל'!A:G,7,0)+VLOOKUP('תפוקה מצטברת מול אשתקד'!A28,'מור'!A:G,7,0)+VLOOKUP('תפוקה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אשתקד'!A28,'אינפניטי'!A:G,7,0)</f>
        <v>59103.61</v>
      </c>
      <c r="L28" s="19">
        <f>VLOOKUP(A28,'הכשרה'!A:K,8,0)+VLOOKUP('תפוקה מצטברת מול אשתקד'!A28,'מגדל'!A:K,8,0)+VLOOKUP('תפוקה מצטברת מול אשתקד'!A28,'מנורה'!A:K,8,0)+VLOOKUP('תפוקה מצטברת מול אשתקד'!A28,'איילון'!A:K,8,0)+VLOOKUP('תפוקה מצטברת מול אשתקד'!A28,'הראל'!A:K,8,0)+VLOOKUP('תפוקה מצטברת מול אשתקד'!A28,'הפניקס'!A:K,8,0)+VLOOKUP('תפוקה מצטברת מול אשתקד'!A28,'כלל'!A:K,8,0)+VLOOKUP('תפוקה מצטברת מול אשתקד'!A28,'מור'!A:K,8,0)+VLOOKUP('תפוקה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אשתקד'!A28,'אינפניטי'!A:K,8,0)</f>
        <v>106811.96</v>
      </c>
      <c r="M28" s="19">
        <f>VLOOKUP(A28,'הכשרה'!A:K,9,0)+VLOOKUP('תפוקה מצטברת מול אשתקד'!A28,'מגדל'!A:K,9,0)+VLOOKUP('תפוקה מצטברת מול אשתקד'!A28,'מנורה'!A:K,9,0)+VLOOKUP('תפוקה מצטברת מול אשתקד'!A28,'איילון'!A:K,9,0)+VLOOKUP('תפוקה מצטברת מול אשתקד'!A28,'הראל'!A:K,9,0)+VLOOKUP('תפוקה מצטברת מול אשתקד'!A28,'הפניקס'!A:K,9,0)+VLOOKUP('תפוקה מצטברת מול אשתקד'!A28,'כלל'!A:K,9,0)+VLOOKUP('תפוקה מצטברת מול אשתקד'!A28,'מור'!A:K,9,0)+VLOOKUP('תפוקה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אשתקד'!A28,'אינפניטי'!A:K,9,0)</f>
        <v>49702.67866</v>
      </c>
      <c r="N28" s="19">
        <f>VLOOKUP(A28,'הכשרה'!A:K,10,0)+VLOOKUP('תפוקה מצטברת מול אשתקד'!A28,'מגדל'!A:K,10,0)+VLOOKUP('תפוקה מצטברת מול אשתקד'!A28,'מנורה'!A:K,10,0)+VLOOKUP('תפוקה מצטברת מול אשתקד'!A28,'איילון'!A:K,10,0)+VLOOKUP('תפוקה מצטברת מול אשתקד'!A28,'הראל'!A:K,10,0)+VLOOKUP('תפוקה מצטברת מול אשתקד'!A28,'הפניקס'!A:K,10,0)+VLOOKUP('תפוקה מצטברת מול אשתקד'!A28,'כלל'!A:K,10,0)+VLOOKUP('תפוקה מצטברת מול אשתקד'!A28,'מור'!A:K,10,0)+VLOOKUP('תפוקה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אשתקד'!A28,'אינפניטי'!A:K,10,0)</f>
        <v>127454.3779</v>
      </c>
      <c r="O28" s="19">
        <f>VLOOKUP(A28,'הכשרה'!A:K,11,0)+VLOOKUP('תפוקה מצטברת מול אשתקד'!A28,'מגדל'!A:K,11,0)+VLOOKUP('תפוקה מצטברת מול אשתקד'!A28,'מנורה'!A:K,11,0)+VLOOKUP('תפוקה מצטברת מול אשתקד'!A28,'איילון'!A:K,11,0)+VLOOKUP('תפוקה מצטברת מול אשתקד'!A28,'הראל'!A:K,11,0)+VLOOKUP('תפוקה מצטברת מול אשתקד'!A28,'הפניקס'!A:K,11,0)+VLOOKUP('תפוקה מצטברת מול אשתקד'!A28,'כלל'!A:K,11,0)+VLOOKUP('תפוקה מצטברת מול אשתקד'!A28,'מור'!A:K,11,0)+VLOOKUP('תפוקה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אשתקד'!A28,'אינפניטי'!A:K,11,0)</f>
        <v>264260.94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" t="s">
        <v>44</v>
      </c>
      <c r="B29" s="1" t="s">
        <v>37</v>
      </c>
      <c r="C29" s="23" t="s">
        <v>38</v>
      </c>
      <c r="D29" s="17">
        <f t="shared" ref="D29:F29" si="34">IF(H29=0,0%,IF(L29=0,100%,H29/L29-1))</f>
        <v>-0.6403355249</v>
      </c>
      <c r="E29" s="17">
        <f t="shared" si="34"/>
        <v>-0.1787686737</v>
      </c>
      <c r="F29" s="17">
        <f t="shared" si="34"/>
        <v>0.3258805169</v>
      </c>
      <c r="G29" s="17">
        <f t="shared" si="26"/>
        <v>-0.7787501784</v>
      </c>
      <c r="H29" s="18">
        <f>VLOOKUP(A29,'הכשרה'!A:G,4,0)+VLOOKUP('תפוקה מצטברת מול אשתקד'!A29,'מגדל'!A:G,4,0)+VLOOKUP('תפוקה מצטברת מול אשתקד'!A29,'מנורה'!A:G,4,0)+VLOOKUP('תפוקה מצטברת מול אשתקד'!A29,'איילון'!A:G,4,0)+VLOOKUP('תפוקה מצטברת מול אשתקד'!A29,'הראל'!A:G,4,0)+VLOOKUP('תפוקה מצטברת מול אשתקד'!A29,'הפניקס'!A:G,4,0)+VLOOKUP('תפוקה מצטברת מול אשתקד'!A29,'כלל'!A:G,4,0)+VLOOKUP('תפוקה מצטברת מול אשתקד'!A29,'מור'!A:G,4,0)+VLOOKUP('תפוקה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אשתקד'!A29,'אינפניטי'!A:G,4,0)</f>
        <v>481769.027</v>
      </c>
      <c r="I29" s="18">
        <f>VLOOKUP(A29,'הכשרה'!A:G,5,0)+VLOOKUP('תפוקה מצטברת מול אשתקד'!A29,'מגדל'!A:G,5,0)+VLOOKUP('תפוקה מצטברת מול אשתקד'!A29,'מנורה'!A:G,5,0)+VLOOKUP('תפוקה מצטברת מול אשתקד'!A29,'איילון'!A:G,5,0)+VLOOKUP('תפוקה מצטברת מול אשתקד'!A29,'הראל'!A:G,5,0)+VLOOKUP('תפוקה מצטברת מול אשתקד'!A29,'הפניקס'!A:G,5,0)+VLOOKUP('תפוקה מצטברת מול אשתקד'!A29,'כלל'!A:G,5,0)+VLOOKUP('תפוקה מצטברת מול אשתקד'!A29,'מור'!A:G,5,0)+VLOOKUP('תפוקה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אשתקד'!A29,'אינפניטי'!A:G,5,0)</f>
        <v>72345.61</v>
      </c>
      <c r="J29" s="18">
        <f>VLOOKUP(A29,'הכשרה'!A:G,6,0)+VLOOKUP('תפוקה מצטברת מול אשתקד'!A29,'מגדל'!A:G,6,0)+VLOOKUP('תפוקה מצטברת מול אשתקד'!A29,'מנורה'!A:G,6,0)+VLOOKUP('תפוקה מצטברת מול אשתקד'!A29,'איילון'!A:G,6,0)+VLOOKUP(A29,'הראל'!A:G,6,0)+VLOOKUP('תפוקה מצטברת מול אשתקד'!A29,'הפניקס'!A:G,6,0)+VLOOKUP('תפוקה מצטברת מול אשתקד'!A29,'כלל'!A:G,6,0)+VLOOKUP('תפוקה מצטברת מול אשתקד'!A29,'מור'!A:G,6,0)+VLOOKUP('תפוקה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אשתקד'!A29,'אינפניטי'!A:G,6,0)</f>
        <v>1115202.16</v>
      </c>
      <c r="K29" s="18">
        <f>VLOOKUP(A29,'הכשרה'!A:G,7,0)+VLOOKUP('תפוקה מצטברת מול אשתקד'!A29,'מגדל'!A:G,7,0)+VLOOKUP('תפוקה מצטברת מול אשתקד'!A29,'מנורה'!A:G,7,0)+VLOOKUP('תפוקה מצטברת מול אשתקד'!A29,'איילון'!A:G,7,0)+VLOOKUP('תפוקה מצטברת מול אשתקד'!A29,'הראל'!A:G,7,0)+VLOOKUP('תפוקה מצטברת מול אשתקד'!A29,'הפניקס'!A:G,7,0)+VLOOKUP('תפוקה מצטברת מול אשתקד'!A29,'כלל'!A:G,7,0)+VLOOKUP('תפוקה מצטברת מול אשתקד'!A29,'מור'!A:G,7,0)+VLOOKUP('תפוקה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אשתקד'!A29,'אינפניטי'!A:G,7,0)</f>
        <v>911002.32</v>
      </c>
      <c r="L29" s="19">
        <f>VLOOKUP(A29,'הכשרה'!A:K,8,0)+VLOOKUP('תפוקה מצטברת מול אשתקד'!A29,'מגדל'!A:K,8,0)+VLOOKUP('תפוקה מצטברת מול אשתקד'!A29,'מנורה'!A:K,8,0)+VLOOKUP('תפוקה מצטברת מול אשתקד'!A29,'איילון'!A:K,8,0)+VLOOKUP('תפוקה מצטברת מול אשתקד'!A29,'הראל'!A:K,8,0)+VLOOKUP('תפוקה מצטברת מול אשתקד'!A29,'הפניקס'!A:K,8,0)+VLOOKUP('תפוקה מצטברת מול אשתקד'!A29,'כלל'!A:K,8,0)+VLOOKUP('תפוקה מצטברת מול אשתקד'!A29,'מור'!A:K,8,0)+VLOOKUP('תפוקה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אשתקד'!A29,'אינפניטי'!A:K,8,0)</f>
        <v>1339495.726</v>
      </c>
      <c r="M29" s="19">
        <f>VLOOKUP(A29,'הכשרה'!A:K,9,0)+VLOOKUP('תפוקה מצטברת מול אשתקד'!A29,'מגדל'!A:K,9,0)+VLOOKUP('תפוקה מצטברת מול אשתקד'!A29,'מנורה'!A:K,9,0)+VLOOKUP('תפוקה מצטברת מול אשתקד'!A29,'איילון'!A:K,9,0)+VLOOKUP('תפוקה מצטברת מול אשתקד'!A29,'הראל'!A:K,9,0)+VLOOKUP('תפוקה מצטברת מול אשתקד'!A29,'הפניקס'!A:K,9,0)+VLOOKUP('תפוקה מצטברת מול אשתקד'!A29,'כלל'!A:K,9,0)+VLOOKUP('תפוקה מצטברת מול אשתקד'!A29,'מור'!A:K,9,0)+VLOOKUP('תפוקה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אשתקד'!A29,'אינפניטי'!A:K,9,0)</f>
        <v>88094.07006</v>
      </c>
      <c r="N29" s="19">
        <f>VLOOKUP(A29,'הכשרה'!A:K,10,0)+VLOOKUP('תפוקה מצטברת מול אשתקד'!A29,'מגדל'!A:K,10,0)+VLOOKUP('תפוקה מצטברת מול אשתקד'!A29,'מנורה'!A:K,10,0)+VLOOKUP('תפוקה מצטברת מול אשתקד'!A29,'איילון'!A:K,10,0)+VLOOKUP('תפוקה מצטברת מול אשתקד'!A29,'הראל'!A:K,10,0)+VLOOKUP('תפוקה מצטברת מול אשתקד'!A29,'הפניקס'!A:K,10,0)+VLOOKUP('תפוקה מצטברת מול אשתקד'!A29,'כלל'!A:K,10,0)+VLOOKUP('תפוקה מצטברת מול אשתקד'!A29,'מור'!A:K,10,0)+VLOOKUP('תפוקה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אשתקד'!A29,'אינפניטי'!A:K,10,0)</f>
        <v>841103.06</v>
      </c>
      <c r="O29" s="19">
        <f>VLOOKUP(A29,'הכשרה'!A:K,11,0)+VLOOKUP('תפוקה מצטברת מול אשתקד'!A29,'מגדל'!A:K,11,0)+VLOOKUP('תפוקה מצטברת מול אשתקד'!A29,'מנורה'!A:K,11,0)+VLOOKUP('תפוקה מצטברת מול אשתקד'!A29,'איילון'!A:K,11,0)+VLOOKUP('תפוקה מצטברת מול אשתקד'!A29,'הראל'!A:K,11,0)+VLOOKUP('תפוקה מצטברת מול אשתקד'!A29,'הפניקס'!A:K,11,0)+VLOOKUP('תפוקה מצטברת מול אשתקד'!A29,'כלל'!A:K,11,0)+VLOOKUP('תפוקה מצטברת מול אשתקד'!A29,'מור'!A:K,11,0)+VLOOKUP('תפוקה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אשתקד'!A29,'אינפניטי'!A:K,11,0)</f>
        <v>4117527.93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" t="s">
        <v>45</v>
      </c>
      <c r="B30" s="1" t="s">
        <v>37</v>
      </c>
      <c r="C30" s="23" t="s">
        <v>38</v>
      </c>
      <c r="D30" s="17">
        <f t="shared" ref="D30:F30" si="35">IF(H30=0,0%,IF(L30=0,100%,H30/L30-1))</f>
        <v>0.08612260144</v>
      </c>
      <c r="E30" s="17">
        <f t="shared" si="35"/>
        <v>-0.05082124375</v>
      </c>
      <c r="F30" s="17">
        <f t="shared" si="35"/>
        <v>0.006366688899</v>
      </c>
      <c r="G30" s="17">
        <f t="shared" si="26"/>
        <v>-1.099366122</v>
      </c>
      <c r="H30" s="18">
        <f>VLOOKUP(A30,'הכשרה'!A:G,4,0)+VLOOKUP('תפוקה מצטברת מול אשתקד'!A30,'מגדל'!A:G,4,0)+VLOOKUP('תפוקה מצטברת מול אשתקד'!A30,'מנורה'!A:G,4,0)+VLOOKUP('תפוקה מצטברת מול אשתקד'!A30,'איילון'!A:G,4,0)+VLOOKUP('תפוקה מצטברת מול אשתקד'!A30,'הראל'!A:G,4,0)+VLOOKUP('תפוקה מצטברת מול אשתקד'!A30,'הפניקס'!A:G,4,0)+VLOOKUP('תפוקה מצטברת מול אשתקד'!A30,'כלל'!A:G,4,0)+VLOOKUP('תפוקה מצטברת מול אשתקד'!A30,'מור'!A:G,4,0)+VLOOKUP('תפוקה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אשתקד'!A30,'אינפניטי'!A:G,4,0)</f>
        <v>882473.3451</v>
      </c>
      <c r="I30" s="18">
        <f>VLOOKUP(A30,'הכשרה'!A:G,5,0)+VLOOKUP('תפוקה מצטברת מול אשתקד'!A30,'מגדל'!A:G,5,0)+VLOOKUP('תפוקה מצטברת מול אשתקד'!A30,'מנורה'!A:G,5,0)+VLOOKUP('תפוקה מצטברת מול אשתקד'!A30,'איילון'!A:G,5,0)+VLOOKUP('תפוקה מצטברת מול אשתקד'!A30,'הראל'!A:G,5,0)+VLOOKUP('תפוקה מצטברת מול אשתקד'!A30,'הפניקס'!A:G,5,0)+VLOOKUP('תפוקה מצטברת מול אשתקד'!A30,'כלל'!A:G,5,0)+VLOOKUP('תפוקה מצטברת מול אשתקד'!A30,'מור'!A:G,5,0)+VLOOKUP('תפוקה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אשתקד'!A30,'אינפניטי'!A:G,5,0)</f>
        <v>97901.51581</v>
      </c>
      <c r="J30" s="18">
        <f>VLOOKUP(A30,'הכשרה'!A:G,6,0)+VLOOKUP('תפוקה מצטברת מול אשתקד'!A30,'מגדל'!A:G,6,0)+VLOOKUP('תפוקה מצטברת מול אשתקד'!A30,'מנורה'!A:G,6,0)+VLOOKUP('תפוקה מצטברת מול אשתקד'!A30,'איילון'!A:G,6,0)+VLOOKUP(A30,'הראל'!A:G,6,0)+VLOOKUP('תפוקה מצטברת מול אשתקד'!A30,'הפניקס'!A:G,6,0)+VLOOKUP('תפוקה מצטברת מול אשתקד'!A30,'כלל'!A:G,6,0)+VLOOKUP('תפוקה מצטברת מול אשתקד'!A30,'מור'!A:G,6,0)+VLOOKUP('תפוקה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אשתקד'!A30,'אינפניטי'!A:G,6,0)</f>
        <v>2402710.03</v>
      </c>
      <c r="K30" s="18">
        <f>VLOOKUP(A30,'הכשרה'!A:G,7,0)+VLOOKUP('תפוקה מצטברת מול אשתקד'!A30,'מגדל'!A:G,7,0)+VLOOKUP('תפוקה מצטברת מול אשתקד'!A30,'מנורה'!A:G,7,0)+VLOOKUP('תפוקה מצטברת מול אשתקד'!A30,'איילון'!A:G,7,0)+VLOOKUP('תפוקה מצטברת מול אשתקד'!A30,'הראל'!A:G,7,0)+VLOOKUP('תפוקה מצטברת מול אשתקד'!A30,'הפניקס'!A:G,7,0)+VLOOKUP('תפוקה מצטברת מול אשתקד'!A30,'כלל'!A:G,7,0)+VLOOKUP('תפוקה מצטברת מול אשתקד'!A30,'מור'!A:G,7,0)+VLOOKUP('תפוקה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אשתקד'!A30,'אינפניטי'!A:G,7,0)</f>
        <v>-380692.3</v>
      </c>
      <c r="L30" s="19">
        <f>VLOOKUP(A30,'הכשרה'!A:K,8,0)+VLOOKUP('תפוקה מצטברת מול אשתקד'!A30,'מגדל'!A:K,8,0)+VLOOKUP('תפוקה מצטברת מול אשתקד'!A30,'מנורה'!A:K,8,0)+VLOOKUP('תפוקה מצטברת מול אשתקד'!A30,'איילון'!A:K,8,0)+VLOOKUP('תפוקה מצטברת מול אשתקד'!A30,'הראל'!A:K,8,0)+VLOOKUP('תפוקה מצטברת מול אשתקד'!A30,'הפניקס'!A:K,8,0)+VLOOKUP('תפוקה מצטברת מול אשתקד'!A30,'כלל'!A:K,8,0)+VLOOKUP('תפוקה מצטברת מול אשתקד'!A30,'מור'!A:K,8,0)+VLOOKUP('תפוקה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אשתקד'!A30,'אינפניטי'!A:K,8,0)</f>
        <v>812498.832</v>
      </c>
      <c r="M30" s="19">
        <f>VLOOKUP(A30,'הכשרה'!A:K,9,0)+VLOOKUP('תפוקה מצטברת מול אשתקד'!A30,'מגדל'!A:K,9,0)+VLOOKUP('תפוקה מצטברת מול אשתקד'!A30,'מנורה'!A:K,9,0)+VLOOKUP('תפוקה מצטברת מול אשתקד'!A30,'איילון'!A:K,9,0)+VLOOKUP('תפוקה מצטברת מול אשתקד'!A30,'הראל'!A:K,9,0)+VLOOKUP('תפוקה מצטברת מול אשתקד'!A30,'הפניקס'!A:K,9,0)+VLOOKUP('תפוקה מצטברת מול אשתקד'!A30,'כלל'!A:K,9,0)+VLOOKUP('תפוקה מצטברת מול אשתקד'!A30,'מור'!A:K,9,0)+VLOOKUP('תפוקה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אשתקד'!A30,'אינפניטי'!A:K,9,0)</f>
        <v>103143.3912</v>
      </c>
      <c r="N30" s="19">
        <f>VLOOKUP(A30,'הכשרה'!A:K,10,0)+VLOOKUP('תפוקה מצטברת מול אשתקד'!A30,'מגדל'!A:K,10,0)+VLOOKUP('תפוקה מצטברת מול אשתקד'!A30,'מנורה'!A:K,10,0)+VLOOKUP('תפוקה מצטברת מול אשתקד'!A30,'איילון'!A:K,10,0)+VLOOKUP('תפוקה מצטברת מול אשתקד'!A30,'הראל'!A:K,10,0)+VLOOKUP('תפוקה מצטברת מול אשתקד'!A30,'הפניקס'!A:K,10,0)+VLOOKUP('תפוקה מצטברת מול אשתקד'!A30,'כלל'!A:K,10,0)+VLOOKUP('תפוקה מצטברת מול אשתקד'!A30,'מור'!A:K,10,0)+VLOOKUP('תפוקה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אשתקד'!A30,'אינפניטי'!A:K,10,0)</f>
        <v>2387509.5</v>
      </c>
      <c r="O30" s="19">
        <f>VLOOKUP(A30,'הכשרה'!A:K,11,0)+VLOOKUP('תפוקה מצטברת מול אשתקד'!A30,'מגדל'!A:K,11,0)+VLOOKUP('תפוקה מצטברת מול אשתקד'!A30,'מנורה'!A:K,11,0)+VLOOKUP('תפוקה מצטברת מול אשתקד'!A30,'איילון'!A:K,11,0)+VLOOKUP('תפוקה מצטברת מול אשתקד'!A30,'הראל'!A:K,11,0)+VLOOKUP('תפוקה מצטברת מול אשתקד'!A30,'הפניקס'!A:K,11,0)+VLOOKUP('תפוקה מצטברת מול אשתקד'!A30,'כלל'!A:K,11,0)+VLOOKUP('תפוקה מצטברת מול אשתקד'!A30,'מור'!A:K,11,0)+VLOOKUP('תפוקה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אשתקד'!A30,'אינפניטי'!A:K,11,0)</f>
        <v>3831208.199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" t="s">
        <v>46</v>
      </c>
      <c r="B31" s="1" t="s">
        <v>37</v>
      </c>
      <c r="C31" s="23" t="s">
        <v>38</v>
      </c>
      <c r="D31" s="17">
        <f t="shared" ref="D31:F31" si="36">IF(H31=0,0%,IF(L31=0,100%,H31/L31-1))</f>
        <v>0</v>
      </c>
      <c r="E31" s="17">
        <f t="shared" si="36"/>
        <v>-0.9944126027</v>
      </c>
      <c r="F31" s="17">
        <f t="shared" si="36"/>
        <v>0</v>
      </c>
      <c r="G31" s="17">
        <f t="shared" ref="G31:G38" si="38">IF(K31=0,0%,IF(O31=H55,100%,K31/O31-1))</f>
        <v>0</v>
      </c>
      <c r="H31" s="18">
        <f>VLOOKUP(A31,'הכשרה'!A:G,4,0)+VLOOKUP('תפוקה מצטברת מול אשתקד'!A31,'מגדל'!A:G,4,0)+VLOOKUP('תפוקה מצטברת מול אשתקד'!A31,'מנורה'!A:G,4,0)+VLOOKUP('תפוקה מצטברת מול אשתקד'!A31,'איילון'!A:G,4,0)+VLOOKUP('תפוקה מצטברת מול אשתקד'!A31,'הראל'!A:G,4,0)+VLOOKUP('תפוקה מצטברת מול אשתקד'!A31,'הפניקס'!A:G,4,0)+VLOOKUP('תפוקה מצטברת מול אשתקד'!A31,'כלל'!A:G,4,0)+VLOOKUP('תפוקה מצטברת מול אשתקד'!A31,'מור'!A:G,4,0)+VLOOKUP('תפוקה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אשתקד'!A31,'אינפניטי'!A:G,4,0)</f>
        <v>0</v>
      </c>
      <c r="I31" s="18">
        <f>VLOOKUP(A31,'הכשרה'!A:G,5,0)+VLOOKUP('תפוקה מצטברת מול אשתקד'!A31,'מגדל'!A:G,5,0)+VLOOKUP('תפוקה מצטברת מול אשתקד'!A31,'מנורה'!A:G,5,0)+VLOOKUP('תפוקה מצטברת מול אשתקד'!A31,'איילון'!A:G,5,0)+VLOOKUP('תפוקה מצטברת מול אשתקד'!A31,'הראל'!A:G,5,0)+VLOOKUP('תפוקה מצטברת מול אשתקד'!A31,'הפניקס'!A:G,5,0)+VLOOKUP('תפוקה מצטברת מול אשתקד'!A31,'כלל'!A:G,5,0)+VLOOKUP('תפוקה מצטברת מול אשתקד'!A31,'מור'!A:G,5,0)+VLOOKUP('תפוקה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אשתקד'!A31,'אינפניטי'!A:G,5,0)</f>
        <v>9.77</v>
      </c>
      <c r="J31" s="18">
        <f>VLOOKUP(A31,'הכשרה'!A:G,6,0)+VLOOKUP('תפוקה מצטברת מול אשתקד'!A31,'מגדל'!A:G,6,0)+VLOOKUP('תפוקה מצטברת מול אשתקד'!A31,'מנורה'!A:G,6,0)+VLOOKUP('תפוקה מצטברת מול אשתקד'!A31,'איילון'!A:G,6,0)+VLOOKUP(A31,'הראל'!A:G,6,0)+VLOOKUP('תפוקה מצטברת מול אשתקד'!A31,'הפניקס'!A:G,6,0)+VLOOKUP('תפוקה מצטברת מול אשתקד'!A31,'כלל'!A:G,6,0)+VLOOKUP('תפוקה מצטברת מול אשתקד'!A31,'מור'!A:G,6,0)+VLOOKUP('תפוקה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אשתקד'!A31,'אינפניטי'!A:G,6,0)</f>
        <v>0</v>
      </c>
      <c r="K31" s="18">
        <f>VLOOKUP(A31,'הכשרה'!A:G,7,0)+VLOOKUP('תפוקה מצטברת מול אשתקד'!A31,'מגדל'!A:G,7,0)+VLOOKUP('תפוקה מצטברת מול אשתקד'!A31,'מנורה'!A:G,7,0)+VLOOKUP('תפוקה מצטברת מול אשתקד'!A31,'איילון'!A:G,7,0)+VLOOKUP('תפוקה מצטברת מול אשתקד'!A31,'הראל'!A:G,7,0)+VLOOKUP('תפוקה מצטברת מול אשתקד'!A31,'הפניקס'!A:G,7,0)+VLOOKUP('תפוקה מצטברת מול אשתקד'!A31,'כלל'!A:G,7,0)+VLOOKUP('תפוקה מצטברת מול אשתקד'!A31,'מור'!A:G,7,0)+VLOOKUP('תפוקה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אשתקד'!A31,'אינפניטי'!A:G,7,0)</f>
        <v>0</v>
      </c>
      <c r="L31" s="19">
        <f>VLOOKUP(A31,'הכשרה'!A:K,8,0)+VLOOKUP('תפוקה מצטברת מול אשתקד'!A31,'מגדל'!A:K,8,0)+VLOOKUP('תפוקה מצטברת מול אשתקד'!A31,'מנורה'!A:K,8,0)+VLOOKUP('תפוקה מצטברת מול אשתקד'!A31,'איילון'!A:K,8,0)+VLOOKUP('תפוקה מצטברת מול אשתקד'!A31,'הראל'!A:K,8,0)+VLOOKUP('תפוקה מצטברת מול אשתקד'!A31,'הפניקס'!A:K,8,0)+VLOOKUP('תפוקה מצטברת מול אשתקד'!A31,'כלל'!A:K,8,0)+VLOOKUP('תפוקה מצטברת מול אשתקד'!A31,'מור'!A:K,8,0)+VLOOKUP('תפוקה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אשתקד'!A31,'אינפניטי'!A:K,8,0)</f>
        <v>0</v>
      </c>
      <c r="M31" s="19">
        <f>VLOOKUP(A31,'הכשרה'!A:K,9,0)+VLOOKUP('תפוקה מצטברת מול אשתקד'!A31,'מגדל'!A:K,9,0)+VLOOKUP('תפוקה מצטברת מול אשתקד'!A31,'מנורה'!A:K,9,0)+VLOOKUP('תפוקה מצטברת מול אשתקד'!A31,'איילון'!A:K,9,0)+VLOOKUP('תפוקה מצטברת מול אשתקד'!A31,'הראל'!A:K,9,0)+VLOOKUP('תפוקה מצטברת מול אשתקד'!A31,'הפניקס'!A:K,9,0)+VLOOKUP('תפוקה מצטברת מול אשתקד'!A31,'כלל'!A:K,9,0)+VLOOKUP('תפוקה מצטברת מול אשתקד'!A31,'מור'!A:K,9,0)+VLOOKUP('תפוקה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אשתקד'!A31,'אינפניטי'!A:K,9,0)</f>
        <v>1748.578</v>
      </c>
      <c r="N31" s="19">
        <f>VLOOKUP(A31,'הכשרה'!A:K,10,0)+VLOOKUP('תפוקה מצטברת מול אשתקד'!A31,'מגדל'!A:K,10,0)+VLOOKUP('תפוקה מצטברת מול אשתקד'!A31,'מנורה'!A:K,10,0)+VLOOKUP('תפוקה מצטברת מול אשתקד'!A31,'איילון'!A:K,10,0)+VLOOKUP('תפוקה מצטברת מול אשתקד'!A31,'הראל'!A:K,10,0)+VLOOKUP('תפוקה מצטברת מול אשתקד'!A31,'הפניקס'!A:K,10,0)+VLOOKUP('תפוקה מצטברת מול אשתקד'!A31,'כלל'!A:K,10,0)+VLOOKUP('תפוקה מצטברת מול אשתקד'!A31,'מור'!A:K,10,0)+VLOOKUP('תפוקה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אשתקד'!A31,'אינפניטי'!A:K,10,0)</f>
        <v>0</v>
      </c>
      <c r="O31" s="19">
        <f>VLOOKUP(A31,'הכשרה'!A:K,11,0)+VLOOKUP('תפוקה מצטברת מול אשתקד'!A31,'מגדל'!A:K,11,0)+VLOOKUP('תפוקה מצטברת מול אשתקד'!A31,'מנורה'!A:K,11,0)+VLOOKUP('תפוקה מצטברת מול אשתקד'!A31,'איילון'!A:K,11,0)+VLOOKUP('תפוקה מצטברת מול אשתקד'!A31,'הראל'!A:K,11,0)+VLOOKUP('תפוקה מצטברת מול אשתקד'!A31,'הפניקס'!A:K,11,0)+VLOOKUP('תפוקה מצטברת מול אשתקד'!A31,'כלל'!A:K,11,0)+VLOOKUP('תפוקה מצטברת מול אשתקד'!A31,'מור'!A:K,11,0)+VLOOKUP('תפוקה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אשתקד'!A31,'אינפניטי'!A:K,11,0)</f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" t="s">
        <v>47</v>
      </c>
      <c r="B32" s="1" t="s">
        <v>37</v>
      </c>
      <c r="C32" s="23" t="s">
        <v>38</v>
      </c>
      <c r="D32" s="17">
        <f t="shared" ref="D32:F32" si="37">IF(H32=0,0%,IF(L32=0,100%,H32/L32-1))</f>
        <v>-2.281724344</v>
      </c>
      <c r="E32" s="17">
        <f t="shared" si="37"/>
        <v>0.002241933241</v>
      </c>
      <c r="F32" s="17">
        <f t="shared" si="37"/>
        <v>-0.3109423369</v>
      </c>
      <c r="G32" s="17" t="str">
        <f t="shared" si="38"/>
        <v>#DIV/0!</v>
      </c>
      <c r="H32" s="18">
        <f>VLOOKUP(A32,'הכשרה'!A:G,4,0)+VLOOKUP('תפוקה מצטברת מול אשתקד'!A32,'מגדל'!A:G,4,0)+VLOOKUP('תפוקה מצטברת מול אשתקד'!A32,'מנורה'!A:G,4,0)+VLOOKUP('תפוקה מצטברת מול אשתקד'!A32,'איילון'!A:G,4,0)+VLOOKUP('תפוקה מצטברת מול אשתקד'!A32,'הראל'!A:G,4,0)+VLOOKUP('תפוקה מצטברת מול אשתקד'!A32,'הפניקס'!A:G,4,0)+VLOOKUP('תפוקה מצטברת מול אשתקד'!A32,'כלל'!A:G,4,0)+VLOOKUP('תפוקה מצטברת מול אשתקד'!A32,'מור'!A:G,4,0)+VLOOKUP('תפוקה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אשתקד'!A32,'אינפניטי'!A:G,4,0)</f>
        <v>41053.82692</v>
      </c>
      <c r="I32" s="18">
        <f>VLOOKUP(A32,'הכשרה'!A:G,5,0)+VLOOKUP('תפוקה מצטברת מול אשתקד'!A32,'מגדל'!A:G,5,0)+VLOOKUP('תפוקה מצטברת מול אשתקד'!A32,'מנורה'!A:G,5,0)+VLOOKUP('תפוקה מצטברת מול אשתקד'!A32,'איילון'!A:G,5,0)+VLOOKUP('תפוקה מצטברת מול אשתקד'!A32,'הראל'!A:G,5,0)+VLOOKUP('תפוקה מצטברת מול אשתקד'!A32,'הפניקס'!A:G,5,0)+VLOOKUP('תפוקה מצטברת מול אשתקד'!A32,'כלל'!A:G,5,0)+VLOOKUP('תפוקה מצטברת מול אשתקד'!A32,'מור'!A:G,5,0)+VLOOKUP('תפוקה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אשתקד'!A32,'אינפניטי'!A:G,5,0)</f>
        <v>4875.229867</v>
      </c>
      <c r="J32" s="18">
        <f>VLOOKUP(A32,'הכשרה'!A:G,6,0)+VLOOKUP('תפוקה מצטברת מול אשתקד'!A32,'מגדל'!A:G,6,0)+VLOOKUP('תפוקה מצטברת מול אשתקד'!A32,'מנורה'!A:G,6,0)+VLOOKUP('תפוקה מצטברת מול אשתקד'!A32,'איילון'!A:G,6,0)+VLOOKUP(A32,'הראל'!A:G,6,0)+VLOOKUP('תפוקה מצטברת מול אשתקד'!A32,'הפניקס'!A:G,6,0)+VLOOKUP('תפוקה מצטברת מול אשתקד'!A32,'כלל'!A:G,6,0)+VLOOKUP('תפוקה מצטברת מול אשתקד'!A32,'מור'!A:G,6,0)+VLOOKUP('תפוקה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אשתקד'!A32,'אינפניטי'!A:G,6,0)</f>
        <v>45585.68361</v>
      </c>
      <c r="K32" s="18">
        <f>VLOOKUP(A32,'הכשרה'!A:G,7,0)+VLOOKUP('תפוקה מצטברת מול אשתקד'!A32,'מגדל'!A:G,7,0)+VLOOKUP('תפוקה מצטברת מול אשתקד'!A32,'מנורה'!A:G,7,0)+VLOOKUP('תפוקה מצטברת מול אשתקד'!A32,'איילון'!A:G,7,0)+VLOOKUP('תפוקה מצטברת מול אשתקד'!A32,'הראל'!A:G,7,0)+VLOOKUP('תפוקה מצטברת מול אשתקד'!A32,'הפניקס'!A:G,7,0)+VLOOKUP('תפוקה מצטברת מול אשתקד'!A32,'כלל'!A:G,7,0)+VLOOKUP('תפוקה מצטברת מול אשתקד'!A32,'מור'!A:G,7,0)+VLOOKUP('תפוקה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אשתקד'!A32,'אינפניטי'!A:G,7,0)</f>
        <v>14254.46</v>
      </c>
      <c r="L32" s="19">
        <f>VLOOKUP(A32,'הכשרה'!A:K,8,0)+VLOOKUP('תפוקה מצטברת מול אשתקד'!A32,'מגדל'!A:K,8,0)+VLOOKUP('תפוקה מצטברת מול אשתקד'!A32,'מנורה'!A:K,8,0)+VLOOKUP('תפוקה מצטברת מול אשתקד'!A32,'איילון'!A:K,8,0)+VLOOKUP('תפוקה מצטברת מול אשתקד'!A32,'הראל'!A:K,8,0)+VLOOKUP('תפוקה מצטברת מול אשתקד'!A32,'הפניקס'!A:K,8,0)+VLOOKUP('תפוקה מצטברת מול אשתקד'!A32,'כלל'!A:K,8,0)+VLOOKUP('תפוקה מצטברת מול אשתקד'!A32,'מור'!A:K,8,0)+VLOOKUP('תפוקה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אשתקד'!A32,'אינפניטי'!A:K,8,0)</f>
        <v>-32030.15306</v>
      </c>
      <c r="M32" s="19">
        <f>VLOOKUP(A32,'הכשרה'!A:K,9,0)+VLOOKUP('תפוקה מצטברת מול אשתקד'!A32,'מגדל'!A:K,9,0)+VLOOKUP('תפוקה מצטברת מול אשתקד'!A32,'מנורה'!A:K,9,0)+VLOOKUP('תפוקה מצטברת מול אשתקד'!A32,'איילון'!A:K,9,0)+VLOOKUP('תפוקה מצטברת מול אשתקד'!A32,'הראל'!A:K,9,0)+VLOOKUP('תפוקה מצטברת מול אשתקד'!A32,'הפניקס'!A:K,9,0)+VLOOKUP('תפוקה מצטברת מול אשתקד'!A32,'כלל'!A:K,9,0)+VLOOKUP('תפוקה מצטברת מול אשתקד'!A32,'מור'!A:K,9,0)+VLOOKUP('תפוקה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אשתקד'!A32,'אינפניטי'!A:K,9,0)</f>
        <v>4864.324376</v>
      </c>
      <c r="N32" s="19">
        <f>VLOOKUP(A32,'הכשרה'!A:K,10,0)+VLOOKUP('תפוקה מצטברת מול אשתקד'!A32,'מגדל'!A:K,10,0)+VLOOKUP('תפוקה מצטברת מול אשתקד'!A32,'מנורה'!A:K,10,0)+VLOOKUP('תפוקה מצטברת מול אשתקד'!A32,'איילון'!A:K,10,0)+VLOOKUP('תפוקה מצטברת מול אשתקד'!A32,'הראל'!A:K,10,0)+VLOOKUP('תפוקה מצטברת מול אשתקד'!A32,'הפניקס'!A:K,10,0)+VLOOKUP('תפוקה מצטברת מול אשתקד'!A32,'כלל'!A:K,10,0)+VLOOKUP('תפוקה מצטברת מול אשתקד'!A32,'מור'!A:K,10,0)+VLOOKUP('תפוקה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אשתקד'!A32,'אינפניטי'!A:K,10,0)</f>
        <v>66156.55851</v>
      </c>
      <c r="O32" s="19">
        <f>VLOOKUP(A32,'הכשרה'!A:K,11,0)+VLOOKUP('תפוקה מצטברת מול אשתקד'!A32,'מגדל'!A:K,11,0)+VLOOKUP('תפוקה מצטברת מול אשתקד'!A32,'מנורה'!A:K,11,0)+VLOOKUP('תפוקה מצטברת מול אשתקד'!A32,'איילון'!A:K,11,0)+VLOOKUP('תפוקה מצטברת מול אשתקד'!A32,'הראל'!A:K,11,0)+VLOOKUP('תפוקה מצטברת מול אשתקד'!A32,'הפניקס'!A:K,11,0)+VLOOKUP('תפוקה מצטברת מול אשתקד'!A32,'כלל'!A:K,11,0)+VLOOKUP('תפוקה מצטברת מול אשתקד'!A32,'מור'!A:K,11,0)+VLOOKUP('תפוקה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אשתקד'!A32,'אינפניטי'!A:K,11,0)</f>
        <v>0</v>
      </c>
      <c r="P32" s="16"/>
      <c r="Q32" s="31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" t="s">
        <v>48</v>
      </c>
      <c r="B33" s="1" t="s">
        <v>37</v>
      </c>
      <c r="C33" s="23" t="s">
        <v>38</v>
      </c>
      <c r="D33" s="17">
        <f t="shared" ref="D33:F33" si="39">IF(H33=0,0%,IF(L33=0,100%,H33/L33-1))</f>
        <v>0</v>
      </c>
      <c r="E33" s="17">
        <f t="shared" si="39"/>
        <v>0</v>
      </c>
      <c r="F33" s="17">
        <f t="shared" si="39"/>
        <v>0</v>
      </c>
      <c r="G33" s="17">
        <f t="shared" si="38"/>
        <v>0</v>
      </c>
      <c r="H33" s="18">
        <f>VLOOKUP(A33,'הכשרה'!A:G,4,0)+VLOOKUP('תפוקה מצטברת מול אשתקד'!A33,'מגדל'!A:G,4,0)+VLOOKUP('תפוקה מצטברת מול אשתקד'!A33,'מנורה'!A:G,4,0)+VLOOKUP('תפוקה מצטברת מול אשתקד'!A33,'איילון'!A:G,4,0)+VLOOKUP('תפוקה מצטברת מול אשתקד'!A33,'הראל'!A:G,4,0)+VLOOKUP('תפוקה מצטברת מול אשתקד'!A33,'הפניקס'!A:G,4,0)+VLOOKUP('תפוקה מצטברת מול אשתקד'!A33,'כלל'!A:G,4,0)+VLOOKUP('תפוקה מצטברת מול אשתקד'!A33,'מור'!A:G,4,0)+VLOOKUP('תפוקה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אשתקד'!A33,'אינפניטי'!A:G,4,0)</f>
        <v>0</v>
      </c>
      <c r="I33" s="18">
        <f>VLOOKUP(A33,'הכשרה'!A:G,5,0)+VLOOKUP('תפוקה מצטברת מול אשתקד'!A33,'מגדל'!A:G,5,0)+VLOOKUP('תפוקה מצטברת מול אשתקד'!A33,'מנורה'!A:G,5,0)+VLOOKUP('תפוקה מצטברת מול אשתקד'!A33,'איילון'!A:G,5,0)+VLOOKUP('תפוקה מצטברת מול אשתקד'!A33,'הראל'!A:G,5,0)+VLOOKUP('תפוקה מצטברת מול אשתקד'!A33,'הפניקס'!A:G,5,0)+VLOOKUP('תפוקה מצטברת מול אשתקד'!A33,'כלל'!A:G,5,0)+VLOOKUP('תפוקה מצטברת מול אשתקד'!A33,'מור'!A:G,5,0)+VLOOKUP('תפוקה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אשתקד'!A33,'אינפניטי'!A:G,5,0)</f>
        <v>0</v>
      </c>
      <c r="J33" s="18">
        <f>VLOOKUP(A33,'הכשרה'!A:G,6,0)+VLOOKUP('תפוקה מצטברת מול אשתקד'!A33,'מגדל'!A:G,6,0)+VLOOKUP('תפוקה מצטברת מול אשתקד'!A33,'מנורה'!A:G,6,0)+VLOOKUP('תפוקה מצטברת מול אשתקד'!A33,'איילון'!A:G,6,0)+VLOOKUP(A33,'הראל'!A:G,6,0)+VLOOKUP('תפוקה מצטברת מול אשתקד'!A33,'הפניקס'!A:G,6,0)+VLOOKUP('תפוקה מצטברת מול אשתקד'!A33,'כלל'!A:G,6,0)+VLOOKUP('תפוקה מצטברת מול אשתקד'!A33,'מור'!A:G,6,0)+VLOOKUP('תפוקה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אשתקד'!A33,'אינפניטי'!A:G,6,0)</f>
        <v>0</v>
      </c>
      <c r="K33" s="18">
        <f>VLOOKUP(A33,'הכשרה'!A:G,7,0)+VLOOKUP('תפוקה מצטברת מול אשתקד'!A33,'מגדל'!A:G,7,0)+VLOOKUP('תפוקה מצטברת מול אשתקד'!A33,'מנורה'!A:G,7,0)+VLOOKUP('תפוקה מצטברת מול אשתקד'!A33,'איילון'!A:G,7,0)+VLOOKUP('תפוקה מצטברת מול אשתקד'!A33,'הראל'!A:G,7,0)+VLOOKUP('תפוקה מצטברת מול אשתקד'!A33,'הפניקס'!A:G,7,0)+VLOOKUP('תפוקה מצטברת מול אשתקד'!A33,'כלל'!A:G,7,0)+VLOOKUP('תפוקה מצטברת מול אשתקד'!A33,'מור'!A:G,7,0)+VLOOKUP('תפוקה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אשתקד'!A33,'אינפניטי'!A:G,7,0)</f>
        <v>0</v>
      </c>
      <c r="L33" s="19">
        <f>VLOOKUP(A33,'הכשרה'!A:K,8,0)+VLOOKUP('תפוקה מצטברת מול אשתקד'!A33,'מגדל'!A:K,8,0)+VLOOKUP('תפוקה מצטברת מול אשתקד'!A33,'מנורה'!A:K,8,0)+VLOOKUP('תפוקה מצטברת מול אשתקד'!A33,'איילון'!A:K,8,0)+VLOOKUP('תפוקה מצטברת מול אשתקד'!A33,'הראל'!A:K,8,0)+VLOOKUP('תפוקה מצטברת מול אשתקד'!A33,'הפניקס'!A:K,8,0)+VLOOKUP('תפוקה מצטברת מול אשתקד'!A33,'כלל'!A:K,8,0)+VLOOKUP('תפוקה מצטברת מול אשתקד'!A33,'מור'!A:K,8,0)+VLOOKUP('תפוקה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אשתקד'!A33,'אינפניטי'!A:K,8,0)</f>
        <v>0</v>
      </c>
      <c r="M33" s="19">
        <f>VLOOKUP(A33,'הכשרה'!A:K,9,0)+VLOOKUP('תפוקה מצטברת מול אשתקד'!A33,'מגדל'!A:K,9,0)+VLOOKUP('תפוקה מצטברת מול אשתקד'!A33,'מנורה'!A:K,9,0)+VLOOKUP('תפוקה מצטברת מול אשתקד'!A33,'איילון'!A:K,9,0)+VLOOKUP('תפוקה מצטברת מול אשתקד'!A33,'הראל'!A:K,9,0)+VLOOKUP('תפוקה מצטברת מול אשתקד'!A33,'הפניקס'!A:K,9,0)+VLOOKUP('תפוקה מצטברת מול אשתקד'!A33,'כלל'!A:K,9,0)+VLOOKUP('תפוקה מצטברת מול אשתקד'!A33,'מור'!A:K,9,0)+VLOOKUP('תפוקה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אשתקד'!A33,'אינפניטי'!A:K,9,0)</f>
        <v>7.46</v>
      </c>
      <c r="N33" s="19">
        <f>VLOOKUP(A33,'הכשרה'!A:K,10,0)+VLOOKUP('תפוקה מצטברת מול אשתקד'!A33,'מגדל'!A:K,10,0)+VLOOKUP('תפוקה מצטברת מול אשתקד'!A33,'מנורה'!A:K,10,0)+VLOOKUP('תפוקה מצטברת מול אשתקד'!A33,'איילון'!A:K,10,0)+VLOOKUP('תפוקה מצטברת מול אשתקד'!A33,'הראל'!A:K,10,0)+VLOOKUP('תפוקה מצטברת מול אשתקד'!A33,'הפניקס'!A:K,10,0)+VLOOKUP('תפוקה מצטברת מול אשתקד'!A33,'כלל'!A:K,10,0)+VLOOKUP('תפוקה מצטברת מול אשתקד'!A33,'מור'!A:K,10,0)+VLOOKUP('תפוקה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אשתקד'!A33,'אינפניטי'!A:K,10,0)</f>
        <v>0</v>
      </c>
      <c r="O33" s="19">
        <f>VLOOKUP(A33,'הכשרה'!A:K,11,0)+VLOOKUP('תפוקה מצטברת מול אשתקד'!A33,'מגדל'!A:K,11,0)+VLOOKUP('תפוקה מצטברת מול אשתקד'!A33,'מנורה'!A:K,11,0)+VLOOKUP('תפוקה מצטברת מול אשתקד'!A33,'איילון'!A:K,11,0)+VLOOKUP('תפוקה מצטברת מול אשתקד'!A33,'הראל'!A:K,11,0)+VLOOKUP('תפוקה מצטברת מול אשתקד'!A33,'הפניקס'!A:K,11,0)+VLOOKUP('תפוקה מצטברת מול אשתקד'!A33,'כלל'!A:K,11,0)+VLOOKUP('תפוקה מצטברת מול אשתקד'!A33,'מור'!A:K,11,0)+VLOOKUP('תפוקה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אשתקד'!A33,'אינפניטי'!A:K,11,0)</f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" t="s">
        <v>49</v>
      </c>
      <c r="B34" s="1" t="s">
        <v>37</v>
      </c>
      <c r="C34" s="23" t="s">
        <v>38</v>
      </c>
      <c r="D34" s="17">
        <f t="shared" ref="D34:F34" si="40">IF(H34=0,0%,IF(L34=0,100%,H34/L34-1))</f>
        <v>0</v>
      </c>
      <c r="E34" s="17">
        <f t="shared" si="40"/>
        <v>9.216742077</v>
      </c>
      <c r="F34" s="17">
        <f t="shared" si="40"/>
        <v>0</v>
      </c>
      <c r="G34" s="17">
        <f t="shared" si="38"/>
        <v>0</v>
      </c>
      <c r="H34" s="18">
        <f>VLOOKUP(A34,'הכשרה'!A:G,4,0)+VLOOKUP('תפוקה מצטברת מול אשתקד'!A34,'מגדל'!A:G,4,0)+VLOOKUP('תפוקה מצטברת מול אשתקד'!A34,'מנורה'!A:G,4,0)+VLOOKUP('תפוקה מצטברת מול אשתקד'!A34,'איילון'!A:G,4,0)+VLOOKUP('תפוקה מצטברת מול אשתקד'!A34,'הראל'!A:G,4,0)+VLOOKUP('תפוקה מצטברת מול אשתקד'!A34,'הפניקס'!A:G,4,0)+VLOOKUP('תפוקה מצטברת מול אשתקד'!A34,'כלל'!A:G,4,0)+VLOOKUP('תפוקה מצטברת מול אשתקד'!A34,'מור'!A:G,4,0)+VLOOKUP('תפוקה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אשתקד'!A34,'אינפניטי'!A:G,4,0)</f>
        <v>0</v>
      </c>
      <c r="I34" s="18">
        <f>VLOOKUP(A34,'הכשרה'!A:G,5,0)+VLOOKUP('תפוקה מצטברת מול אשתקד'!A34,'מגדל'!A:G,5,0)+VLOOKUP('תפוקה מצטברת מול אשתקד'!A34,'מנורה'!A:G,5,0)+VLOOKUP('תפוקה מצטברת מול אשתקד'!A34,'איילון'!A:G,5,0)+VLOOKUP('תפוקה מצטברת מול אשתקד'!A34,'הראל'!A:G,5,0)+VLOOKUP('תפוקה מצטברת מול אשתקד'!A34,'הפניקס'!A:G,5,0)+VLOOKUP('תפוקה מצטברת מול אשתקד'!A34,'כלל'!A:G,5,0)+VLOOKUP('תפוקה מצטברת מול אשתקד'!A34,'מור'!A:G,5,0)+VLOOKUP('תפוקה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אשתקד'!A34,'אינפניטי'!A:G,5,0)</f>
        <v>6634.078</v>
      </c>
      <c r="J34" s="18">
        <f>VLOOKUP(A34,'הכשרה'!A:G,6,0)+VLOOKUP('תפוקה מצטברת מול אשתקד'!A34,'מגדל'!A:G,6,0)+VLOOKUP('תפוקה מצטברת מול אשתקד'!A34,'מנורה'!A:G,6,0)+VLOOKUP('תפוקה מצטברת מול אשתקד'!A34,'איילון'!A:G,6,0)+VLOOKUP(A34,'הראל'!A:G,6,0)+VLOOKUP('תפוקה מצטברת מול אשתקד'!A34,'הפניקס'!A:G,6,0)+VLOOKUP('תפוקה מצטברת מול אשתקד'!A34,'כלל'!A:G,6,0)+VLOOKUP('תפוקה מצטברת מול אשתקד'!A34,'מור'!A:G,6,0)+VLOOKUP('תפוקה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אשתקד'!A34,'אינפניטי'!A:G,6,0)</f>
        <v>0</v>
      </c>
      <c r="K34" s="18">
        <f>VLOOKUP(A34,'הכשרה'!A:G,7,0)+VLOOKUP('תפוקה מצטברת מול אשתקד'!A34,'מגדל'!A:G,7,0)+VLOOKUP('תפוקה מצטברת מול אשתקד'!A34,'מנורה'!A:G,7,0)+VLOOKUP('תפוקה מצטברת מול אשתקד'!A34,'איילון'!A:G,7,0)+VLOOKUP('תפוקה מצטברת מול אשתקד'!A34,'הראל'!A:G,7,0)+VLOOKUP('תפוקה מצטברת מול אשתקד'!A34,'הפניקס'!A:G,7,0)+VLOOKUP('תפוקה מצטברת מול אשתקד'!A34,'כלל'!A:G,7,0)+VLOOKUP('תפוקה מצטברת מול אשתקד'!A34,'מור'!A:G,7,0)+VLOOKUP('תפוקה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אשתקד'!A34,'אינפניטי'!A:G,7,0)</f>
        <v>0</v>
      </c>
      <c r="L34" s="19">
        <f>VLOOKUP(A34,'הכשרה'!A:K,8,0)+VLOOKUP('תפוקה מצטברת מול אשתקד'!A34,'מגדל'!A:K,8,0)+VLOOKUP('תפוקה מצטברת מול אשתקד'!A34,'מנורה'!A:K,8,0)+VLOOKUP('תפוקה מצטברת מול אשתקד'!A34,'איילון'!A:K,8,0)+VLOOKUP('תפוקה מצטברת מול אשתקד'!A34,'הראל'!A:K,8,0)+VLOOKUP('תפוקה מצטברת מול אשתקד'!A34,'הפניקס'!A:K,8,0)+VLOOKUP('תפוקה מצטברת מול אשתקד'!A34,'כלל'!A:K,8,0)+VLOOKUP('תפוקה מצטברת מול אשתקד'!A34,'מור'!A:K,8,0)+VLOOKUP('תפוקה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אשתקד'!A34,'אינפניטי'!A:K,8,0)</f>
        <v>0</v>
      </c>
      <c r="M34" s="19">
        <f>VLOOKUP(A34,'הכשרה'!A:K,9,0)+VLOOKUP('תפוקה מצטברת מול אשתקד'!A34,'מגדל'!A:K,9,0)+VLOOKUP('תפוקה מצטברת מול אשתקד'!A34,'מנורה'!A:K,9,0)+VLOOKUP('תפוקה מצטברת מול אשתקד'!A34,'איילון'!A:K,9,0)+VLOOKUP('תפוקה מצטברת מול אשתקד'!A34,'הראל'!A:K,9,0)+VLOOKUP('תפוקה מצטברת מול אשתקד'!A34,'הפניקס'!A:K,9,0)+VLOOKUP('תפוקה מצטברת מול אשתקד'!A34,'כלל'!A:K,9,0)+VLOOKUP('תפוקה מצטברת מול אשתקד'!A34,'מור'!A:K,9,0)+VLOOKUP('תפוקה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אשתקד'!A34,'אינפניטי'!A:K,9,0)</f>
        <v>649.334</v>
      </c>
      <c r="N34" s="19">
        <f>VLOOKUP(A34,'הכשרה'!A:K,10,0)+VLOOKUP('תפוקה מצטברת מול אשתקד'!A34,'מגדל'!A:K,10,0)+VLOOKUP('תפוקה מצטברת מול אשתקד'!A34,'מנורה'!A:K,10,0)+VLOOKUP('תפוקה מצטברת מול אשתקד'!A34,'איילון'!A:K,10,0)+VLOOKUP('תפוקה מצטברת מול אשתקד'!A34,'הראל'!A:K,10,0)+VLOOKUP('תפוקה מצטברת מול אשתקד'!A34,'הפניקס'!A:K,10,0)+VLOOKUP('תפוקה מצטברת מול אשתקד'!A34,'כלל'!A:K,10,0)+VLOOKUP('תפוקה מצטברת מול אשתקד'!A34,'מור'!A:K,10,0)+VLOOKUP('תפוקה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אשתקד'!A34,'אינפניטי'!A:K,10,0)</f>
        <v>0</v>
      </c>
      <c r="O34" s="19">
        <f>VLOOKUP(A34,'הכשרה'!A:K,11,0)+VLOOKUP('תפוקה מצטברת מול אשתקד'!A34,'מגדל'!A:K,11,0)+VLOOKUP('תפוקה מצטברת מול אשתקד'!A34,'מנורה'!A:K,11,0)+VLOOKUP('תפוקה מצטברת מול אשתקד'!A34,'איילון'!A:K,11,0)+VLOOKUP('תפוקה מצטברת מול אשתקד'!A34,'הראל'!A:K,11,0)+VLOOKUP('תפוקה מצטברת מול אשתקד'!A34,'הפניקס'!A:K,11,0)+VLOOKUP('תפוקה מצטברת מול אשתקד'!A34,'כלל'!A:K,11,0)+VLOOKUP('תפוקה מצטברת מול אשתקד'!A34,'מור'!A:K,11,0)+VLOOKUP('תפוקה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אשתקד'!A34,'אינפניטי'!A:K,11,0)</f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0" t="s">
        <v>50</v>
      </c>
      <c r="B35" s="1" t="s">
        <v>37</v>
      </c>
      <c r="C35" s="23" t="s">
        <v>38</v>
      </c>
      <c r="D35" s="17">
        <f t="shared" ref="D35:F35" si="41">IF(H35=0,0%,IF(L35=0,100%,H35/L35-1))</f>
        <v>0.01482976516</v>
      </c>
      <c r="E35" s="17">
        <f t="shared" si="41"/>
        <v>-0.3556459634</v>
      </c>
      <c r="F35" s="17">
        <f t="shared" si="41"/>
        <v>-0.5179177981</v>
      </c>
      <c r="G35" s="17">
        <f t="shared" si="38"/>
        <v>-0.8144779784</v>
      </c>
      <c r="H35" s="18">
        <f>VLOOKUP(A35,'הכשרה'!A:G,4,0)+VLOOKUP('תפוקה מצטברת מול אשתקד'!A35,'מגדל'!A:G,4,0)+VLOOKUP('תפוקה מצטברת מול אשתקד'!A35,'מנורה'!A:G,4,0)+VLOOKUP('תפוקה מצטברת מול אשתקד'!A35,'איילון'!A:G,4,0)+VLOOKUP('תפוקה מצטברת מול אשתקד'!A35,'הראל'!A:G,4,0)+VLOOKUP('תפוקה מצטברת מול אשתקד'!A35,'הפניקס'!A:G,4,0)+VLOOKUP('תפוקה מצטברת מול אשתקד'!A35,'כלל'!A:G,4,0)+VLOOKUP('תפוקה מצטברת מול אשתקד'!A35,'מור'!A:G,4,0)+VLOOKUP('תפוקה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אשתקד'!A35,'אינפניטי'!A:G,4,0)</f>
        <v>1954208.529</v>
      </c>
      <c r="I35" s="18">
        <f>VLOOKUP(A35,'הכשרה'!A:G,5,0)+VLOOKUP('תפוקה מצטברת מול אשתקד'!A35,'מגדל'!A:G,5,0)+VLOOKUP('תפוקה מצטברת מול אשתקד'!A35,'מנורה'!A:G,5,0)+VLOOKUP('תפוקה מצטברת מול אשתקד'!A35,'איילון'!A:G,5,0)+VLOOKUP('תפוקה מצטברת מול אשתקד'!A35,'הראל'!A:G,5,0)+VLOOKUP('תפוקה מצטברת מול אשתקד'!A35,'הפניקס'!A:G,5,0)+VLOOKUP('תפוקה מצטברת מול אשתקד'!A35,'כלל'!A:G,5,0)+VLOOKUP('תפוקה מצטברת מול אשתקד'!A35,'מור'!A:G,5,0)+VLOOKUP('תפוקה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אשתקד'!A35,'אינפניטי'!A:G,5,0)</f>
        <v>270048.0329</v>
      </c>
      <c r="J35" s="18">
        <f>VLOOKUP(A35,'הכשרה'!A:G,6,0)+VLOOKUP('תפוקה מצטברת מול אשתקד'!A35,'מגדל'!A:G,6,0)+VLOOKUP('תפוקה מצטברת מול אשתקד'!A35,'מנורה'!A:G,6,0)+VLOOKUP('תפוקה מצטברת מול אשתקד'!A35,'איילון'!A:G,6,0)+VLOOKUP(A35,'הראל'!A:G,6,0)+VLOOKUP('תפוקה מצטברת מול אשתקד'!A35,'הפניקס'!A:G,6,0)+VLOOKUP('תפוקה מצטברת מול אשתקד'!A35,'כלל'!A:G,6,0)+VLOOKUP('תפוקה מצטברת מול אשתקד'!A35,'מור'!A:G,6,0)+VLOOKUP('תפוקה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אשתקד'!A35,'אינפניטי'!A:G,6,0)</f>
        <v>2768253.376</v>
      </c>
      <c r="K35" s="18">
        <f>VLOOKUP(A35,'הכשרה'!A:G,7,0)+VLOOKUP('תפוקה מצטברת מול אשתקד'!A35,'מגדל'!A:G,7,0)+VLOOKUP('תפוקה מצטברת מול אשתקד'!A35,'מנורה'!A:G,7,0)+VLOOKUP('תפוקה מצטברת מול אשתקד'!A35,'איילון'!A:G,7,0)+VLOOKUP('תפוקה מצטברת מול אשתקד'!A35,'הראל'!A:G,7,0)+VLOOKUP('תפוקה מצטברת מול אשתקד'!A35,'הפניקס'!A:G,7,0)+VLOOKUP('תפוקה מצטברת מול אשתקד'!A35,'כלל'!A:G,7,0)+VLOOKUP('תפוקה מצטברת מול אשתקד'!A35,'מור'!A:G,7,0)+VLOOKUP('תפוקה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אשתקד'!A35,'אינפניטי'!A:G,7,0)</f>
        <v>2849610.87</v>
      </c>
      <c r="L35" s="19">
        <f>VLOOKUP(A35,'הכשרה'!A:K,8,0)+VLOOKUP('תפוקה מצטברת מול אשתקד'!A35,'מגדל'!A:K,8,0)+VLOOKUP('תפוקה מצטברת מול אשתקד'!A35,'מנורה'!A:K,8,0)+VLOOKUP('תפוקה מצטברת מול אשתקד'!A35,'איילון'!A:K,8,0)+VLOOKUP('תפוקה מצטברת מול אשתקד'!A35,'הראל'!A:K,8,0)+VLOOKUP('תפוקה מצטברת מול אשתקד'!A35,'הפניקס'!A:K,8,0)+VLOOKUP('תפוקה מצטברת מול אשתקד'!A35,'כלל'!A:K,8,0)+VLOOKUP('תפוקה מצטברת מול אשתקד'!A35,'מור'!A:K,8,0)+VLOOKUP('תפוקה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אשתקד'!A35,'אינפניטי'!A:K,8,0)</f>
        <v>1925651.569</v>
      </c>
      <c r="M35" s="19">
        <f>VLOOKUP(A35,'הכשרה'!A:K,9,0)+VLOOKUP('תפוקה מצטברת מול אשתקד'!A35,'מגדל'!A:K,9,0)+VLOOKUP('תפוקה מצטברת מול אשתקד'!A35,'מנורה'!A:K,9,0)+VLOOKUP('תפוקה מצטברת מול אשתקד'!A35,'איילון'!A:K,9,0)+VLOOKUP('תפוקה מצטברת מול אשתקד'!A35,'הראל'!A:K,9,0)+VLOOKUP('תפוקה מצטברת מול אשתקד'!A35,'הפניקס'!A:K,9,0)+VLOOKUP('תפוקה מצטברת מול אשתקד'!A35,'כלל'!A:K,9,0)+VLOOKUP('תפוקה מצטברת מול אשתקד'!A35,'מור'!A:K,9,0)+VLOOKUP('תפוקה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אשתקד'!A35,'אינפניטי'!A:K,9,0)</f>
        <v>419098.8456</v>
      </c>
      <c r="N35" s="19">
        <f>VLOOKUP(A35,'הכשרה'!A:K,10,0)+VLOOKUP('תפוקה מצטברת מול אשתקד'!A35,'מגדל'!A:K,10,0)+VLOOKUP('תפוקה מצטברת מול אשתקד'!A35,'מנורה'!A:K,10,0)+VLOOKUP('תפוקה מצטברת מול אשתקד'!A35,'איילון'!A:K,10,0)+VLOOKUP('תפוקה מצטברת מול אשתקד'!A35,'הראל'!A:K,10,0)+VLOOKUP('תפוקה מצטברת מול אשתקד'!A35,'הפניקס'!A:K,10,0)+VLOOKUP('תפוקה מצטברת מול אשתקד'!A35,'כלל'!A:K,10,0)+VLOOKUP('תפוקה מצטברת מול אשתקד'!A35,'מור'!A:K,10,0)+VLOOKUP('תפוקה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אשתקד'!A35,'אינפניטי'!A:K,10,0)</f>
        <v>5742284.958</v>
      </c>
      <c r="O35" s="19">
        <f>VLOOKUP(A35,'הכשרה'!A:K,11,0)+VLOOKUP('תפוקה מצטברת מול אשתקד'!A35,'מגדל'!A:K,11,0)+VLOOKUP('תפוקה מצטברת מול אשתקד'!A35,'מנורה'!A:K,11,0)+VLOOKUP('תפוקה מצטברת מול אשתקד'!A35,'איילון'!A:K,11,0)+VLOOKUP('תפוקה מצטברת מול אשתקד'!A35,'הראל'!A:K,11,0)+VLOOKUP('תפוקה מצטברת מול אשתקד'!A35,'הפניקס'!A:K,11,0)+VLOOKUP('תפוקה מצטברת מול אשתקד'!A35,'כלל'!A:K,11,0)+VLOOKUP('תפוקה מצטברת מול אשתקד'!A35,'מור'!A:K,11,0)+VLOOKUP('תפוקה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אשתקד'!A35,'אינפניטי'!A:K,11,0)</f>
        <v>15359960.21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" t="s">
        <v>51</v>
      </c>
      <c r="B36" s="1" t="s">
        <v>37</v>
      </c>
      <c r="C36" s="23" t="s">
        <v>38</v>
      </c>
      <c r="D36" s="17">
        <f t="shared" ref="D36:F36" si="42">IF(H36=0,0%,IF(L36=0,100%,H36/L36-1))</f>
        <v>-0.5541987501</v>
      </c>
      <c r="E36" s="17">
        <f t="shared" si="42"/>
        <v>0</v>
      </c>
      <c r="F36" s="17">
        <f t="shared" si="42"/>
        <v>0</v>
      </c>
      <c r="G36" s="17">
        <f t="shared" si="38"/>
        <v>0</v>
      </c>
      <c r="H36" s="18">
        <f>VLOOKUP(A36,'הכשרה'!A:G,4,0)+VLOOKUP('תפוקה מצטברת מול אשתקד'!A36,'מגדל'!A:G,4,0)+VLOOKUP('תפוקה מצטברת מול אשתקד'!A36,'מנורה'!A:G,4,0)+VLOOKUP('תפוקה מצטברת מול אשתקד'!A36,'איילון'!A:G,4,0)+VLOOKUP('תפוקה מצטברת מול אשתקד'!A36,'הראל'!A:G,4,0)+VLOOKUP('תפוקה מצטברת מול אשתקד'!A36,'הפניקס'!A:G,4,0)+VLOOKUP('תפוקה מצטברת מול אשתקד'!A36,'כלל'!A:G,4,0)+VLOOKUP('תפוקה מצטברת מול אשתקד'!A36,'מור'!A:G,4,0)+VLOOKUP('תפוקה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אשתקד'!A36,'אינפניטי'!A:G,4,0)</f>
        <v>2262</v>
      </c>
      <c r="I36" s="18">
        <f>VLOOKUP(A36,'הכשרה'!A:G,5,0)+VLOOKUP('תפוקה מצטברת מול אשתקד'!A36,'מגדל'!A:G,5,0)+VLOOKUP('תפוקה מצטברת מול אשתקד'!A36,'מנורה'!A:G,5,0)+VLOOKUP('תפוקה מצטברת מול אשתקד'!A36,'איילון'!A:G,5,0)+VLOOKUP('תפוקה מצטברת מול אשתקד'!A36,'הראל'!A:G,5,0)+VLOOKUP('תפוקה מצטברת מול אשתקד'!A36,'הפניקס'!A:G,5,0)+VLOOKUP('תפוקה מצטברת מול אשתקד'!A36,'כלל'!A:G,5,0)+VLOOKUP('תפוקה מצטברת מול אשתקד'!A36,'מור'!A:G,5,0)+VLOOKUP('תפוקה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אשתקד'!A36,'אינפניטי'!A:G,5,0)</f>
        <v>0</v>
      </c>
      <c r="J36" s="18">
        <f>VLOOKUP(A36,'הכשרה'!A:G,6,0)+VLOOKUP('תפוקה מצטברת מול אשתקד'!A36,'מגדל'!A:G,6,0)+VLOOKUP('תפוקה מצטברת מול אשתקד'!A36,'מנורה'!A:G,6,0)+VLOOKUP('תפוקה מצטברת מול אשתקד'!A36,'איילון'!A:G,6,0)+VLOOKUP(A36,'הראל'!A:G,6,0)+VLOOKUP('תפוקה מצטברת מול אשתקד'!A36,'הפניקס'!A:G,6,0)+VLOOKUP('תפוקה מצטברת מול אשתקד'!A36,'כלל'!A:G,6,0)+VLOOKUP('תפוקה מצטברת מול אשתקד'!A36,'מור'!A:G,6,0)+VLOOKUP('תפוקה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אשתקד'!A36,'אינפניטי'!A:G,6,0)</f>
        <v>0</v>
      </c>
      <c r="K36" s="18">
        <f>VLOOKUP(A36,'הכשרה'!A:G,7,0)+VLOOKUP('תפוקה מצטברת מול אשתקד'!A36,'מגדל'!A:G,7,0)+VLOOKUP('תפוקה מצטברת מול אשתקד'!A36,'מנורה'!A:G,7,0)+VLOOKUP('תפוקה מצטברת מול אשתקד'!A36,'איילון'!A:G,7,0)+VLOOKUP('תפוקה מצטברת מול אשתקד'!A36,'הראל'!A:G,7,0)+VLOOKUP('תפוקה מצטברת מול אשתקד'!A36,'הפניקס'!A:G,7,0)+VLOOKUP('תפוקה מצטברת מול אשתקד'!A36,'כלל'!A:G,7,0)+VLOOKUP('תפוקה מצטברת מול אשתקד'!A36,'מור'!A:G,7,0)+VLOOKUP('תפוקה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אשתקד'!A36,'אינפניטי'!A:G,7,0)</f>
        <v>0</v>
      </c>
      <c r="L36" s="19">
        <f>VLOOKUP(A36,'הכשרה'!A:K,8,0)+VLOOKUP('תפוקה מצטברת מול אשתקד'!A36,'מגדל'!A:K,8,0)+VLOOKUP('תפוקה מצטברת מול אשתקד'!A36,'מנורה'!A:K,8,0)+VLOOKUP('תפוקה מצטברת מול אשתקד'!A36,'איילון'!A:K,8,0)+VLOOKUP('תפוקה מצטברת מול אשתקד'!A36,'הראל'!A:K,8,0)+VLOOKUP('תפוקה מצטברת מול אשתקד'!A36,'הפניקס'!A:K,8,0)+VLOOKUP('תפוקה מצטברת מול אשתקד'!A36,'כלל'!A:K,8,0)+VLOOKUP('תפוקה מצטברת מול אשתקד'!A36,'מור'!A:K,8,0)+VLOOKUP('תפוקה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אשתקד'!A36,'אינפניטי'!A:K,8,0)</f>
        <v>5074.01</v>
      </c>
      <c r="M36" s="19">
        <f>VLOOKUP(A36,'הכשרה'!A:K,9,0)+VLOOKUP('תפוקה מצטברת מול אשתקד'!A36,'מגדל'!A:K,9,0)+VLOOKUP('תפוקה מצטברת מול אשתקד'!A36,'מנורה'!A:K,9,0)+VLOOKUP('תפוקה מצטברת מול אשתקד'!A36,'איילון'!A:K,9,0)+VLOOKUP('תפוקה מצטברת מול אשתקד'!A36,'הראל'!A:K,9,0)+VLOOKUP('תפוקה מצטברת מול אשתקד'!A36,'הפניקס'!A:K,9,0)+VLOOKUP('תפוקה מצטברת מול אשתקד'!A36,'כלל'!A:K,9,0)+VLOOKUP('תפוקה מצטברת מול אשתקד'!A36,'מור'!A:K,9,0)+VLOOKUP('תפוקה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אשתקד'!A36,'אינפניטי'!A:K,9,0)</f>
        <v>2399.63</v>
      </c>
      <c r="N36" s="19">
        <f>VLOOKUP(A36,'הכשרה'!A:K,10,0)+VLOOKUP('תפוקה מצטברת מול אשתקד'!A36,'מגדל'!A:K,10,0)+VLOOKUP('תפוקה מצטברת מול אשתקד'!A36,'מנורה'!A:K,10,0)+VLOOKUP('תפוקה מצטברת מול אשתקד'!A36,'איילון'!A:K,10,0)+VLOOKUP('תפוקה מצטברת מול אשתקד'!A36,'הראל'!A:K,10,0)+VLOOKUP('תפוקה מצטברת מול אשתקד'!A36,'הפניקס'!A:K,10,0)+VLOOKUP('תפוקה מצטברת מול אשתקד'!A36,'כלל'!A:K,10,0)+VLOOKUP('תפוקה מצטברת מול אשתקד'!A36,'מור'!A:K,10,0)+VLOOKUP('תפוקה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אשתקד'!A36,'אינפניטי'!A:K,10,0)</f>
        <v>0</v>
      </c>
      <c r="O36" s="19">
        <f>VLOOKUP(A36,'הכשרה'!A:K,11,0)+VLOOKUP('תפוקה מצטברת מול אשתקד'!A36,'מגדל'!A:K,11,0)+VLOOKUP('תפוקה מצטברת מול אשתקד'!A36,'מנורה'!A:K,11,0)+VLOOKUP('תפוקה מצטברת מול אשתקד'!A36,'איילון'!A:K,11,0)+VLOOKUP('תפוקה מצטברת מול אשתקד'!A36,'הראל'!A:K,11,0)+VLOOKUP('תפוקה מצטברת מול אשתקד'!A36,'הפניקס'!A:K,11,0)+VLOOKUP('תפוקה מצטברת מול אשתקד'!A36,'כלל'!A:K,11,0)+VLOOKUP('תפוקה מצטברת מול אשתקד'!A36,'מור'!A:K,11,0)+VLOOKUP('תפוקה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אשתקד'!A36,'אינפניטי'!A:K,11,0)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" t="s">
        <v>52</v>
      </c>
      <c r="B37" s="1" t="s">
        <v>37</v>
      </c>
      <c r="C37" s="23" t="s">
        <v>38</v>
      </c>
      <c r="D37" s="17">
        <f t="shared" ref="D37:F37" si="43">IF(H37=0,0%,IF(L37=0,100%,H37/L37-1))</f>
        <v>0.2328255867</v>
      </c>
      <c r="E37" s="17">
        <f t="shared" si="43"/>
        <v>0.2075337697</v>
      </c>
      <c r="F37" s="17">
        <f t="shared" si="43"/>
        <v>0.3533428114</v>
      </c>
      <c r="G37" s="17">
        <f t="shared" si="38"/>
        <v>2.055875437</v>
      </c>
      <c r="H37" s="18">
        <f>VLOOKUP(A37,'הכשרה'!A:G,4,0)+VLOOKUP('תפוקה מצטברת מול אשתקד'!A37,'מגדל'!A:G,4,0)+VLOOKUP('תפוקה מצטברת מול אשתקד'!A37,'מנורה'!A:G,4,0)+VLOOKUP('תפוקה מצטברת מול אשתקד'!A37,'איילון'!A:G,4,0)+VLOOKUP('תפוקה מצטברת מול אשתקד'!A37,'הראל'!A:G,4,0)+VLOOKUP('תפוקה מצטברת מול אשתקד'!A37,'הפניקס'!A:G,4,0)+VLOOKUP('תפוקה מצטברת מול אשתקד'!A37,'כלל'!A:G,4,0)+VLOOKUP('תפוקה מצטברת מול אשתקד'!A37,'מור'!A:G,4,0)+VLOOKUP('תפוקה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אשתקד'!A37,'אינפניטי'!A:G,4,0)</f>
        <v>44755.2</v>
      </c>
      <c r="I37" s="18">
        <f>VLOOKUP(A37,'הכשרה'!A:G,5,0)+VLOOKUP('תפוקה מצטברת מול אשתקד'!A37,'מגדל'!A:G,5,0)+VLOOKUP('תפוקה מצטברת מול אשתקד'!A37,'מנורה'!A:G,5,0)+VLOOKUP('תפוקה מצטברת מול אשתקד'!A37,'איילון'!A:G,5,0)+VLOOKUP('תפוקה מצטברת מול אשתקד'!A37,'הראל'!A:G,5,0)+VLOOKUP('תפוקה מצטברת מול אשתקד'!A37,'הפניקס'!A:G,5,0)+VLOOKUP('תפוקה מצטברת מול אשתקד'!A37,'כלל'!A:G,5,0)+VLOOKUP('תפוקה מצטברת מול אשתקד'!A37,'מור'!A:G,5,0)+VLOOKUP('תפוקה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אשתקד'!A37,'אינפניטי'!A:G,5,0)</f>
        <v>-3451</v>
      </c>
      <c r="J37" s="18">
        <f>VLOOKUP(A37,'הכשרה'!A:G,6,0)+VLOOKUP('תפוקה מצטברת מול אשתקד'!A37,'מגדל'!A:G,6,0)+VLOOKUP('תפוקה מצטברת מול אשתקד'!A37,'מנורה'!A:G,6,0)+VLOOKUP('תפוקה מצטברת מול אשתקד'!A37,'איילון'!A:G,6,0)+VLOOKUP(A37,'הראל'!A:G,6,0)+VLOOKUP('תפוקה מצטברת מול אשתקד'!A37,'הפניקס'!A:G,6,0)+VLOOKUP('תפוקה מצטברת מול אשתקד'!A37,'כלל'!A:G,6,0)+VLOOKUP('תפוקה מצטברת מול אשתקד'!A37,'מור'!A:G,6,0)+VLOOKUP('תפוקה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אשתקד'!A37,'אינפניטי'!A:G,6,0)</f>
        <v>24102.44</v>
      </c>
      <c r="K37" s="18">
        <f>VLOOKUP(A37,'הכשרה'!A:G,7,0)+VLOOKUP('תפוקה מצטברת מול אשתקד'!A37,'מגדל'!A:G,7,0)+VLOOKUP('תפוקה מצטברת מול אשתקד'!A37,'מנורה'!A:G,7,0)+VLOOKUP('תפוקה מצטברת מול אשתקד'!A37,'איילון'!A:G,7,0)+VLOOKUP('תפוקה מצטברת מול אשתקד'!A37,'הראל'!A:G,7,0)+VLOOKUP('תפוקה מצטברת מול אשתקד'!A37,'הפניקס'!A:G,7,0)+VLOOKUP('תפוקה מצטברת מול אשתקד'!A37,'כלל'!A:G,7,0)+VLOOKUP('תפוקה מצטברת מול אשתקד'!A37,'מור'!A:G,7,0)+VLOOKUP('תפוקה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אשתקד'!A37,'אינפניטי'!A:G,7,0)</f>
        <v>-580576.23</v>
      </c>
      <c r="L37" s="19">
        <f>VLOOKUP(A37,'הכשרה'!A:K,8,0)+VLOOKUP('תפוקה מצטברת מול אשתקד'!A37,'מגדל'!A:K,8,0)+VLOOKUP('תפוקה מצטברת מול אשתקד'!A37,'מנורה'!A:K,8,0)+VLOOKUP('תפוקה מצטברת מול אשתקד'!A37,'איילון'!A:K,8,0)+VLOOKUP('תפוקה מצטברת מול אשתקד'!A37,'הראל'!A:K,8,0)+VLOOKUP('תפוקה מצטברת מול אשתקד'!A37,'הפניקס'!A:K,8,0)+VLOOKUP('תפוקה מצטברת מול אשתקד'!A37,'כלל'!A:K,8,0)+VLOOKUP('תפוקה מצטברת מול אשתקד'!A37,'מור'!A:K,8,0)+VLOOKUP('תפוקה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אשתקד'!A37,'אינפניטי'!A:K,8,0)</f>
        <v>36302.94543</v>
      </c>
      <c r="M37" s="19">
        <f>VLOOKUP(A37,'הכשרה'!A:K,9,0)+VLOOKUP('תפוקה מצטברת מול אשתקד'!A37,'מגדל'!A:K,9,0)+VLOOKUP('תפוקה מצטברת מול אשתקד'!A37,'מנורה'!A:K,9,0)+VLOOKUP('תפוקה מצטברת מול אשתקד'!A37,'איילון'!A:K,9,0)+VLOOKUP('תפוקה מצטברת מול אשתקד'!A37,'הראל'!A:K,9,0)+VLOOKUP('תפוקה מצטברת מול אשתקד'!A37,'הפניקס'!A:K,9,0)+VLOOKUP('תפוקה מצטברת מול אשתקד'!A37,'כלל'!A:K,9,0)+VLOOKUP('תפוקה מצטברת מול אשתקד'!A37,'מור'!A:K,9,0)+VLOOKUP('תפוקה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אשתקד'!A37,'אינפניטי'!A:K,9,0)</f>
        <v>-2857.891089</v>
      </c>
      <c r="N37" s="19">
        <f>VLOOKUP(A37,'הכשרה'!A:K,10,0)+VLOOKUP('תפוקה מצטברת מול אשתקד'!A37,'מגדל'!A:K,10,0)+VLOOKUP('תפוקה מצטברת מול אשתקד'!A37,'מנורה'!A:K,10,0)+VLOOKUP('תפוקה מצטברת מול אשתקד'!A37,'איילון'!A:K,10,0)+VLOOKUP('תפוקה מצטברת מול אשתקד'!A37,'הראל'!A:K,10,0)+VLOOKUP('תפוקה מצטברת מול אשתקד'!A37,'הפניקס'!A:K,10,0)+VLOOKUP('תפוקה מצטברת מול אשתקד'!A37,'כלל'!A:K,10,0)+VLOOKUP('תפוקה מצטברת מול אשתקד'!A37,'מור'!A:K,10,0)+VLOOKUP('תפוקה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אשתקד'!A37,'אינפניטי'!A:K,10,0)</f>
        <v>17809.56</v>
      </c>
      <c r="O37" s="19">
        <f>VLOOKUP(A37,'הכשרה'!A:K,11,0)+VLOOKUP('תפוקה מצטברת מול אשתקד'!A37,'מגדל'!A:K,11,0)+VLOOKUP('תפוקה מצטברת מול אשתקד'!A37,'מנורה'!A:K,11,0)+VLOOKUP('תפוקה מצטברת מול אשתקד'!A37,'איילון'!A:K,11,0)+VLOOKUP('תפוקה מצטברת מול אשתקד'!A37,'הראל'!A:K,11,0)+VLOOKUP('תפוקה מצטברת מול אשתקד'!A37,'הפניקס'!A:K,11,0)+VLOOKUP('תפוקה מצטברת מול אשתקד'!A37,'כלל'!A:K,11,0)+VLOOKUP('תפוקה מצטברת מול אשתקד'!A37,'מור'!A:K,11,0)+VLOOKUP('תפוקה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אשתקד'!A37,'אינפניטי'!A:K,11,0)</f>
        <v>-189986.8767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" t="s">
        <v>53</v>
      </c>
      <c r="B38" s="1" t="s">
        <v>37</v>
      </c>
      <c r="C38" s="23" t="s">
        <v>38</v>
      </c>
      <c r="D38" s="17">
        <f t="shared" ref="D38:F38" si="44">IF(H38=0,0%,IF(L38=0,100%,H38/L38-1))</f>
        <v>-4.126657406</v>
      </c>
      <c r="E38" s="17">
        <f t="shared" si="44"/>
        <v>0</v>
      </c>
      <c r="F38" s="17">
        <f t="shared" si="44"/>
        <v>0</v>
      </c>
      <c r="G38" s="17">
        <f t="shared" si="38"/>
        <v>0</v>
      </c>
      <c r="H38" s="18">
        <f>VLOOKUP(A38,'הכשרה'!A:G,4,0)+VLOOKUP('תפוקה מצטברת מול אשתקד'!A38,'מגדל'!A:G,4,0)+VLOOKUP('תפוקה מצטברת מול אשתקד'!A38,'מנורה'!A:G,4,0)+VLOOKUP('תפוקה מצטברת מול אשתקד'!A38,'איילון'!A:G,4,0)+VLOOKUP('תפוקה מצטברת מול אשתקד'!A38,'הראל'!A:G,4,0)+VLOOKUP('תפוקה מצטברת מול אשתקד'!A38,'הפניקס'!A:G,4,0)+VLOOKUP('תפוקה מצטברת מול אשתקד'!A38,'כלל'!A:G,4,0)+VLOOKUP('תפוקה מצטברת מול אשתקד'!A38,'מור'!A:G,4,0)+VLOOKUP('תפוקה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אשתקד'!A38,'אינפניטי'!A:G,4,0)</f>
        <v>63754.87965</v>
      </c>
      <c r="I38" s="18">
        <f>VLOOKUP(A38,'הכשרה'!A:G,5,0)+VLOOKUP('תפוקה מצטברת מול אשתקד'!A38,'מגדל'!A:G,5,0)+VLOOKUP('תפוקה מצטברת מול אשתקד'!A38,'מנורה'!A:G,5,0)+VLOOKUP('תפוקה מצטברת מול אשתקד'!A38,'איילון'!A:G,5,0)+VLOOKUP('תפוקה מצטברת מול אשתקד'!A38,'הראל'!A:G,5,0)+VLOOKUP('תפוקה מצטברת מול אשתקד'!A38,'הפניקס'!A:G,5,0)+VLOOKUP('תפוקה מצטברת מול אשתקד'!A38,'כלל'!A:G,5,0)+VLOOKUP('תפוקה מצטברת מול אשתקד'!A38,'מור'!A:G,5,0)+VLOOKUP('תפוקה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אשתקד'!A38,'אינפניטי'!A:G,5,0)</f>
        <v>0</v>
      </c>
      <c r="J38" s="18">
        <f>VLOOKUP(A38,'הכשרה'!A:G,6,0)+VLOOKUP('תפוקה מצטברת מול אשתקד'!A38,'מגדל'!A:G,6,0)+VLOOKUP('תפוקה מצטברת מול אשתקד'!A38,'מנורה'!A:G,6,0)+VLOOKUP('תפוקה מצטברת מול אשתקד'!A38,'איילון'!A:G,6,0)+VLOOKUP(A38,'הראל'!A:G,6,0)+VLOOKUP('תפוקה מצטברת מול אשתקד'!A38,'הפניקס'!A:G,6,0)+VLOOKUP('תפוקה מצטברת מול אשתקד'!A38,'כלל'!A:G,6,0)+VLOOKUP('תפוקה מצטברת מול אשתקד'!A38,'מור'!A:G,6,0)+VLOOKUP('תפוקה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אשתקד'!A38,'אינפניטי'!A:G,6,0)</f>
        <v>0</v>
      </c>
      <c r="K38" s="18">
        <f>VLOOKUP(A38,'הכשרה'!A:G,7,0)+VLOOKUP('תפוקה מצטברת מול אשתקד'!A38,'מגדל'!A:G,7,0)+VLOOKUP('תפוקה מצטברת מול אשתקד'!A38,'מנורה'!A:G,7,0)+VLOOKUP('תפוקה מצטברת מול אשתקד'!A38,'איילון'!A:G,7,0)+VLOOKUP('תפוקה מצטברת מול אשתקד'!A38,'הראל'!A:G,7,0)+VLOOKUP('תפוקה מצטברת מול אשתקד'!A38,'הפניקס'!A:G,7,0)+VLOOKUP('תפוקה מצטברת מול אשתקד'!A38,'כלל'!A:G,7,0)+VLOOKUP('תפוקה מצטברת מול אשתקד'!A38,'מור'!A:G,7,0)+VLOOKUP('תפוקה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אשתקד'!A38,'אינפניטי'!A:G,7,0)</f>
        <v>0</v>
      </c>
      <c r="L38" s="19">
        <f>VLOOKUP(A38,'הכשרה'!A:K,8,0)+VLOOKUP('תפוקה מצטברת מול אשתקד'!A38,'מגדל'!A:K,8,0)+VLOOKUP('תפוקה מצטברת מול אשתקד'!A38,'מנורה'!A:K,8,0)+VLOOKUP('תפוקה מצטברת מול אשתקד'!A38,'איילון'!A:K,8,0)+VLOOKUP('תפוקה מצטברת מול אשתקד'!A38,'הראל'!A:K,8,0)+VLOOKUP('תפוקה מצטברת מול אשתקד'!A38,'הפניקס'!A:K,8,0)+VLOOKUP('תפוקה מצטברת מול אשתקד'!A38,'כלל'!A:K,8,0)+VLOOKUP('תפוקה מצטברת מול אשתקד'!A38,'מור'!A:K,8,0)+VLOOKUP('תפוקה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אשתקד'!A38,'אינפניטי'!A:K,8,0)</f>
        <v>-20390.74685</v>
      </c>
      <c r="M38" s="19">
        <f>VLOOKUP(A38,'הכשרה'!A:K,9,0)+VLOOKUP('תפוקה מצטברת מול אשתקד'!A38,'מגדל'!A:K,9,0)+VLOOKUP('תפוקה מצטברת מול אשתקד'!A38,'מנורה'!A:K,9,0)+VLOOKUP('תפוקה מצטברת מול אשתקד'!A38,'איילון'!A:K,9,0)+VLOOKUP('תפוקה מצטברת מול אשתקד'!A38,'הראל'!A:K,9,0)+VLOOKUP('תפוקה מצטברת מול אשתקד'!A38,'הפניקס'!A:K,9,0)+VLOOKUP('תפוקה מצטברת מול אשתקד'!A38,'כלל'!A:K,9,0)+VLOOKUP('תפוקה מצטברת מול אשתקד'!A38,'מור'!A:K,9,0)+VLOOKUP('תפוקה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אשתקד'!A38,'אינפניטי'!A:K,9,0)</f>
        <v>0</v>
      </c>
      <c r="N38" s="19">
        <f>VLOOKUP(A38,'הכשרה'!A:K,10,0)+VLOOKUP('תפוקה מצטברת מול אשתקד'!A38,'מגדל'!A:K,10,0)+VLOOKUP('תפוקה מצטברת מול אשתקד'!A38,'מנורה'!A:K,10,0)+VLOOKUP('תפוקה מצטברת מול אשתקד'!A38,'איילון'!A:K,10,0)+VLOOKUP('תפוקה מצטברת מול אשתקד'!A38,'הראל'!A:K,10,0)+VLOOKUP('תפוקה מצטברת מול אשתקד'!A38,'הפניקס'!A:K,10,0)+VLOOKUP('תפוקה מצטברת מול אשתקד'!A38,'כלל'!A:K,10,0)+VLOOKUP('תפוקה מצטברת מול אשתקד'!A38,'מור'!A:K,10,0)+VLOOKUP('תפוקה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אשתקד'!A38,'אינפניטי'!A:K,10,0)</f>
        <v>0</v>
      </c>
      <c r="O38" s="19">
        <f>VLOOKUP(A38,'הכשרה'!A:K,11,0)+VLOOKUP('תפוקה מצטברת מול אשתקד'!A38,'מגדל'!A:K,11,0)+VLOOKUP('תפוקה מצטברת מול אשתקד'!A38,'מנורה'!A:K,11,0)+VLOOKUP('תפוקה מצטברת מול אשתקד'!A38,'איילון'!A:K,11,0)+VLOOKUP('תפוקה מצטברת מול אשתקד'!A38,'הראל'!A:K,11,0)+VLOOKUP('תפוקה מצטברת מול אשתקד'!A38,'הפניקס'!A:K,11,0)+VLOOKUP('תפוקה מצטברת מול אשתקד'!A38,'כלל'!A:K,11,0)+VLOOKUP('תפוקה מצטברת מול אשתקד'!A38,'מור'!A:K,11,0)+VLOOKUP('תפוקה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אשתקד'!A38,'אינפניטי'!A:K,11,0)</f>
        <v>623322.27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" t="s">
        <v>54</v>
      </c>
      <c r="B39" s="1" t="s">
        <v>37</v>
      </c>
      <c r="C39" s="23" t="s">
        <v>38</v>
      </c>
      <c r="D39" s="17">
        <f t="shared" ref="D39:F39" si="45">IF(H39=0,0%,IF(L39=0,100%,H39/L39-1))</f>
        <v>2.347946375</v>
      </c>
      <c r="E39" s="17">
        <f t="shared" si="45"/>
        <v>2.436082813</v>
      </c>
      <c r="F39" s="17">
        <f t="shared" si="45"/>
        <v>1</v>
      </c>
      <c r="G39" s="17">
        <f t="shared" ref="G39:G43" si="47">IF(K39=0,0%,IF(O39=H65,100%,K39/O39-1))</f>
        <v>1</v>
      </c>
      <c r="H39" s="18">
        <f>VLOOKUP(A39,'הכשרה'!A:G,4,0)+VLOOKUP('תפוקה מצטברת מול אשתקד'!A39,'מגדל'!A:G,4,0)+VLOOKUP('תפוקה מצטברת מול אשתקד'!A39,'מנורה'!A:G,4,0)+VLOOKUP('תפוקה מצטברת מול אשתקד'!A39,'איילון'!A:G,4,0)+VLOOKUP('תפוקה מצטברת מול אשתקד'!A39,'הראל'!A:G,4,0)+VLOOKUP('תפוקה מצטברת מול אשתקד'!A39,'הפניקס'!A:G,4,0)+VLOOKUP('תפוקה מצטברת מול אשתקד'!A39,'כלל'!A:G,4,0)+VLOOKUP('תפוקה מצטברת מול אשתקד'!A39,'מור'!A:G,4,0)+VLOOKUP('תפוקה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אשתקד'!A39,'אינפניטי'!A:G,4,0)</f>
        <v>23585.8</v>
      </c>
      <c r="I39" s="18">
        <f>VLOOKUP(A39,'הכשרה'!A:G,5,0)+VLOOKUP('תפוקה מצטברת מול אשתקד'!A39,'מגדל'!A:G,5,0)+VLOOKUP('תפוקה מצטברת מול אשתקד'!A39,'מנורה'!A:G,5,0)+VLOOKUP('תפוקה מצטברת מול אשתקד'!A39,'איילון'!A:G,5,0)+VLOOKUP('תפוקה מצטברת מול אשתקד'!A39,'הראל'!A:G,5,0)+VLOOKUP('תפוקה מצטברת מול אשתקד'!A39,'הפניקס'!A:G,5,0)+VLOOKUP('תפוקה מצטברת מול אשתקד'!A39,'כלל'!A:G,5,0)+VLOOKUP('תפוקה מצטברת מול אשתקד'!A39,'מור'!A:G,5,0)+VLOOKUP('תפוקה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אשתקד'!A39,'אינפניטי'!A:G,5,0)</f>
        <v>2614</v>
      </c>
      <c r="J39" s="18">
        <f>VLOOKUP(A39,'הכשרה'!A:G,6,0)+VLOOKUP('תפוקה מצטברת מול אשתקד'!A39,'מגדל'!A:G,6,0)+VLOOKUP('תפוקה מצטברת מול אשתקד'!A39,'מנורה'!A:G,6,0)+VLOOKUP('תפוקה מצטברת מול אשתקד'!A39,'איילון'!A:G,6,0)+VLOOKUP(A39,'הראל'!A:G,6,0)+VLOOKUP('תפוקה מצטברת מול אשתקד'!A39,'הפניקס'!A:G,6,0)+VLOOKUP('תפוקה מצטברת מול אשתקד'!A39,'כלל'!A:G,6,0)+VLOOKUP('תפוקה מצטברת מול אשתקד'!A39,'מור'!A:G,6,0)+VLOOKUP('תפוקה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אשתקד'!A39,'אינפניטי'!A:G,6,0)</f>
        <v>246259.19</v>
      </c>
      <c r="K39" s="18">
        <f>VLOOKUP(A39,'הכשרה'!A:G,7,0)+VLOOKUP('תפוקה מצטברת מול אשתקד'!A39,'מגדל'!A:G,7,0)+VLOOKUP('תפוקה מצטברת מול אשתקד'!A39,'מנורה'!A:G,7,0)+VLOOKUP('תפוקה מצטברת מול אשתקד'!A39,'איילון'!A:G,7,0)+VLOOKUP('תפוקה מצטברת מול אשתקד'!A39,'הראל'!A:G,7,0)+VLOOKUP('תפוקה מצטברת מול אשתקד'!A39,'הפניקס'!A:G,7,0)+VLOOKUP('תפוקה מצטברת מול אשתקד'!A39,'כלל'!A:G,7,0)+VLOOKUP('תפוקה מצטברת מול אשתקד'!A39,'מור'!A:G,7,0)+VLOOKUP('תפוקה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אשתקד'!A39,'אינפניטי'!A:G,7,0)</f>
        <v>230013.85</v>
      </c>
      <c r="L39" s="19">
        <f>VLOOKUP(A39,'הכשרה'!A:K,8,0)+VLOOKUP('תפוקה מצטברת מול אשתקד'!A39,'מגדל'!A:K,8,0)+VLOOKUP('תפוקה מצטברת מול אשתקד'!A39,'מנורה'!A:K,8,0)+VLOOKUP('תפוקה מצטברת מול אשתקד'!A39,'איילון'!A:K,8,0)+VLOOKUP('תפוקה מצטברת מול אשתקד'!A39,'הראל'!A:K,8,0)+VLOOKUP('תפוקה מצטברת מול אשתקד'!A39,'הפניקס'!A:K,8,0)+VLOOKUP('תפוקה מצטברת מול אשתקד'!A39,'כלל'!A:K,8,0)+VLOOKUP('תפוקה מצטברת מול אשתקד'!A39,'מור'!A:K,8,0)+VLOOKUP('תפוקה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אשתקד'!A39,'אינפניטי'!A:K,8,0)</f>
        <v>7044.855968</v>
      </c>
      <c r="M39" s="19">
        <f>VLOOKUP(A39,'הכשרה'!A:K,9,0)+VLOOKUP('תפוקה מצטברת מול אשתקד'!A39,'מגדל'!A:K,9,0)+VLOOKUP('תפוקה מצטברת מול אשתקד'!A39,'מנורה'!A:K,9,0)+VLOOKUP('תפוקה מצטברת מול אשתקד'!A39,'איילון'!A:K,9,0)+VLOOKUP('תפוקה מצטברת מול אשתקד'!A39,'הראל'!A:K,9,0)+VLOOKUP('תפוקה מצטברת מול אשתקד'!A39,'הפניקס'!A:K,9,0)+VLOOKUP('תפוקה מצטברת מול אשתקד'!A39,'כלל'!A:K,9,0)+VLOOKUP('תפוקה מצטברת מול אשתקד'!A39,'מור'!A:K,9,0)+VLOOKUP('תפוקה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אשתקד'!A39,'אינפניטי'!A:K,9,0)</f>
        <v>760.75</v>
      </c>
      <c r="N39" s="19">
        <f>VLOOKUP(A39,'הכשרה'!A:K,10,0)+VLOOKUP('תפוקה מצטברת מול אשתקד'!A39,'מגדל'!A:K,10,0)+VLOOKUP('תפוקה מצטברת מול אשתקד'!A39,'מנורה'!A:K,10,0)+VLOOKUP('תפוקה מצטברת מול אשתקד'!A39,'איילון'!A:K,10,0)+VLOOKUP('תפוקה מצטברת מול אשתקד'!A39,'הראל'!A:K,10,0)+VLOOKUP('תפוקה מצטברת מול אשתקד'!A39,'הפניקס'!A:K,10,0)+VLOOKUP('תפוקה מצטברת מול אשתקד'!A39,'כלל'!A:K,10,0)+VLOOKUP('תפוקה מצטברת מול אשתקד'!A39,'מור'!A:K,10,0)+VLOOKUP('תפוקה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אשתקד'!A39,'אינפניטי'!A:K,10,0)</f>
        <v>0</v>
      </c>
      <c r="O39" s="19">
        <f>VLOOKUP(A39,'הכשרה'!A:K,11,0)+VLOOKUP('תפוקה מצטברת מול אשתקד'!A39,'מגדל'!A:K,11,0)+VLOOKUP('תפוקה מצטברת מול אשתקד'!A39,'מנורה'!A:K,11,0)+VLOOKUP('תפוקה מצטברת מול אשתקד'!A39,'איילון'!A:K,11,0)+VLOOKUP('תפוקה מצטברת מול אשתקד'!A39,'הראל'!A:K,11,0)+VLOOKUP('תפוקה מצטברת מול אשתקד'!A39,'הפניקס'!A:K,11,0)+VLOOKUP('תפוקה מצטברת מול אשתקד'!A39,'כלל'!A:K,11,0)+VLOOKUP('תפוקה מצטברת מול אשתקד'!A39,'מור'!A:K,11,0)+VLOOKUP('תפוקה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אשתקד'!A39,'אינפניטי'!A:K,11,0)</f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0" t="s">
        <v>55</v>
      </c>
      <c r="B40" s="1" t="s">
        <v>37</v>
      </c>
      <c r="C40" s="23" t="s">
        <v>38</v>
      </c>
      <c r="D40" s="17">
        <f t="shared" ref="D40:F40" si="46">IF(H40=0,0%,IF(L40=0,100%,H40/L40-1))</f>
        <v>0.02488807199</v>
      </c>
      <c r="E40" s="17">
        <f t="shared" si="46"/>
        <v>-0.03190689634</v>
      </c>
      <c r="F40" s="17">
        <f t="shared" si="46"/>
        <v>0.07890732478</v>
      </c>
      <c r="G40" s="17">
        <f t="shared" si="47"/>
        <v>-0.5731540846</v>
      </c>
      <c r="H40" s="18">
        <f>VLOOKUP(A40,'הכשרה'!A:G,4,0)+VLOOKUP('תפוקה מצטברת מול אשתקד'!A40,'מגדל'!A:G,4,0)+VLOOKUP('תפוקה מצטברת מול אשתקד'!A40,'מנורה'!A:G,4,0)+VLOOKUP('תפוקה מצטברת מול אשתקד'!A40,'איילון'!A:G,4,0)+VLOOKUP('תפוקה מצטברת מול אשתקד'!A40,'הראל'!A:G,4,0)+VLOOKUP('תפוקה מצטברת מול אשתקד'!A40,'הפניקס'!A:G,4,0)+VLOOKUP('תפוקה מצטברת מול אשתקד'!A40,'כלל'!A:G,4,0)+VLOOKUP('תפוקה מצטברת מול אשתקד'!A40,'מור'!A:G,4,0)+VLOOKUP('תפוקה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אשתקד'!A40,'אינפניטי'!A:G,4,0)</f>
        <v>414338.3068</v>
      </c>
      <c r="I40" s="18">
        <f>VLOOKUP(A40,'הכשרה'!A:G,5,0)+VLOOKUP('תפוקה מצטברת מול אשתקד'!A40,'מגדל'!A:G,5,0)+VLOOKUP('תפוקה מצטברת מול אשתקד'!A40,'מנורה'!A:G,5,0)+VLOOKUP('תפוקה מצטברת מול אשתקד'!A40,'איילון'!A:G,5,0)+VLOOKUP('תפוקה מצטברת מול אשתקד'!A40,'הראל'!A:G,5,0)+VLOOKUP('תפוקה מצטברת מול אשתקד'!A40,'הפניקס'!A:G,5,0)+VLOOKUP('תפוקה מצטברת מול אשתקד'!A40,'כלל'!A:G,5,0)+VLOOKUP('תפוקה מצטברת מול אשתקד'!A40,'מור'!A:G,5,0)+VLOOKUP('תפוקה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אשתקד'!A40,'אינפניטי'!A:G,5,0)</f>
        <v>43595.54374</v>
      </c>
      <c r="J40" s="18">
        <f>VLOOKUP(A40,'הכשרה'!A:G,6,0)+VLOOKUP('תפוקה מצטברת מול אשתקד'!A40,'מגדל'!A:G,6,0)+VLOOKUP('תפוקה מצטברת מול אשתקד'!A40,'מנורה'!A:G,6,0)+VLOOKUP('תפוקה מצטברת מול אשתקד'!A40,'איילון'!A:G,6,0)+VLOOKUP(A40,'הראל'!A:G,6,0)+VLOOKUP('תפוקה מצטברת מול אשתקד'!A40,'הפניקס'!A:G,6,0)+VLOOKUP('תפוקה מצטברת מול אשתקד'!A40,'כלל'!A:G,6,0)+VLOOKUP('תפוקה מצטברת מול אשתקד'!A40,'מור'!A:G,6,0)+VLOOKUP('תפוקה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אשתקד'!A40,'אינפניטי'!A:G,6,0)</f>
        <v>834959.4673</v>
      </c>
      <c r="K40" s="18">
        <f>VLOOKUP(A40,'הכשרה'!A:G,7,0)+VLOOKUP('תפוקה מצטברת מול אשתקד'!A40,'מגדל'!A:G,7,0)+VLOOKUP('תפוקה מצטברת מול אשתקד'!A40,'מנורה'!A:G,7,0)+VLOOKUP('תפוקה מצטברת מול אשתקד'!A40,'איילון'!A:G,7,0)+VLOOKUP('תפוקה מצטברת מול אשתקד'!A40,'הראל'!A:G,7,0)+VLOOKUP('תפוקה מצטברת מול אשתקד'!A40,'הפניקס'!A:G,7,0)+VLOOKUP('תפוקה מצטברת מול אשתקד'!A40,'כלל'!A:G,7,0)+VLOOKUP('תפוקה מצטברת מול אשתקד'!A40,'מור'!A:G,7,0)+VLOOKUP('תפוקה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אשתקד'!A40,'אינפניטי'!A:G,7,0)</f>
        <v>1595065.21</v>
      </c>
      <c r="L40" s="19">
        <f>VLOOKUP(A40,'הכשרה'!A:K,8,0)+VLOOKUP('תפוקה מצטברת מול אשתקד'!A40,'מגדל'!A:K,8,0)+VLOOKUP('תפוקה מצטברת מול אשתקד'!A40,'מנורה'!A:K,8,0)+VLOOKUP('תפוקה מצטברת מול אשתקד'!A40,'איילון'!A:K,8,0)+VLOOKUP('תפוקה מצטברת מול אשתקד'!A40,'הראל'!A:K,8,0)+VLOOKUP('תפוקה מצטברת מול אשתקד'!A40,'הפניקס'!A:K,8,0)+VLOOKUP('תפוקה מצטברת מול אשתקד'!A40,'כלל'!A:K,8,0)+VLOOKUP('תפוקה מצטברת מול אשתקד'!A40,'מור'!A:K,8,0)+VLOOKUP('תפוקה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אשתקד'!A40,'אינפניטי'!A:K,8,0)</f>
        <v>404276.6407</v>
      </c>
      <c r="M40" s="19">
        <f>VLOOKUP(A40,'הכשרה'!A:K,9,0)+VLOOKUP('תפוקה מצטברת מול אשתקד'!A40,'מגדל'!A:K,9,0)+VLOOKUP('תפוקה מצטברת מול אשתקד'!A40,'מנורה'!A:K,9,0)+VLOOKUP('תפוקה מצטברת מול אשתקד'!A40,'איילון'!A:K,9,0)+VLOOKUP('תפוקה מצטברת מול אשתקד'!A40,'הראל'!A:K,9,0)+VLOOKUP('תפוקה מצטברת מול אשתקד'!A40,'הפניקס'!A:K,9,0)+VLOOKUP('תפוקה מצטברת מול אשתקד'!A40,'כלל'!A:K,9,0)+VLOOKUP('תפוקה מצטברת מול אשתקד'!A40,'מור'!A:K,9,0)+VLOOKUP('תפוקה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אשתקד'!A40,'אינפניטי'!A:K,9,0)</f>
        <v>45032.38746</v>
      </c>
      <c r="N40" s="19">
        <f>VLOOKUP(A40,'הכשרה'!A:K,10,0)+VLOOKUP('תפוקה מצטברת מול אשתקד'!A40,'מגדל'!A:K,10,0)+VLOOKUP('תפוקה מצטברת מול אשתקד'!A40,'מנורה'!A:K,10,0)+VLOOKUP('תפוקה מצטברת מול אשתקד'!A40,'איילון'!A:K,10,0)+VLOOKUP('תפוקה מצטברת מול אשתקד'!A40,'הראל'!A:K,10,0)+VLOOKUP('תפוקה מצטברת מול אשתקד'!A40,'הפניקס'!A:K,10,0)+VLOOKUP('תפוקה מצטברת מול אשתקד'!A40,'כלל'!A:K,10,0)+VLOOKUP('תפוקה מצטברת מול אשתקד'!A40,'מור'!A:K,10,0)+VLOOKUP('תפוקה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אשתקד'!A40,'אינפניטי'!A:K,10,0)</f>
        <v>773893.5941</v>
      </c>
      <c r="O40" s="19">
        <f>VLOOKUP(A40,'הכשרה'!A:K,11,0)+VLOOKUP('תפוקה מצטברת מול אשתקד'!A40,'מגדל'!A:K,11,0)+VLOOKUP('תפוקה מצטברת מול אשתקד'!A40,'מנורה'!A:K,11,0)+VLOOKUP('תפוקה מצטברת מול אשתקד'!A40,'איילון'!A:K,11,0)+VLOOKUP('תפוקה מצטברת מול אשתקד'!A40,'הראל'!A:K,11,0)+VLOOKUP('תפוקה מצטברת מול אשתקד'!A40,'הפניקס'!A:K,11,0)+VLOOKUP('תפוקה מצטברת מול אשתקד'!A40,'כלל'!A:K,11,0)+VLOOKUP('תפוקה מצטברת מול אשתקד'!A40,'מור'!A:K,11,0)+VLOOKUP('תפוקה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אשתקד'!A40,'אינפניטי'!A:K,11,0)</f>
        <v>3736864.177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" t="s">
        <v>56</v>
      </c>
      <c r="B41" s="1" t="s">
        <v>37</v>
      </c>
      <c r="C41" s="23" t="s">
        <v>38</v>
      </c>
      <c r="D41" s="17">
        <f t="shared" ref="D41:F41" si="48">IF(H41=0,0%,IF(L41=0,100%,H41/L41-1))</f>
        <v>-0.9590626722</v>
      </c>
      <c r="E41" s="17">
        <f t="shared" si="48"/>
        <v>-0.4161999905</v>
      </c>
      <c r="F41" s="17">
        <f t="shared" si="48"/>
        <v>-0.7724859223</v>
      </c>
      <c r="G41" s="17">
        <f t="shared" si="47"/>
        <v>0</v>
      </c>
      <c r="H41" s="18">
        <f>VLOOKUP(A41,'הכשרה'!A:G,4,0)+VLOOKUP('תפוקה מצטברת מול אשתקד'!A41,'מגדל'!A:G,4,0)+VLOOKUP('תפוקה מצטברת מול אשתקד'!A41,'מנורה'!A:G,4,0)+VLOOKUP('תפוקה מצטברת מול אשתקד'!A41,'איילון'!A:G,4,0)+VLOOKUP('תפוקה מצטברת מול אשתקד'!A41,'הראל'!A:G,4,0)+VLOOKUP('תפוקה מצטברת מול אשתקד'!A41,'הפניקס'!A:G,4,0)+VLOOKUP('תפוקה מצטברת מול אשתקד'!A41,'כלל'!A:G,4,0)+VLOOKUP('תפוקה מצטברת מול אשתקד'!A41,'מור'!A:G,4,0)+VLOOKUP('תפוקה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אשתקד'!A41,'אינפניטי'!A:G,4,0)</f>
        <v>9990</v>
      </c>
      <c r="I41" s="18">
        <f>VLOOKUP(A41,'הכשרה'!A:G,5,0)+VLOOKUP('תפוקה מצטברת מול אשתקד'!A41,'מגדל'!A:G,5,0)+VLOOKUP('תפוקה מצטברת מול אשתקד'!A41,'מנורה'!A:G,5,0)+VLOOKUP('תפוקה מצטברת מול אשתקד'!A41,'איילון'!A:G,5,0)+VLOOKUP('תפוקה מצטברת מול אשתקד'!A41,'הראל'!A:G,5,0)+VLOOKUP('תפוקה מצטברת מול אשתקד'!A41,'הפניקס'!A:G,5,0)+VLOOKUP('תפוקה מצטברת מול אשתקד'!A41,'כלל'!A:G,5,0)+VLOOKUP('תפוקה מצטברת מול אשתקד'!A41,'מור'!A:G,5,0)+VLOOKUP('תפוקה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אשתקד'!A41,'אינפניטי'!A:G,5,0)</f>
        <v>22432.74973</v>
      </c>
      <c r="J41" s="18">
        <f>VLOOKUP(A41,'הכשרה'!A:G,6,0)+VLOOKUP('תפוקה מצטברת מול אשתקד'!A41,'מגדל'!A:G,6,0)+VLOOKUP('תפוקה מצטברת מול אשתקד'!A41,'מנורה'!A:G,6,0)+VLOOKUP('תפוקה מצטברת מול אשתקד'!A41,'איילון'!A:G,6,0)+VLOOKUP(A41,'הראל'!A:G,6,0)+VLOOKUP('תפוקה מצטברת מול אשתקד'!A41,'הפניקס'!A:G,6,0)+VLOOKUP('תפוקה מצטברת מול אשתקד'!A41,'כלל'!A:G,6,0)+VLOOKUP('תפוקה מצטברת מול אשתקד'!A41,'מור'!A:G,6,0)+VLOOKUP('תפוקה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אשתקד'!A41,'אינפניטי'!A:G,6,0)</f>
        <v>9373.58</v>
      </c>
      <c r="K41" s="18">
        <f>VLOOKUP(A41,'הכשרה'!A:G,7,0)+VLOOKUP('תפוקה מצטברת מול אשתקד'!A41,'מגדל'!A:G,7,0)+VLOOKUP('תפוקה מצטברת מול אשתקד'!A41,'מנורה'!A:G,7,0)+VLOOKUP('תפוקה מצטברת מול אשתקד'!A41,'איילון'!A:G,7,0)+VLOOKUP('תפוקה מצטברת מול אשתקד'!A41,'הראל'!A:G,7,0)+VLOOKUP('תפוקה מצטברת מול אשתקד'!A41,'הפניקס'!A:G,7,0)+VLOOKUP('תפוקה מצטברת מול אשתקד'!A41,'כלל'!A:G,7,0)+VLOOKUP('תפוקה מצטברת מול אשתקד'!A41,'מור'!A:G,7,0)+VLOOKUP('תפוקה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אשתקד'!A41,'אינפניטי'!A:G,7,0)</f>
        <v>0</v>
      </c>
      <c r="L41" s="19">
        <f>VLOOKUP(A41,'הכשרה'!A:K,8,0)+VLOOKUP('תפוקה מצטברת מול אשתקד'!A41,'מגדל'!A:K,8,0)+VLOOKUP('תפוקה מצטברת מול אשתקד'!A41,'מנורה'!A:K,8,0)+VLOOKUP('תפוקה מצטברת מול אשתקד'!A41,'איילון'!A:K,8,0)+VLOOKUP('תפוקה מצטברת מול אשתקד'!A41,'הראל'!A:K,8,0)+VLOOKUP('תפוקה מצטברת מול אשתקד'!A41,'הפניקס'!A:K,8,0)+VLOOKUP('תפוקה מצטברת מול אשתקד'!A41,'כלל'!A:K,8,0)+VLOOKUP('תפוקה מצטברת מול אשתקד'!A41,'מור'!A:K,8,0)+VLOOKUP('תפוקה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אשתקד'!A41,'אינפניטי'!A:K,8,0)</f>
        <v>244031.5606</v>
      </c>
      <c r="M41" s="19">
        <f>VLOOKUP(A41,'הכשרה'!A:K,9,0)+VLOOKUP('תפוקה מצטברת מול אשתקד'!A41,'מגדל'!A:K,9,0)+VLOOKUP('תפוקה מצטברת מול אשתקד'!A41,'מנורה'!A:K,9,0)+VLOOKUP('תפוקה מצטברת מול אשתקד'!A41,'איילון'!A:K,9,0)+VLOOKUP('תפוקה מצטברת מול אשתקד'!A41,'הראל'!A:K,9,0)+VLOOKUP('תפוקה מצטברת מול אשתקד'!A41,'הפניקס'!A:K,9,0)+VLOOKUP('תפוקה מצטברת מול אשתקד'!A41,'כלל'!A:K,9,0)+VLOOKUP('תפוקה מצטברת מול אשתקד'!A41,'מור'!A:K,9,0)+VLOOKUP('תפוקה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אשתקד'!A41,'אינפניטי'!A:K,9,0)</f>
        <v>38425.40145</v>
      </c>
      <c r="N41" s="19">
        <f>VLOOKUP(A41,'הכשרה'!A:K,10,0)+VLOOKUP('תפוקה מצטברת מול אשתקד'!A41,'מגדל'!A:K,10,0)+VLOOKUP('תפוקה מצטברת מול אשתקד'!A41,'מנורה'!A:K,10,0)+VLOOKUP('תפוקה מצטברת מול אשתקד'!A41,'איילון'!A:K,10,0)+VLOOKUP('תפוקה מצטברת מול אשתקד'!A41,'הראל'!A:K,10,0)+VLOOKUP('תפוקה מצטברת מול אשתקד'!A41,'הפניקס'!A:K,10,0)+VLOOKUP('תפוקה מצטברת מול אשתקד'!A41,'כלל'!A:K,10,0)+VLOOKUP('תפוקה מצטברת מול אשתקד'!A41,'מור'!A:K,10,0)+VLOOKUP('תפוקה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אשתקד'!A41,'אינפניטי'!A:K,10,0)</f>
        <v>41200</v>
      </c>
      <c r="O41" s="19">
        <f>VLOOKUP(A41,'הכשרה'!A:K,11,0)+VLOOKUP('תפוקה מצטברת מול אשתקד'!A41,'מגדל'!A:K,11,0)+VLOOKUP('תפוקה מצטברת מול אשתקד'!A41,'מנורה'!A:K,11,0)+VLOOKUP('תפוקה מצטברת מול אשתקד'!A41,'איילון'!A:K,11,0)+VLOOKUP('תפוקה מצטברת מול אשתקד'!A41,'הראל'!A:K,11,0)+VLOOKUP('תפוקה מצטברת מול אשתקד'!A41,'הפניקס'!A:K,11,0)+VLOOKUP('תפוקה מצטברת מול אשתקד'!A41,'כלל'!A:K,11,0)+VLOOKUP('תפוקה מצטברת מול אשתקד'!A41,'מור'!A:K,11,0)+VLOOKUP('תפוקה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אשתקד'!A41,'אינפניטי'!A:K,11,0)</f>
        <v>130943.8115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" t="s">
        <v>57</v>
      </c>
      <c r="B42" s="1" t="s">
        <v>37</v>
      </c>
      <c r="C42" s="23" t="s">
        <v>38</v>
      </c>
      <c r="D42" s="17">
        <f t="shared" ref="D42:F42" si="49">IF(H42=0,0%,IF(L42=0,100%,H42/L42-1))</f>
        <v>1</v>
      </c>
      <c r="E42" s="17">
        <f t="shared" si="49"/>
        <v>2.111393724</v>
      </c>
      <c r="F42" s="17">
        <f t="shared" si="49"/>
        <v>3.755346435</v>
      </c>
      <c r="G42" s="17">
        <f t="shared" si="47"/>
        <v>-0.9434803095</v>
      </c>
      <c r="H42" s="18">
        <f>VLOOKUP(A42,'הכשרה'!A:G,4,0)+VLOOKUP('תפוקה מצטברת מול אשתקד'!A42,'מגדל'!A:G,4,0)+VLOOKUP('תפוקה מצטברת מול אשתקד'!A42,'מנורה'!A:G,4,0)+VLOOKUP('תפוקה מצטברת מול אשתקד'!A42,'איילון'!A:G,4,0)+VLOOKUP('תפוקה מצטברת מול אשתקד'!A42,'הראל'!A:G,4,0)+VLOOKUP('תפוקה מצטברת מול אשתקד'!A42,'הפניקס'!A:G,4,0)+VLOOKUP('תפוקה מצטברת מול אשתקד'!A42,'כלל'!A:G,4,0)+VLOOKUP('תפוקה מצטברת מול אשתקד'!A42,'מור'!A:G,4,0)+VLOOKUP('תפוקה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אשתקד'!A42,'אינפניטי'!A:G,4,0)</f>
        <v>7074.39252</v>
      </c>
      <c r="I42" s="18">
        <f>VLOOKUP(A42,'הכשרה'!A:G,5,0)+VLOOKUP('תפוקה מצטברת מול אשתקד'!A42,'מגדל'!A:G,5,0)+VLOOKUP('תפוקה מצטברת מול אשתקד'!A42,'מנורה'!A:G,5,0)+VLOOKUP('תפוקה מצטברת מול אשתקד'!A42,'איילון'!A:G,5,0)+VLOOKUP('תפוקה מצטברת מול אשתקד'!A42,'הראל'!A:G,5,0)+VLOOKUP('תפוקה מצטברת מול אשתקד'!A42,'הפניקס'!A:G,5,0)+VLOOKUP('תפוקה מצטברת מול אשתקד'!A42,'כלל'!A:G,5,0)+VLOOKUP('תפוקה מצטברת מול אשתקד'!A42,'מור'!A:G,5,0)+VLOOKUP('תפוקה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אשתקד'!A42,'אינפניטי'!A:G,5,0)</f>
        <v>31558.83854</v>
      </c>
      <c r="J42" s="18">
        <f>VLOOKUP(A42,'הכשרה'!A:G,6,0)+VLOOKUP('תפוקה מצטברת מול אשתקד'!A42,'מגדל'!A:G,6,0)+VLOOKUP('תפוקה מצטברת מול אשתקד'!A42,'מנורה'!A:G,6,0)+VLOOKUP('תפוקה מצטברת מול אשתקד'!A42,'איילון'!A:G,6,0)+VLOOKUP(A42,'הראל'!A:G,6,0)+VLOOKUP('תפוקה מצטברת מול אשתקד'!A42,'הפניקס'!A:G,6,0)+VLOOKUP('תפוקה מצטברת מול אשתקד'!A42,'כלל'!A:G,6,0)+VLOOKUP('תפוקה מצטברת מול אשתקד'!A42,'מור'!A:G,6,0)+VLOOKUP('תפוקה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אשתקד'!A42,'אינפניטי'!A:G,6,0)</f>
        <v>604514</v>
      </c>
      <c r="K42" s="18">
        <f>VLOOKUP(A42,'הכשרה'!A:G,7,0)+VLOOKUP('תפוקה מצטברת מול אשתקד'!A42,'מגדל'!A:G,7,0)+VLOOKUP('תפוקה מצטברת מול אשתקד'!A42,'מנורה'!A:G,7,0)+VLOOKUP('תפוקה מצטברת מול אשתקד'!A42,'איילון'!A:G,7,0)+VLOOKUP('תפוקה מצטברת מול אשתקד'!A42,'הראל'!A:G,7,0)+VLOOKUP('תפוקה מצטברת מול אשתקד'!A42,'הפניקס'!A:G,7,0)+VLOOKUP('תפוקה מצטברת מול אשתקד'!A42,'כלל'!A:G,7,0)+VLOOKUP('תפוקה מצטברת מול אשתקד'!A42,'מור'!A:G,7,0)+VLOOKUP('תפוקה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אשתקד'!A42,'אינפניטי'!A:G,7,0)</f>
        <v>178619.23</v>
      </c>
      <c r="L42" s="19">
        <f>VLOOKUP(A42,'הכשרה'!A:K,8,0)+VLOOKUP('תפוקה מצטברת מול אשתקד'!A42,'מגדל'!A:K,8,0)+VLOOKUP('תפוקה מצטברת מול אשתקד'!A42,'מנורה'!A:K,8,0)+VLOOKUP('תפוקה מצטברת מול אשתקד'!A42,'איילון'!A:K,8,0)+VLOOKUP('תפוקה מצטברת מול אשתקד'!A42,'הראל'!A:K,8,0)+VLOOKUP('תפוקה מצטברת מול אשתקד'!A42,'הפניקס'!A:K,8,0)+VLOOKUP('תפוקה מצטברת מול אשתקד'!A42,'כלל'!A:K,8,0)+VLOOKUP('תפוקה מצטברת מול אשתקד'!A42,'מור'!A:K,8,0)+VLOOKUP('תפוקה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אשתקד'!A42,'אינפניטי'!A:K,8,0)</f>
        <v>0</v>
      </c>
      <c r="M42" s="19">
        <f>VLOOKUP(A42,'הכשרה'!A:K,9,0)+VLOOKUP('תפוקה מצטברת מול אשתקד'!A42,'מגדל'!A:K,9,0)+VLOOKUP('תפוקה מצטברת מול אשתקד'!A42,'מנורה'!A:K,9,0)+VLOOKUP('תפוקה מצטברת מול אשתקד'!A42,'איילון'!A:K,9,0)+VLOOKUP('תפוקה מצטברת מול אשתקד'!A42,'הראל'!A:K,9,0)+VLOOKUP('תפוקה מצטברת מול אשתקד'!A42,'הפניקס'!A:K,9,0)+VLOOKUP('תפוקה מצטברת מול אשתקד'!A42,'כלל'!A:K,9,0)+VLOOKUP('תפוקה מצטברת מול אשתקד'!A42,'מור'!A:K,9,0)+VLOOKUP('תפוקה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אשתקד'!A42,'אינפניטי'!A:K,9,0)</f>
        <v>10142.991</v>
      </c>
      <c r="N42" s="19">
        <f>VLOOKUP(A42,'הכשרה'!A:K,10,0)+VLOOKUP('תפוקה מצטברת מול אשתקד'!A42,'מגדל'!A:K,10,0)+VLOOKUP('תפוקה מצטברת מול אשתקד'!A42,'מנורה'!A:K,10,0)+VLOOKUP('תפוקה מצטברת מול אשתקד'!A42,'איילון'!A:K,10,0)+VLOOKUP('תפוקה מצטברת מול אשתקד'!A42,'הראל'!A:K,10,0)+VLOOKUP('תפוקה מצטברת מול אשתקד'!A42,'הפניקס'!A:K,10,0)+VLOOKUP('תפוקה מצטברת מול אשתקד'!A42,'כלל'!A:K,10,0)+VLOOKUP('תפוקה מצטברת מול אשתקד'!A42,'מור'!A:K,10,0)+VLOOKUP('תפוקה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אשתקד'!A42,'אינפניטי'!A:K,10,0)</f>
        <v>127123.02</v>
      </c>
      <c r="O42" s="19">
        <f>VLOOKUP(A42,'הכשרה'!A:K,11,0)+VLOOKUP('תפוקה מצטברת מול אשתקד'!A42,'מגדל'!A:K,11,0)+VLOOKUP('תפוקה מצטברת מול אשתקד'!A42,'מנורה'!A:K,11,0)+VLOOKUP('תפוקה מצטברת מול אשתקד'!A42,'איילון'!A:K,11,0)+VLOOKUP('תפוקה מצטברת מול אשתקד'!A42,'הראל'!A:K,11,0)+VLOOKUP('תפוקה מצטברת מול אשתקד'!A42,'הפניקס'!A:K,11,0)+VLOOKUP('תפוקה מצטברת מול אשתקד'!A42,'כלל'!A:K,11,0)+VLOOKUP('תפוקה מצטברת מול אשתקד'!A42,'מור'!A:K,11,0)+VLOOKUP('תפוקה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אשתקד'!A42,'אינפניטי'!A:K,11,0)</f>
        <v>3160300.92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1" t="s">
        <v>58</v>
      </c>
      <c r="B43" s="1" t="s">
        <v>37</v>
      </c>
      <c r="C43" s="23" t="s">
        <v>38</v>
      </c>
      <c r="D43" s="17">
        <f t="shared" ref="D43:F43" si="50">IF(H43=0,0%,IF(L43=0,100%,H43/L43-1))</f>
        <v>0</v>
      </c>
      <c r="E43" s="17">
        <f t="shared" si="50"/>
        <v>1</v>
      </c>
      <c r="F43" s="17">
        <f t="shared" si="50"/>
        <v>0</v>
      </c>
      <c r="G43" s="17">
        <f t="shared" si="47"/>
        <v>0</v>
      </c>
      <c r="H43" s="18">
        <f>VLOOKUP(A43,'הכשרה'!A:G,4,0)+VLOOKUP('תפוקה מצטברת מול אשתקד'!A43,'מגדל'!A:G,4,0)+VLOOKUP('תפוקה מצטברת מול אשתקד'!A43,'מנורה'!A:G,4,0)+VLOOKUP('תפוקה מצטברת מול אשתקד'!A43,'איילון'!A:G,4,0)+VLOOKUP('תפוקה מצטברת מול אשתקד'!A43,'הראל'!A:G,4,0)+VLOOKUP('תפוקה מצטברת מול אשתקד'!A43,'הפניקס'!A:G,4,0)+VLOOKUP('תפוקה מצטברת מול אשתקד'!A43,'כלל'!A:G,4,0)+VLOOKUP('תפוקה מצטברת מול אשתקד'!A43,'מור'!A:G,4,0)+VLOOKUP('תפוקה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אשתקד'!A43,'אינפניטי'!A:G,4,0)</f>
        <v>0</v>
      </c>
      <c r="I43" s="18">
        <f>VLOOKUP(A43,'הכשרה'!A:G,5,0)+VLOOKUP('תפוקה מצטברת מול אשתקד'!A43,'מגדל'!A:G,5,0)+VLOOKUP('תפוקה מצטברת מול אשתקד'!A43,'מנורה'!A:G,5,0)+VLOOKUP('תפוקה מצטברת מול אשתקד'!A43,'איילון'!A:G,5,0)+VLOOKUP('תפוקה מצטברת מול אשתקד'!A43,'הראל'!A:G,5,0)+VLOOKUP('תפוקה מצטברת מול אשתקד'!A43,'הפניקס'!A:G,5,0)+VLOOKUP('תפוקה מצטברת מול אשתקד'!A43,'כלל'!A:G,5,0)+VLOOKUP('תפוקה מצטברת מול אשתקד'!A43,'מור'!A:G,5,0)+VLOOKUP('תפוקה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אשתקד'!A43,'אינפניטי'!A:G,5,0)</f>
        <v>5611.478</v>
      </c>
      <c r="J43" s="18">
        <f>VLOOKUP(A43,'הכשרה'!A:G,6,0)+VLOOKUP('תפוקה מצטברת מול אשתקד'!A43,'מגדל'!A:G,6,0)+VLOOKUP('תפוקה מצטברת מול אשתקד'!A43,'מנורה'!A:G,6,0)+VLOOKUP('תפוקה מצטברת מול אשתקד'!A43,'איילון'!A:G,6,0)+VLOOKUP(A43,'הראל'!A:G,6,0)+VLOOKUP('תפוקה מצטברת מול אשתקד'!A43,'הפניקס'!A:G,6,0)+VLOOKUP('תפוקה מצטברת מול אשתקד'!A43,'כלל'!A:G,6,0)+VLOOKUP('תפוקה מצטברת מול אשתקד'!A43,'מור'!A:G,6,0)+VLOOKUP('תפוקה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אשתקד'!A43,'אינפניטי'!A:G,6,0)</f>
        <v>0</v>
      </c>
      <c r="K43" s="18">
        <f>VLOOKUP(A43,'הכשרה'!A:G,7,0)+VLOOKUP('תפוקה מצטברת מול אשתקד'!A43,'מגדל'!A:G,7,0)+VLOOKUP('תפוקה מצטברת מול אשתקד'!A43,'מנורה'!A:G,7,0)+VLOOKUP('תפוקה מצטברת מול אשתקד'!A43,'איילון'!A:G,7,0)+VLOOKUP('תפוקה מצטברת מול אשתקד'!A43,'הראל'!A:G,7,0)+VLOOKUP('תפוקה מצטברת מול אשתקד'!A43,'הפניקס'!A:G,7,0)+VLOOKUP('תפוקה מצטברת מול אשתקד'!A43,'כלל'!A:G,7,0)+VLOOKUP('תפוקה מצטברת מול אשתקד'!A43,'מור'!A:G,7,0)+VLOOKUP('תפוקה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אשתקד'!A43,'אינפניטי'!A:G,7,0)</f>
        <v>0</v>
      </c>
      <c r="L43" s="19">
        <f>VLOOKUP(A43,'הכשרה'!A:K,8,0)+VLOOKUP('תפוקה מצטברת מול אשתקד'!A43,'מגדל'!A:K,8,0)+VLOOKUP('תפוקה מצטברת מול אשתקד'!A43,'מנורה'!A:K,8,0)+VLOOKUP('תפוקה מצטברת מול אשתקד'!A43,'איילון'!A:K,8,0)+VLOOKUP('תפוקה מצטברת מול אשתקד'!A43,'הראל'!A:K,8,0)+VLOOKUP('תפוקה מצטברת מול אשתקד'!A43,'הפניקס'!A:K,8,0)+VLOOKUP('תפוקה מצטברת מול אשתקד'!A43,'כלל'!A:K,8,0)+VLOOKUP('תפוקה מצטברת מול אשתקד'!A43,'מור'!A:K,8,0)+VLOOKUP('תפוקה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אשתקד'!A43,'אינפניטי'!A:K,8,0)</f>
        <v>0</v>
      </c>
      <c r="M43" s="19">
        <f>VLOOKUP(A43,'הכשרה'!A:K,9,0)+VLOOKUP('תפוקה מצטברת מול אשתקד'!A43,'מגדל'!A:K,9,0)+VLOOKUP('תפוקה מצטברת מול אשתקד'!A43,'מנורה'!A:K,9,0)+VLOOKUP('תפוקה מצטברת מול אשתקד'!A43,'איילון'!A:K,9,0)+VLOOKUP('תפוקה מצטברת מול אשתקד'!A43,'הראל'!A:K,9,0)+VLOOKUP('תפוקה מצטברת מול אשתקד'!A43,'הפניקס'!A:K,9,0)+VLOOKUP('תפוקה מצטברת מול אשתקד'!A43,'כלל'!A:K,9,0)+VLOOKUP('תפוקה מצטברת מול אשתקד'!A43,'מור'!A:K,9,0)+VLOOKUP('תפוקה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אשתקד'!A43,'אינפניטי'!A:K,9,0)</f>
        <v>0</v>
      </c>
      <c r="N43" s="19">
        <f>VLOOKUP(A43,'הכשרה'!A:K,10,0)+VLOOKUP('תפוקה מצטברת מול אשתקד'!A43,'מגדל'!A:K,10,0)+VLOOKUP('תפוקה מצטברת מול אשתקד'!A43,'מנורה'!A:K,10,0)+VLOOKUP('תפוקה מצטברת מול אשתקד'!A43,'איילון'!A:K,10,0)+VLOOKUP('תפוקה מצטברת מול אשתקד'!A43,'הראל'!A:K,10,0)+VLOOKUP('תפוקה מצטברת מול אשתקד'!A43,'הפניקס'!A:K,10,0)+VLOOKUP('תפוקה מצטברת מול אשתקד'!A43,'כלל'!A:K,10,0)+VLOOKUP('תפוקה מצטברת מול אשתקד'!A43,'מור'!A:K,10,0)+VLOOKUP('תפוקה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אשתקד'!A43,'אינפניטי'!A:K,10,0)</f>
        <v>0</v>
      </c>
      <c r="O43" s="19">
        <f>VLOOKUP(A43,'הכשרה'!A:K,11,0)+VLOOKUP('תפוקה מצטברת מול אשתקד'!A43,'מגדל'!A:K,11,0)+VLOOKUP('תפוקה מצטברת מול אשתקד'!A43,'מנורה'!A:K,11,0)+VLOOKUP('תפוקה מצטברת מול אשתקד'!A43,'איילון'!A:K,11,0)+VLOOKUP('תפוקה מצטברת מול אשתקד'!A43,'הראל'!A:K,11,0)+VLOOKUP('תפוקה מצטברת מול אשתקד'!A43,'הפניקס'!A:K,11,0)+VLOOKUP('תפוקה מצטברת מול אשתקד'!A43,'כלל'!A:K,11,0)+VLOOKUP('תפוקה מצטברת מול אשתקד'!A43,'מור'!A:K,11,0)+VLOOKUP('תפוקה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אשתקד'!A43,'אינפניטי'!A:K,11,0)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1" t="s">
        <v>59</v>
      </c>
      <c r="B44" s="1" t="s">
        <v>37</v>
      </c>
      <c r="C44" s="23" t="s">
        <v>38</v>
      </c>
      <c r="D44" s="17">
        <f t="shared" ref="D44:F44" si="51">IF(H44=0,0%,IF(L44=0,100%,H44/L44-1))</f>
        <v>-0.258245267</v>
      </c>
      <c r="E44" s="17">
        <f t="shared" si="51"/>
        <v>-1.886251761</v>
      </c>
      <c r="F44" s="17">
        <f t="shared" si="51"/>
        <v>0.9461653326</v>
      </c>
      <c r="G44" s="17">
        <v>1.0</v>
      </c>
      <c r="H44" s="18">
        <f>VLOOKUP(A44,'הכשרה'!A:G,4,0)+VLOOKUP('תפוקה מצטברת מול אשתקד'!A44,'מגדל'!A:G,4,0)+VLOOKUP('תפוקה מצטברת מול אשתקד'!A44,'מנורה'!A:G,4,0)+VLOOKUP('תפוקה מצטברת מול אשתקד'!A44,'איילון'!A:G,4,0)+VLOOKUP('תפוקה מצטברת מול אשתקד'!A44,'הראל'!A:G,4,0)+VLOOKUP('תפוקה מצטברת מול אשתקד'!A44,'הפניקס'!A:G,4,0)+VLOOKUP('תפוקה מצטברת מול אשתקד'!A44,'כלל'!A:G,4,0)+VLOOKUP('תפוקה מצטברת מול אשתקד'!A44,'מור'!A:G,4,0)+VLOOKUP('תפוקה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אשתקד'!A44,'אינפניטי'!A:G,4,0)</f>
        <v>10393.586</v>
      </c>
      <c r="I44" s="18">
        <f>VLOOKUP(A44,'הכשרה'!A:G,5,0)+VLOOKUP('תפוקה מצטברת מול אשתקד'!A44,'מגדל'!A:G,5,0)+VLOOKUP('תפוקה מצטברת מול אשתקד'!A44,'מנורה'!A:G,5,0)+VLOOKUP('תפוקה מצטברת מול אשתקד'!A44,'איילון'!A:G,5,0)+VLOOKUP('תפוקה מצטברת מול אשתקד'!A44,'הראל'!A:G,5,0)+VLOOKUP('תפוקה מצטברת מול אשתקד'!A44,'הפניקס'!A:G,5,0)+VLOOKUP('תפוקה מצטברת מול אשתקד'!A44,'כלל'!A:G,5,0)+VLOOKUP('תפוקה מצטברת מול אשתקד'!A44,'מור'!A:G,5,0)+VLOOKUP('תפוקה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אשתקד'!A44,'אינפניטי'!A:G,5,0)</f>
        <v>-4045.5</v>
      </c>
      <c r="J44" s="18">
        <f>VLOOKUP(A44,'הכשרה'!A:G,6,0)+VLOOKUP('תפוקה מצטברת מול אשתקד'!A44,'מגדל'!A:G,6,0)+VLOOKUP('תפוקה מצטברת מול אשתקד'!A44,'מנורה'!A:G,6,0)+VLOOKUP('תפוקה מצטברת מול אשתקד'!A44,'איילון'!A:G,6,0)+VLOOKUP(A44,'הראל'!A:G,6,0)+VLOOKUP('תפוקה מצטברת מול אשתקד'!A44,'הפניקס'!A:G,6,0)+VLOOKUP('תפוקה מצטברת מול אשתקד'!A44,'כלל'!A:G,6,0)+VLOOKUP('תפוקה מצטברת מול אשתקד'!A44,'מור'!A:G,6,0)+VLOOKUP('תפוקה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אשתקד'!A44,'אינפניטי'!A:G,6,0)</f>
        <v>1059086.69</v>
      </c>
      <c r="K44" s="18">
        <f>VLOOKUP(A44,'הכשרה'!A:G,7,0)+VLOOKUP('תפוקה מצטברת מול אשתקד'!A44,'מגדל'!A:G,7,0)+VLOOKUP('תפוקה מצטברת מול אשתקד'!A44,'מנורה'!A:G,7,0)+VLOOKUP('תפוקה מצטברת מול אשתקד'!A44,'איילון'!A:G,7,0)+VLOOKUP('תפוקה מצטברת מול אשתקד'!A44,'הראל'!A:G,7,0)+VLOOKUP('תפוקה מצטברת מול אשתקד'!A44,'הפניקס'!A:G,7,0)+VLOOKUP('תפוקה מצטברת מול אשתקד'!A44,'כלל'!A:G,7,0)+VLOOKUP('תפוקה מצטברת מול אשתקד'!A44,'מור'!A:G,7,0)+VLOOKUP('תפוקה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אשתקד'!A44,'אינפניטי'!A:G,7,0)</f>
        <v>955923.42</v>
      </c>
      <c r="L44" s="19">
        <f>VLOOKUP(A44,'הכשרה'!A:K,8,0)+VLOOKUP('תפוקה מצטברת מול אשתקד'!A44,'מגדל'!A:K,8,0)+VLOOKUP('תפוקה מצטברת מול אשתקד'!A44,'מנורה'!A:K,8,0)+VLOOKUP('תפוקה מצטברת מול אשתקד'!A44,'איילון'!A:K,8,0)+VLOOKUP('תפוקה מצטברת מול אשתקד'!A44,'הראל'!A:K,8,0)+VLOOKUP('תפוקה מצטברת מול אשתקד'!A44,'הפניקס'!A:K,8,0)+VLOOKUP('תפוקה מצטברת מול אשתקד'!A44,'כלל'!A:K,8,0)+VLOOKUP('תפוקה מצטברת מול אשתקד'!A44,'מור'!A:K,8,0)+VLOOKUP('תפוקה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אשתקד'!A44,'אינפניטי'!A:K,8,0)</f>
        <v>14012.16</v>
      </c>
      <c r="M44" s="19">
        <f>VLOOKUP(A44,'הכשרה'!A:K,9,0)+VLOOKUP('תפוקה מצטברת מול אשתקד'!A44,'מגדל'!A:K,9,0)+VLOOKUP('תפוקה מצטברת מול אשתקד'!A44,'מנורה'!A:K,9,0)+VLOOKUP('תפוקה מצטברת מול אשתקד'!A44,'איילון'!A:K,9,0)+VLOOKUP('תפוקה מצטברת מול אשתקד'!A44,'הראל'!A:K,9,0)+VLOOKUP('תפוקה מצטברת מול אשתקד'!A44,'הפניקס'!A:K,9,0)+VLOOKUP('תפוקה מצטברת מול אשתקד'!A44,'כלל'!A:K,9,0)+VLOOKUP('תפוקה מצטברת מול אשתקד'!A44,'מור'!A:K,9,0)+VLOOKUP('תפוקה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אשתקד'!A44,'אינפניטי'!A:K,9,0)</f>
        <v>4564.73</v>
      </c>
      <c r="N44" s="19">
        <f>VLOOKUP(A44,'הכשרה'!A:K,10,0)+VLOOKUP('תפוקה מצטברת מול אשתקד'!A44,'מגדל'!A:K,10,0)+VLOOKUP('תפוקה מצטברת מול אשתקד'!A44,'מנורה'!A:K,10,0)+VLOOKUP('תפוקה מצטברת מול אשתקד'!A44,'איילון'!A:K,10,0)+VLOOKUP('תפוקה מצטברת מול אשתקד'!A44,'הראל'!A:K,10,0)+VLOOKUP('תפוקה מצטברת מול אשתקד'!A44,'הפניקס'!A:K,10,0)+VLOOKUP('תפוקה מצטברת מול אשתקד'!A44,'כלל'!A:K,10,0)+VLOOKUP('תפוקה מצטברת מול אשתקד'!A44,'מור'!A:K,10,0)+VLOOKUP('תפוקה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אשתקד'!A44,'אינפניטי'!A:K,10,0)</f>
        <v>544191.53</v>
      </c>
      <c r="O44" s="19">
        <f>VLOOKUP(A44,'הכשרה'!A:K,11,0)+VLOOKUP('תפוקה מצטברת מול אשתקד'!A44,'מגדל'!A:K,11,0)+VLOOKUP('תפוקה מצטברת מול אשתקד'!A44,'מנורה'!A:K,11,0)+VLOOKUP('תפוקה מצטברת מול אשתקד'!A44,'איילון'!A:K,11,0)+VLOOKUP('תפוקה מצטברת מול אשתקד'!A44,'הראל'!A:K,11,0)+VLOOKUP('תפוקה מצטברת מול אשתקד'!A44,'הפניקס'!A:K,11,0)+VLOOKUP('תפוקה מצטברת מול אשתקד'!A44,'כלל'!A:K,11,0)+VLOOKUP('תפוקה מצטברת מול אשתקד'!A44,'מור'!A:K,11,0)+VLOOKUP('תפוקה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אשתקד'!A44,'אינפניטי'!A:K,11,0)</f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" t="s">
        <v>60</v>
      </c>
      <c r="B45" s="1" t="s">
        <v>37</v>
      </c>
      <c r="C45" s="1" t="s">
        <v>38</v>
      </c>
      <c r="D45" s="17">
        <f t="shared" ref="D45:F45" si="52">IF(H45=0,0%,IF(L45=0,100%,H45/L45-1))</f>
        <v>0.3185216453</v>
      </c>
      <c r="E45" s="17">
        <f t="shared" si="52"/>
        <v>0.9299082234</v>
      </c>
      <c r="F45" s="17">
        <f t="shared" si="52"/>
        <v>7.058098511</v>
      </c>
      <c r="G45" s="17">
        <f>IF(K45=0,0%,IF(O45=H71,100%,K45/O45-1))</f>
        <v>-0.7212258985</v>
      </c>
      <c r="H45" s="18">
        <f>VLOOKUP(A45,'הכשרה'!A:G,4,0)+VLOOKUP('תפוקה מצטברת מול אשתקד'!A45,'מגדל'!A:G,4,0)+VLOOKUP('תפוקה מצטברת מול אשתקד'!A45,'מנורה'!A:G,4,0)+VLOOKUP('תפוקה מצטברת מול אשתקד'!A45,'איילון'!A:G,4,0)+VLOOKUP('תפוקה מצטברת מול אשתקד'!A45,'הראל'!A:G,4,0)+VLOOKUP('תפוקה מצטברת מול אשתקד'!A45,'הפניקס'!A:G,4,0)+VLOOKUP('תפוקה מצטברת מול אשתקד'!A45,'כלל'!A:G,4,0)+VLOOKUP('תפוקה מצטברת מול אשתקד'!A45,'מור'!A:G,4,0)+VLOOKUP('תפוקה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אשתקד'!A45,'אינפניטי'!A:G,4,0)</f>
        <v>119634.2805</v>
      </c>
      <c r="I45" s="18">
        <f>VLOOKUP(A45,'הכשרה'!A:G,5,0)+VLOOKUP('תפוקה מצטברת מול אשתקד'!A45,'מגדל'!A:G,5,0)+VLOOKUP('תפוקה מצטברת מול אשתקד'!A45,'מנורה'!A:G,5,0)+VLOOKUP('תפוקה מצטברת מול אשתקד'!A45,'איילון'!A:G,5,0)+VLOOKUP('תפוקה מצטברת מול אשתקד'!A45,'הראל'!A:G,5,0)+VLOOKUP('תפוקה מצטברת מול אשתקד'!A45,'הפניקס'!A:G,5,0)+VLOOKUP('תפוקה מצטברת מול אשתקד'!A45,'כלל'!A:G,5,0)+VLOOKUP('תפוקה מצטברת מול אשתקד'!A45,'מור'!A:G,5,0)+VLOOKUP('תפוקה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אשתקד'!A45,'אינפניטי'!A:G,5,0)</f>
        <v>4022.72</v>
      </c>
      <c r="J45" s="18">
        <f>VLOOKUP(A45,'הכשרה'!A:G,6,0)+VLOOKUP('תפוקה מצטברת מול אשתקד'!A45,'מגדל'!A:G,6,0)+VLOOKUP('תפוקה מצטברת מול אשתקד'!A45,'מנורה'!A:G,6,0)+VLOOKUP('תפוקה מצטברת מול אשתקד'!A45,'איילון'!A:G,6,0)+VLOOKUP(A45,'הראל'!A:G,6,0)+VLOOKUP('תפוקה מצטברת מול אשתקד'!A45,'הפניקס'!A:G,6,0)+VLOOKUP('תפוקה מצטברת מול אשתקד'!A45,'כלל'!A:G,6,0)+VLOOKUP('תפוקה מצטברת מול אשתקד'!A45,'מור'!A:G,6,0)+VLOOKUP('תפוקה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אשתקד'!A45,'אינפניטי'!A:G,6,0)</f>
        <v>1496891.38</v>
      </c>
      <c r="K45" s="18">
        <f>VLOOKUP(A45,'הכשרה'!A:G,7,0)+VLOOKUP('תפוקה מצטברת מול אשתקד'!A45,'מגדל'!A:G,7,0)+VLOOKUP('תפוקה מצטברת מול אשתקד'!A45,'מנורה'!A:G,7,0)+VLOOKUP('תפוקה מצטברת מול אשתקד'!A45,'איילון'!A:G,7,0)+VLOOKUP('תפוקה מצטברת מול אשתקד'!A45,'הראל'!A:G,7,0)+VLOOKUP('תפוקה מצטברת מול אשתקד'!A45,'הפניקס'!A:G,7,0)+VLOOKUP('תפוקה מצטברת מול אשתקד'!A45,'כלל'!A:G,7,0)+VLOOKUP('תפוקה מצטברת מול אשתקד'!A45,'מור'!A:G,7,0)+VLOOKUP('תפוקה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אשתקד'!A45,'אינפניטי'!A:G,7,0)</f>
        <v>400297.28</v>
      </c>
      <c r="L45" s="19">
        <f>VLOOKUP(A45,'הכשרה'!A:K,8,0)+VLOOKUP('תפוקה מצטברת מול אשתקד'!A45,'מגדל'!A:K,8,0)+VLOOKUP('תפוקה מצטברת מול אשתקד'!A45,'מנורה'!A:K,8,0)+VLOOKUP('תפוקה מצטברת מול אשתקד'!A45,'איילון'!A:K,8,0)+VLOOKUP('תפוקה מצטברת מול אשתקד'!A45,'הראל'!A:K,8,0)+VLOOKUP('תפוקה מצטברת מול אשתקד'!A45,'הפניקס'!A:K,8,0)+VLOOKUP('תפוקה מצטברת מול אשתקד'!A45,'כלל'!A:K,8,0)+VLOOKUP('תפוקה מצטברת מול אשתקד'!A45,'מור'!A:K,8,0)+VLOOKUP('תפוקה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אשתקד'!A45,'אינפניטי'!A:K,8,0)</f>
        <v>90733.64925</v>
      </c>
      <c r="M45" s="19">
        <f>VLOOKUP(A45,'הכשרה'!A:K,9,0)+VLOOKUP('תפוקה מצטברת מול אשתקד'!A45,'מגדל'!A:K,9,0)+VLOOKUP('תפוקה מצטברת מול אשתקד'!A45,'מנורה'!A:K,9,0)+VLOOKUP('תפוקה מצטברת מול אשתקד'!A45,'איילון'!A:K,9,0)+VLOOKUP('תפוקה מצטברת מול אשתקד'!A45,'הראל'!A:K,9,0)+VLOOKUP('תפוקה מצטברת מול אשתקד'!A45,'הפניקס'!A:K,9,0)+VLOOKUP('תפוקה מצטברת מול אשתקד'!A45,'כלל'!A:K,9,0)+VLOOKUP('תפוקה מצטברת מול אשתקד'!A45,'מור'!A:K,9,0)+VLOOKUP('תפוקה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אשתקד'!A45,'אינפניטי'!A:K,9,0)</f>
        <v>2084.41</v>
      </c>
      <c r="N45" s="19">
        <f>VLOOKUP(A45,'הכשרה'!A:K,10,0)+VLOOKUP('תפוקה מצטברת מול אשתקד'!A45,'מגדל'!A:K,10,0)+VLOOKUP('תפוקה מצטברת מול אשתקד'!A45,'מנורה'!A:K,10,0)+VLOOKUP('תפוקה מצטברת מול אשתקד'!A45,'איילון'!A:K,10,0)+VLOOKUP('תפוקה מצטברת מול אשתקד'!A45,'הראל'!A:K,10,0)+VLOOKUP('תפוקה מצטברת מול אשתקד'!A45,'הפניקס'!A:K,10,0)+VLOOKUP('תפוקה מצטברת מול אשתקד'!A45,'כלל'!A:K,10,0)+VLOOKUP('תפוקה מצטברת מול אשתקד'!A45,'מור'!A:K,10,0)+VLOOKUP('תפוקה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אשתקד'!A45,'אינפניטי'!A:K,10,0)</f>
        <v>185762.3579</v>
      </c>
      <c r="O45" s="19">
        <f>VLOOKUP(A45,'הכשרה'!A:K,11,0)+VLOOKUP('תפוקה מצטברת מול אשתקד'!A45,'מגדל'!A:K,11,0)+VLOOKUP('תפוקה מצטברת מול אשתקד'!A45,'מנורה'!A:K,11,0)+VLOOKUP('תפוקה מצטברת מול אשתקד'!A45,'איילון'!A:K,11,0)+VLOOKUP('תפוקה מצטברת מול אשתקד'!A45,'הראל'!A:K,11,0)+VLOOKUP('תפוקה מצטברת מול אשתקד'!A45,'הפניקס'!A:K,11,0)+VLOOKUP('תפוקה מצטברת מול אשתקד'!A45,'כלל'!A:K,11,0)+VLOOKUP('תפוקה מצטברת מול אשתקד'!A45,'מור'!A:K,11,0)+VLOOKUP('תפוקה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אשתקד'!A45,'אינפניטי'!A:K,11,0)</f>
        <v>1435919.9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" t="s">
        <v>61</v>
      </c>
      <c r="B46" s="1" t="s">
        <v>37</v>
      </c>
      <c r="C46" s="1" t="s">
        <v>38</v>
      </c>
      <c r="D46" s="17">
        <f t="shared" ref="D46:F46" si="53">IF(H46=0,0%,IF(L46=0,100%,H46/L46-1))</f>
        <v>-0.7607239249</v>
      </c>
      <c r="E46" s="17">
        <f t="shared" si="53"/>
        <v>10.78350628</v>
      </c>
      <c r="F46" s="17">
        <f t="shared" si="53"/>
        <v>0</v>
      </c>
      <c r="G46" s="17">
        <v>1.0</v>
      </c>
      <c r="H46" s="18">
        <f>VLOOKUP(A46,'הכשרה'!A:G,4,0)+VLOOKUP('תפוקה מצטברת מול אשתקד'!A46,'מגדל'!A:G,4,0)+VLOOKUP('תפוקה מצטברת מול אשתקד'!A46,'מנורה'!A:G,4,0)+VLOOKUP('תפוקה מצטברת מול אשתקד'!A46,'איילון'!A:G,4,0)+VLOOKUP('תפוקה מצטברת מול אשתקד'!A46,'הראל'!A:G,4,0)+VLOOKUP('תפוקה מצטברת מול אשתקד'!A46,'הפניקס'!A:G,4,0)+VLOOKUP('תפוקה מצטברת מול אשתקד'!A46,'כלל'!A:G,4,0)+VLOOKUP('תפוקה מצטברת מול אשתקד'!A46,'מור'!A:G,4,0)+VLOOKUP('תפוקה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אשתקד'!A46,'אינפניטי'!A:G,4,0)</f>
        <v>23762.05</v>
      </c>
      <c r="I46" s="18">
        <f>VLOOKUP(A46,'הכשרה'!A:G,5,0)+VLOOKUP('תפוקה מצטברת מול אשתקד'!A46,'מגדל'!A:G,5,0)+VLOOKUP('תפוקה מצטברת מול אשתקד'!A46,'מנורה'!A:G,5,0)+VLOOKUP('תפוקה מצטברת מול אשתקד'!A46,'איילון'!A:G,5,0)+VLOOKUP('תפוקה מצטברת מול אשתקד'!A46,'הראל'!A:G,5,0)+VLOOKUP('תפוקה מצטברת מול אשתקד'!A46,'הפניקס'!A:G,5,0)+VLOOKUP('תפוקה מצטברת מול אשתקד'!A46,'כלל'!A:G,5,0)+VLOOKUP('תפוקה מצטברת מול אשתקד'!A46,'מור'!A:G,5,0)+VLOOKUP('תפוקה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אשתקד'!A46,'אינפניטי'!A:G,5,0)</f>
        <v>22757.25</v>
      </c>
      <c r="J46" s="18">
        <f>VLOOKUP(A46,'הכשרה'!A:G,6,0)+VLOOKUP('תפוקה מצטברת מול אשתקד'!A46,'מגדל'!A:G,6,0)+VLOOKUP('תפוקה מצטברת מול אשתקד'!A46,'מנורה'!A:G,6,0)+VLOOKUP('תפוקה מצטברת מול אשתקד'!A46,'איילון'!A:G,6,0)+VLOOKUP(A46,'הראל'!A:G,6,0)+VLOOKUP('תפוקה מצטברת מול אשתקד'!A46,'הפניקס'!A:G,6,0)+VLOOKUP('תפוקה מצטברת מול אשתקד'!A46,'כלל'!A:G,6,0)+VLOOKUP('תפוקה מצטברת מול אשתקד'!A46,'מור'!A:G,6,0)+VLOOKUP('תפוקה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אשתקד'!A46,'אינפניטי'!A:G,6,0)</f>
        <v>0</v>
      </c>
      <c r="K46" s="18">
        <f>VLOOKUP(A46,'הכשרה'!A:G,7,0)+VLOOKUP('תפוקה מצטברת מול אשתקד'!A46,'מגדל'!A:G,7,0)+VLOOKUP('תפוקה מצטברת מול אשתקד'!A46,'מנורה'!A:G,7,0)+VLOOKUP('תפוקה מצטברת מול אשתקד'!A46,'איילון'!A:G,7,0)+VLOOKUP('תפוקה מצטברת מול אשתקד'!A46,'הראל'!A:G,7,0)+VLOOKUP('תפוקה מצטברת מול אשתקד'!A46,'הפניקס'!A:G,7,0)+VLOOKUP('תפוקה מצטברת מול אשתקד'!A46,'כלל'!A:G,7,0)+VLOOKUP('תפוקה מצטברת מול אשתקד'!A46,'מור'!A:G,7,0)+VLOOKUP('תפוקה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אשתקד'!A46,'אינפניטי'!A:G,7,0)</f>
        <v>140806.86</v>
      </c>
      <c r="L46" s="19">
        <f>VLOOKUP(A46,'הכשרה'!A:K,8,0)+VLOOKUP('תפוקה מצטברת מול אשתקד'!A46,'מגדל'!A:K,8,0)+VLOOKUP('תפוקה מצטברת מול אשתקד'!A46,'מנורה'!A:K,8,0)+VLOOKUP('תפוקה מצטברת מול אשתקד'!A46,'איילון'!A:K,8,0)+VLOOKUP('תפוקה מצטברת מול אשתקד'!A46,'הראל'!A:K,8,0)+VLOOKUP('תפוקה מצטברת מול אשתקד'!A46,'הפניקס'!A:K,8,0)+VLOOKUP('תפוקה מצטברת מול אשתקד'!A46,'כלל'!A:K,8,0)+VLOOKUP('תפוקה מצטברת מול אשתקד'!A46,'מור'!A:K,8,0)+VLOOKUP('תפוקה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אשתקד'!A46,'אינפניטי'!A:K,8,0)</f>
        <v>99308.09</v>
      </c>
      <c r="M46" s="19">
        <f>VLOOKUP(A46,'הכשרה'!A:K,9,0)+VLOOKUP('תפוקה מצטברת מול אשתקד'!A46,'מגדל'!A:K,9,0)+VLOOKUP('תפוקה מצטברת מול אשתקד'!A46,'מנורה'!A:K,9,0)+VLOOKUP('תפוקה מצטברת מול אשתקד'!A46,'איילון'!A:K,9,0)+VLOOKUP('תפוקה מצטברת מול אשתקד'!A46,'הראל'!A:K,9,0)+VLOOKUP('תפוקה מצטברת מול אשתקד'!A46,'הפניקס'!A:K,9,0)+VLOOKUP('תפוקה מצטברת מול אשתקד'!A46,'כלל'!A:K,9,0)+VLOOKUP('תפוקה מצטברת מול אשתקד'!A46,'מור'!A:K,9,0)+VLOOKUP('תפוקה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אשתקד'!A46,'אינפניטי'!A:K,9,0)</f>
        <v>1931.28</v>
      </c>
      <c r="N46" s="19">
        <f>VLOOKUP(A46,'הכשרה'!A:K,10,0)+VLOOKUP('תפוקה מצטברת מול אשתקד'!A46,'מגדל'!A:K,10,0)+VLOOKUP('תפוקה מצטברת מול אשתקד'!A46,'מנורה'!A:K,10,0)+VLOOKUP('תפוקה מצטברת מול אשתקד'!A46,'איילון'!A:K,10,0)+VLOOKUP('תפוקה מצטברת מול אשתקד'!A46,'הראל'!A:K,10,0)+VLOOKUP('תפוקה מצטברת מול אשתקד'!A46,'הפניקס'!A:K,10,0)+VLOOKUP('תפוקה מצטברת מול אשתקד'!A46,'כלל'!A:K,10,0)+VLOOKUP('תפוקה מצטברת מול אשתקד'!A46,'מור'!A:K,10,0)+VLOOKUP('תפוקה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אשתקד'!A46,'אינפניטי'!A:K,10,0)</f>
        <v>18377.04</v>
      </c>
      <c r="O46" s="19">
        <f>VLOOKUP(A46,'הכשרה'!A:K,11,0)+VLOOKUP('תפוקה מצטברת מול אשתקד'!A46,'מגדל'!A:K,11,0)+VLOOKUP('תפוקה מצטברת מול אשתקד'!A46,'מנורה'!A:K,11,0)+VLOOKUP('תפוקה מצטברת מול אשתקד'!A46,'איילון'!A:K,11,0)+VLOOKUP('תפוקה מצטברת מול אשתקד'!A46,'הראל'!A:K,11,0)+VLOOKUP('תפוקה מצטברת מול אשתקד'!A46,'הפניקס'!A:K,11,0)+VLOOKUP('תפוקה מצטברת מול אשתקד'!A46,'כלל'!A:K,11,0)+VLOOKUP('תפוקה מצטברת מול אשתקד'!A46,'מור'!A:K,11,0)+VLOOKUP('תפוקה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אשתקד'!A46,'אינפניטי'!A:K,11,0)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" t="s">
        <v>62</v>
      </c>
      <c r="B47" s="1" t="s">
        <v>37</v>
      </c>
      <c r="C47" s="1" t="s">
        <v>38</v>
      </c>
      <c r="D47" s="17">
        <f t="shared" ref="D47:F47" si="54">IF(H47=0,0%,IF(L47=0,100%,H47/L47-1))</f>
        <v>0.2976050287</v>
      </c>
      <c r="E47" s="17">
        <f t="shared" si="54"/>
        <v>-0.1442562456</v>
      </c>
      <c r="F47" s="17">
        <f t="shared" si="54"/>
        <v>-0.578184413</v>
      </c>
      <c r="G47" s="17">
        <f t="shared" ref="G47:G54" si="56">IF(K47=0,0%,IF(O47=H73,100%,K47/O47-1))</f>
        <v>-0.605764254</v>
      </c>
      <c r="H47" s="18">
        <f>VLOOKUP(A47,'הכשרה'!A:G,4,0)+VLOOKUP('תפוקה מצטברת מול אשתקד'!A47,'מגדל'!A:G,4,0)+VLOOKUP('תפוקה מצטברת מול אשתקד'!A47,'מנורה'!A:G,4,0)+VLOOKUP('תפוקה מצטברת מול אשתקד'!A47,'איילון'!A:G,4,0)+VLOOKUP('תפוקה מצטברת מול אשתקד'!A47,'הראל'!A:G,4,0)+VLOOKUP('תפוקה מצטברת מול אשתקד'!A47,'הפניקס'!A:G,4,0)+VLOOKUP('תפוקה מצטברת מול אשתקד'!A47,'כלל'!A:G,4,0)+VLOOKUP('תפוקה מצטברת מול אשתקד'!A47,'מור'!A:G,4,0)+VLOOKUP('תפוקה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אשתקד'!A47,'אינפניטי'!A:G,4,0)</f>
        <v>180157.221</v>
      </c>
      <c r="I47" s="18">
        <f>VLOOKUP(A47,'הכשרה'!A:G,5,0)+VLOOKUP('תפוקה מצטברת מול אשתקד'!A47,'מגדל'!A:G,5,0)+VLOOKUP('תפוקה מצטברת מול אשתקד'!A47,'מנורה'!A:G,5,0)+VLOOKUP('תפוקה מצטברת מול אשתקד'!A47,'איילון'!A:G,5,0)+VLOOKUP('תפוקה מצטברת מול אשתקד'!A47,'הראל'!A:G,5,0)+VLOOKUP('תפוקה מצטברת מול אשתקד'!A47,'הפניקס'!A:G,5,0)+VLOOKUP('תפוקה מצטברת מול אשתקד'!A47,'כלל'!A:G,5,0)+VLOOKUP('תפוקה מצטברת מול אשתקד'!A47,'מור'!A:G,5,0)+VLOOKUP('תפוקה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אשתקד'!A47,'אינפניטי'!A:G,5,0)</f>
        <v>14237.656</v>
      </c>
      <c r="J47" s="18">
        <f>VLOOKUP(A47,'הכשרה'!A:G,6,0)+VLOOKUP('תפוקה מצטברת מול אשתקד'!A47,'מגדל'!A:G,6,0)+VLOOKUP('תפוקה מצטברת מול אשתקד'!A47,'מנורה'!A:G,6,0)+VLOOKUP('תפוקה מצטברת מול אשתקד'!A47,'איילון'!A:G,6,0)+VLOOKUP(A47,'הראל'!A:G,6,0)+VLOOKUP('תפוקה מצטברת מול אשתקד'!A47,'הפניקס'!A:G,6,0)+VLOOKUP('תפוקה מצטברת מול אשתקד'!A47,'כלל'!A:G,6,0)+VLOOKUP('תפוקה מצטברת מול אשתקד'!A47,'מור'!A:G,6,0)+VLOOKUP('תפוקה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אשתקד'!A47,'אינפניטי'!A:G,6,0)</f>
        <v>145758.21</v>
      </c>
      <c r="K47" s="18">
        <f>VLOOKUP(A47,'הכשרה'!A:G,7,0)+VLOOKUP('תפוקה מצטברת מול אשתקד'!A47,'מגדל'!A:G,7,0)+VLOOKUP('תפוקה מצטברת מול אשתקד'!A47,'מנורה'!A:G,7,0)+VLOOKUP('תפוקה מצטברת מול אשתקד'!A47,'איילון'!A:G,7,0)+VLOOKUP('תפוקה מצטברת מול אשתקד'!A47,'הראל'!A:G,7,0)+VLOOKUP('תפוקה מצטברת מול אשתקד'!A47,'הפניקס'!A:G,7,0)+VLOOKUP('תפוקה מצטברת מול אשתקד'!A47,'כלל'!A:G,7,0)+VLOOKUP('תפוקה מצטברת מול אשתקד'!A47,'מור'!A:G,7,0)+VLOOKUP('תפוקה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אשתקד'!A47,'אינפניטי'!A:G,7,0)</f>
        <v>616583.7</v>
      </c>
      <c r="L47" s="19">
        <f>VLOOKUP(A47,'הכשרה'!A:K,8,0)+VLOOKUP('תפוקה מצטברת מול אשתקד'!A47,'מגדל'!A:K,8,0)+VLOOKUP('תפוקה מצטברת מול אשתקד'!A47,'מנורה'!A:K,8,0)+VLOOKUP('תפוקה מצטברת מול אשתקד'!A47,'איילון'!A:K,8,0)+VLOOKUP('תפוקה מצטברת מול אשתקד'!A47,'הראל'!A:K,8,0)+VLOOKUP('תפוקה מצטברת מול אשתקד'!A47,'הפניקס'!A:K,8,0)+VLOOKUP('תפוקה מצטברת מול אשתקד'!A47,'כלל'!A:K,8,0)+VLOOKUP('תפוקה מצטברת מול אשתקד'!A47,'מור'!A:K,8,0)+VLOOKUP('תפוקה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אשתקד'!A47,'אינפניטי'!A:K,8,0)</f>
        <v>138838.2574</v>
      </c>
      <c r="M47" s="19">
        <f>VLOOKUP(A47,'הכשרה'!A:K,9,0)+VLOOKUP('תפוקה מצטברת מול אשתקד'!A47,'מגדל'!A:K,9,0)+VLOOKUP('תפוקה מצטברת מול אשתקד'!A47,'מנורה'!A:K,9,0)+VLOOKUP('תפוקה מצטברת מול אשתקד'!A47,'איילון'!A:K,9,0)+VLOOKUP('תפוקה מצטברת מול אשתקד'!A47,'הראל'!A:K,9,0)+VLOOKUP('תפוקה מצטברת מול אשתקד'!A47,'הפניקס'!A:K,9,0)+VLOOKUP('תפוקה מצטברת מול אשתקד'!A47,'כלל'!A:K,9,0)+VLOOKUP('תפוקה מצטברת מול אשתקד'!A47,'מור'!A:K,9,0)+VLOOKUP('תפוקה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אשתקד'!A47,'אינפניטי'!A:K,9,0)</f>
        <v>16637.75625</v>
      </c>
      <c r="N47" s="19">
        <f>VLOOKUP(A47,'הכשרה'!A:K,10,0)+VLOOKUP('תפוקה מצטברת מול אשתקד'!A47,'מגדל'!A:K,10,0)+VLOOKUP('תפוקה מצטברת מול אשתקד'!A47,'מנורה'!A:K,10,0)+VLOOKUP('תפוקה מצטברת מול אשתקד'!A47,'איילון'!A:K,10,0)+VLOOKUP('תפוקה מצטברת מול אשתקד'!A47,'הראל'!A:K,10,0)+VLOOKUP('תפוקה מצטברת מול אשתקד'!A47,'הפניקס'!A:K,10,0)+VLOOKUP('תפוקה מצטברת מול אשתקד'!A47,'כלל'!A:K,10,0)+VLOOKUP('תפוקה מצטברת מול אשתקד'!A47,'מור'!A:K,10,0)+VLOOKUP('תפוקה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אשתקד'!A47,'אינפניטי'!A:K,10,0)</f>
        <v>345549.6062</v>
      </c>
      <c r="O47" s="19">
        <f>VLOOKUP(A47,'הכשרה'!A:K,11,0)+VLOOKUP('תפוקה מצטברת מול אשתקד'!A47,'מגדל'!A:K,11,0)+VLOOKUP('תפוקה מצטברת מול אשתקד'!A47,'מנורה'!A:K,11,0)+VLOOKUP('תפוקה מצטברת מול אשתקד'!A47,'איילון'!A:K,11,0)+VLOOKUP('תפוקה מצטברת מול אשתקד'!A47,'הראל'!A:K,11,0)+VLOOKUP('תפוקה מצטברת מול אשתקד'!A47,'הפניקס'!A:K,11,0)+VLOOKUP('תפוקה מצטברת מול אשתקד'!A47,'כלל'!A:K,11,0)+VLOOKUP('תפוקה מצטברת מול אשתקד'!A47,'מור'!A:K,11,0)+VLOOKUP('תפוקה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אשתקד'!A47,'אינפניטי'!A:K,11,0)</f>
        <v>1563997.446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" t="s">
        <v>63</v>
      </c>
      <c r="B48" s="1" t="s">
        <v>37</v>
      </c>
      <c r="C48" s="1" t="s">
        <v>38</v>
      </c>
      <c r="D48" s="17">
        <f t="shared" ref="D48:F48" si="55">IF(H48=0,0%,IF(L48=0,100%,H48/L48-1))</f>
        <v>-0.7902007212</v>
      </c>
      <c r="E48" s="17">
        <f t="shared" si="55"/>
        <v>-1.071213801</v>
      </c>
      <c r="F48" s="17">
        <f t="shared" si="55"/>
        <v>0</v>
      </c>
      <c r="G48" s="17">
        <f t="shared" si="56"/>
        <v>0</v>
      </c>
      <c r="H48" s="18">
        <f>VLOOKUP(A48,'הכשרה'!A:G,4,0)+VLOOKUP('תפוקה מצטברת מול אשתקד'!A48,'מגדל'!A:G,4,0)+VLOOKUP('תפוקה מצטברת מול אשתקד'!A48,'מנורה'!A:G,4,0)+VLOOKUP('תפוקה מצטברת מול אשתקד'!A48,'איילון'!A:G,4,0)+VLOOKUP('תפוקה מצטברת מול אשתקד'!A48,'הראל'!A:G,4,0)+VLOOKUP('תפוקה מצטברת מול אשתקד'!A48,'הפניקס'!A:G,4,0)+VLOOKUP('תפוקה מצטברת מול אשתקד'!A48,'כלל'!A:G,4,0)+VLOOKUP('תפוקה מצטברת מול אשתקד'!A48,'מור'!A:G,4,0)+VLOOKUP('תפוקה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אשתקד'!A48,'אינפניטי'!A:G,4,0)</f>
        <v>6018</v>
      </c>
      <c r="I48" s="18">
        <f>VLOOKUP(A48,'הכשרה'!A:G,5,0)+VLOOKUP('תפוקה מצטברת מול אשתקד'!A48,'מגדל'!A:G,5,0)+VLOOKUP('תפוקה מצטברת מול אשתקד'!A48,'מנורה'!A:G,5,0)+VLOOKUP('תפוקה מצטברת מול אשתקד'!A48,'איילון'!A:G,5,0)+VLOOKUP('תפוקה מצטברת מול אשתקד'!A48,'הראל'!A:G,5,0)+VLOOKUP('תפוקה מצטברת מול אשתקד'!A48,'הפניקס'!A:G,5,0)+VLOOKUP('תפוקה מצטברת מול אשתקד'!A48,'כלל'!A:G,5,0)+VLOOKUP('תפוקה מצטברת מול אשתקד'!A48,'מור'!A:G,5,0)+VLOOKUP('תפוקה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אשתקד'!A48,'אינפניטי'!A:G,5,0)</f>
        <v>870</v>
      </c>
      <c r="J48" s="18">
        <f>VLOOKUP(A48,'הכשרה'!A:G,6,0)+VLOOKUP('תפוקה מצטברת מול אשתקד'!A48,'מגדל'!A:G,6,0)+VLOOKUP('תפוקה מצטברת מול אשתקד'!A48,'מנורה'!A:G,6,0)+VLOOKUP('תפוקה מצטברת מול אשתקד'!A48,'איילון'!A:G,6,0)+VLOOKUP(A48,'הראל'!A:G,6,0)+VLOOKUP('תפוקה מצטברת מול אשתקד'!A48,'הפניקס'!A:G,6,0)+VLOOKUP('תפוקה מצטברת מול אשתקד'!A48,'כלל'!A:G,6,0)+VLOOKUP('תפוקה מצטברת מול אשתקד'!A48,'מור'!A:G,6,0)+VLOOKUP('תפוקה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אשתקד'!A48,'אינפניטי'!A:G,6,0)</f>
        <v>0</v>
      </c>
      <c r="K48" s="18">
        <f>VLOOKUP(A48,'הכשרה'!A:G,7,0)+VLOOKUP('תפוקה מצטברת מול אשתקד'!A48,'מגדל'!A:G,7,0)+VLOOKUP('תפוקה מצטברת מול אשתקד'!A48,'מנורה'!A:G,7,0)+VLOOKUP('תפוקה מצטברת מול אשתקד'!A48,'איילון'!A:G,7,0)+VLOOKUP('תפוקה מצטברת מול אשתקד'!A48,'הראל'!A:G,7,0)+VLOOKUP('תפוקה מצטברת מול אשתקד'!A48,'הפניקס'!A:G,7,0)+VLOOKUP('תפוקה מצטברת מול אשתקד'!A48,'כלל'!A:G,7,0)+VLOOKUP('תפוקה מצטברת מול אשתקד'!A48,'מור'!A:G,7,0)+VLOOKUP('תפוקה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אשתקד'!A48,'אינפניטי'!A:G,7,0)</f>
        <v>0</v>
      </c>
      <c r="L48" s="19">
        <f>VLOOKUP(A48,'הכשרה'!A:K,8,0)+VLOOKUP('תפוקה מצטברת מול אשתקד'!A48,'מגדל'!A:K,8,0)+VLOOKUP('תפוקה מצטברת מול אשתקד'!A48,'מנורה'!A:K,8,0)+VLOOKUP('תפוקה מצטברת מול אשתקד'!A48,'איילון'!A:K,8,0)+VLOOKUP('תפוקה מצטברת מול אשתקד'!A48,'הראל'!A:K,8,0)+VLOOKUP('תפוקה מצטברת מול אשתקד'!A48,'הפניקס'!A:K,8,0)+VLOOKUP('תפוקה מצטברת מול אשתקד'!A48,'כלל'!A:K,8,0)+VLOOKUP('תפוקה מצטברת מול אשתקד'!A48,'מור'!A:K,8,0)+VLOOKUP('תפוקה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אשתקד'!A48,'אינפניטי'!A:K,8,0)</f>
        <v>28684.56</v>
      </c>
      <c r="M48" s="19">
        <f>VLOOKUP(A48,'הכשרה'!A:K,9,0)+VLOOKUP('תפוקה מצטברת מול אשתקד'!A48,'מגדל'!A:K,9,0)+VLOOKUP('תפוקה מצטברת מול אשתקד'!A48,'מנורה'!A:K,9,0)+VLOOKUP('תפוקה מצטברת מול אשתקד'!A48,'איילון'!A:K,9,0)+VLOOKUP('תפוקה מצטברת מול אשתקד'!A48,'הראל'!A:K,9,0)+VLOOKUP('תפוקה מצטברת מול אשתקד'!A48,'הפניקס'!A:K,9,0)+VLOOKUP('תפוקה מצטברת מול אשתקד'!A48,'כלל'!A:K,9,0)+VLOOKUP('תפוקה מצטברת מול אשתקד'!A48,'מור'!A:K,9,0)+VLOOKUP('תפוקה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אשתקד'!A48,'אינפניטי'!A:K,9,0)</f>
        <v>-12216.73305</v>
      </c>
      <c r="N48" s="19">
        <f>VLOOKUP(A48,'הכשרה'!A:K,10,0)+VLOOKUP('תפוקה מצטברת מול אשתקד'!A48,'מגדל'!A:K,10,0)+VLOOKUP('תפוקה מצטברת מול אשתקד'!A48,'מנורה'!A:K,10,0)+VLOOKUP('תפוקה מצטברת מול אשתקד'!A48,'איילון'!A:K,10,0)+VLOOKUP('תפוקה מצטברת מול אשתקד'!A48,'הראל'!A:K,10,0)+VLOOKUP('תפוקה מצטברת מול אשתקד'!A48,'הפניקס'!A:K,10,0)+VLOOKUP('תפוקה מצטברת מול אשתקד'!A48,'כלל'!A:K,10,0)+VLOOKUP('תפוקה מצטברת מול אשתקד'!A48,'מור'!A:K,10,0)+VLOOKUP('תפוקה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אשתקד'!A48,'אינפניטי'!A:K,10,0)</f>
        <v>0</v>
      </c>
      <c r="O48" s="19">
        <f>VLOOKUP(A48,'הכשרה'!A:K,11,0)+VLOOKUP('תפוקה מצטברת מול אשתקד'!A48,'מגדל'!A:K,11,0)+VLOOKUP('תפוקה מצטברת מול אשתקד'!A48,'מנורה'!A:K,11,0)+VLOOKUP('תפוקה מצטברת מול אשתקד'!A48,'איילון'!A:K,11,0)+VLOOKUP('תפוקה מצטברת מול אשתקד'!A48,'הראל'!A:K,11,0)+VLOOKUP('תפוקה מצטברת מול אשתקד'!A48,'הפניקס'!A:K,11,0)+VLOOKUP('תפוקה מצטברת מול אשתקד'!A48,'כלל'!A:K,11,0)+VLOOKUP('תפוקה מצטברת מול אשתקד'!A48,'מור'!A:K,11,0)+VLOOKUP('תפוקה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אשתקד'!A48,'אינפניטי'!A:K,11,0)</f>
        <v>909374.59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1" t="s">
        <v>64</v>
      </c>
      <c r="B49" s="21" t="s">
        <v>37</v>
      </c>
      <c r="C49" s="1" t="s">
        <v>38</v>
      </c>
      <c r="D49" s="22">
        <f t="shared" ref="D49:F49" si="57">IF(H49=0,0%,IF(L49=0,100%,H49/L49-1))</f>
        <v>6.796895349</v>
      </c>
      <c r="E49" s="22">
        <f t="shared" si="57"/>
        <v>-7.30754267</v>
      </c>
      <c r="F49" s="22">
        <f t="shared" si="57"/>
        <v>10.06423385</v>
      </c>
      <c r="G49" s="17">
        <f t="shared" si="56"/>
        <v>31.63052114</v>
      </c>
      <c r="H49" s="18">
        <f>VLOOKUP(A49,'הכשרה'!A:G,4,0)+VLOOKUP('תפוקה מצטברת מול אשתקד'!A49,'מגדל'!A:G,4,0)+VLOOKUP('תפוקה מצטברת מול אשתקד'!A49,'מנורה'!A:G,4,0)+VLOOKUP('תפוקה מצטברת מול אשתקד'!A49,'איילון'!A:G,4,0)+VLOOKUP('תפוקה מצטברת מול אשתקד'!A49,'הראל'!A:G,4,0)+VLOOKUP('תפוקה מצטברת מול אשתקד'!A49,'הפניקס'!A:G,4,0)+VLOOKUP('תפוקה מצטברת מול אשתקד'!A49,'כלל'!A:G,4,0)+VLOOKUP('תפוקה מצטברת מול אשתקד'!A49,'מור'!A:G,4,0)+VLOOKUP('תפוקה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אשתקד'!A49,'אינפניטי'!A:G,4,0)</f>
        <v>135960</v>
      </c>
      <c r="I49" s="18">
        <f>VLOOKUP(A49,'הכשרה'!A:G,5,0)+VLOOKUP('תפוקה מצטברת מול אשתקד'!A49,'מגדל'!A:G,5,0)+VLOOKUP('תפוקה מצטברת מול אשתקד'!A49,'מנורה'!A:G,5,0)+VLOOKUP('תפוקה מצטברת מול אשתקד'!A49,'איילון'!A:G,5,0)+VLOOKUP('תפוקה מצטברת מול אשתקד'!A49,'הראל'!A:G,5,0)+VLOOKUP('תפוקה מצטברת מול אשתקד'!A49,'הפניקס'!A:G,5,0)+VLOOKUP('תפוקה מצטברת מול אשתקד'!A49,'כלל'!A:G,5,0)+VLOOKUP('תפוקה מצטברת מול אשתקד'!A49,'מור'!A:G,5,0)+VLOOKUP('תפוקה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אשתקד'!A49,'אינפניטי'!A:G,5,0)</f>
        <v>3272.9</v>
      </c>
      <c r="J49" s="18">
        <f>VLOOKUP(A49,'הכשרה'!A:G,6,0)+VLOOKUP('תפוקה מצטברת מול אשתקד'!A49,'מגדל'!A:G,6,0)+VLOOKUP('תפוקה מצטברת מול אשתקד'!A49,'מנורה'!A:G,6,0)+VLOOKUP('תפוקה מצטברת מול אשתקד'!A49,'איילון'!A:G,6,0)+VLOOKUP(A49,'הראל'!A:G,6,0)+VLOOKUP('תפוקה מצטברת מול אשתקד'!A49,'הפניקס'!A:G,6,0)+VLOOKUP('תפוקה מצטברת מול אשתקד'!A49,'כלל'!A:G,6,0)+VLOOKUP('תפוקה מצטברת מול אשתקד'!A49,'מור'!A:G,6,0)+VLOOKUP('תפוקה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אשתקד'!A49,'אינפניטי'!A:G,6,0)</f>
        <v>4501</v>
      </c>
      <c r="K49" s="18">
        <f>VLOOKUP(A49,'הכשרה'!A:G,7,0)+VLOOKUP('תפוקה מצטברת מול אשתקד'!A49,'מגדל'!A:G,7,0)+VLOOKUP('תפוקה מצטברת מול אשתקד'!A49,'מנורה'!A:G,7,0)+VLOOKUP('תפוקה מצטברת מול אשתקד'!A49,'איילון'!A:G,7,0)+VLOOKUP('תפוקה מצטברת מול אשתקד'!A49,'הראל'!A:G,7,0)+VLOOKUP('תפוקה מצטברת מול אשתקד'!A49,'הפניקס'!A:G,7,0)+VLOOKUP('תפוקה מצטברת מול אשתקד'!A49,'כלל'!A:G,7,0)+VLOOKUP('תפוקה מצטברת מול אשתקד'!A49,'מור'!A:G,7,0)+VLOOKUP('תפוקה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אשתקד'!A49,'אינפניטי'!A:G,7,0)</f>
        <v>156597</v>
      </c>
      <c r="L49" s="19">
        <f>VLOOKUP(A49,'הכשרה'!A:K,8,0)+VLOOKUP('תפוקה מצטברת מול אשתקד'!A49,'מגדל'!A:K,8,0)+VLOOKUP('תפוקה מצטברת מול אשתקד'!A49,'מנורה'!A:K,8,0)+VLOOKUP('תפוקה מצטברת מול אשתקד'!A49,'איילון'!A:K,8,0)+VLOOKUP('תפוקה מצטברת מול אשתקד'!A49,'הראל'!A:K,8,0)+VLOOKUP('תפוקה מצטברת מול אשתקד'!A49,'הפניקס'!A:K,8,0)+VLOOKUP('תפוקה מצטברת מול אשתקד'!A49,'כלל'!A:K,8,0)+VLOOKUP('תפוקה מצטברת מול אשתקד'!A49,'מור'!A:K,8,0)+VLOOKUP('תפוקה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אשתקד'!A49,'אינפניטי'!A:K,8,0)</f>
        <v>17437.71</v>
      </c>
      <c r="M49" s="19">
        <f>VLOOKUP(A49,'הכשרה'!A:K,9,0)+VLOOKUP('תפוקה מצטברת מול אשתקד'!A49,'מגדל'!A:K,9,0)+VLOOKUP('תפוקה מצטברת מול אשתקד'!A49,'מנורה'!A:K,9,0)+VLOOKUP('תפוקה מצטברת מול אשתקד'!A49,'איילון'!A:K,9,0)+VLOOKUP('תפוקה מצטברת מול אשתקד'!A49,'הראל'!A:K,9,0)+VLOOKUP('תפוקה מצטברת מול אשתקד'!A49,'הפניקס'!A:K,9,0)+VLOOKUP('תפוקה מצטברת מול אשתקד'!A49,'כלל'!A:K,9,0)+VLOOKUP('תפוקה מצטברת מול אשתקד'!A49,'מור'!A:K,9,0)+VLOOKUP('תפוקה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אשתקד'!A49,'אינפניטי'!A:K,9,0)</f>
        <v>-518.8866998</v>
      </c>
      <c r="N49" s="19">
        <f>VLOOKUP(A49,'הכשרה'!A:K,10,0)+VLOOKUP('תפוקה מצטברת מול אשתקד'!A49,'מגדל'!A:K,10,0)+VLOOKUP('תפוקה מצטברת מול אשתקד'!A49,'מנורה'!A:K,10,0)+VLOOKUP('תפוקה מצטברת מול אשתקד'!A49,'איילון'!A:K,10,0)+VLOOKUP('תפוקה מצטברת מול אשתקד'!A49,'הראל'!A:K,10,0)+VLOOKUP('תפוקה מצטברת מול אשתקד'!A49,'הפניקס'!A:K,10,0)+VLOOKUP('תפוקה מצטברת מול אשתקד'!A49,'כלל'!A:K,10,0)+VLOOKUP('תפוקה מצטברת מול אשתקד'!A49,'מור'!A:K,10,0)+VLOOKUP('תפוקה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אשתקד'!A49,'אינפניטי'!A:K,10,0)</f>
        <v>406.806297</v>
      </c>
      <c r="O49" s="19">
        <f>VLOOKUP(A49,'הכשרה'!A:K,11,0)+VLOOKUP('תפוקה מצטברת מול אשתקד'!A49,'מגדל'!A:K,11,0)+VLOOKUP('תפוקה מצטברת מול אשתקד'!A49,'מנורה'!A:K,11,0)+VLOOKUP('תפוקה מצטברת מול אשתקד'!A49,'איילון'!A:K,11,0)+VLOOKUP('תפוקה מצטברת מול אשתקד'!A49,'הראל'!A:K,11,0)+VLOOKUP('תפוקה מצטברת מול אשתקד'!A49,'הפניקס'!A:K,11,0)+VLOOKUP('תפוקה מצטברת מול אשתקד'!A49,'כלל'!A:K,11,0)+VLOOKUP('תפוקה מצטברת מול אשתקד'!A49,'מור'!A:K,11,0)+VLOOKUP('תפוקה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אשתקד'!A49,'אינפניטי'!A:K,11,0)</f>
        <v>4799.095893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" t="s">
        <v>65</v>
      </c>
      <c r="B50" s="1" t="s">
        <v>66</v>
      </c>
      <c r="C50" s="1" t="s">
        <v>38</v>
      </c>
      <c r="D50" s="17">
        <f t="shared" ref="D50:F50" si="58">IF(H50=0,0%,IF(L50=0,100%,H50/L50-1))</f>
        <v>0</v>
      </c>
      <c r="E50" s="17">
        <f t="shared" si="58"/>
        <v>0</v>
      </c>
      <c r="F50" s="17">
        <f t="shared" si="58"/>
        <v>0</v>
      </c>
      <c r="G50" s="17">
        <f t="shared" si="56"/>
        <v>0</v>
      </c>
      <c r="H50" s="18">
        <f>VLOOKUP(A50,'הכשרה'!A:G,4,0)+VLOOKUP('תפוקה מצטברת מול אשתקד'!A50,'מגדל'!A:G,4,0)+VLOOKUP('תפוקה מצטברת מול אשתקד'!A50,'מנורה'!A:G,4,0)+VLOOKUP('תפוקה מצטברת מול אשתקד'!A50,'איילון'!A:G,4,0)+VLOOKUP('תפוקה מצטברת מול אשתקד'!A50,'הראל'!A:G,4,0)+VLOOKUP('תפוקה מצטברת מול אשתקד'!A50,'הפניקס'!A:G,4,0)+VLOOKUP('תפוקה מצטברת מול אשתקד'!A50,'כלל'!A:G,4,0)+VLOOKUP('תפוקה מצטברת מול אשתקד'!A50,'מור'!A:G,4,0)+VLOOKUP('תפוקה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אשתקד'!A50,'אינפניטי'!A:G,4,0)</f>
        <v>0</v>
      </c>
      <c r="I50" s="18">
        <f>VLOOKUP(A50,'הכשרה'!A:G,5,0)+VLOOKUP('תפוקה מצטברת מול אשתקד'!A50,'מגדל'!A:G,5,0)+VLOOKUP('תפוקה מצטברת מול אשתקד'!A50,'מנורה'!A:G,5,0)+VLOOKUP('תפוקה מצטברת מול אשתקד'!A50,'איילון'!A:G,5,0)+VLOOKUP('תפוקה מצטברת מול אשתקד'!A50,'הראל'!A:G,5,0)+VLOOKUP('תפוקה מצטברת מול אשתקד'!A50,'הפניקס'!A:G,5,0)+VLOOKUP('תפוקה מצטברת מול אשתקד'!A50,'כלל'!A:G,5,0)+VLOOKUP('תפוקה מצטברת מול אשתקד'!A50,'מור'!A:G,5,0)+VLOOKUP('תפוקה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אשתקד'!A50,'אינפניטי'!A:G,5,0)</f>
        <v>0</v>
      </c>
      <c r="J50" s="18">
        <f>VLOOKUP(A50,'הכשרה'!A:G,6,0)+VLOOKUP('תפוקה מצטברת מול אשתקד'!A50,'מגדל'!A:G,6,0)+VLOOKUP('תפוקה מצטברת מול אשתקד'!A50,'מנורה'!A:G,6,0)+VLOOKUP('תפוקה מצטברת מול אשתקד'!A50,'איילון'!A:G,6,0)+VLOOKUP(A50,'הראל'!A:G,6,0)+VLOOKUP('תפוקה מצטברת מול אשתקד'!A50,'הפניקס'!A:G,6,0)+VLOOKUP('תפוקה מצטברת מול אשתקד'!A50,'כלל'!A:G,6,0)+VLOOKUP('תפוקה מצטברת מול אשתקד'!A50,'מור'!A:G,6,0)+VLOOKUP('תפוקה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אשתקד'!A50,'אינפניטי'!A:G,6,0)</f>
        <v>0</v>
      </c>
      <c r="K50" s="18">
        <f>VLOOKUP(A50,'הכשרה'!A:G,7,0)+VLOOKUP('תפוקה מצטברת מול אשתקד'!A50,'מגדל'!A:G,7,0)+VLOOKUP('תפוקה מצטברת מול אשתקד'!A50,'מנורה'!A:G,7,0)+VLOOKUP('תפוקה מצטברת מול אשתקד'!A50,'איילון'!A:G,7,0)+VLOOKUP('תפוקה מצטברת מול אשתקד'!A50,'הראל'!A:G,7,0)+VLOOKUP('תפוקה מצטברת מול אשתקד'!A50,'הפניקס'!A:G,7,0)+VLOOKUP('תפוקה מצטברת מול אשתקד'!A50,'כלל'!A:G,7,0)+VLOOKUP('תפוקה מצטברת מול אשתקד'!A50,'מור'!A:G,7,0)+VLOOKUP('תפוקה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אשתקד'!A50,'אינפניטי'!A:G,7,0)</f>
        <v>0</v>
      </c>
      <c r="L50" s="19">
        <f>VLOOKUP(A50,'הכשרה'!A:K,8,0)+VLOOKUP('תפוקה מצטברת מול אשתקד'!A50,'מגדל'!A:K,8,0)+VLOOKUP('תפוקה מצטברת מול אשתקד'!A50,'מנורה'!A:K,8,0)+VLOOKUP('תפוקה מצטברת מול אשתקד'!A50,'איילון'!A:K,8,0)+VLOOKUP('תפוקה מצטברת מול אשתקד'!A50,'הראל'!A:K,8,0)+VLOOKUP('תפוקה מצטברת מול אשתקד'!A50,'הפניקס'!A:K,8,0)+VLOOKUP('תפוקה מצטברת מול אשתקד'!A50,'כלל'!A:K,8,0)+VLOOKUP('תפוקה מצטברת מול אשתקד'!A50,'מור'!A:K,8,0)+VLOOKUP('תפוקה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אשתקד'!A50,'אינפניטי'!A:K,8,0)</f>
        <v>0</v>
      </c>
      <c r="M50" s="19">
        <f>VLOOKUP(A50,'הכשרה'!A:K,9,0)+VLOOKUP('תפוקה מצטברת מול אשתקד'!A50,'מגדל'!A:K,9,0)+VLOOKUP('תפוקה מצטברת מול אשתקד'!A50,'מנורה'!A:K,9,0)+VLOOKUP('תפוקה מצטברת מול אשתקד'!A50,'איילון'!A:K,9,0)+VLOOKUP('תפוקה מצטברת מול אשתקד'!A50,'הראל'!A:K,9,0)+VLOOKUP('תפוקה מצטברת מול אשתקד'!A50,'הפניקס'!A:K,9,0)+VLOOKUP('תפוקה מצטברת מול אשתקד'!A50,'כלל'!A:K,9,0)+VLOOKUP('תפוקה מצטברת מול אשתקד'!A50,'מור'!A:K,9,0)+VLOOKUP('תפוקה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אשתקד'!A50,'אינפניטי'!A:K,9,0)</f>
        <v>0</v>
      </c>
      <c r="N50" s="19">
        <f>VLOOKUP(A50,'הכשרה'!A:K,10,0)+VLOOKUP('תפוקה מצטברת מול אשתקד'!A50,'מגדל'!A:K,10,0)+VLOOKUP('תפוקה מצטברת מול אשתקד'!A50,'מנורה'!A:K,10,0)+VLOOKUP('תפוקה מצטברת מול אשתקד'!A50,'איילון'!A:K,10,0)+VLOOKUP('תפוקה מצטברת מול אשתקד'!A50,'הראל'!A:K,10,0)+VLOOKUP('תפוקה מצטברת מול אשתקד'!A50,'הפניקס'!A:K,10,0)+VLOOKUP('תפוקה מצטברת מול אשתקד'!A50,'כלל'!A:K,10,0)+VLOOKUP('תפוקה מצטברת מול אשתקד'!A50,'מור'!A:K,10,0)+VLOOKUP('תפוקה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אשתקד'!A50,'אינפניטי'!A:K,10,0)</f>
        <v>0</v>
      </c>
      <c r="O50" s="19">
        <f>VLOOKUP(A50,'הכשרה'!A:K,11,0)+VLOOKUP('תפוקה מצטברת מול אשתקד'!A50,'מגדל'!A:K,11,0)+VLOOKUP('תפוקה מצטברת מול אשתקד'!A50,'מנורה'!A:K,11,0)+VLOOKUP('תפוקה מצטברת מול אשתקד'!A50,'איילון'!A:K,11,0)+VLOOKUP('תפוקה מצטברת מול אשתקד'!A50,'הראל'!A:K,11,0)+VLOOKUP('תפוקה מצטברת מול אשתקד'!A50,'הפניקס'!A:K,11,0)+VLOOKUP('תפוקה מצטברת מול אשתקד'!A50,'כלל'!A:K,11,0)+VLOOKUP('תפוקה מצטברת מול אשתקד'!A50,'מור'!A:K,11,0)+VLOOKUP('תפוקה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אשתקד'!A50,'אינפניטי'!A:K,11,0)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" t="s">
        <v>67</v>
      </c>
      <c r="B51" s="1" t="s">
        <v>66</v>
      </c>
      <c r="C51" s="1" t="s">
        <v>38</v>
      </c>
      <c r="D51" s="17">
        <f t="shared" ref="D51:F51" si="59">IF(H51=0,0%,IF(L51=0,100%,H51/L51-1))</f>
        <v>0</v>
      </c>
      <c r="E51" s="17">
        <f t="shared" si="59"/>
        <v>0</v>
      </c>
      <c r="F51" s="17">
        <f t="shared" si="59"/>
        <v>0</v>
      </c>
      <c r="G51" s="17">
        <f t="shared" si="56"/>
        <v>0</v>
      </c>
      <c r="H51" s="18">
        <f>VLOOKUP(A51,'הכשרה'!A:G,4,0)+VLOOKUP('תפוקה מצטברת מול אשתקד'!A51,'מגדל'!A:G,4,0)+VLOOKUP('תפוקה מצטברת מול אשתקד'!A51,'מנורה'!A:G,4,0)+VLOOKUP('תפוקה מצטברת מול אשתקד'!A51,'איילון'!A:G,4,0)+VLOOKUP('תפוקה מצטברת מול אשתקד'!A51,'הראל'!A:G,4,0)+VLOOKUP('תפוקה מצטברת מול אשתקד'!A51,'הפניקס'!A:G,4,0)+VLOOKUP('תפוקה מצטברת מול אשתקד'!A51,'כלל'!A:G,4,0)+VLOOKUP('תפוקה מצטברת מול אשתקד'!A51,'מור'!A:G,4,0)+VLOOKUP('תפוקה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אשתקד'!A51,'אינפניטי'!A:G,4,0)</f>
        <v>0</v>
      </c>
      <c r="I51" s="18">
        <f>VLOOKUP(A51,'הכשרה'!A:G,5,0)+VLOOKUP('תפוקה מצטברת מול אשתקד'!A51,'מגדל'!A:G,5,0)+VLOOKUP('תפוקה מצטברת מול אשתקד'!A51,'מנורה'!A:G,5,0)+VLOOKUP('תפוקה מצטברת מול אשתקד'!A51,'איילון'!A:G,5,0)+VLOOKUP('תפוקה מצטברת מול אשתקד'!A51,'הראל'!A:G,5,0)+VLOOKUP('תפוקה מצטברת מול אשתקד'!A51,'הפניקס'!A:G,5,0)+VLOOKUP('תפוקה מצטברת מול אשתקד'!A51,'כלל'!A:G,5,0)+VLOOKUP('תפוקה מצטברת מול אשתקד'!A51,'מור'!A:G,5,0)+VLOOKUP('תפוקה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אשתקד'!A51,'אינפניטי'!A:G,5,0)</f>
        <v>0</v>
      </c>
      <c r="J51" s="18">
        <f>VLOOKUP(A51,'הכשרה'!A:G,6,0)+VLOOKUP('תפוקה מצטברת מול אשתקד'!A51,'מגדל'!A:G,6,0)+VLOOKUP('תפוקה מצטברת מול אשתקד'!A51,'מנורה'!A:G,6,0)+VLOOKUP('תפוקה מצטברת מול אשתקד'!A51,'איילון'!A:G,6,0)+VLOOKUP(A51,'הראל'!A:G,6,0)+VLOOKUP('תפוקה מצטברת מול אשתקד'!A51,'הפניקס'!A:G,6,0)+VLOOKUP('תפוקה מצטברת מול אשתקד'!A51,'כלל'!A:G,6,0)+VLOOKUP('תפוקה מצטברת מול אשתקד'!A51,'מור'!A:G,6,0)+VLOOKUP('תפוקה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אשתקד'!A51,'אינפניטי'!A:G,6,0)</f>
        <v>0</v>
      </c>
      <c r="K51" s="18">
        <f>VLOOKUP(A51,'הכשרה'!A:G,7,0)+VLOOKUP('תפוקה מצטברת מול אשתקד'!A51,'מגדל'!A:G,7,0)+VLOOKUP('תפוקה מצטברת מול אשתקד'!A51,'מנורה'!A:G,7,0)+VLOOKUP('תפוקה מצטברת מול אשתקד'!A51,'איילון'!A:G,7,0)+VLOOKUP('תפוקה מצטברת מול אשתקד'!A51,'הראל'!A:G,7,0)+VLOOKUP('תפוקה מצטברת מול אשתקד'!A51,'הפניקס'!A:G,7,0)+VLOOKUP('תפוקה מצטברת מול אשתקד'!A51,'כלל'!A:G,7,0)+VLOOKUP('תפוקה מצטברת מול אשתקד'!A51,'מור'!A:G,7,0)+VLOOKUP('תפוקה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אשתקד'!A51,'אינפניטי'!A:G,7,0)</f>
        <v>0</v>
      </c>
      <c r="L51" s="19">
        <f>VLOOKUP(A51,'הכשרה'!A:K,8,0)+VLOOKUP('תפוקה מצטברת מול אשתקד'!A51,'מגדל'!A:K,8,0)+VLOOKUP('תפוקה מצטברת מול אשתקד'!A51,'מנורה'!A:K,8,0)+VLOOKUP('תפוקה מצטברת מול אשתקד'!A51,'איילון'!A:K,8,0)+VLOOKUP('תפוקה מצטברת מול אשתקד'!A51,'הראל'!A:K,8,0)+VLOOKUP('תפוקה מצטברת מול אשתקד'!A51,'הפניקס'!A:K,8,0)+VLOOKUP('תפוקה מצטברת מול אשתקד'!A51,'כלל'!A:K,8,0)+VLOOKUP('תפוקה מצטברת מול אשתקד'!A51,'מור'!A:K,8,0)+VLOOKUP('תפוקה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אשתקד'!A51,'אינפניטי'!A:K,8,0)</f>
        <v>10129.70279</v>
      </c>
      <c r="M51" s="19">
        <f>VLOOKUP(A51,'הכשרה'!A:K,9,0)+VLOOKUP('תפוקה מצטברת מול אשתקד'!A51,'מגדל'!A:K,9,0)+VLOOKUP('תפוקה מצטברת מול אשתקד'!A51,'מנורה'!A:K,9,0)+VLOOKUP('תפוקה מצטברת מול אשתקד'!A51,'איילון'!A:K,9,0)+VLOOKUP('תפוקה מצטברת מול אשתקד'!A51,'הראל'!A:K,9,0)+VLOOKUP('תפוקה מצטברת מול אשתקד'!A51,'הפניקס'!A:K,9,0)+VLOOKUP('תפוקה מצטברת מול אשתקד'!A51,'כלל'!A:K,9,0)+VLOOKUP('תפוקה מצטברת מול אשתקד'!A51,'מור'!A:K,9,0)+VLOOKUP('תפוקה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אשתקד'!A51,'אינפניטי'!A:K,9,0)</f>
        <v>1133.459676</v>
      </c>
      <c r="N51" s="19">
        <f>VLOOKUP(A51,'הכשרה'!A:K,10,0)+VLOOKUP('תפוקה מצטברת מול אשתקד'!A51,'מגדל'!A:K,10,0)+VLOOKUP('תפוקה מצטברת מול אשתקד'!A51,'מנורה'!A:K,10,0)+VLOOKUP('תפוקה מצטברת מול אשתקד'!A51,'איילון'!A:K,10,0)+VLOOKUP('תפוקה מצטברת מול אשתקד'!A51,'הראל'!A:K,10,0)+VLOOKUP('תפוקה מצטברת מול אשתקד'!A51,'הפניקס'!A:K,10,0)+VLOOKUP('תפוקה מצטברת מול אשתקד'!A51,'כלל'!A:K,10,0)+VLOOKUP('תפוקה מצטברת מול אשתקד'!A51,'מור'!A:K,10,0)+VLOOKUP('תפוקה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אשתקד'!A51,'אינפניטי'!A:K,10,0)</f>
        <v>0</v>
      </c>
      <c r="O51" s="19">
        <f>VLOOKUP(A51,'הכשרה'!A:K,11,0)+VLOOKUP('תפוקה מצטברת מול אשתקד'!A51,'מגדל'!A:K,11,0)+VLOOKUP('תפוקה מצטברת מול אשתקד'!A51,'מנורה'!A:K,11,0)+VLOOKUP('תפוקה מצטברת מול אשתקד'!A51,'איילון'!A:K,11,0)+VLOOKUP('תפוקה מצטברת מול אשתקד'!A51,'הראל'!A:K,11,0)+VLOOKUP('תפוקה מצטברת מול אשתקד'!A51,'הפניקס'!A:K,11,0)+VLOOKUP('תפוקה מצטברת מול אשתקד'!A51,'כלל'!A:K,11,0)+VLOOKUP('תפוקה מצטברת מול אשתקד'!A51,'מור'!A:K,11,0)+VLOOKUP('תפוקה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אשתקד'!A51,'אינפניטי'!A:K,11,0)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" t="s">
        <v>68</v>
      </c>
      <c r="B52" s="1" t="s">
        <v>66</v>
      </c>
      <c r="C52" s="1" t="s">
        <v>38</v>
      </c>
      <c r="D52" s="17">
        <f t="shared" ref="D52:F52" si="60">IF(H52=0,0%,IF(L52=0,100%,H52/L52-1))</f>
        <v>0</v>
      </c>
      <c r="E52" s="17">
        <f t="shared" si="60"/>
        <v>0.06554783541</v>
      </c>
      <c r="F52" s="17">
        <f t="shared" si="60"/>
        <v>0</v>
      </c>
      <c r="G52" s="17">
        <f t="shared" si="56"/>
        <v>0</v>
      </c>
      <c r="H52" s="18">
        <f>VLOOKUP(A52,'הכשרה'!A:G,4,0)+VLOOKUP('תפוקה מצטברת מול אשתקד'!A52,'מגדל'!A:G,4,0)+VLOOKUP('תפוקה מצטברת מול אשתקד'!A52,'מנורה'!A:G,4,0)+VLOOKUP('תפוקה מצטברת מול אשתקד'!A52,'איילון'!A:G,4,0)+VLOOKUP('תפוקה מצטברת מול אשתקד'!A52,'הראל'!A:G,4,0)+VLOOKUP('תפוקה מצטברת מול אשתקד'!A52,'הפניקס'!A:G,4,0)+VLOOKUP('תפוקה מצטברת מול אשתקד'!A52,'כלל'!A:G,4,0)+VLOOKUP('תפוקה מצטברת מול אשתקד'!A52,'מור'!A:G,4,0)+VLOOKUP('תפוקה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אשתקד'!A52,'אינפניטי'!A:G,4,0)</f>
        <v>0</v>
      </c>
      <c r="I52" s="18">
        <f>VLOOKUP(A52,'הכשרה'!A:G,5,0)+VLOOKUP('תפוקה מצטברת מול אשתקד'!A52,'מגדל'!A:G,5,0)+VLOOKUP('תפוקה מצטברת מול אשתקד'!A52,'מנורה'!A:G,5,0)+VLOOKUP('תפוקה מצטברת מול אשתקד'!A52,'איילון'!A:G,5,0)+VLOOKUP('תפוקה מצטברת מול אשתקד'!A52,'הראל'!A:G,5,0)+VLOOKUP('תפוקה מצטברת מול אשתקד'!A52,'הפניקס'!A:G,5,0)+VLOOKUP('תפוקה מצטברת מול אשתקד'!A52,'כלל'!A:G,5,0)+VLOOKUP('תפוקה מצטברת מול אשתקד'!A52,'מור'!A:G,5,0)+VLOOKUP('תפוקה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אשתקד'!A52,'אינפניטי'!A:G,5,0)</f>
        <v>2305.5</v>
      </c>
      <c r="J52" s="18">
        <f>VLOOKUP(A52,'הכשרה'!A:G,6,0)+VLOOKUP('תפוקה מצטברת מול אשתקד'!A52,'מגדל'!A:G,6,0)+VLOOKUP('תפוקה מצטברת מול אשתקד'!A52,'מנורה'!A:G,6,0)+VLOOKUP('תפוקה מצטברת מול אשתקד'!A52,'איילון'!A:G,6,0)+VLOOKUP(A52,'הראל'!A:G,6,0)+VLOOKUP('תפוקה מצטברת מול אשתקד'!A52,'הפניקס'!A:G,6,0)+VLOOKUP('תפוקה מצטברת מול אשתקד'!A52,'כלל'!A:G,6,0)+VLOOKUP('תפוקה מצטברת מול אשתקד'!A52,'מור'!A:G,6,0)+VLOOKUP('תפוקה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אשתקד'!A52,'אינפניטי'!A:G,6,0)</f>
        <v>0</v>
      </c>
      <c r="K52" s="18">
        <f>VLOOKUP(A52,'הכשרה'!A:G,7,0)+VLOOKUP('תפוקה מצטברת מול אשתקד'!A52,'מגדל'!A:G,7,0)+VLOOKUP('תפוקה מצטברת מול אשתקד'!A52,'מנורה'!A:G,7,0)+VLOOKUP('תפוקה מצטברת מול אשתקד'!A52,'איילון'!A:G,7,0)+VLOOKUP('תפוקה מצטברת מול אשתקד'!A52,'הראל'!A:G,7,0)+VLOOKUP('תפוקה מצטברת מול אשתקד'!A52,'הפניקס'!A:G,7,0)+VLOOKUP('תפוקה מצטברת מול אשתקד'!A52,'כלל'!A:G,7,0)+VLOOKUP('תפוקה מצטברת מול אשתקד'!A52,'מור'!A:G,7,0)+VLOOKUP('תפוקה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אשתקד'!A52,'אינפניטי'!A:G,7,0)</f>
        <v>0</v>
      </c>
      <c r="L52" s="19">
        <f>VLOOKUP(A52,'הכשרה'!A:K,8,0)+VLOOKUP('תפוקה מצטברת מול אשתקד'!A52,'מגדל'!A:K,8,0)+VLOOKUP('תפוקה מצטברת מול אשתקד'!A52,'מנורה'!A:K,8,0)+VLOOKUP('תפוקה מצטברת מול אשתקד'!A52,'איילון'!A:K,8,0)+VLOOKUP('תפוקה מצטברת מול אשתקד'!A52,'הראל'!A:K,8,0)+VLOOKUP('תפוקה מצטברת מול אשתקד'!A52,'הפניקס'!A:K,8,0)+VLOOKUP('תפוקה מצטברת מול אשתקד'!A52,'כלל'!A:K,8,0)+VLOOKUP('תפוקה מצטברת מול אשתקד'!A52,'מור'!A:K,8,0)+VLOOKUP('תפוקה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אשתקד'!A52,'אינפניטי'!A:K,8,0)</f>
        <v>116.525019</v>
      </c>
      <c r="M52" s="19">
        <f>VLOOKUP(A52,'הכשרה'!A:K,9,0)+VLOOKUP('תפוקה מצטברת מול אשתקד'!A52,'מגדל'!A:K,9,0)+VLOOKUP('תפוקה מצטברת מול אשתקד'!A52,'מנורה'!A:K,9,0)+VLOOKUP('תפוקה מצטברת מול אשתקד'!A52,'איילון'!A:K,9,0)+VLOOKUP('תפוקה מצטברת מול אשתקד'!A52,'הראל'!A:K,9,0)+VLOOKUP('תפוקה מצטברת מול אשתקד'!A52,'הפניקס'!A:K,9,0)+VLOOKUP('תפוקה מצטברת מול אשתקד'!A52,'כלל'!A:K,9,0)+VLOOKUP('תפוקה מצטברת מול אשתקד'!A52,'מור'!A:K,9,0)+VLOOKUP('תפוקה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אשתקד'!A52,'אינפניטי'!A:K,9,0)</f>
        <v>2163.675739</v>
      </c>
      <c r="N52" s="19">
        <f>VLOOKUP(A52,'הכשרה'!A:K,10,0)+VLOOKUP('תפוקה מצטברת מול אשתקד'!A52,'מגדל'!A:K,10,0)+VLOOKUP('תפוקה מצטברת מול אשתקד'!A52,'מנורה'!A:K,10,0)+VLOOKUP('תפוקה מצטברת מול אשתקד'!A52,'איילון'!A:K,10,0)+VLOOKUP('תפוקה מצטברת מול אשתקד'!A52,'הראל'!A:K,10,0)+VLOOKUP('תפוקה מצטברת מול אשתקד'!A52,'הפניקס'!A:K,10,0)+VLOOKUP('תפוקה מצטברת מול אשתקד'!A52,'כלל'!A:K,10,0)+VLOOKUP('תפוקה מצטברת מול אשתקד'!A52,'מור'!A:K,10,0)+VLOOKUP('תפוקה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אשתקד'!A52,'אינפניטי'!A:K,10,0)</f>
        <v>0</v>
      </c>
      <c r="O52" s="19">
        <f>VLOOKUP(A52,'הכשרה'!A:K,11,0)+VLOOKUP('תפוקה מצטברת מול אשתקד'!A52,'מגדל'!A:K,11,0)+VLOOKUP('תפוקה מצטברת מול אשתקד'!A52,'מנורה'!A:K,11,0)+VLOOKUP('תפוקה מצטברת מול אשתקד'!A52,'איילון'!A:K,11,0)+VLOOKUP('תפוקה מצטברת מול אשתקד'!A52,'הראל'!A:K,11,0)+VLOOKUP('תפוקה מצטברת מול אשתקד'!A52,'הפניקס'!A:K,11,0)+VLOOKUP('תפוקה מצטברת מול אשתקד'!A52,'כלל'!A:K,11,0)+VLOOKUP('תפוקה מצטברת מול אשתקד'!A52,'מור'!A:K,11,0)+VLOOKUP('תפוקה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אשתקד'!A52,'אינפניטי'!A:K,11,0)</f>
        <v>-115261.94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" t="s">
        <v>69</v>
      </c>
      <c r="B53" s="1" t="s">
        <v>66</v>
      </c>
      <c r="C53" s="23" t="s">
        <v>38</v>
      </c>
      <c r="D53" s="17">
        <f t="shared" ref="D53:F53" si="61">IF(H53=0,0%,IF(L53=0,100%,H53/L53-1))</f>
        <v>1</v>
      </c>
      <c r="E53" s="17">
        <f t="shared" si="61"/>
        <v>1</v>
      </c>
      <c r="F53" s="17">
        <f t="shared" si="61"/>
        <v>0</v>
      </c>
      <c r="G53" s="17">
        <f t="shared" si="56"/>
        <v>0</v>
      </c>
      <c r="H53" s="18">
        <f>VLOOKUP(A53,'הכשרה'!A:G,4,0)+VLOOKUP('תפוקה מצטברת מול אשתקד'!A53,'מגדל'!A:G,4,0)+VLOOKUP('תפוקה מצטברת מול אשתקד'!A53,'מנורה'!A:G,4,0)+VLOOKUP('תפוקה מצטברת מול אשתקד'!A53,'איילון'!A:G,4,0)+VLOOKUP('תפוקה מצטברת מול אשתקד'!A53,'הראל'!A:G,4,0)+VLOOKUP('תפוקה מצטברת מול אשתקד'!A53,'הפניקס'!A:G,4,0)+VLOOKUP('תפוקה מצטברת מול אשתקד'!A53,'כלל'!A:G,4,0)+VLOOKUP('תפוקה מצטברת מול אשתקד'!A53,'מור'!A:G,4,0)+VLOOKUP('תפוקה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אשתקד'!A53,'אינפניטי'!A:G,4,0)</f>
        <v>30045.09</v>
      </c>
      <c r="I53" s="18">
        <f>VLOOKUP(A53,'הכשרה'!A:G,5,0)+VLOOKUP('תפוקה מצטברת מול אשתקד'!A53,'מגדל'!A:G,5,0)+VLOOKUP('תפוקה מצטברת מול אשתקד'!A53,'מנורה'!A:G,5,0)+VLOOKUP('תפוקה מצטברת מול אשתקד'!A53,'איילון'!A:G,5,0)+VLOOKUP('תפוקה מצטברת מול אשתקד'!A53,'הראל'!A:G,5,0)+VLOOKUP('תפוקה מצטברת מול אשתקד'!A53,'הפניקס'!A:G,5,0)+VLOOKUP('תפוקה מצטברת מול אשתקד'!A53,'כלל'!A:G,5,0)+VLOOKUP('תפוקה מצטברת מול אשתקד'!A53,'מור'!A:G,5,0)+VLOOKUP('תפוקה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אשתקד'!A53,'אינפניטי'!A:G,5,0)</f>
        <v>10877.9</v>
      </c>
      <c r="J53" s="18">
        <f>VLOOKUP(A53,'הכשרה'!A:G,6,0)+VLOOKUP('תפוקה מצטברת מול אשתקד'!A53,'מגדל'!A:G,6,0)+VLOOKUP('תפוקה מצטברת מול אשתקד'!A53,'מנורה'!A:G,6,0)+VLOOKUP('תפוקה מצטברת מול אשתקד'!A53,'איילון'!A:G,6,0)+VLOOKUP(A53,'הראל'!A:G,6,0)+VLOOKUP('תפוקה מצטברת מול אשתקד'!A53,'הפניקס'!A:G,6,0)+VLOOKUP('תפוקה מצטברת מול אשתקד'!A53,'כלל'!A:G,6,0)+VLOOKUP('תפוקה מצטברת מול אשתקד'!A53,'מור'!A:G,6,0)+VLOOKUP('תפוקה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אשתקד'!A53,'אינפניטי'!A:G,6,0)</f>
        <v>0</v>
      </c>
      <c r="K53" s="18">
        <f>VLOOKUP(A53,'הכשרה'!A:G,7,0)+VLOOKUP('תפוקה מצטברת מול אשתקד'!A53,'מגדל'!A:G,7,0)+VLOOKUP('תפוקה מצטברת מול אשתקד'!A53,'מנורה'!A:G,7,0)+VLOOKUP('תפוקה מצטברת מול אשתקד'!A53,'איילון'!A:G,7,0)+VLOOKUP('תפוקה מצטברת מול אשתקד'!A53,'הראל'!A:G,7,0)+VLOOKUP('תפוקה מצטברת מול אשתקד'!A53,'הפניקס'!A:G,7,0)+VLOOKUP('תפוקה מצטברת מול אשתקד'!A53,'כלל'!A:G,7,0)+VLOOKUP('תפוקה מצטברת מול אשתקד'!A53,'מור'!A:G,7,0)+VLOOKUP('תפוקה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אשתקד'!A53,'אינפניטי'!A:G,7,0)</f>
        <v>0</v>
      </c>
      <c r="L53" s="19">
        <f>VLOOKUP(A53,'הכשרה'!A:K,8,0)+VLOOKUP('תפוקה מצטברת מול אשתקד'!A53,'מגדל'!A:K,8,0)+VLOOKUP('תפוקה מצטברת מול אשתקד'!A53,'מנורה'!A:K,8,0)+VLOOKUP('תפוקה מצטברת מול אשתקד'!A53,'איילון'!A:K,8,0)+VLOOKUP('תפוקה מצטברת מול אשתקד'!A53,'הראל'!A:K,8,0)+VLOOKUP('תפוקה מצטברת מול אשתקד'!A53,'הפניקס'!A:K,8,0)+VLOOKUP('תפוקה מצטברת מול אשתקד'!A53,'כלל'!A:K,8,0)+VLOOKUP('תפוקה מצטברת מול אשתקד'!A53,'מור'!A:K,8,0)+VLOOKUP('תפוקה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אשתקד'!A53,'אינפניטי'!A:K,8,0)</f>
        <v>0</v>
      </c>
      <c r="M53" s="19">
        <f>VLOOKUP(A53,'הכשרה'!A:K,9,0)+VLOOKUP('תפוקה מצטברת מול אשתקד'!A53,'מגדל'!A:K,9,0)+VLOOKUP('תפוקה מצטברת מול אשתקד'!A53,'מנורה'!A:K,9,0)+VLOOKUP('תפוקה מצטברת מול אשתקד'!A53,'איילון'!A:K,9,0)+VLOOKUP('תפוקה מצטברת מול אשתקד'!A53,'הראל'!A:K,9,0)+VLOOKUP('תפוקה מצטברת מול אשתקד'!A53,'הפניקס'!A:K,9,0)+VLOOKUP('תפוקה מצטברת מול אשתקד'!A53,'כלל'!A:K,9,0)+VLOOKUP('תפוקה מצטברת מול אשתקד'!A53,'מור'!A:K,9,0)+VLOOKUP('תפוקה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אשתקד'!A53,'אינפניטי'!A:K,9,0)</f>
        <v>0</v>
      </c>
      <c r="N53" s="19">
        <f>VLOOKUP(A53,'הכשרה'!A:K,10,0)+VLOOKUP('תפוקה מצטברת מול אשתקד'!A53,'מגדל'!A:K,10,0)+VLOOKUP('תפוקה מצטברת מול אשתקד'!A53,'מנורה'!A:K,10,0)+VLOOKUP('תפוקה מצטברת מול אשתקד'!A53,'איילון'!A:K,10,0)+VLOOKUP('תפוקה מצטברת מול אשתקד'!A53,'הראל'!A:K,10,0)+VLOOKUP('תפוקה מצטברת מול אשתקד'!A53,'הפניקס'!A:K,10,0)+VLOOKUP('תפוקה מצטברת מול אשתקד'!A53,'כלל'!A:K,10,0)+VLOOKUP('תפוקה מצטברת מול אשתקד'!A53,'מור'!A:K,10,0)+VLOOKUP('תפוקה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אשתקד'!A53,'אינפניטי'!A:K,10,0)</f>
        <v>0</v>
      </c>
      <c r="O53" s="19">
        <f>VLOOKUP(A53,'הכשרה'!A:K,11,0)+VLOOKUP('תפוקה מצטברת מול אשתקד'!A53,'מגדל'!A:K,11,0)+VLOOKUP('תפוקה מצטברת מול אשתקד'!A53,'מנורה'!A:K,11,0)+VLOOKUP('תפוקה מצטברת מול אשתקד'!A53,'איילון'!A:K,11,0)+VLOOKUP('תפוקה מצטברת מול אשתקד'!A53,'הראל'!A:K,11,0)+VLOOKUP('תפוקה מצטברת מול אשתקד'!A53,'הפניקס'!A:K,11,0)+VLOOKUP('תפוקה מצטברת מול אשתקד'!A53,'כלל'!A:K,11,0)+VLOOKUP('תפוקה מצטברת מול אשתקד'!A53,'מור'!A:K,11,0)+VLOOKUP('תפוקה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אשתקד'!A53,'אינפניטי'!A:K,11,0)</f>
        <v>-52867.72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" t="s">
        <v>70</v>
      </c>
      <c r="B54" s="1" t="s">
        <v>14</v>
      </c>
      <c r="C54" s="23" t="s">
        <v>38</v>
      </c>
      <c r="D54" s="17">
        <f t="shared" ref="D54:F54" si="62">IF(H54=0,0%,IF(L54=0,100%,H54/L54-1))</f>
        <v>0</v>
      </c>
      <c r="E54" s="17">
        <f t="shared" si="62"/>
        <v>1</v>
      </c>
      <c r="F54" s="17">
        <f t="shared" si="62"/>
        <v>0</v>
      </c>
      <c r="G54" s="17">
        <f t="shared" si="56"/>
        <v>1</v>
      </c>
      <c r="H54" s="18">
        <f>VLOOKUP(A54,'הכשרה'!A:G,4,0)+VLOOKUP('תפוקה מצטברת מול אשתקד'!A54,'מגדל'!A:G,4,0)+VLOOKUP('תפוקה מצטברת מול אשתקד'!A54,'מנורה'!A:G,4,0)+VLOOKUP('תפוקה מצטברת מול אשתקד'!A54,'איילון'!A:G,4,0)+VLOOKUP('תפוקה מצטברת מול אשתקד'!A54,'הראל'!A:G,4,0)+VLOOKUP('תפוקה מצטברת מול אשתקד'!A54,'הפניקס'!A:G,4,0)+VLOOKUP('תפוקה מצטברת מול אשתקד'!A54,'כלל'!A:G,4,0)+VLOOKUP('תפוקה מצטברת מול אשתקד'!A54,'מור'!A:G,4,0)+VLOOKUP('תפוקה מצטברת מול אשתקד'!A54,'אלטשולר שחם'!A:G,4,0)+VLOOKUP('תפוקה מצטברת מול אשתקד'!A54,'מדיהו '!A:G,4,0)+VLOOKUP('תפוקה מצטברת מול אשתקד'!A54,'אנליסט '!A:G,4,0)+VLOOKUP('תפוקה מצטברת מול אשתקד'!A54,'מיטב דש'!A:G,4,0)+VLOOKUP('תפוקה מצטברת מול אשתקד'!A54,'אינפניטי'!A:G,4,0)</f>
        <v>0</v>
      </c>
      <c r="I54" s="18">
        <f>VLOOKUP(A54,'הכשרה'!A:G,5,0)+VLOOKUP('תפוקה מצטברת מול אשתקד'!A54,'מגדל'!A:G,5,0)+VLOOKUP('תפוקה מצטברת מול אשתקד'!A54,'מנורה'!A:G,5,0)+VLOOKUP('תפוקה מצטברת מול אשתקד'!A54,'איילון'!A:G,5,0)+VLOOKUP('תפוקה מצטברת מול אשתקד'!A54,'הראל'!A:G,5,0)+VLOOKUP('תפוקה מצטברת מול אשתקד'!A54,'הפניקס'!A:G,5,0)+VLOOKUP('תפוקה מצטברת מול אשתקד'!A54,'כלל'!A:G,5,0)+VLOOKUP('תפוקה מצטברת מול אשתקד'!A54,'מור'!A:G,5,0)+VLOOKUP('תפוקה מצטברת מול אשתקד'!A54,'אלטשולר שחם'!A:G,5,0)+VLOOKUP('תפוקה מצטברת מול אשתקד'!A54,'מדיהו '!A:G,5,0)+VLOOKUP('תפוקה מצטברת מול אשתקד'!A54,'אנליסט '!A:G,5,0)+VLOOKUP('תפוקה מצטברת מול אשתקד'!A54,'מיטב דש'!A:G,5,0)+VLOOKUP('תפוקה מצטברת מול אשתקד'!A54,'אינפניטי'!A:G,5,0)</f>
        <v>1144.09133</v>
      </c>
      <c r="J54" s="18">
        <f>VLOOKUP(A54,'הכשרה'!A:G,6,0)+VLOOKUP('תפוקה מצטברת מול אשתקד'!A54,'מגדל'!A:G,6,0)+VLOOKUP('תפוקה מצטברת מול אשתקד'!A54,'מנורה'!A:G,6,0)+VLOOKUP('תפוקה מצטברת מול אשתקד'!A54,'איילון'!A:G,6,0)+VLOOKUP(A54,'הראל'!A:G,6,0)+VLOOKUP('תפוקה מצטברת מול אשתקד'!A54,'הפניקס'!A:G,6,0)+VLOOKUP('תפוקה מצטברת מול אשתקד'!A54,'כלל'!A:G,6,0)+VLOOKUP('תפוקה מצטברת מול אשתקד'!A54,'מור'!A:G,6,0)+VLOOKUP('תפוקה מצטברת מול אשתקד'!A54,'אלטשולר שחם'!A:G,6,0)+VLOOKUP('תפוקה מצטברת מול אשתקד'!A54,'מדיהו '!A:G,6,0)+VLOOKUP('תפוקה מצטברת מול אשתקד'!A54,'אנליסט '!A:G,6,0)+VLOOKUP('תפוקה מצטברת מול אשתקד'!A54,'מיטב דש'!A:G,6,0)+VLOOKUP('תפוקה מצטברת מול אשתקד'!A54,'אינפניטי'!A:G,6,0)</f>
        <v>0</v>
      </c>
      <c r="K54" s="18">
        <f>VLOOKUP(A54,'הכשרה'!A:G,7,0)+VLOOKUP('תפוקה מצטברת מול אשתקד'!A54,'מגדל'!A:G,7,0)+VLOOKUP('תפוקה מצטברת מול אשתקד'!A54,'מנורה'!A:G,7,0)+VLOOKUP('תפוקה מצטברת מול אשתקד'!A54,'איילון'!A:G,7,0)+VLOOKUP('תפוקה מצטברת מול אשתקד'!A54,'הראל'!A:G,7,0)+VLOOKUP('תפוקה מצטברת מול אשתקד'!A54,'הפניקס'!A:G,7,0)+VLOOKUP('תפוקה מצטברת מול אשתקד'!A54,'כלל'!A:G,7,0)+VLOOKUP('תפוקה מצטברת מול אשתקד'!A54,'מור'!A:G,7,0)+VLOOKUP('תפוקה מצטברת מול אשתקד'!A54,'אלטשולר שחם'!A:G,7,0)+VLOOKUP('תפוקה מצטברת מול אשתקד'!A54,'מדיהו '!A:K,7,0)+VLOOKUP(A54,'אנליסט '!A:G,7,0)+VLOOKUP('תפוקה מצטברת מול אשתקד'!A54,'מיטב דש'!A:G,7,0)+VLOOKUP('תפוקה מצטברת מול אשתקד'!A54,'אינפניטי'!A:G,7,0)</f>
        <v>-59363.66</v>
      </c>
      <c r="L54" s="19">
        <f>VLOOKUP(A54,'הכשרה'!A:K,8,0)+VLOOKUP('תפוקה מצטברת מול אשתקד'!A54,'מגדל'!A:K,8,0)+VLOOKUP('תפוקה מצטברת מול אשתקד'!A54,'מנורה'!A:K,8,0)+VLOOKUP('תפוקה מצטברת מול אשתקד'!A54,'איילון'!A:K,8,0)+VLOOKUP('תפוקה מצטברת מול אשתקד'!A54,'הראל'!A:K,8,0)+VLOOKUP('תפוקה מצטברת מול אשתקד'!A54,'הפניקס'!A:K,8,0)+VLOOKUP('תפוקה מצטברת מול אשתקד'!A54,'כלל'!A:K,8,0)+VLOOKUP('תפוקה מצטברת מול אשתקד'!A54,'מור'!A:K,8,0)+VLOOKUP('תפוקה מצטברת מול אשתקד'!A54,'אלטשולר שחם'!A:K,8,0)+VLOOKUP('תפוקה מצטברת מול אשתקד'!A54,'מדיהו '!A:K,8,0)+VLOOKUP('תפוקה מצטברת מול אשתקד'!A54,'אנליסט '!A:K,8,0)+VLOOKUP('תפוקה מצטברת מול אשתקד'!A54,'מיטב דש'!A:K,8,0)+VLOOKUP('תפוקה מצטברת מול אשתקד'!A54,'אינפניטי'!A:K,8,0)</f>
        <v>0</v>
      </c>
      <c r="M54" s="19">
        <f>VLOOKUP(A54,'הכשרה'!A:K,9,0)+VLOOKUP('תפוקה מצטברת מול אשתקד'!A54,'מגדל'!A:K,9,0)+VLOOKUP('תפוקה מצטברת מול אשתקד'!A54,'מנורה'!A:K,9,0)+VLOOKUP('תפוקה מצטברת מול אשתקד'!A54,'איילון'!A:K,9,0)+VLOOKUP('תפוקה מצטברת מול אשתקד'!A54,'הראל'!A:K,9,0)+VLOOKUP('תפוקה מצטברת מול אשתקד'!A54,'הפניקס'!A:K,9,0)+VLOOKUP('תפוקה מצטברת מול אשתקד'!A54,'כלל'!A:K,9,0)+VLOOKUP('תפוקה מצטברת מול אשתקד'!A54,'מור'!A:K,9,0)+VLOOKUP('תפוקה מצטברת מול אשתקד'!A54,'אלטשולר שחם'!A:K,9,0)+VLOOKUP('תפוקה מצטברת מול אשתקד'!A54,'מדיהו '!A:K,9,0)+VLOOKUP('תפוקה מצטברת מול אשתקד'!A54,'אנליסט '!A:K,9,0)+VLOOKUP('תפוקה מצטברת מול אשתקד'!A54,'מיטב דש'!A:K,9,0)+VLOOKUP('תפוקה מצטברת מול אשתקד'!A54,'אינפניטי'!A:K,9,0)</f>
        <v>0</v>
      </c>
      <c r="N54" s="19">
        <f>VLOOKUP(A54,'הכשרה'!A:K,10,0)+VLOOKUP('תפוקה מצטברת מול אשתקד'!A54,'מגדל'!A:K,10,0)+VLOOKUP('תפוקה מצטברת מול אשתקד'!A54,'מנורה'!A:K,10,0)+VLOOKUP('תפוקה מצטברת מול אשתקד'!A54,'איילון'!A:K,10,0)+VLOOKUP('תפוקה מצטברת מול אשתקד'!A54,'הראל'!A:K,10,0)+VLOOKUP('תפוקה מצטברת מול אשתקד'!A54,'הפניקס'!A:K,10,0)+VLOOKUP('תפוקה מצטברת מול אשתקד'!A54,'כלל'!A:K,10,0)+VLOOKUP('תפוקה מצטברת מול אשתקד'!A54,'מור'!A:K,10,0)+VLOOKUP('תפוקה מצטברת מול אשתקד'!A54,'אלטשולר שחם'!A:K,10,0)+VLOOKUP('תפוקה מצטברת מול אשתקד'!A54,'מדיהו '!A:K,10,0)+VLOOKUP('תפוקה מצטברת מול אשתקד'!A54,'אנליסט '!A:K,10,0)+VLOOKUP('תפוקה מצטברת מול אשתקד'!A54,'מיטב דש'!A:K,10,0)+VLOOKUP('תפוקה מצטברת מול אשתקד'!A54,'אינפניטי'!A:K,10,0)</f>
        <v>0</v>
      </c>
      <c r="O54" s="19">
        <f>VLOOKUP(A54,'הכשרה'!A:K,11,0)+VLOOKUP('תפוקה מצטברת מול אשתקד'!A54,'מגדל'!A:K,11,0)+VLOOKUP('תפוקה מצטברת מול אשתקד'!A54,'מנורה'!A:K,11,0)+VLOOKUP('תפוקה מצטברת מול אשתקד'!A54,'איילון'!A:K,11,0)+VLOOKUP('תפוקה מצטברת מול אשתקד'!A54,'הראל'!A:K,11,0)+VLOOKUP('תפוקה מצטברת מול אשתקד'!A54,'הפניקס'!A:K,11,0)+VLOOKUP('תפוקה מצטברת מול אשתקד'!A54,'כלל'!A:K,11,0)+VLOOKUP('תפוקה מצטברת מול אשתקד'!A54,'מור'!A:K,11,0)+VLOOKUP('תפוקה מצטברת מול אשתקד'!A54,'אלטשולר שחם'!A:K,11,0)+VLOOKUP('תפוקה מצטברת מול אשתקד'!A54,'מדיהו '!A:K,11,0)+VLOOKUP('תפוקה מצטברת מול אשתקד'!A54,'אנליסט '!A:K,11,0)+VLOOKUP('תפוקה מצטברת מול אשתקד'!A54,'מיטב דש'!A:K,11,0)+VLOOKUP('תפוקה מצטברת מול אשתקד'!A54,'אינפניטי'!A:K,11,0)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" t="s">
        <v>71</v>
      </c>
      <c r="B55" s="1" t="s">
        <v>66</v>
      </c>
      <c r="C55" s="23" t="s">
        <v>38</v>
      </c>
      <c r="D55" s="17">
        <f t="shared" ref="D55:F55" si="63">IF(H55=0,0%,IF(L55=0,100%,H55/L55-1))</f>
        <v>0</v>
      </c>
      <c r="E55" s="17">
        <f t="shared" si="63"/>
        <v>0</v>
      </c>
      <c r="F55" s="17">
        <f t="shared" si="63"/>
        <v>0</v>
      </c>
      <c r="G55" s="17">
        <f t="shared" ref="G55:G64" si="65">IF(K55=0,0%,IF(O55=H80,100%,K55/O55-1))</f>
        <v>0</v>
      </c>
      <c r="H55" s="18">
        <f>VLOOKUP(A55,'הכשרה'!A:G,4,0)+VLOOKUP('תפוקה מצטברת מול אשתקד'!A55,'מגדל'!A:G,4,0)+VLOOKUP('תפוקה מצטברת מול אשתקד'!A55,'מנורה'!A:G,4,0)+VLOOKUP('תפוקה מצטברת מול אשתקד'!A55,'איילון'!A:G,4,0)+VLOOKUP('תפוקה מצטברת מול אשתקד'!A55,'הראל'!A:G,4,0)+VLOOKUP('תפוקה מצטברת מול אשתקד'!A55,'הפניקס'!A:G,4,0)+VLOOKUP('תפוקה מצטברת מול אשתקד'!A55,'כלל'!A:G,4,0)+VLOOKUP('תפוקה מצטברת מול אשתקד'!A55,'מור'!A:G,4,0)+VLOOKUP('תפוקה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אשתקד'!A55,'אינפניטי'!A:G,4,0)</f>
        <v>0</v>
      </c>
      <c r="I55" s="18">
        <f>VLOOKUP(A55,'הכשרה'!A:G,5,0)+VLOOKUP('תפוקה מצטברת מול אשתקד'!A55,'מגדל'!A:G,5,0)+VLOOKUP('תפוקה מצטברת מול אשתקד'!A55,'מנורה'!A:G,5,0)+VLOOKUP('תפוקה מצטברת מול אשתקד'!A55,'איילון'!A:G,5,0)+VLOOKUP('תפוקה מצטברת מול אשתקד'!A55,'הראל'!A:G,5,0)+VLOOKUP('תפוקה מצטברת מול אשתקד'!A55,'הפניקס'!A:G,5,0)+VLOOKUP('תפוקה מצטברת מול אשתקד'!A55,'כלל'!A:G,5,0)+VLOOKUP('תפוקה מצטברת מול אשתקד'!A55,'מור'!A:G,5,0)+VLOOKUP('תפוקה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אשתקד'!A55,'אינפניטי'!A:G,5,0)</f>
        <v>0</v>
      </c>
      <c r="J55" s="18">
        <f>VLOOKUP(A55,'הכשרה'!A:G,6,0)+VLOOKUP('תפוקה מצטברת מול אשתקד'!A55,'מגדל'!A:G,6,0)+VLOOKUP('תפוקה מצטברת מול אשתקד'!A55,'מנורה'!A:G,6,0)+VLOOKUP('תפוקה מצטברת מול אשתקד'!A55,'איילון'!A:G,6,0)+VLOOKUP(A55,'הראל'!A:G,6,0)+VLOOKUP('תפוקה מצטברת מול אשתקד'!A55,'הפניקס'!A:G,6,0)+VLOOKUP('תפוקה מצטברת מול אשתקד'!A55,'כלל'!A:G,6,0)+VLOOKUP('תפוקה מצטברת מול אשתקד'!A55,'מור'!A:G,6,0)+VLOOKUP('תפוקה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אשתקד'!A55,'אינפניטי'!A:G,6,0)</f>
        <v>0</v>
      </c>
      <c r="K55" s="18">
        <f>VLOOKUP(A55,'הכשרה'!A:G,7,0)+VLOOKUP('תפוקה מצטברת מול אשתקד'!A55,'מגדל'!A:G,7,0)+VLOOKUP('תפוקה מצטברת מול אשתקד'!A55,'מנורה'!A:G,7,0)+VLOOKUP('תפוקה מצטברת מול אשתקד'!A55,'איילון'!A:G,7,0)+VLOOKUP('תפוקה מצטברת מול אשתקד'!A55,'הראל'!A:G,7,0)+VLOOKUP('תפוקה מצטברת מול אשתקד'!A55,'הפניקס'!A:G,7,0)+VLOOKUP('תפוקה מצטברת מול אשתקד'!A55,'כלל'!A:G,7,0)+VLOOKUP('תפוקה מצטברת מול אשתקד'!A55,'מור'!A:G,7,0)+VLOOKUP('תפוקה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אשתקד'!A55,'אינפניטי'!A:G,7,0)</f>
        <v>0</v>
      </c>
      <c r="L55" s="19">
        <f>VLOOKUP(A55,'הכשרה'!A:K,8,0)+VLOOKUP('תפוקה מצטברת מול אשתקד'!A55,'מגדל'!A:K,8,0)+VLOOKUP('תפוקה מצטברת מול אשתקד'!A55,'מנורה'!A:K,8,0)+VLOOKUP('תפוקה מצטברת מול אשתקד'!A55,'איילון'!A:K,8,0)+VLOOKUP('תפוקה מצטברת מול אשתקד'!A55,'הראל'!A:K,8,0)+VLOOKUP('תפוקה מצטברת מול אשתקד'!A55,'הפניקס'!A:K,8,0)+VLOOKUP('תפוקה מצטברת מול אשתקד'!A55,'כלל'!A:K,8,0)+VLOOKUP('תפוקה מצטברת מול אשתקד'!A55,'מור'!A:K,8,0)+VLOOKUP('תפוקה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אשתקד'!A55,'אינפניטי'!A:K,8,0)</f>
        <v>126.32</v>
      </c>
      <c r="M55" s="19">
        <f>VLOOKUP(A55,'הכשרה'!A:K,9,0)+VLOOKUP('תפוקה מצטברת מול אשתקד'!A55,'מגדל'!A:K,9,0)+VLOOKUP('תפוקה מצטברת מול אשתקד'!A55,'מנורה'!A:K,9,0)+VLOOKUP('תפוקה מצטברת מול אשתקד'!A55,'איילון'!A:K,9,0)+VLOOKUP('תפוקה מצטברת מול אשתקד'!A55,'הראל'!A:K,9,0)+VLOOKUP('תפוקה מצטברת מול אשתקד'!A55,'הפניקס'!A:K,9,0)+VLOOKUP('תפוקה מצטברת מול אשתקד'!A55,'כלל'!A:K,9,0)+VLOOKUP('תפוקה מצטברת מול אשתקד'!A55,'מור'!A:K,9,0)+VLOOKUP('תפוקה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אשתקד'!A55,'אינפניטי'!A:K,9,0)</f>
        <v>0</v>
      </c>
      <c r="N55" s="19">
        <f>VLOOKUP(A55,'הכשרה'!A:K,10,0)+VLOOKUP('תפוקה מצטברת מול אשתקד'!A55,'מגדל'!A:K,10,0)+VLOOKUP('תפוקה מצטברת מול אשתקד'!A55,'מנורה'!A:K,10,0)+VLOOKUP('תפוקה מצטברת מול אשתקד'!A55,'איילון'!A:K,10,0)+VLOOKUP('תפוקה מצטברת מול אשתקד'!A55,'הראל'!A:K,10,0)+VLOOKUP('תפוקה מצטברת מול אשתקד'!A55,'הפניקס'!A:K,10,0)+VLOOKUP('תפוקה מצטברת מול אשתקד'!A55,'כלל'!A:K,10,0)+VLOOKUP('תפוקה מצטברת מול אשתקד'!A55,'מור'!A:K,10,0)+VLOOKUP('תפוקה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אשתקד'!A55,'אינפניטי'!A:K,10,0)</f>
        <v>0</v>
      </c>
      <c r="O55" s="19">
        <f>VLOOKUP(A55,'הכשרה'!A:K,11,0)+VLOOKUP('תפוקה מצטברת מול אשתקד'!A55,'מגדל'!A:K,11,0)+VLOOKUP('תפוקה מצטברת מול אשתקד'!A55,'מנורה'!A:K,11,0)+VLOOKUP('תפוקה מצטברת מול אשתקד'!A55,'איילון'!A:K,11,0)+VLOOKUP('תפוקה מצטברת מול אשתקד'!A55,'הראל'!A:K,11,0)+VLOOKUP('תפוקה מצטברת מול אשתקד'!A55,'הפניקס'!A:K,11,0)+VLOOKUP('תפוקה מצטברת מול אשתקד'!A55,'כלל'!A:K,11,0)+VLOOKUP('תפוקה מצטברת מול אשתקד'!A55,'מור'!A:K,11,0)+VLOOKUP('תפוקה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אשתקד'!A55,'אינפניטי'!A:K,11,0)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7.0" customHeight="1">
      <c r="A56" s="32" t="s">
        <v>72</v>
      </c>
      <c r="B56" s="25"/>
      <c r="C56" s="25"/>
      <c r="D56" s="17">
        <f t="shared" ref="D56:F56" si="64">IF(H56=0,0%,IF(L56=0,100%,H56/L56-1))</f>
        <v>-0.1664136753</v>
      </c>
      <c r="E56" s="17">
        <f t="shared" si="64"/>
        <v>-0.1240033311</v>
      </c>
      <c r="F56" s="17">
        <f t="shared" si="64"/>
        <v>-0.09135954067</v>
      </c>
      <c r="G56" s="17">
        <f t="shared" si="65"/>
        <v>-0.6864790933</v>
      </c>
      <c r="H56" s="33">
        <f t="shared" ref="H56:O56" si="66">SUM(H23:H55)</f>
        <v>6403097.868</v>
      </c>
      <c r="I56" s="33">
        <f t="shared" si="66"/>
        <v>964929.1763</v>
      </c>
      <c r="J56" s="33">
        <f t="shared" si="66"/>
        <v>12361360.77</v>
      </c>
      <c r="K56" s="33">
        <f t="shared" si="66"/>
        <v>12234242.34</v>
      </c>
      <c r="L56" s="33">
        <f t="shared" si="66"/>
        <v>7681385.452</v>
      </c>
      <c r="M56" s="33">
        <f t="shared" si="66"/>
        <v>1101521.513</v>
      </c>
      <c r="N56" s="33">
        <f t="shared" si="66"/>
        <v>13604237.68</v>
      </c>
      <c r="O56" s="33">
        <f t="shared" si="66"/>
        <v>39022094.15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" t="s">
        <v>73</v>
      </c>
      <c r="B57" s="1" t="s">
        <v>74</v>
      </c>
      <c r="C57" s="23" t="s">
        <v>38</v>
      </c>
      <c r="D57" s="17">
        <f t="shared" ref="D57:F57" si="67">IF(H57=0,0%,IF(L57=0,100%,H57/L57-1))</f>
        <v>0.3028150791</v>
      </c>
      <c r="E57" s="17">
        <f t="shared" si="67"/>
        <v>0</v>
      </c>
      <c r="F57" s="17">
        <f t="shared" si="67"/>
        <v>-0.9957511351</v>
      </c>
      <c r="G57" s="17">
        <f t="shared" si="65"/>
        <v>0</v>
      </c>
      <c r="H57" s="18">
        <f>VLOOKUP(A57,'הכשרה'!A:G,4,0)+VLOOKUP('תפוקה מצטברת מול אשתקד'!A57,'מגדל'!A:G,4,0)+VLOOKUP('תפוקה מצטברת מול אשתקד'!A57,'מנורה'!A:G,4,0)+VLOOKUP('תפוקה מצטברת מול אשתקד'!A57,'איילון'!A:G,4,0)+VLOOKUP('תפוקה מצטברת מול אשתקד'!A57,'הראל'!A:G,4,0)+VLOOKUP('תפוקה מצטברת מול אשתקד'!A57,'הפניקס'!A:G,4,0)+VLOOKUP('תפוקה מצטברת מול אשתקד'!A57,'כלל'!A:G,4,0)+VLOOKUP('תפוקה מצטברת מול אשתקד'!A57,'מור'!A:G,4,0)+VLOOKUP('תפוקה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אשתקד'!A57,'אינפניטי'!A:G,4,0)</f>
        <v>68824.19</v>
      </c>
      <c r="I57" s="18">
        <f>VLOOKUP(A57,'הכשרה'!A:G,5,0)+VLOOKUP('תפוקה מצטברת מול אשתקד'!A57,'מגדל'!A:G,5,0)+VLOOKUP('תפוקה מצטברת מול אשתקד'!A57,'מנורה'!A:G,5,0)+VLOOKUP('תפוקה מצטברת מול אשתקד'!A57,'איילון'!A:G,5,0)+VLOOKUP('תפוקה מצטברת מול אשתקד'!A57,'הראל'!A:G,5,0)+VLOOKUP('תפוקה מצטברת מול אשתקד'!A57,'הפניקס'!A:G,5,0)+VLOOKUP('תפוקה מצטברת מול אשתקד'!A57,'כלל'!A:G,5,0)+VLOOKUP('תפוקה מצטברת מול אשתקד'!A57,'מור'!A:G,5,0)+VLOOKUP('תפוקה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אשתקד'!A57,'אינפניטי'!A:G,5,0)</f>
        <v>0</v>
      </c>
      <c r="J57" s="18">
        <f>VLOOKUP(A57,'הכשרה'!A:G,6,0)+VLOOKUP('תפוקה מצטברת מול אשתקד'!A57,'מגדל'!A:G,6,0)+VLOOKUP('תפוקה מצטברת מול אשתקד'!A57,'מנורה'!A:G,6,0)+VLOOKUP('תפוקה מצטברת מול אשתקד'!A57,'איילון'!A:G,6,0)+VLOOKUP(A57,'הראל'!A:G,6,0)+VLOOKUP('תפוקה מצטברת מול אשתקד'!A57,'הפניקס'!A:G,6,0)+VLOOKUP('תפוקה מצטברת מול אשתקד'!A57,'כלל'!A:G,6,0)+VLOOKUP('תפוקה מצטברת מול אשתקד'!A57,'מור'!A:G,6,0)+VLOOKUP('תפוקה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אשתקד'!A57,'אינפניטי'!A:G,6,0)</f>
        <v>584.49</v>
      </c>
      <c r="K57" s="18">
        <f>VLOOKUP(A57,'הכשרה'!A:G,7,0)+VLOOKUP('תפוקה מצטברת מול אשתקד'!A57,'מגדל'!A:G,7,0)+VLOOKUP('תפוקה מצטברת מול אשתקד'!A57,'מנורה'!A:G,7,0)+VLOOKUP('תפוקה מצטברת מול אשתקד'!A57,'איילון'!A:G,7,0)+VLOOKUP('תפוקה מצטברת מול אשתקד'!A57,'הראל'!A:G,7,0)+VLOOKUP('תפוקה מצטברת מול אשתקד'!A57,'הפניקס'!A:G,7,0)+VLOOKUP('תפוקה מצטברת מול אשתקד'!A57,'כלל'!A:G,7,0)+VLOOKUP('תפוקה מצטברת מול אשתקד'!A57,'מור'!A:G,7,0)+VLOOKUP('תפוקה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אשתקד'!A57,'אינפניטי'!A:G,7,0)</f>
        <v>0</v>
      </c>
      <c r="L57" s="19">
        <f>VLOOKUP(A57,'הכשרה'!A:K,8,0)+VLOOKUP('תפוקה מצטברת מול אשתקד'!A57,'מגדל'!A:K,8,0)+VLOOKUP('תפוקה מצטברת מול אשתקד'!A57,'מנורה'!A:K,8,0)+VLOOKUP('תפוקה מצטברת מול אשתקד'!A57,'איילון'!A:K,8,0)+VLOOKUP('תפוקה מצטברת מול אשתקד'!A57,'הראל'!A:K,8,0)+VLOOKUP('תפוקה מצטברת מול אשתקד'!A57,'הפניקס'!A:K,8,0)+VLOOKUP('תפוקה מצטברת מול אשתקד'!A57,'כלל'!A:K,8,0)+VLOOKUP('תפוקה מצטברת מול אשתקד'!A57,'מור'!A:K,8,0)+VLOOKUP('תפוקה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אשתקד'!A57,'אינפניטי'!A:K,8,0)</f>
        <v>52827.29</v>
      </c>
      <c r="M57" s="19">
        <f>VLOOKUP(A57,'הכשרה'!A:K,9,0)+VLOOKUP('תפוקה מצטברת מול אשתקד'!A57,'מגדל'!A:K,9,0)+VLOOKUP('תפוקה מצטברת מול אשתקד'!A57,'מנורה'!A:K,9,0)+VLOOKUP('תפוקה מצטברת מול אשתקד'!A57,'איילון'!A:K,9,0)+VLOOKUP('תפוקה מצטברת מול אשתקד'!A57,'הראל'!A:K,9,0)+VLOOKUP('תפוקה מצטברת מול אשתקד'!A57,'הפניקס'!A:K,9,0)+VLOOKUP('תפוקה מצטברת מול אשתקד'!A57,'כלל'!A:K,9,0)+VLOOKUP('תפוקה מצטברת מול אשתקד'!A57,'מור'!A:K,9,0)+VLOOKUP('תפוקה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אשתקד'!A57,'אינפניטי'!A:K,9,0)</f>
        <v>2470.26</v>
      </c>
      <c r="N57" s="19">
        <f>VLOOKUP(A57,'הכשרה'!A:K,10,0)+VLOOKUP('תפוקה מצטברת מול אשתקד'!A57,'מגדל'!A:K,10,0)+VLOOKUP('תפוקה מצטברת מול אשתקד'!A57,'מנורה'!A:K,10,0)+VLOOKUP('תפוקה מצטברת מול אשתקד'!A57,'איילון'!A:K,10,0)+VLOOKUP('תפוקה מצטברת מול אשתקד'!A57,'הראל'!A:K,10,0)+VLOOKUP('תפוקה מצטברת מול אשתקד'!A57,'הפניקס'!A:K,10,0)+VLOOKUP('תפוקה מצטברת מול אשתקד'!A57,'כלל'!A:K,10,0)+VLOOKUP('תפוקה מצטברת מול אשתקד'!A57,'מור'!A:K,10,0)+VLOOKUP('תפוקה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אשתקד'!A57,'אינפניטי'!A:K,10,0)</f>
        <v>137563.8</v>
      </c>
      <c r="O57" s="19">
        <f>VLOOKUP(A57,'הכשרה'!A:K,11,0)+VLOOKUP('תפוקה מצטברת מול אשתקד'!A57,'מגדל'!A:K,11,0)+VLOOKUP('תפוקה מצטברת מול אשתקד'!A57,'מנורה'!A:K,11,0)+VLOOKUP('תפוקה מצטברת מול אשתקד'!A57,'איילון'!A:K,11,0)+VLOOKUP('תפוקה מצטברת מול אשתקד'!A57,'הראל'!A:K,11,0)+VLOOKUP('תפוקה מצטברת מול אשתקד'!A57,'הפניקס'!A:K,11,0)+VLOOKUP('תפוקה מצטברת מול אשתקד'!A57,'כלל'!A:K,11,0)+VLOOKUP('תפוקה מצטברת מול אשתקד'!A57,'מור'!A:K,11,0)+VLOOKUP('תפוקה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אשתקד'!A57,'אינפניטי'!A:K,11,0)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3" t="s">
        <v>75</v>
      </c>
      <c r="B58" s="23" t="s">
        <v>74</v>
      </c>
      <c r="C58" s="23" t="s">
        <v>38</v>
      </c>
      <c r="D58" s="17">
        <f t="shared" ref="D58:F58" si="68">IF(H58=0,0%,IF(L58=0,100%,H58/L58-1))</f>
        <v>-0.4692160733</v>
      </c>
      <c r="E58" s="17">
        <f t="shared" si="68"/>
        <v>-0.7602590668</v>
      </c>
      <c r="F58" s="17">
        <f t="shared" si="68"/>
        <v>-0.5860716688</v>
      </c>
      <c r="G58" s="17">
        <f t="shared" si="65"/>
        <v>-0.1485395242</v>
      </c>
      <c r="H58" s="18">
        <f>VLOOKUP(A58,'הכשרה'!A:G,4,0)+VLOOKUP('תפוקה מצטברת מול אשתקד'!A58,'מגדל'!A:G,4,0)+VLOOKUP('תפוקה מצטברת מול אשתקד'!A58,'מנורה'!A:G,4,0)+VLOOKUP('תפוקה מצטברת מול אשתקד'!A58,'איילון'!A:G,4,0)+VLOOKUP('תפוקה מצטברת מול אשתקד'!A58,'הראל'!A:G,4,0)+VLOOKUP('תפוקה מצטברת מול אשתקד'!A58,'הפניקס'!A:G,4,0)+VLOOKUP('תפוקה מצטברת מול אשתקד'!A58,'כלל'!A:G,4,0)+VLOOKUP('תפוקה מצטברת מול אשתקד'!A58,'מור'!A:G,4,0)+VLOOKUP('תפוקה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אשתקד'!A58,'אינפניטי'!A:G,4,0)</f>
        <v>488531.88</v>
      </c>
      <c r="I58" s="18">
        <f>VLOOKUP(A58,'הכשרה'!A:G,5,0)+VLOOKUP('תפוקה מצטברת מול אשתקד'!A58,'מגדל'!A:G,5,0)+VLOOKUP('תפוקה מצטברת מול אשתקד'!A58,'מנורה'!A:G,5,0)+VLOOKUP('תפוקה מצטברת מול אשתקד'!A58,'איילון'!A:G,5,0)+VLOOKUP('תפוקה מצטברת מול אשתקד'!A58,'הראל'!A:G,5,0)+VLOOKUP('תפוקה מצטברת מול אשתקד'!A58,'הפניקס'!A:G,5,0)+VLOOKUP('תפוקה מצטברת מול אשתקד'!A58,'כלל'!A:G,5,0)+VLOOKUP('תפוקה מצטברת מול אשתקד'!A58,'מור'!A:G,5,0)+VLOOKUP('תפוקה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אשתקד'!A58,'אינפניטי'!A:G,5,0)</f>
        <v>29220.41</v>
      </c>
      <c r="J58" s="18">
        <f>VLOOKUP(A58,'הכשרה'!A:G,6,0)+VLOOKUP('תפוקה מצטברת מול אשתקד'!A58,'מגדל'!A:G,6,0)+VLOOKUP('תפוקה מצטברת מול אשתקד'!A58,'מנורה'!A:G,6,0)+VLOOKUP('תפוקה מצטברת מול אשתקד'!A58,'איילון'!A:G,6,0)+VLOOKUP(A58,'הראל'!A:G,6,0)+VLOOKUP('תפוקה מצטברת מול אשתקד'!A58,'הפניקס'!A:G,6,0)+VLOOKUP('תפוקה מצטברת מול אשתקד'!A58,'כלל'!A:G,6,0)+VLOOKUP('תפוקה מצטברת מול אשתקד'!A58,'מור'!A:G,6,0)+VLOOKUP('תפוקה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אשתקד'!A58,'אינפניטי'!A:G,6,0)</f>
        <v>3575860.19</v>
      </c>
      <c r="K58" s="18">
        <f>VLOOKUP(A58,'הכשרה'!A:G,7,0)+VLOOKUP('תפוקה מצטברת מול אשתקד'!A58,'מגדל'!A:G,7,0)+VLOOKUP('תפוקה מצטברת מול אשתקד'!A58,'מנורה'!A:G,7,0)+VLOOKUP('תפוקה מצטברת מול אשתקד'!A58,'איילון'!A:G,7,0)+VLOOKUP('תפוקה מצטברת מול אשתקד'!A58,'הראל'!A:G,7,0)+VLOOKUP('תפוקה מצטברת מול אשתקד'!A58,'הפניקס'!A:G,7,0)+VLOOKUP('תפוקה מצטברת מול אשתקד'!A58,'כלל'!A:G,7,0)+VLOOKUP('תפוקה מצטברת מול אשתקד'!A58,'מור'!A:G,7,0)+VLOOKUP('תפוקה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אשתקד'!A58,'אינפניטי'!A:G,7,0)</f>
        <v>4048131.27</v>
      </c>
      <c r="L58" s="19">
        <f>VLOOKUP(A58,'הכשרה'!A:K,8,0)+VLOOKUP('תפוקה מצטברת מול אשתקד'!A58,'מגדל'!A:K,8,0)+VLOOKUP('תפוקה מצטברת מול אשתקד'!A58,'מנורה'!A:K,8,0)+VLOOKUP('תפוקה מצטברת מול אשתקד'!A58,'איילון'!A:K,8,0)+VLOOKUP('תפוקה מצטברת מול אשתקד'!A58,'הראל'!A:K,8,0)+VLOOKUP('תפוקה מצטברת מול אשתקד'!A58,'הפניקס'!A:K,8,0)+VLOOKUP('תפוקה מצטברת מול אשתקד'!A58,'כלל'!A:K,8,0)+VLOOKUP('תפוקה מצטברת מול אשתקד'!A58,'מור'!A:K,8,0)+VLOOKUP('תפוקה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אשתקד'!A58,'אינפניטי'!A:K,8,0)</f>
        <v>920396.8988</v>
      </c>
      <c r="M58" s="19">
        <f>VLOOKUP(A58,'הכשרה'!A:K,9,0)+VLOOKUP('תפוקה מצטברת מול אשתקד'!A58,'מגדל'!A:K,9,0)+VLOOKUP('תפוקה מצטברת מול אשתקד'!A58,'מנורה'!A:K,9,0)+VLOOKUP('תפוקה מצטברת מול אשתקד'!A58,'איילון'!A:K,9,0)+VLOOKUP('תפוקה מצטברת מול אשתקד'!A58,'הראל'!A:K,9,0)+VLOOKUP('תפוקה מצטברת מול אשתקד'!A58,'הפניקס'!A:K,9,0)+VLOOKUP('תפוקה מצטברת מול אשתקד'!A58,'כלל'!A:K,9,0)+VLOOKUP('תפוקה מצטברת מול אשתקד'!A58,'מור'!A:K,9,0)+VLOOKUP('תפוקה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אשתקד'!A58,'אינפניטי'!A:K,9,0)</f>
        <v>121883.2746</v>
      </c>
      <c r="N58" s="19">
        <f>VLOOKUP(A58,'הכשרה'!A:K,10,0)+VLOOKUP('תפוקה מצטברת מול אשתקד'!A58,'מגדל'!A:K,10,0)+VLOOKUP('תפוקה מצטברת מול אשתקד'!A58,'מנורה'!A:K,10,0)+VLOOKUP('תפוקה מצטברת מול אשתקד'!A58,'איילון'!A:K,10,0)+VLOOKUP('תפוקה מצטברת מול אשתקד'!A58,'הראל'!A:K,10,0)+VLOOKUP('תפוקה מצטברת מול אשתקד'!A58,'הפניקס'!A:K,10,0)+VLOOKUP('תפוקה מצטברת מול אשתקד'!A58,'כלל'!A:K,10,0)+VLOOKUP('תפוקה מצטברת מול אשתקד'!A58,'מור'!A:K,10,0)+VLOOKUP('תפוקה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אשתקד'!A58,'אינפניטי'!A:K,10,0)</f>
        <v>8638838.949</v>
      </c>
      <c r="O58" s="19">
        <f>VLOOKUP(A58,'הכשרה'!A:K,11,0)+VLOOKUP('תפוקה מצטברת מול אשתקד'!A58,'מגדל'!A:K,11,0)+VLOOKUP('תפוקה מצטברת מול אשתקד'!A58,'מנורה'!A:K,11,0)+VLOOKUP('תפוקה מצטברת מול אשתקד'!A58,'איילון'!A:K,11,0)+VLOOKUP('תפוקה מצטברת מול אשתקד'!A58,'הראל'!A:K,11,0)+VLOOKUP('תפוקה מצטברת מול אשתקד'!A58,'הפניקס'!A:K,11,0)+VLOOKUP('תפוקה מצטברת מול אשתקד'!A58,'כלל'!A:K,11,0)+VLOOKUP('תפוקה מצטברת מול אשתקד'!A58,'מור'!A:K,11,0)+VLOOKUP('תפוקה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אשתקד'!A58,'אינפניטי'!A:K,11,0)</f>
        <v>4754338.44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" t="s">
        <v>76</v>
      </c>
      <c r="B59" s="1" t="s">
        <v>74</v>
      </c>
      <c r="C59" s="23" t="s">
        <v>38</v>
      </c>
      <c r="D59" s="17">
        <f t="shared" ref="D59:F59" si="69">IF(H59=0,0%,IF(L59=0,100%,H59/L59-1))</f>
        <v>0.1575497422</v>
      </c>
      <c r="E59" s="17">
        <f t="shared" si="69"/>
        <v>-0.2626904674</v>
      </c>
      <c r="F59" s="17">
        <f t="shared" si="69"/>
        <v>0.05351485055</v>
      </c>
      <c r="G59" s="17">
        <f t="shared" si="65"/>
        <v>-1.340703086</v>
      </c>
      <c r="H59" s="18">
        <f>VLOOKUP(A59,'הכשרה'!A:G,4,0)+VLOOKUP('תפוקה מצטברת מול אשתקד'!A59,'מגדל'!A:G,4,0)+VLOOKUP('תפוקה מצטברת מול אשתקד'!A59,'מנורה'!A:G,4,0)+VLOOKUP('תפוקה מצטברת מול אשתקד'!A59,'איילון'!A:G,4,0)+VLOOKUP('תפוקה מצטברת מול אשתקד'!A59,'הראל'!A:G,4,0)+VLOOKUP('תפוקה מצטברת מול אשתקד'!A59,'הפניקס'!A:G,4,0)+VLOOKUP('תפוקה מצטברת מול אשתקד'!A59,'כלל'!A:G,4,0)+VLOOKUP('תפוקה מצטברת מול אשתקד'!A59,'מור'!A:G,4,0)+VLOOKUP('תפוקה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אשתקד'!A59,'אינפניטי'!A:G,4,0)</f>
        <v>1315491.572</v>
      </c>
      <c r="I59" s="18">
        <f>VLOOKUP(A59,'הכשרה'!A:G,5,0)+VLOOKUP('תפוקה מצטברת מול אשתקד'!A59,'מגדל'!A:G,5,0)+VLOOKUP('תפוקה מצטברת מול אשתקד'!A59,'מנורה'!A:G,5,0)+VLOOKUP('תפוקה מצטברת מול אשתקד'!A59,'איילון'!A:G,5,0)+VLOOKUP('תפוקה מצטברת מול אשתקד'!A59,'הראל'!A:G,5,0)+VLOOKUP('תפוקה מצטברת מול אשתקד'!A59,'הפניקס'!A:G,5,0)+VLOOKUP('תפוקה מצטברת מול אשתקד'!A59,'כלל'!A:G,5,0)+VLOOKUP('תפוקה מצטברת מול אשתקד'!A59,'מור'!A:G,5,0)+VLOOKUP('תפוקה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אשתקד'!A59,'אינפניטי'!A:G,5,0)</f>
        <v>103433.575</v>
      </c>
      <c r="J59" s="18">
        <f>VLOOKUP(A59,'הכשרה'!A:G,6,0)+VLOOKUP('תפוקה מצטברת מול אשתקד'!A59,'מגדל'!A:G,6,0)+VLOOKUP('תפוקה מצטברת מול אשתקד'!A59,'מנורה'!A:G,6,0)+VLOOKUP('תפוקה מצטברת מול אשתקד'!A59,'איילון'!A:G,6,0)+VLOOKUP(A59,'הראל'!A:G,6,0)+VLOOKUP('תפוקה מצטברת מול אשתקד'!A59,'הפניקס'!A:G,6,0)+VLOOKUP('תפוקה מצטברת מול אשתקד'!A59,'כלל'!A:G,6,0)+VLOOKUP('תפוקה מצטברת מול אשתקד'!A59,'מור'!A:G,6,0)+VLOOKUP('תפוקה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אשתקד'!A59,'אינפניטי'!A:G,6,0)</f>
        <v>1266927</v>
      </c>
      <c r="K59" s="18">
        <f>VLOOKUP(A59,'הכשרה'!A:G,7,0)+VLOOKUP('תפוקה מצטברת מול אשתקד'!A59,'מגדל'!A:G,7,0)+VLOOKUP('תפוקה מצטברת מול אשתקד'!A59,'מנורה'!A:G,7,0)+VLOOKUP('תפוקה מצטברת מול אשתקד'!A59,'איילון'!A:G,7,0)+VLOOKUP('תפוקה מצטברת מול אשתקד'!A59,'הראל'!A:G,7,0)+VLOOKUP('תפוקה מצטברת מול אשתקד'!A59,'הפניקס'!A:G,7,0)+VLOOKUP('תפוקה מצטברת מול אשתקד'!A59,'כלל'!A:G,7,0)+VLOOKUP('תפוקה מצטברת מול אשתקד'!A59,'מור'!A:G,7,0)+VLOOKUP('תפוקה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אשתקד'!A59,'אינפניטי'!A:G,7,0)</f>
        <v>255444.06</v>
      </c>
      <c r="L59" s="19">
        <f>VLOOKUP(A59,'הכשרה'!A:K,8,0)+VLOOKUP('תפוקה מצטברת מול אשתקד'!A59,'מגדל'!A:K,8,0)+VLOOKUP('תפוקה מצטברת מול אשתקד'!A59,'מנורה'!A:K,8,0)+VLOOKUP('תפוקה מצטברת מול אשתקד'!A59,'איילון'!A:K,8,0)+VLOOKUP('תפוקה מצטברת מול אשתקד'!A59,'הראל'!A:K,8,0)+VLOOKUP('תפוקה מצטברת מול אשתקד'!A59,'הפניקס'!A:K,8,0)+VLOOKUP('תפוקה מצטברת מול אשתקד'!A59,'כלל'!A:K,8,0)+VLOOKUP('תפוקה מצטברת מול אשתקד'!A59,'מור'!A:K,8,0)+VLOOKUP('תפוקה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אשתקד'!A59,'אינפניטי'!A:K,8,0)</f>
        <v>1136444.961</v>
      </c>
      <c r="M59" s="19">
        <f>VLOOKUP(A59,'הכשרה'!A:K,9,0)+VLOOKUP('תפוקה מצטברת מול אשתקד'!A59,'מגדל'!A:K,9,0)+VLOOKUP('תפוקה מצטברת מול אשתקד'!A59,'מנורה'!A:K,9,0)+VLOOKUP('תפוקה מצטברת מול אשתקד'!A59,'איילון'!A:K,9,0)+VLOOKUP('תפוקה מצטברת מול אשתקד'!A59,'הראל'!A:K,9,0)+VLOOKUP('תפוקה מצטברת מול אשתקד'!A59,'הפניקס'!A:K,9,0)+VLOOKUP('תפוקה מצטברת מול אשתקד'!A59,'כלל'!A:K,9,0)+VLOOKUP('תפוקה מצטברת מול אשתקד'!A59,'מור'!A:K,9,0)+VLOOKUP('תפוקה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אשתקד'!A59,'אינפניטי'!A:K,9,0)</f>
        <v>140285.1454</v>
      </c>
      <c r="N59" s="19">
        <f>VLOOKUP(A59,'הכשרה'!A:K,10,0)+VLOOKUP('תפוקה מצטברת מול אשתקד'!A59,'מגדל'!A:K,10,0)+VLOOKUP('תפוקה מצטברת מול אשתקד'!A59,'מנורה'!A:K,10,0)+VLOOKUP('תפוקה מצטברת מול אשתקד'!A59,'איילון'!A:K,10,0)+VLOOKUP('תפוקה מצטברת מול אשתקד'!A59,'הראל'!A:K,10,0)+VLOOKUP('תפוקה מצטברת מול אשתקד'!A59,'הפניקס'!A:K,10,0)+VLOOKUP('תפוקה מצטברת מול אשתקד'!A59,'כלל'!A:K,10,0)+VLOOKUP('תפוקה מצטברת מול אשתקד'!A59,'מור'!A:K,10,0)+VLOOKUP('תפוקה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אשתקד'!A59,'אינפניטי'!A:K,10,0)</f>
        <v>1202571.563</v>
      </c>
      <c r="O59" s="19">
        <f>VLOOKUP(A59,'הכשרה'!A:K,11,0)+VLOOKUP('תפוקה מצטברת מול אשתקד'!A59,'מגדל'!A:K,11,0)+VLOOKUP('תפוקה מצטברת מול אשתקד'!A59,'מנורה'!A:K,11,0)+VLOOKUP('תפוקה מצטברת מול אשתקד'!A59,'איילון'!A:K,11,0)+VLOOKUP('תפוקה מצטברת מול אשתקד'!A59,'הראל'!A:K,11,0)+VLOOKUP('תפוקה מצטברת מול אשתקד'!A59,'הפניקס'!A:K,11,0)+VLOOKUP('תפוקה מצטברת מול אשתקד'!A59,'כלל'!A:K,11,0)+VLOOKUP('תפוקה מצטברת מול אשתקד'!A59,'מור'!A:K,11,0)+VLOOKUP('תפוקה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אשתקד'!A59,'אינפניטי'!A:K,11,0)</f>
        <v>-749755.6383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0" t="s">
        <v>77</v>
      </c>
      <c r="B60" s="1" t="s">
        <v>74</v>
      </c>
      <c r="C60" s="1" t="s">
        <v>38</v>
      </c>
      <c r="D60" s="17">
        <f t="shared" ref="D60:F60" si="70">IF(H60=0,0%,IF(L60=0,100%,H60/L60-1))</f>
        <v>0.6777046523</v>
      </c>
      <c r="E60" s="17">
        <f t="shared" si="70"/>
        <v>-4.42281089</v>
      </c>
      <c r="F60" s="17">
        <f t="shared" si="70"/>
        <v>-0.318556684</v>
      </c>
      <c r="G60" s="17">
        <f t="shared" si="65"/>
        <v>22.01173945</v>
      </c>
      <c r="H60" s="18">
        <f>VLOOKUP(A60,'הכשרה'!A:G,4,0)+VLOOKUP('תפוקה מצטברת מול אשתקד'!A60,'מגדל'!A:G,4,0)+VLOOKUP('תפוקה מצטברת מול אשתקד'!A60,'מנורה'!A:G,4,0)+VLOOKUP('תפוקה מצטברת מול אשתקד'!A60,'איילון'!A:G,4,0)+VLOOKUP('תפוקה מצטברת מול אשתקד'!A60,'הראל'!A:G,4,0)+VLOOKUP('תפוקה מצטברת מול אשתקד'!A60,'הפניקס'!A:G,4,0)+VLOOKUP('תפוקה מצטברת מול אשתקד'!A60,'כלל'!A:G,4,0)+VLOOKUP('תפוקה מצטברת מול אשתקד'!A60,'מור'!A:G,4,0)+VLOOKUP('תפוקה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אשתקד'!A60,'אינפניטי'!A:G,4,0)</f>
        <v>91933.31</v>
      </c>
      <c r="I60" s="18">
        <f>VLOOKUP(A60,'הכשרה'!A:G,5,0)+VLOOKUP('תפוקה מצטברת מול אשתקד'!A60,'מגדל'!A:G,5,0)+VLOOKUP('תפוקה מצטברת מול אשתקד'!A60,'מנורה'!A:G,5,0)+VLOOKUP('תפוקה מצטברת מול אשתקד'!A60,'איילון'!A:G,5,0)+VLOOKUP('תפוקה מצטברת מול אשתקד'!A60,'הראל'!A:G,5,0)+VLOOKUP('תפוקה מצטברת מול אשתקד'!A60,'הפניקס'!A:G,5,0)+VLOOKUP('תפוקה מצטברת מול אשתקד'!A60,'כלל'!A:G,5,0)+VLOOKUP('תפוקה מצטברת מול אשתקד'!A60,'מור'!A:G,5,0)+VLOOKUP('תפוקה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אשתקד'!A60,'אינפניטי'!A:G,5,0)</f>
        <v>9337.316811</v>
      </c>
      <c r="J60" s="18">
        <f>VLOOKUP(A60,'הכשרה'!A:G,6,0)+VLOOKUP('תפוקה מצטברת מול אשתקד'!A60,'מגדל'!A:G,6,0)+VLOOKUP('תפוקה מצטברת מול אשתקד'!A60,'מנורה'!A:G,6,0)+VLOOKUP('תפוקה מצטברת מול אשתקד'!A60,'איילון'!A:G,6,0)+VLOOKUP(A60,'הראל'!A:G,6,0)+VLOOKUP('תפוקה מצטברת מול אשתקד'!A60,'הפניקס'!A:G,6,0)+VLOOKUP('תפוקה מצטברת מול אשתקד'!A60,'כלל'!A:G,6,0)+VLOOKUP('תפוקה מצטברת מול אשתקד'!A60,'מור'!A:G,6,0)+VLOOKUP('תפוקה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אשתקד'!A60,'אינפניטי'!A:G,6,0)</f>
        <v>1007906.66</v>
      </c>
      <c r="K60" s="18">
        <f>VLOOKUP(A60,'הכשרה'!A:G,7,0)+VLOOKUP('תפוקה מצטברת מול אשתקד'!A60,'מגדל'!A:G,7,0)+VLOOKUP('תפוקה מצטברת מול אשתקד'!A60,'מנורה'!A:G,7,0)+VLOOKUP('תפוקה מצטברת מול אשתקד'!A60,'איילון'!A:G,7,0)+VLOOKUP('תפוקה מצטברת מול אשתקד'!A60,'הראל'!A:G,7,0)+VLOOKUP('תפוקה מצטברת מול אשתקד'!A60,'הפניקס'!A:G,7,0)+VLOOKUP('תפוקה מצטברת מול אשתקד'!A60,'כלל'!A:G,7,0)+VLOOKUP('תפוקה מצטברת מול אשתקד'!A60,'מור'!A:G,7,0)+VLOOKUP('תפוקה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אשתקד'!A60,'אינפניטי'!A:G,7,0)</f>
        <v>-766867.56</v>
      </c>
      <c r="L60" s="19">
        <f>VLOOKUP(A60,'הכשרה'!A:K,8,0)+VLOOKUP('תפוקה מצטברת מול אשתקד'!A60,'מגדל'!A:K,8,0)+VLOOKUP('תפוקה מצטברת מול אשתקד'!A60,'מנורה'!A:K,8,0)+VLOOKUP('תפוקה מצטברת מול אשתקד'!A60,'איילון'!A:K,8,0)+VLOOKUP('תפוקה מצטברת מול אשתקד'!A60,'הראל'!A:K,8,0)+VLOOKUP('תפוקה מצטברת מול אשתקד'!A60,'הפניקס'!A:K,8,0)+VLOOKUP('תפוקה מצטברת מול אשתקד'!A60,'כלל'!A:K,8,0)+VLOOKUP('תפוקה מצטברת מול אשתקד'!A60,'מור'!A:K,8,0)+VLOOKUP('תפוקה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אשתקד'!A60,'אינפניטי'!A:K,8,0)</f>
        <v>54797.07639</v>
      </c>
      <c r="M60" s="19">
        <f>VLOOKUP(A60,'הכשרה'!A:K,9,0)+VLOOKUP('תפוקה מצטברת מול אשתקד'!A60,'מגדל'!A:K,9,0)+VLOOKUP('תפוקה מצטברת מול אשתקד'!A60,'מנורה'!A:K,9,0)+VLOOKUP('תפוקה מצטברת מול אשתקד'!A60,'איילון'!A:K,9,0)+VLOOKUP('תפוקה מצטברת מול אשתקד'!A60,'הראל'!A:K,9,0)+VLOOKUP('תפוקה מצטברת מול אשתקד'!A60,'הפניקס'!A:K,9,0)+VLOOKUP('תפוקה מצטברת מול אשתקד'!A60,'כלל'!A:K,9,0)+VLOOKUP('תפוקה מצטברת מול אשתקד'!A60,'מור'!A:K,9,0)+VLOOKUP('תפוקה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אשתקד'!A60,'אינפניטי'!A:K,9,0)</f>
        <v>-2727.967483</v>
      </c>
      <c r="N60" s="19">
        <f>VLOOKUP(A60,'הכשרה'!A:K,10,0)+VLOOKUP('תפוקה מצטברת מול אשתקד'!A60,'מגדל'!A:K,10,0)+VLOOKUP('תפוקה מצטברת מול אשתקד'!A60,'מנורה'!A:K,10,0)+VLOOKUP('תפוקה מצטברת מול אשתקד'!A60,'איילון'!A:K,10,0)+VLOOKUP('תפוקה מצטברת מול אשתקד'!A60,'הראל'!A:K,10,0)+VLOOKUP('תפוקה מצטברת מול אשתקד'!A60,'הפניקס'!A:K,10,0)+VLOOKUP('תפוקה מצטברת מול אשתקד'!A60,'כלל'!A:K,10,0)+VLOOKUP('תפוקה מצטברת מול אשתקד'!A60,'מור'!A:K,10,0)+VLOOKUP('תפוקה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אשתקד'!A60,'אינפניטי'!A:K,10,0)</f>
        <v>1479076.302</v>
      </c>
      <c r="O60" s="19">
        <f>VLOOKUP(A60,'הכשרה'!A:K,11,0)+VLOOKUP('תפוקה מצטברת מול אשתקד'!A60,'מגדל'!A:K,11,0)+VLOOKUP('תפוקה מצטברת מול אשתקד'!A60,'מנורה'!A:K,11,0)+VLOOKUP('תפוקה מצטברת מול אשתקד'!A60,'איילון'!A:K,11,0)+VLOOKUP('תפוקה מצטברת מול אשתקד'!A60,'הראל'!A:K,11,0)+VLOOKUP('תפוקה מצטברת מול אשתקד'!A60,'הפניקס'!A:K,11,0)+VLOOKUP('תפוקה מצטברת מול אשתקד'!A60,'כלל'!A:K,11,0)+VLOOKUP('תפוקה מצטברת מול אשתקד'!A60,'מור'!A:K,11,0)+VLOOKUP('תפוקה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אשתקד'!A60,'אינפניטי'!A:K,11,0)</f>
        <v>-33325.05835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" t="s">
        <v>78</v>
      </c>
      <c r="B61" s="1" t="s">
        <v>74</v>
      </c>
      <c r="C61" s="1" t="s">
        <v>38</v>
      </c>
      <c r="D61" s="17">
        <f t="shared" ref="D61:F61" si="71">IF(H61=0,0%,IF(L61=0,100%,H61/L61-1))</f>
        <v>-0.04423611264</v>
      </c>
      <c r="E61" s="17">
        <f t="shared" si="71"/>
        <v>-0.2621476408</v>
      </c>
      <c r="F61" s="17">
        <f t="shared" si="71"/>
        <v>1.401814764</v>
      </c>
      <c r="G61" s="17">
        <f t="shared" si="65"/>
        <v>0.1256417011</v>
      </c>
      <c r="H61" s="18">
        <f>VLOOKUP(A61,'הכשרה'!A:G,4,0)+VLOOKUP('תפוקה מצטברת מול אשתקד'!A61,'מגדל'!A:G,4,0)+VLOOKUP('תפוקה מצטברת מול אשתקד'!A61,'מנורה'!A:G,4,0)+VLOOKUP('תפוקה מצטברת מול אשתקד'!A61,'איילון'!A:G,4,0)+VLOOKUP('תפוקה מצטברת מול אשתקד'!A61,'הראל'!A:G,4,0)+VLOOKUP('תפוקה מצטברת מול אשתקד'!A61,'הפניקס'!A:G,4,0)+VLOOKUP('תפוקה מצטברת מול אשתקד'!A61,'כלל'!A:G,4,0)+VLOOKUP('תפוקה מצטברת מול אשתקד'!A61,'מור'!A:G,4,0)+VLOOKUP('תפוקה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אשתקד'!A61,'אינפניטי'!A:G,4,0)</f>
        <v>657680.4229</v>
      </c>
      <c r="I61" s="18">
        <f>VLOOKUP(A61,'הכשרה'!A:G,5,0)+VLOOKUP('תפוקה מצטברת מול אשתקד'!A61,'מגדל'!A:G,5,0)+VLOOKUP('תפוקה מצטברת מול אשתקד'!A61,'מנורה'!A:G,5,0)+VLOOKUP('תפוקה מצטברת מול אשתקד'!A61,'איילון'!A:G,5,0)+VLOOKUP('תפוקה מצטברת מול אשתקד'!A61,'הראל'!A:G,5,0)+VLOOKUP('תפוקה מצטברת מול אשתקד'!A61,'הפניקס'!A:G,5,0)+VLOOKUP('תפוקה מצטברת מול אשתקד'!A61,'כלל'!A:G,5,0)+VLOOKUP('תפוקה מצטברת מול אשתקד'!A61,'מור'!A:G,5,0)+VLOOKUP('תפוקה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אשתקד'!A61,'אינפניטי'!A:G,5,0)</f>
        <v>24861.39761</v>
      </c>
      <c r="J61" s="18">
        <f>VLOOKUP(A61,'הכשרה'!A:G,6,0)+VLOOKUP('תפוקה מצטברת מול אשתקד'!A61,'מגדל'!A:G,6,0)+VLOOKUP('תפוקה מצטברת מול אשתקד'!A61,'מנורה'!A:G,6,0)+VLOOKUP('תפוקה מצטברת מול אשתקד'!A61,'איילון'!A:G,6,0)+VLOOKUP(A61,'הראל'!A:G,6,0)+VLOOKUP('תפוקה מצטברת מול אשתקד'!A61,'הפניקס'!A:G,6,0)+VLOOKUP('תפוקה מצטברת מול אשתקד'!A61,'כלל'!A:G,6,0)+VLOOKUP('תפוקה מצטברת מול אשתקד'!A61,'מור'!A:G,6,0)+VLOOKUP('תפוקה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אשתקד'!A61,'אינפניטי'!A:G,6,0)</f>
        <v>3336892.21</v>
      </c>
      <c r="K61" s="18">
        <f>VLOOKUP(A61,'הכשרה'!A:G,7,0)+VLOOKUP('תפוקה מצטברת מול אשתקד'!A61,'מגדל'!A:G,7,0)+VLOOKUP('תפוקה מצטברת מול אשתקד'!A61,'מנורה'!A:G,7,0)+VLOOKUP('תפוקה מצטברת מול אשתקד'!A61,'איילון'!A:G,7,0)+VLOOKUP('תפוקה מצטברת מול אשתקד'!A61,'הראל'!A:G,7,0)+VLOOKUP('תפוקה מצטברת מול אשתקד'!A61,'הפניקס'!A:G,7,0)+VLOOKUP('תפוקה מצטברת מול אשתקד'!A61,'כלל'!A:G,7,0)+VLOOKUP('תפוקה מצטברת מול אשתקד'!A61,'מור'!A:G,7,0)+VLOOKUP('תפוקה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אשתקד'!A61,'אינפניטי'!A:G,7,0)</f>
        <v>2195353.19</v>
      </c>
      <c r="L61" s="19">
        <f>VLOOKUP(A61,'הכשרה'!A:K,8,0)+VLOOKUP('תפוקה מצטברת מול אשתקד'!A61,'מגדל'!A:K,8,0)+VLOOKUP('תפוקה מצטברת מול אשתקד'!A61,'מנורה'!A:K,8,0)+VLOOKUP('תפוקה מצטברת מול אשתקד'!A61,'איילון'!A:K,8,0)+VLOOKUP('תפוקה מצטברת מול אשתקד'!A61,'הראל'!A:K,8,0)+VLOOKUP('תפוקה מצטברת מול אשתקד'!A61,'הפניקס'!A:K,8,0)+VLOOKUP('תפוקה מצטברת מול אשתקד'!A61,'כלל'!A:K,8,0)+VLOOKUP('תפוקה מצטברת מול אשתקד'!A61,'מור'!A:K,8,0)+VLOOKUP('תפוקה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אשתקד'!A61,'אינפניטי'!A:K,8,0)</f>
        <v>688120.1849</v>
      </c>
      <c r="M61" s="19">
        <f>VLOOKUP(A61,'הכשרה'!A:K,9,0)+VLOOKUP('תפוקה מצטברת מול אשתקד'!A61,'מגדל'!A:K,9,0)+VLOOKUP('תפוקה מצטברת מול אשתקד'!A61,'מנורה'!A:K,9,0)+VLOOKUP('תפוקה מצטברת מול אשתקד'!A61,'איילון'!A:K,9,0)+VLOOKUP('תפוקה מצטברת מול אשתקד'!A61,'הראל'!A:K,9,0)+VLOOKUP('תפוקה מצטברת מול אשתקד'!A61,'הפניקס'!A:K,9,0)+VLOOKUP('תפוקה מצטברת מול אשתקד'!A61,'כלל'!A:K,9,0)+VLOOKUP('תפוקה מצטברת מול אשתקד'!A61,'מור'!A:K,9,0)+VLOOKUP('תפוקה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אשתקד'!A61,'אינפניטי'!A:K,9,0)</f>
        <v>33694.27136</v>
      </c>
      <c r="N61" s="19">
        <f>VLOOKUP(A61,'הכשרה'!A:K,10,0)+VLOOKUP('תפוקה מצטברת מול אשתקד'!A61,'מגדל'!A:K,10,0)+VLOOKUP('תפוקה מצטברת מול אשתקד'!A61,'מנורה'!A:K,10,0)+VLOOKUP('תפוקה מצטברת מול אשתקד'!A61,'איילון'!A:K,10,0)+VLOOKUP('תפוקה מצטברת מול אשתקד'!A61,'הראל'!A:K,10,0)+VLOOKUP('תפוקה מצטברת מול אשתקד'!A61,'הפניקס'!A:K,10,0)+VLOOKUP('תפוקה מצטברת מול אשתקד'!A61,'כלל'!A:K,10,0)+VLOOKUP('תפוקה מצטברת מול אשתקד'!A61,'מור'!A:K,10,0)+VLOOKUP('תפוקה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אשתקד'!A61,'אינפניטי'!A:K,10,0)</f>
        <v>1389321.217</v>
      </c>
      <c r="O61" s="19">
        <f>VLOOKUP(A61,'הכשרה'!A:K,11,0)+VLOOKUP('תפוקה מצטברת מול אשתקד'!A61,'מגדל'!A:K,11,0)+VLOOKUP('תפוקה מצטברת מול אשתקד'!A61,'מנורה'!A:K,11,0)+VLOOKUP('תפוקה מצטברת מול אשתקד'!A61,'איילון'!A:K,11,0)+VLOOKUP('תפוקה מצטברת מול אשתקד'!A61,'הראל'!A:K,11,0)+VLOOKUP('תפוקה מצטברת מול אשתקד'!A61,'הפניקס'!A:K,11,0)+VLOOKUP('תפוקה מצטברת מול אשתקד'!A61,'כלל'!A:K,11,0)+VLOOKUP('תפוקה מצטברת מול אשתקד'!A61,'מור'!A:K,11,0)+VLOOKUP('תפוקה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אשתקד'!A61,'אינפניטי'!A:K,11,0)</f>
        <v>1950312.598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 t="s">
        <v>79</v>
      </c>
      <c r="B62" s="1" t="s">
        <v>74</v>
      </c>
      <c r="C62" s="23" t="s">
        <v>38</v>
      </c>
      <c r="D62" s="17">
        <f t="shared" ref="D62:F62" si="72">IF(H62=0,0%,IF(L62=0,100%,H62/L62-1))</f>
        <v>1</v>
      </c>
      <c r="E62" s="17">
        <f t="shared" si="72"/>
        <v>1</v>
      </c>
      <c r="F62" s="17">
        <f t="shared" si="72"/>
        <v>1</v>
      </c>
      <c r="G62" s="17">
        <f t="shared" si="65"/>
        <v>1</v>
      </c>
      <c r="H62" s="18">
        <f>VLOOKUP(A62,'הכשרה'!A:G,4,0)+VLOOKUP('תפוקה מצטברת מול אשתקד'!A62,'מגדל'!A:G,4,0)+VLOOKUP('תפוקה מצטברת מול אשתקד'!A62,'מנורה'!A:G,4,0)+VLOOKUP('תפוקה מצטברת מול אשתקד'!A62,'איילון'!A:G,4,0)+VLOOKUP('תפוקה מצטברת מול אשתקד'!A62,'הראל'!A:G,4,0)+VLOOKUP('תפוקה מצטברת מול אשתקד'!A62,'הפניקס'!A:G,4,0)+VLOOKUP('תפוקה מצטברת מול אשתקד'!A62,'כלל'!A:G,4,0)+VLOOKUP('תפוקה מצטברת מול אשתקד'!A62,'מור'!A:G,4,0)+VLOOKUP('תפוקה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אשתקד'!A62,'אינפניטי'!A:G,4,0)</f>
        <v>136758.07</v>
      </c>
      <c r="I62" s="18">
        <f>VLOOKUP(A62,'הכשרה'!A:G,5,0)+VLOOKUP('תפוקה מצטברת מול אשתקד'!A62,'מגדל'!A:G,5,0)+VLOOKUP('תפוקה מצטברת מול אשתקד'!A62,'מנורה'!A:G,5,0)+VLOOKUP('תפוקה מצטברת מול אשתקד'!A62,'איילון'!A:G,5,0)+VLOOKUP('תפוקה מצטברת מול אשתקד'!A62,'הראל'!A:G,5,0)+VLOOKUP('תפוקה מצטברת מול אשתקד'!A62,'הפניקס'!A:G,5,0)+VLOOKUP('תפוקה מצטברת מול אשתקד'!A62,'כלל'!A:G,5,0)+VLOOKUP('תפוקה מצטברת מול אשתקד'!A62,'מור'!A:G,5,0)+VLOOKUP('תפוקה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אשתקד'!A62,'אינפניטי'!A:G,5,0)</f>
        <v>7893.1615</v>
      </c>
      <c r="J62" s="18">
        <f>VLOOKUP(A62,'הכשרה'!A:G,6,0)+VLOOKUP('תפוקה מצטברת מול אשתקד'!A62,'מגדל'!A:G,6,0)+VLOOKUP('תפוקה מצטברת מול אשתקד'!A62,'מנורה'!A:G,6,0)+VLOOKUP('תפוקה מצטברת מול אשתקד'!A62,'איילון'!A:G,6,0)+VLOOKUP(A62,'הראל'!A:G,6,0)+VLOOKUP('תפוקה מצטברת מול אשתקד'!A62,'הפניקס'!A:G,6,0)+VLOOKUP('תפוקה מצטברת מול אשתקד'!A62,'כלל'!A:G,6,0)+VLOOKUP('תפוקה מצטברת מול אשתקד'!A62,'מור'!A:G,6,0)+VLOOKUP('תפוקה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אשתקד'!A62,'אינפניטי'!A:G,6,0)</f>
        <v>515355.39</v>
      </c>
      <c r="K62" s="18">
        <f>VLOOKUP(A62,'הכשרה'!A:G,7,0)+VLOOKUP('תפוקה מצטברת מול אשתקד'!A62,'מגדל'!A:G,7,0)+VLOOKUP('תפוקה מצטברת מול אשתקד'!A62,'מנורה'!A:G,7,0)+VLOOKUP('תפוקה מצטברת מול אשתקד'!A62,'איילון'!A:G,7,0)+VLOOKUP('תפוקה מצטברת מול אשתקד'!A62,'הראל'!A:G,7,0)+VLOOKUP('תפוקה מצטברת מול אשתקד'!A62,'הפניקס'!A:G,7,0)+VLOOKUP('תפוקה מצטברת מול אשתקד'!A62,'כלל'!A:G,7,0)+VLOOKUP('תפוקה מצטברת מול אשתקד'!A62,'מור'!A:G,7,0)+VLOOKUP('תפוקה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אשתקד'!A62,'אינפניטי'!A:G,7,0)</f>
        <v>-13484.84</v>
      </c>
      <c r="L62" s="19">
        <f>VLOOKUP(A62,'הכשרה'!A:K,8,0)+VLOOKUP('תפוקה מצטברת מול אשתקד'!A62,'מגדל'!A:K,8,0)+VLOOKUP('תפוקה מצטברת מול אשתקד'!A62,'מנורה'!A:K,8,0)+VLOOKUP('תפוקה מצטברת מול אשתקד'!A62,'איילון'!A:K,8,0)+VLOOKUP('תפוקה מצטברת מול אשתקד'!A62,'הראל'!A:K,8,0)+VLOOKUP('תפוקה מצטברת מול אשתקד'!A62,'הפניקס'!A:K,8,0)+VLOOKUP('תפוקה מצטברת מול אשתקד'!A62,'כלל'!A:K,8,0)+VLOOKUP('תפוקה מצטברת מול אשתקד'!A62,'מור'!A:K,8,0)+VLOOKUP('תפוקה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אשתקד'!A62,'אינפניטי'!A:K,8,0)</f>
        <v>0</v>
      </c>
      <c r="M62" s="19">
        <f>VLOOKUP(A62,'הכשרה'!A:K,9,0)+VLOOKUP('תפוקה מצטברת מול אשתקד'!A62,'מגדל'!A:K,9,0)+VLOOKUP('תפוקה מצטברת מול אשתקד'!A62,'מנורה'!A:K,9,0)+VLOOKUP('תפוקה מצטברת מול אשתקד'!A62,'איילון'!A:K,9,0)+VLOOKUP('תפוקה מצטברת מול אשתקד'!A62,'הראל'!A:K,9,0)+VLOOKUP('תפוקה מצטברת מול אשתקד'!A62,'הפניקס'!A:K,9,0)+VLOOKUP('תפוקה מצטברת מול אשתקד'!A62,'כלל'!A:K,9,0)+VLOOKUP('תפוקה מצטברת מול אשתקד'!A62,'מור'!A:K,9,0)+VLOOKUP('תפוקה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אשתקד'!A62,'אינפניטי'!A:K,9,0)</f>
        <v>0</v>
      </c>
      <c r="N62" s="19">
        <f>VLOOKUP(A62,'הכשרה'!A:K,10,0)+VLOOKUP('תפוקה מצטברת מול אשתקד'!A62,'מגדל'!A:K,10,0)+VLOOKUP('תפוקה מצטברת מול אשתקד'!A62,'מנורה'!A:K,10,0)+VLOOKUP('תפוקה מצטברת מול אשתקד'!A62,'איילון'!A:K,10,0)+VLOOKUP('תפוקה מצטברת מול אשתקד'!A62,'הראל'!A:K,10,0)+VLOOKUP('תפוקה מצטברת מול אשתקד'!A62,'הפניקס'!A:K,10,0)+VLOOKUP('תפוקה מצטברת מול אשתקד'!A62,'כלל'!A:K,10,0)+VLOOKUP('תפוקה מצטברת מול אשתקד'!A62,'מור'!A:K,10,0)+VLOOKUP('תפוקה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אשתקד'!A62,'אינפניטי'!A:K,10,0)</f>
        <v>0</v>
      </c>
      <c r="O62" s="19">
        <f>VLOOKUP(A62,'הכשרה'!A:K,11,0)+VLOOKUP('תפוקה מצטברת מול אשתקד'!A62,'מגדל'!A:K,11,0)+VLOOKUP('תפוקה מצטברת מול אשתקד'!A62,'מנורה'!A:K,11,0)+VLOOKUP('תפוקה מצטברת מול אשתקד'!A62,'איילון'!A:K,11,0)+VLOOKUP('תפוקה מצטברת מול אשתקד'!A62,'הראל'!A:K,11,0)+VLOOKUP('תפוקה מצטברת מול אשתקד'!A62,'הפניקס'!A:K,11,0)+VLOOKUP('תפוקה מצטברת מול אשתקד'!A62,'כלל'!A:K,11,0)+VLOOKUP('תפוקה מצטברת מול אשתקד'!A62,'מור'!A:K,11,0)+VLOOKUP('תפוקה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אשתקד'!A62,'אינפניטי'!A:K,11,0)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5" t="s">
        <v>80</v>
      </c>
      <c r="B63" s="1" t="s">
        <v>74</v>
      </c>
      <c r="C63" s="23" t="s">
        <v>38</v>
      </c>
      <c r="D63" s="17">
        <f t="shared" ref="D63:F63" si="73">IF(H63=0,0%,IF(L63=0,100%,H63/L63-1))</f>
        <v>0</v>
      </c>
      <c r="E63" s="17">
        <f t="shared" si="73"/>
        <v>0</v>
      </c>
      <c r="F63" s="17">
        <f t="shared" si="73"/>
        <v>0</v>
      </c>
      <c r="G63" s="17">
        <f t="shared" si="65"/>
        <v>0</v>
      </c>
      <c r="H63" s="18">
        <f>VLOOKUP(A63,'הכשרה'!A:G,4,0)+VLOOKUP('תפוקה מצטברת מול אשתקד'!A63,'מגדל'!A:G,4,0)+VLOOKUP('תפוקה מצטברת מול אשתקד'!A63,'מנורה'!A:G,4,0)+VLOOKUP('תפוקה מצטברת מול אשתקד'!A63,'איילון'!A:G,4,0)+VLOOKUP('תפוקה מצטברת מול אשתקד'!A63,'הראל'!A:G,4,0)+VLOOKUP('תפוקה מצטברת מול אשתקד'!A63,'הפניקס'!A:G,4,0)+VLOOKUP('תפוקה מצטברת מול אשתקד'!A63,'כלל'!A:G,4,0)+VLOOKUP('תפוקה מצטברת מול אשתקד'!A63,'מור'!A:G,4,0)+VLOOKUP('תפוקה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אשתקד'!A63,'אינפניטי'!A:G,4,0)</f>
        <v>0</v>
      </c>
      <c r="I63" s="18">
        <f>VLOOKUP(A63,'הכשרה'!A:G,5,0)+VLOOKUP('תפוקה מצטברת מול אשתקד'!A63,'מגדל'!A:G,5,0)+VLOOKUP('תפוקה מצטברת מול אשתקד'!A63,'מנורה'!A:G,5,0)+VLOOKUP('תפוקה מצטברת מול אשתקד'!A63,'איילון'!A:G,5,0)+VLOOKUP('תפוקה מצטברת מול אשתקד'!A63,'הראל'!A:G,5,0)+VLOOKUP('תפוקה מצטברת מול אשתקד'!A63,'הפניקס'!A:G,5,0)+VLOOKUP('תפוקה מצטברת מול אשתקד'!A63,'כלל'!A:G,5,0)+VLOOKUP('תפוקה מצטברת מול אשתקד'!A63,'מור'!A:G,5,0)+VLOOKUP('תפוקה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אשתקד'!A63,'אינפניטי'!A:G,5,0)</f>
        <v>0</v>
      </c>
      <c r="J63" s="18">
        <f>VLOOKUP(A63,'הכשרה'!A:G,6,0)+VLOOKUP('תפוקה מצטברת מול אשתקד'!A63,'מגדל'!A:G,6,0)+VLOOKUP('תפוקה מצטברת מול אשתקד'!A63,'מנורה'!A:G,6,0)+VLOOKUP('תפוקה מצטברת מול אשתקד'!A63,'איילון'!A:G,6,0)+VLOOKUP(A63,'הראל'!A:G,6,0)+VLOOKUP('תפוקה מצטברת מול אשתקד'!A63,'הפניקס'!A:G,6,0)+VLOOKUP('תפוקה מצטברת מול אשתקד'!A63,'כלל'!A:G,6,0)+VLOOKUP('תפוקה מצטברת מול אשתקד'!A63,'מור'!A:G,6,0)+VLOOKUP('תפוקה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אשתקד'!A63,'אינפניטי'!A:G,6,0)</f>
        <v>0</v>
      </c>
      <c r="K63" s="18">
        <f>VLOOKUP(A63,'הכשרה'!A:G,7,0)+VLOOKUP('תפוקה מצטברת מול אשתקד'!A63,'מגדל'!A:G,7,0)+VLOOKUP('תפוקה מצטברת מול אשתקד'!A63,'מנורה'!A:G,7,0)+VLOOKUP('תפוקה מצטברת מול אשתקד'!A63,'איילון'!A:G,7,0)+VLOOKUP('תפוקה מצטברת מול אשתקד'!A63,'הראל'!A:G,7,0)+VLOOKUP('תפוקה מצטברת מול אשתקד'!A63,'הפניקס'!A:G,7,0)+VLOOKUP('תפוקה מצטברת מול אשתקד'!A63,'כלל'!A:G,7,0)+VLOOKUP('תפוקה מצטברת מול אשתקד'!A63,'מור'!A:G,7,0)+VLOOKUP('תפוקה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אשתקד'!A63,'אינפניטי'!A:G,7,0)</f>
        <v>0</v>
      </c>
      <c r="L63" s="19">
        <f>VLOOKUP(A63,'הכשרה'!A:K,8,0)+VLOOKUP('תפוקה מצטברת מול אשתקד'!A63,'מגדל'!A:K,8,0)+VLOOKUP('תפוקה מצטברת מול אשתקד'!A63,'מנורה'!A:K,8,0)+VLOOKUP('תפוקה מצטברת מול אשתקד'!A63,'איילון'!A:K,8,0)+VLOOKUP('תפוקה מצטברת מול אשתקד'!A63,'הראל'!A:K,8,0)+VLOOKUP('תפוקה מצטברת מול אשתקד'!A63,'הפניקס'!A:K,8,0)+VLOOKUP('תפוקה מצטברת מול אשתקד'!A63,'כלל'!A:K,8,0)+VLOOKUP('תפוקה מצטברת מול אשתקד'!A63,'מור'!A:K,8,0)+VLOOKUP('תפוקה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אשתקד'!A63,'אינפניטי'!A:K,8,0)</f>
        <v>0</v>
      </c>
      <c r="M63" s="19">
        <f>VLOOKUP(A63,'הכשרה'!A:K,9,0)+VLOOKUP('תפוקה מצטברת מול אשתקד'!A63,'מגדל'!A:K,9,0)+VLOOKUP('תפוקה מצטברת מול אשתקד'!A63,'מנורה'!A:K,9,0)+VLOOKUP('תפוקה מצטברת מול אשתקד'!A63,'איילון'!A:K,9,0)+VLOOKUP('תפוקה מצטברת מול אשתקד'!A63,'הראל'!A:K,9,0)+VLOOKUP('תפוקה מצטברת מול אשתקד'!A63,'הפניקס'!A:K,9,0)+VLOOKUP('תפוקה מצטברת מול אשתקד'!A63,'כלל'!A:K,9,0)+VLOOKUP('תפוקה מצטברת מול אשתקד'!A63,'מור'!A:K,9,0)+VLOOKUP('תפוקה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אשתקד'!A63,'אינפניטי'!A:K,9,0)</f>
        <v>0</v>
      </c>
      <c r="N63" s="19">
        <f>VLOOKUP(A63,'הכשרה'!A:K,10,0)+VLOOKUP('תפוקה מצטברת מול אשתקד'!A63,'מגדל'!A:K,10,0)+VLOOKUP('תפוקה מצטברת מול אשתקד'!A63,'מנורה'!A:K,10,0)+VLOOKUP('תפוקה מצטברת מול אשתקד'!A63,'איילון'!A:K,10,0)+VLOOKUP('תפוקה מצטברת מול אשתקד'!A63,'הראל'!A:K,10,0)+VLOOKUP('תפוקה מצטברת מול אשתקד'!A63,'הפניקס'!A:K,10,0)+VLOOKUP('תפוקה מצטברת מול אשתקד'!A63,'כלל'!A:K,10,0)+VLOOKUP('תפוקה מצטברת מול אשתקד'!A63,'מור'!A:K,10,0)+VLOOKUP('תפוקה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אשתקד'!A63,'אינפניטי'!A:K,10,0)</f>
        <v>0</v>
      </c>
      <c r="O63" s="19">
        <f>VLOOKUP(A63,'הכשרה'!A:K,11,0)+VLOOKUP('תפוקה מצטברת מול אשתקד'!A63,'מגדל'!A:K,11,0)+VLOOKUP('תפוקה מצטברת מול אשתקד'!A63,'מנורה'!A:K,11,0)+VLOOKUP('תפוקה מצטברת מול אשתקד'!A63,'איילון'!A:K,11,0)+VLOOKUP('תפוקה מצטברת מול אשתקד'!A63,'הראל'!A:K,11,0)+VLOOKUP('תפוקה מצטברת מול אשתקד'!A63,'הפניקס'!A:K,11,0)+VLOOKUP('תפוקה מצטברת מול אשתקד'!A63,'כלל'!A:K,11,0)+VLOOKUP('תפוקה מצטברת מול אשתקד'!A63,'מור'!A:K,11,0)+VLOOKUP('תפוקה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אשתקד'!A63,'אינפניטי'!A:K,11,0)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6" t="s">
        <v>81</v>
      </c>
      <c r="B64" s="1" t="s">
        <v>74</v>
      </c>
      <c r="C64" s="23" t="s">
        <v>38</v>
      </c>
      <c r="D64" s="17">
        <f t="shared" ref="D64:F64" si="74">IF(H64=0,0%,IF(L64=0,100%,H64/L64-1))</f>
        <v>1</v>
      </c>
      <c r="E64" s="17">
        <f t="shared" si="74"/>
        <v>1</v>
      </c>
      <c r="F64" s="17">
        <f t="shared" si="74"/>
        <v>1</v>
      </c>
      <c r="G64" s="17">
        <f t="shared" si="65"/>
        <v>1</v>
      </c>
      <c r="H64" s="18">
        <f>VLOOKUP(A64,'הכשרה'!A:G,4,0)+VLOOKUP('תפוקה מצטברת מול אשתקד'!A64,'מגדל'!A:G,4,0)+VLOOKUP('תפוקה מצטברת מול אשתקד'!A64,'מנורה'!A:G,4,0)+VLOOKUP('תפוקה מצטברת מול אשתקד'!A64,'איילון'!A:G,4,0)+VLOOKUP('תפוקה מצטברת מול אשתקד'!A64,'הראל'!A:G,4,0)+VLOOKUP('תפוקה מצטברת מול אשתקד'!A64,'הפניקס'!A:G,4,0)+VLOOKUP('תפוקה מצטברת מול אשתקד'!A64,'כלל'!A:G,4,0)+VLOOKUP('תפוקה מצטברת מול אשתקד'!A64,'מור'!A:G,4,0)+VLOOKUP('תפוקה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אשתקד'!A64,'אינפניטי'!A:G,4,0)</f>
        <v>194836.13</v>
      </c>
      <c r="I64" s="18">
        <f>VLOOKUP(A64,'הכשרה'!A:G,5,0)+VLOOKUP('תפוקה מצטברת מול אשתקד'!A64,'מגדל'!A:G,5,0)+VLOOKUP('תפוקה מצטברת מול אשתקד'!A64,'מנורה'!A:G,5,0)+VLOOKUP('תפוקה מצטברת מול אשתקד'!A64,'איילון'!A:G,5,0)+VLOOKUP('תפוקה מצטברת מול אשתקד'!A64,'הראל'!A:G,5,0)+VLOOKUP('תפוקה מצטברת מול אשתקד'!A64,'הפניקס'!A:G,5,0)+VLOOKUP('תפוקה מצטברת מול אשתקד'!A64,'כלל'!A:G,5,0)+VLOOKUP('תפוקה מצטברת מול אשתקד'!A64,'מור'!A:G,5,0)+VLOOKUP('תפוקה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אשתקד'!A64,'אינפניטי'!A:G,5,0)</f>
        <v>36068.21565</v>
      </c>
      <c r="J64" s="18">
        <f>VLOOKUP(A64,'הכשרה'!A:G,6,0)+VLOOKUP('תפוקה מצטברת מול אשתקד'!A64,'מגדל'!A:G,6,0)+VLOOKUP('תפוקה מצטברת מול אשתקד'!A64,'מנורה'!A:G,6,0)+VLOOKUP('תפוקה מצטברת מול אשתקד'!A64,'איילון'!A:G,6,0)+VLOOKUP(A64,'הראל'!A:G,6,0)+VLOOKUP('תפוקה מצטברת מול אשתקד'!A64,'הפניקס'!A:G,6,0)+VLOOKUP('תפוקה מצטברת מול אשתקד'!A64,'כלל'!A:G,6,0)+VLOOKUP('תפוקה מצטברת מול אשתקד'!A64,'מור'!A:G,6,0)+VLOOKUP('תפוקה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אשתקד'!A64,'אינפניטי'!A:G,6,0)</f>
        <v>495002.41</v>
      </c>
      <c r="K64" s="18">
        <f>VLOOKUP(A64,'הכשרה'!A:G,7,0)+VLOOKUP('תפוקה מצטברת מול אשתקד'!A64,'מגדל'!A:G,7,0)+VLOOKUP('תפוקה מצטברת מול אשתקד'!A64,'מנורה'!A:G,7,0)+VLOOKUP('תפוקה מצטברת מול אשתקד'!A64,'איילון'!A:G,7,0)+VLOOKUP('תפוקה מצטברת מול אשתקד'!A64,'הראל'!A:G,7,0)+VLOOKUP('תפוקה מצטברת מול אשתקד'!A64,'הפניקס'!A:G,7,0)+VLOOKUP('תפוקה מצטברת מול אשתקד'!A64,'כלל'!A:G,7,0)+VLOOKUP('תפוקה מצטברת מול אשתקד'!A64,'מור'!A:G,7,0)+VLOOKUP('תפוקה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אשתקד'!A64,'אינפניטי'!A:G,7,0)</f>
        <v>1082746.3</v>
      </c>
      <c r="L64" s="19">
        <f>VLOOKUP(A64,'הכשרה'!A:K,8,0)+VLOOKUP('תפוקה מצטברת מול אשתקד'!A64,'מגדל'!A:K,8,0)+VLOOKUP('תפוקה מצטברת מול אשתקד'!A64,'מנורה'!A:K,8,0)+VLOOKUP('תפוקה מצטברת מול אשתקד'!A64,'איילון'!A:K,8,0)+VLOOKUP('תפוקה מצטברת מול אשתקד'!A64,'הראל'!A:K,8,0)+VLOOKUP('תפוקה מצטברת מול אשתקד'!A64,'הפניקס'!A:K,8,0)+VLOOKUP('תפוקה מצטברת מול אשתקד'!A64,'כלל'!A:K,8,0)+VLOOKUP('תפוקה מצטברת מול אשתקד'!A64,'מור'!A:K,8,0)+VLOOKUP('תפוקה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אשתקד'!A64,'אינפניטי'!A:K,8,0)</f>
        <v>0</v>
      </c>
      <c r="M64" s="19">
        <f>VLOOKUP(A64,'הכשרה'!A:K,9,0)+VLOOKUP('תפוקה מצטברת מול אשתקד'!A64,'מגדל'!A:K,9,0)+VLOOKUP('תפוקה מצטברת מול אשתקד'!A64,'מנורה'!A:K,9,0)+VLOOKUP('תפוקה מצטברת מול אשתקד'!A64,'איילון'!A:K,9,0)+VLOOKUP('תפוקה מצטברת מול אשתקד'!A64,'הראל'!A:K,9,0)+VLOOKUP('תפוקה מצטברת מול אשתקד'!A64,'הפניקס'!A:K,9,0)+VLOOKUP('תפוקה מצטברת מול אשתקד'!A64,'כלל'!A:K,9,0)+VLOOKUP('תפוקה מצטברת מול אשתקד'!A64,'מור'!A:K,9,0)+VLOOKUP('תפוקה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אשתקד'!A64,'אינפניטי'!A:K,9,0)</f>
        <v>0</v>
      </c>
      <c r="N64" s="19">
        <f>VLOOKUP(A64,'הכשרה'!A:K,10,0)+VLOOKUP('תפוקה מצטברת מול אשתקד'!A64,'מגדל'!A:K,10,0)+VLOOKUP('תפוקה מצטברת מול אשתקד'!A64,'מנורה'!A:K,10,0)+VLOOKUP('תפוקה מצטברת מול אשתקד'!A64,'איילון'!A:K,10,0)+VLOOKUP('תפוקה מצטברת מול אשתקד'!A64,'הראל'!A:K,10,0)+VLOOKUP('תפוקה מצטברת מול אשתקד'!A64,'הפניקס'!A:K,10,0)+VLOOKUP('תפוקה מצטברת מול אשתקד'!A64,'כלל'!A:K,10,0)+VLOOKUP('תפוקה מצטברת מול אשתקד'!A64,'מור'!A:K,10,0)+VLOOKUP('תפוקה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אשתקד'!A64,'אינפניטי'!A:K,10,0)</f>
        <v>0</v>
      </c>
      <c r="O64" s="19">
        <f>VLOOKUP(A64,'הכשרה'!A:K,11,0)+VLOOKUP('תפוקה מצטברת מול אשתקד'!A64,'מגדל'!A:K,11,0)+VLOOKUP('תפוקה מצטברת מול אשתקד'!A64,'מנורה'!A:K,11,0)+VLOOKUP('תפוקה מצטברת מול אשתקד'!A64,'איילון'!A:K,11,0)+VLOOKUP('תפוקה מצטברת מול אשתקד'!A64,'הראל'!A:K,11,0)+VLOOKUP('תפוקה מצטברת מול אשתקד'!A64,'הפניקס'!A:K,11,0)+VLOOKUP('תפוקה מצטברת מול אשתקד'!A64,'כלל'!A:K,11,0)+VLOOKUP('תפוקה מצטברת מול אשתקד'!A64,'מור'!A:K,11,0)+VLOOKUP('תפוקה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אשתקד'!A64,'אינפניטי'!A:K,11,0)</f>
        <v>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0" t="s">
        <v>82</v>
      </c>
      <c r="B65" s="1" t="s">
        <v>74</v>
      </c>
      <c r="C65" s="23" t="s">
        <v>38</v>
      </c>
      <c r="D65" s="17">
        <f t="shared" ref="D65:F65" si="75">IF(H65=0,0%,IF(L65=0,100%,H65/L65-1))</f>
        <v>0</v>
      </c>
      <c r="E65" s="17">
        <f t="shared" si="75"/>
        <v>0</v>
      </c>
      <c r="F65" s="17">
        <f t="shared" si="75"/>
        <v>0</v>
      </c>
      <c r="G65" s="17">
        <f t="shared" ref="G65:G76" si="77">IF(K65=0,0%,IF(O65=H88,100%,K65/O65-1))</f>
        <v>0</v>
      </c>
      <c r="H65" s="18">
        <f>VLOOKUP(A65,'הכשרה'!A:G,4,0)+VLOOKUP('תפוקה מצטברת מול אשתקד'!A65,'מגדל'!A:G,4,0)+VLOOKUP('תפוקה מצטברת מול אשתקד'!A65,'מנורה'!A:G,4,0)+VLOOKUP('תפוקה מצטברת מול אשתקד'!A65,'איילון'!A:G,4,0)+VLOOKUP('תפוקה מצטברת מול אשתקד'!A65,'הראל'!A:G,4,0)+VLOOKUP('תפוקה מצטברת מול אשתקד'!A65,'הפניקס'!A:G,4,0)+VLOOKUP('תפוקה מצטברת מול אשתקד'!A65,'כלל'!A:G,4,0)+VLOOKUP('תפוקה מצטברת מול אשתקד'!A65,'מור'!A:G,4,0)+VLOOKUP('תפוקה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אשתקד'!A65,'אינפניטי'!A:G,4,0)</f>
        <v>0</v>
      </c>
      <c r="I65" s="18">
        <f>VLOOKUP(A65,'הכשרה'!A:G,5,0)+VLOOKUP('תפוקה מצטברת מול אשתקד'!A65,'מגדל'!A:G,5,0)+VLOOKUP('תפוקה מצטברת מול אשתקד'!A65,'מנורה'!A:G,5,0)+VLOOKUP('תפוקה מצטברת מול אשתקד'!A65,'איילון'!A:G,5,0)+VLOOKUP('תפוקה מצטברת מול אשתקד'!A65,'הראל'!A:G,5,0)+VLOOKUP('תפוקה מצטברת מול אשתקד'!A65,'הפניקס'!A:G,5,0)+VLOOKUP('תפוקה מצטברת מול אשתקד'!A65,'כלל'!A:G,5,0)+VLOOKUP('תפוקה מצטברת מול אשתקד'!A65,'מור'!A:G,5,0)+VLOOKUP('תפוקה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אשתקד'!A65,'אינפניטי'!A:G,5,0)</f>
        <v>0</v>
      </c>
      <c r="J65" s="18">
        <f>VLOOKUP(A65,'הכשרה'!A:G,6,0)+VLOOKUP('תפוקה מצטברת מול אשתקד'!A65,'מגדל'!A:G,6,0)+VLOOKUP('תפוקה מצטברת מול אשתקד'!A65,'מנורה'!A:G,6,0)+VLOOKUP('תפוקה מצטברת מול אשתקד'!A65,'איילון'!A:G,6,0)+VLOOKUP(A65,'הראל'!A:G,6,0)+VLOOKUP('תפוקה מצטברת מול אשתקד'!A65,'הפניקס'!A:G,6,0)+VLOOKUP('תפוקה מצטברת מול אשתקד'!A65,'כלל'!A:G,6,0)+VLOOKUP('תפוקה מצטברת מול אשתקד'!A65,'מור'!A:G,6,0)+VLOOKUP('תפוקה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אשתקד'!A65,'אינפניטי'!A:G,6,0)</f>
        <v>0</v>
      </c>
      <c r="K65" s="18">
        <f>VLOOKUP(A65,'הכשרה'!A:G,7,0)+VLOOKUP('תפוקה מצטברת מול אשתקד'!A65,'מגדל'!A:G,7,0)+VLOOKUP('תפוקה מצטברת מול אשתקד'!A65,'מנורה'!A:G,7,0)+VLOOKUP('תפוקה מצטברת מול אשתקד'!A65,'איילון'!A:G,7,0)+VLOOKUP('תפוקה מצטברת מול אשתקד'!A65,'הראל'!A:G,7,0)+VLOOKUP('תפוקה מצטברת מול אשתקד'!A65,'הפניקס'!A:G,7,0)+VLOOKUP('תפוקה מצטברת מול אשתקד'!A65,'כלל'!A:G,7,0)+VLOOKUP('תפוקה מצטברת מול אשתקד'!A65,'מור'!A:G,7,0)+VLOOKUP('תפוקה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אשתקד'!A65,'אינפניטי'!A:G,7,0)</f>
        <v>0</v>
      </c>
      <c r="L65" s="19">
        <f>VLOOKUP(A65,'הכשרה'!A:K,8,0)+VLOOKUP('תפוקה מצטברת מול אשתקד'!A65,'מגדל'!A:K,8,0)+VLOOKUP('תפוקה מצטברת מול אשתקד'!A65,'מנורה'!A:K,8,0)+VLOOKUP('תפוקה מצטברת מול אשתקד'!A65,'איילון'!A:K,8,0)+VLOOKUP('תפוקה מצטברת מול אשתקד'!A65,'הראל'!A:K,8,0)+VLOOKUP('תפוקה מצטברת מול אשתקד'!A65,'הפניקס'!A:K,8,0)+VLOOKUP('תפוקה מצטברת מול אשתקד'!A65,'כלל'!A:K,8,0)+VLOOKUP('תפוקה מצטברת מול אשתקד'!A65,'מור'!A:K,8,0)+VLOOKUP('תפוקה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אשתקד'!A65,'אינפניטי'!A:K,8,0)</f>
        <v>0</v>
      </c>
      <c r="M65" s="19">
        <f>VLOOKUP(A65,'הכשרה'!A:K,9,0)+VLOOKUP('תפוקה מצטברת מול אשתקד'!A65,'מגדל'!A:K,9,0)+VLOOKUP('תפוקה מצטברת מול אשתקד'!A65,'מנורה'!A:K,9,0)+VLOOKUP('תפוקה מצטברת מול אשתקד'!A65,'איילון'!A:K,9,0)+VLOOKUP('תפוקה מצטברת מול אשתקד'!A65,'הראל'!A:K,9,0)+VLOOKUP('תפוקה מצטברת מול אשתקד'!A65,'הפניקס'!A:K,9,0)+VLOOKUP('תפוקה מצטברת מול אשתקד'!A65,'כלל'!A:K,9,0)+VLOOKUP('תפוקה מצטברת מול אשתקד'!A65,'מור'!A:K,9,0)+VLOOKUP('תפוקה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אשתקד'!A65,'אינפניטי'!A:K,9,0)</f>
        <v>0</v>
      </c>
      <c r="N65" s="19">
        <f>VLOOKUP(A65,'הכשרה'!A:K,10,0)+VLOOKUP('תפוקה מצטברת מול אשתקד'!A65,'מגדל'!A:K,10,0)+VLOOKUP('תפוקה מצטברת מול אשתקד'!A65,'מנורה'!A:K,10,0)+VLOOKUP('תפוקה מצטברת מול אשתקד'!A65,'איילון'!A:K,10,0)+VLOOKUP('תפוקה מצטברת מול אשתקד'!A65,'הראל'!A:K,10,0)+VLOOKUP('תפוקה מצטברת מול אשתקד'!A65,'הפניקס'!A:K,10,0)+VLOOKUP('תפוקה מצטברת מול אשתקד'!A65,'כלל'!A:K,10,0)+VLOOKUP('תפוקה מצטברת מול אשתקד'!A65,'מור'!A:K,10,0)+VLOOKUP('תפוקה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אשתקד'!A65,'אינפניטי'!A:K,10,0)</f>
        <v>0</v>
      </c>
      <c r="O65" s="19">
        <f>VLOOKUP(A65,'הכשרה'!A:K,11,0)+VLOOKUP('תפוקה מצטברת מול אשתקד'!A65,'מגדל'!A:K,11,0)+VLOOKUP('תפוקה מצטברת מול אשתקד'!A65,'מנורה'!A:K,11,0)+VLOOKUP('תפוקה מצטברת מול אשתקד'!A65,'איילון'!A:K,11,0)+VLOOKUP('תפוקה מצטברת מול אשתקד'!A65,'הראל'!A:K,11,0)+VLOOKUP('תפוקה מצטברת מול אשתקד'!A65,'הפניקס'!A:K,11,0)+VLOOKUP('תפוקה מצטברת מול אשתקד'!A65,'כלל'!A:K,11,0)+VLOOKUP('תפוקה מצטברת מול אשתקד'!A65,'מור'!A:K,11,0)+VLOOKUP('תפוקה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אשתקד'!A65,'אינפניטי'!A:K,11,0)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4.0" customHeight="1">
      <c r="A66" s="32" t="s">
        <v>83</v>
      </c>
      <c r="B66" s="25"/>
      <c r="C66" s="25"/>
      <c r="D66" s="26">
        <f t="shared" ref="D66:F66" si="76">IF(H66=0,0%,IF(L66=0,100%,H66/L66-1))</f>
        <v>0.03557093421</v>
      </c>
      <c r="E66" s="26">
        <f t="shared" si="76"/>
        <v>-0.286838558</v>
      </c>
      <c r="F66" s="26">
        <f t="shared" si="76"/>
        <v>-0.2061778483</v>
      </c>
      <c r="G66" s="17">
        <f t="shared" si="77"/>
        <v>0.1485673611</v>
      </c>
      <c r="H66" s="33">
        <f t="shared" ref="H66:O66" si="78">SUM(H57:H65)</f>
        <v>2954055.575</v>
      </c>
      <c r="I66" s="33">
        <f t="shared" si="78"/>
        <v>210814.0766</v>
      </c>
      <c r="J66" s="33">
        <f t="shared" si="78"/>
        <v>10198528.35</v>
      </c>
      <c r="K66" s="33">
        <f t="shared" si="78"/>
        <v>6801322.42</v>
      </c>
      <c r="L66" s="33">
        <f t="shared" si="78"/>
        <v>2852586.411</v>
      </c>
      <c r="M66" s="33">
        <f t="shared" si="78"/>
        <v>295604.9839</v>
      </c>
      <c r="N66" s="33">
        <f t="shared" si="78"/>
        <v>12847371.83</v>
      </c>
      <c r="O66" s="33">
        <f t="shared" si="78"/>
        <v>5921570.341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" t="s">
        <v>84</v>
      </c>
      <c r="B67" s="1" t="s">
        <v>14</v>
      </c>
      <c r="C67" s="23" t="s">
        <v>85</v>
      </c>
      <c r="D67" s="28">
        <f t="shared" ref="D67:F67" si="79">IF(H67=0,0%,IF(L67=0,100%,H67/L67-1))</f>
        <v>1.518478999</v>
      </c>
      <c r="E67" s="28">
        <f t="shared" si="79"/>
        <v>2.353092647</v>
      </c>
      <c r="F67" s="28">
        <f t="shared" si="79"/>
        <v>-0.1273796534</v>
      </c>
      <c r="G67" s="17">
        <f t="shared" si="77"/>
        <v>5.925379454</v>
      </c>
      <c r="H67" s="18">
        <f>VLOOKUP(A67,'הכשרה'!A:G,4,0)+VLOOKUP('תפוקה מצטברת מול אשתקד'!A67,'מגדל'!A:G,4,0)+VLOOKUP('תפוקה מצטברת מול אשתקד'!A67,'מנורה'!A:G,4,0)+VLOOKUP('תפוקה מצטברת מול אשתקד'!A67,'איילון'!A:G,4,0)+VLOOKUP('תפוקה מצטברת מול אשתקד'!A67,'הראל'!A:G,4,0)+VLOOKUP('תפוקה מצטברת מול אשתקד'!A67,'הפניקס'!A:G,4,0)+VLOOKUP('תפוקה מצטברת מול אשתקד'!A67,'כלל'!A:G,4,0)+VLOOKUP('תפוקה מצטברת מול אשתקד'!A67,'מור'!A:G,4,0)+VLOOKUP('תפוקה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אשתקד'!A67,'אינפניטי'!A:G,4,0)</f>
        <v>501519.44</v>
      </c>
      <c r="I67" s="18">
        <f>VLOOKUP(A67,'הכשרה'!A:G,5,0)+VLOOKUP('תפוקה מצטברת מול אשתקד'!A67,'מגדל'!A:G,5,0)+VLOOKUP('תפוקה מצטברת מול אשתקד'!A67,'מנורה'!A:G,5,0)+VLOOKUP('תפוקה מצטברת מול אשתקד'!A67,'איילון'!A:G,5,0)+VLOOKUP('תפוקה מצטברת מול אשתקד'!A67,'הראל'!A:G,5,0)+VLOOKUP('תפוקה מצטברת מול אשתקד'!A67,'הפניקס'!A:G,5,0)+VLOOKUP('תפוקה מצטברת מול אשתקד'!A67,'כלל'!A:G,5,0)+VLOOKUP('תפוקה מצטברת מול אשתקד'!A67,'מור'!A:G,5,0)+VLOOKUP('תפוקה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אשתקד'!A67,'אינפניטי'!A:G,5,0)</f>
        <v>46681.63667</v>
      </c>
      <c r="J67" s="18">
        <f>VLOOKUP(A67,'הכשרה'!A:G,6,0)+VLOOKUP('תפוקה מצטברת מול אשתקד'!A67,'מגדל'!A:G,6,0)+VLOOKUP('תפוקה מצטברת מול אשתקד'!A67,'מנורה'!A:G,6,0)+VLOOKUP('תפוקה מצטברת מול אשתקד'!A67,'איילון'!A:G,6,0)+VLOOKUP(A67,'הראל'!A:G,6,0)+VLOOKUP('תפוקה מצטברת מול אשתקד'!A67,'הפניקס'!A:G,6,0)+VLOOKUP('תפוקה מצטברת מול אשתקד'!A67,'כלל'!A:G,6,0)+VLOOKUP('תפוקה מצטברת מול אשתקד'!A67,'מור'!A:G,6,0)+VLOOKUP('תפוקה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אשתקד'!A67,'אינפניטי'!A:G,6,0)</f>
        <v>5103128.909</v>
      </c>
      <c r="K67" s="18">
        <f>VLOOKUP(A67,'הכשרה'!A:G,7,0)+VLOOKUP('תפוקה מצטברת מול אשתקד'!A67,'מגדל'!A:G,7,0)+VLOOKUP('תפוקה מצטברת מול אשתקד'!A67,'מנורה'!A:G,7,0)+VLOOKUP('תפוקה מצטברת מול אשתקד'!A67,'איילון'!A:G,7,0)+VLOOKUP('תפוקה מצטברת מול אשתקד'!A67,'הראל'!A:G,7,0)+VLOOKUP('תפוקה מצטברת מול אשתקד'!A67,'הפניקס'!A:G,7,0)+VLOOKUP('תפוקה מצטברת מול אשתקד'!A67,'כלל'!A:G,7,0)+VLOOKUP('תפוקה מצטברת מול אשתקד'!A67,'מור'!A:G,7,0)+VLOOKUP('תפוקה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אשתקד'!A67,'אינפניטי'!A:G,7,0)</f>
        <v>4771453.93</v>
      </c>
      <c r="L67" s="19">
        <f>VLOOKUP(A67,'הכשרה'!A:K,8,0)+VLOOKUP('תפוקה מצטברת מול אשתקד'!A67,'מגדל'!A:K,8,0)+VLOOKUP('תפוקה מצטברת מול אשתקד'!A67,'מנורה'!A:K,8,0)+VLOOKUP('תפוקה מצטברת מול אשתקד'!A67,'איילון'!A:K,8,0)+VLOOKUP('תפוקה מצטברת מול אשתקד'!A67,'הראל'!A:K,8,0)+VLOOKUP('תפוקה מצטברת מול אשתקד'!A67,'הפניקס'!A:K,8,0)+VLOOKUP('תפוקה מצטברת מול אשתקד'!A67,'כלל'!A:K,8,0)+VLOOKUP('תפוקה מצטברת מול אשתקד'!A67,'מור'!A:K,8,0)+VLOOKUP('תפוקה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אשתקד'!A67,'אינפניטי'!A:K,8,0)</f>
        <v>199135.8436</v>
      </c>
      <c r="M67" s="19">
        <f>VLOOKUP(A67,'הכשרה'!A:K,9,0)+VLOOKUP('תפוקה מצטברת מול אשתקד'!A67,'מגדל'!A:K,9,0)+VLOOKUP('תפוקה מצטברת מול אשתקד'!A67,'מנורה'!A:K,9,0)+VLOOKUP('תפוקה מצטברת מול אשתקד'!A67,'איילון'!A:K,9,0)+VLOOKUP('תפוקה מצטברת מול אשתקד'!A67,'הראל'!A:K,9,0)+VLOOKUP('תפוקה מצטברת מול אשתקד'!A67,'הפניקס'!A:K,9,0)+VLOOKUP('תפוקה מצטברת מול אשתקד'!A67,'כלל'!A:K,9,0)+VLOOKUP('תפוקה מצטברת מול אשתקד'!A67,'מור'!A:K,9,0)+VLOOKUP('תפוקה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אשתקד'!A67,'אינפניטי'!A:K,9,0)</f>
        <v>13921.96446</v>
      </c>
      <c r="N67" s="19">
        <f>VLOOKUP(A67,'הכשרה'!A:K,10,0)+VLOOKUP('תפוקה מצטברת מול אשתקד'!A67,'מגדל'!A:K,10,0)+VLOOKUP('תפוקה מצטברת מול אשתקד'!A67,'מנורה'!A:K,10,0)+VLOOKUP('תפוקה מצטברת מול אשתקד'!A67,'איילון'!A:K,10,0)+VLOOKUP('תפוקה מצטברת מול אשתקד'!A67,'הראל'!A:K,10,0)+VLOOKUP('תפוקה מצטברת מול אשתקד'!A67,'הפניקס'!A:K,10,0)+VLOOKUP('תפוקה מצטברת מול אשתקד'!A67,'כלל'!A:K,10,0)+VLOOKUP('תפוקה מצטברת מול אשתקד'!A67,'מור'!A:K,10,0)+VLOOKUP('תפוקה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אשתקד'!A67,'אינפניטי'!A:K,10,0)</f>
        <v>5848051.708</v>
      </c>
      <c r="O67" s="19">
        <f>VLOOKUP(A67,'הכשרה'!A:K,11,0)+VLOOKUP('תפוקה מצטברת מול אשתקד'!A67,'מגדל'!A:K,11,0)+VLOOKUP('תפוקה מצטברת מול אשתקד'!A67,'מנורה'!A:K,11,0)+VLOOKUP('תפוקה מצטברת מול אשתקד'!A67,'איילון'!A:K,11,0)+VLOOKUP('תפוקה מצטברת מול אשתקד'!A67,'הראל'!A:K,11,0)+VLOOKUP('תפוקה מצטברת מול אשתקד'!A67,'הפניקס'!A:K,11,0)+VLOOKUP('תפוקה מצטברת מול אשתקד'!A67,'כלל'!A:K,11,0)+VLOOKUP('תפוקה מצטברת מול אשתקד'!A67,'מור'!A:K,11,0)+VLOOKUP('תפוקה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אשתקד'!A67,'אינפניטי'!A:K,11,0)</f>
        <v>688980.8655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0" t="s">
        <v>86</v>
      </c>
      <c r="B68" s="1" t="s">
        <v>37</v>
      </c>
      <c r="C68" s="1" t="s">
        <v>87</v>
      </c>
      <c r="D68" s="17">
        <f t="shared" ref="D68:F68" si="80">IF(H68=0,0%,IF(L68=0,100%,H68/L68-1))</f>
        <v>0.09913406131</v>
      </c>
      <c r="E68" s="17">
        <f t="shared" si="80"/>
        <v>0.09160663325</v>
      </c>
      <c r="F68" s="17">
        <f t="shared" si="80"/>
        <v>0.2661410605</v>
      </c>
      <c r="G68" s="17">
        <f t="shared" si="77"/>
        <v>-0.1999098829</v>
      </c>
      <c r="H68" s="18">
        <f>VLOOKUP(A68,'הכשרה'!A:G,4,0)+VLOOKUP('תפוקה מצטברת מול אשתקד'!A68,'מגדל'!A:G,4,0)+VLOOKUP('תפוקה מצטברת מול אשתקד'!A68,'מנורה'!A:G,4,0)+VLOOKUP('תפוקה מצטברת מול אשתקד'!A68,'איילון'!A:G,4,0)+VLOOKUP('תפוקה מצטברת מול אשתקד'!A68,'הראל'!A:G,4,0)+VLOOKUP('תפוקה מצטברת מול אשתקד'!A68,'הפניקס'!A:G,4,0)+VLOOKUP('תפוקה מצטברת מול אשתקד'!A68,'כלל'!A:G,4,0)+VLOOKUP('תפוקה מצטברת מול אשתקד'!A68,'מור'!A:G,4,0)+VLOOKUP('תפוקה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אשתקד'!A68,'אינפניטי'!A:G,4,0)</f>
        <v>2062092.42</v>
      </c>
      <c r="I68" s="18">
        <f>VLOOKUP(A68,'הכשרה'!A:G,5,0)+VLOOKUP('תפוקה מצטברת מול אשתקד'!A68,'מגדל'!A:G,5,0)+VLOOKUP('תפוקה מצטברת מול אשתקד'!A68,'מנורה'!A:G,5,0)+VLOOKUP('תפוקה מצטברת מול אשתקד'!A68,'איילון'!A:G,5,0)+VLOOKUP('תפוקה מצטברת מול אשתקד'!A68,'הראל'!A:G,5,0)+VLOOKUP('תפוקה מצטברת מול אשתקד'!A68,'הפניקס'!A:G,5,0)+VLOOKUP('תפוקה מצטברת מול אשתקד'!A68,'כלל'!A:G,5,0)+VLOOKUP('תפוקה מצטברת מול אשתקד'!A68,'מור'!A:G,5,0)+VLOOKUP('תפוקה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אשתקד'!A68,'אינפניטי'!A:G,5,0)</f>
        <v>445195.053</v>
      </c>
      <c r="J68" s="18">
        <f>VLOOKUP(A68,'הכשרה'!A:G,6,0)+VLOOKUP('תפוקה מצטברת מול אשתקד'!A68,'מגדל'!A:G,6,0)+VLOOKUP('תפוקה מצטברת מול אשתקד'!A68,'מנורה'!A:G,6,0)+VLOOKUP('תפוקה מצטברת מול אשתקד'!A68,'איילון'!A:G,6,0)+VLOOKUP(A68,'הראל'!A:G,6,0)+VLOOKUP('תפוקה מצטברת מול אשתקד'!A68,'הפניקס'!A:G,6,0)+VLOOKUP('תפוקה מצטברת מול אשתקד'!A68,'כלל'!A:G,6,0)+VLOOKUP('תפוקה מצטברת מול אשתקד'!A68,'מור'!A:G,6,0)+VLOOKUP('תפוקה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אשתקד'!A68,'אינפניטי'!A:G,6,0)</f>
        <v>5224929.69</v>
      </c>
      <c r="K68" s="18">
        <f>VLOOKUP(A68,'הכשרה'!A:G,7,0)+VLOOKUP('תפוקה מצטברת מול אשתקד'!A68,'מגדל'!A:G,7,0)+VLOOKUP('תפוקה מצטברת מול אשתקד'!A68,'מנורה'!A:G,7,0)+VLOOKUP('תפוקה מצטברת מול אשתקד'!A68,'איילון'!A:G,7,0)+VLOOKUP('תפוקה מצטברת מול אשתקד'!A68,'הראל'!A:G,7,0)+VLOOKUP('תפוקה מצטברת מול אשתקד'!A68,'הפניקס'!A:G,7,0)+VLOOKUP('תפוקה מצטברת מול אשתקד'!A68,'כלל'!A:G,7,0)+VLOOKUP('תפוקה מצטברת מול אשתקד'!A68,'מור'!A:G,7,0)+VLOOKUP('תפוקה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אשתקד'!A68,'אינפניטי'!A:G,7,0)</f>
        <v>8551547.69</v>
      </c>
      <c r="L68" s="19">
        <f>VLOOKUP(A68,'הכשרה'!A:K,8,0)+VLOOKUP('תפוקה מצטברת מול אשתקד'!A68,'מגדל'!A:K,8,0)+VLOOKUP('תפוקה מצטברת מול אשתקד'!A68,'מנורה'!A:K,8,0)+VLOOKUP('תפוקה מצטברת מול אשתקד'!A68,'איילון'!A:K,8,0)+VLOOKUP('תפוקה מצטברת מול אשתקד'!A68,'הראל'!A:K,8,0)+VLOOKUP('תפוקה מצטברת מול אשתקד'!A68,'הפניקס'!A:K,8,0)+VLOOKUP('תפוקה מצטברת מול אשתקד'!A68,'כלל'!A:K,8,0)+VLOOKUP('תפוקה מצטברת מול אשתקד'!A68,'מור'!A:K,8,0)+VLOOKUP('תפוקה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אשתקד'!A68,'אינפניטי'!A:K,8,0)</f>
        <v>1876106.376</v>
      </c>
      <c r="M68" s="19">
        <f>VLOOKUP(A68,'הכשרה'!A:K,9,0)+VLOOKUP('תפוקה מצטברת מול אשתקד'!A68,'מגדל'!A:K,9,0)+VLOOKUP('תפוקה מצטברת מול אשתקד'!A68,'מנורה'!A:K,9,0)+VLOOKUP('תפוקה מצטברת מול אשתקד'!A68,'איילון'!A:K,9,0)+VLOOKUP('תפוקה מצטברת מול אשתקד'!A68,'הראל'!A:K,9,0)+VLOOKUP('תפוקה מצטברת מול אשתקד'!A68,'הפניקס'!A:K,9,0)+VLOOKUP('תפוקה מצטברת מול אשתקד'!A68,'כלל'!A:K,9,0)+VLOOKUP('תפוקה מצטברת מול אשתקד'!A68,'מור'!A:K,9,0)+VLOOKUP('תפוקה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אשתקד'!A68,'אינפניטי'!A:K,9,0)</f>
        <v>407834.6901</v>
      </c>
      <c r="N68" s="19">
        <f>VLOOKUP(A68,'הכשרה'!A:K,10,0)+VLOOKUP('תפוקה מצטברת מול אשתקד'!A68,'מגדל'!A:K,10,0)+VLOOKUP('תפוקה מצטברת מול אשתקד'!A68,'מנורה'!A:K,10,0)+VLOOKUP('תפוקה מצטברת מול אשתקד'!A68,'איילון'!A:K,10,0)+VLOOKUP('תפוקה מצטברת מול אשתקד'!A68,'הראל'!A:K,10,0)+VLOOKUP('תפוקה מצטברת מול אשתקד'!A68,'הפניקס'!A:K,10,0)+VLOOKUP('תפוקה מצטברת מול אשתקד'!A68,'כלל'!A:K,10,0)+VLOOKUP('תפוקה מצטברת מול אשתקד'!A68,'מור'!A:K,10,0)+VLOOKUP('תפוקה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אשתקד'!A68,'אינפניטי'!A:K,10,0)</f>
        <v>4126656.858</v>
      </c>
      <c r="O68" s="19">
        <f>VLOOKUP(A68,'הכשרה'!A:K,11,0)+VLOOKUP('תפוקה מצטברת מול אשתקד'!A68,'מגדל'!A:K,11,0)+VLOOKUP('תפוקה מצטברת מול אשתקד'!A68,'מנורה'!A:K,11,0)+VLOOKUP('תפוקה מצטברת מול אשתקד'!A68,'איילון'!A:K,11,0)+VLOOKUP('תפוקה מצטברת מול אשתקד'!A68,'הראל'!A:K,11,0)+VLOOKUP('תפוקה מצטברת מול אשתקד'!A68,'הפניקס'!A:K,11,0)+VLOOKUP('תפוקה מצטברת מול אשתקד'!A68,'כלל'!A:K,11,0)+VLOOKUP('תפוקה מצטברת מול אשתקד'!A68,'מור'!A:K,11,0)+VLOOKUP('תפוקה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אשתקד'!A68,'אינפניטי'!A:K,11,0)</f>
        <v>10688230.62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" t="s">
        <v>88</v>
      </c>
      <c r="B69" s="1" t="s">
        <v>14</v>
      </c>
      <c r="C69" s="1" t="s">
        <v>87</v>
      </c>
      <c r="D69" s="17">
        <f t="shared" ref="D69:F69" si="81">IF(H69=0,0%,IF(L69=0,100%,H69/L69-1))</f>
        <v>-0.9830843643</v>
      </c>
      <c r="E69" s="17">
        <f t="shared" si="81"/>
        <v>-1.001534474</v>
      </c>
      <c r="F69" s="17">
        <f t="shared" si="81"/>
        <v>-0.6427739832</v>
      </c>
      <c r="G69" s="17">
        <f t="shared" si="77"/>
        <v>0</v>
      </c>
      <c r="H69" s="18">
        <f>VLOOKUP(A69,'הכשרה'!A:G,4,0)+VLOOKUP('תפוקה מצטברת מול אשתקד'!A69,'מגדל'!A:G,4,0)+VLOOKUP('תפוקה מצטברת מול אשתקד'!A69,'מנורה'!A:G,4,0)+VLOOKUP('תפוקה מצטברת מול אשתקד'!A69,'איילון'!A:G,4,0)+VLOOKUP('תפוקה מצטברת מול אשתקד'!A69,'הראל'!A:G,4,0)+VLOOKUP('תפוקה מצטברת מול אשתקד'!A69,'הפניקס'!A:G,4,0)+VLOOKUP('תפוקה מצטברת מול אשתקד'!A69,'כלל'!A:G,4,0)+VLOOKUP('תפוקה מצטברת מול אשתקד'!A69,'מור'!A:G,4,0)+VLOOKUP('תפוקה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אשתקד'!A69,'אינפניטי'!A:G,4,0)</f>
        <v>1265.49</v>
      </c>
      <c r="I69" s="18">
        <f>VLOOKUP(A69,'הכשרה'!A:G,5,0)+VLOOKUP('תפוקה מצטברת מול אשתקד'!A69,'מגדל'!A:G,5,0)+VLOOKUP('תפוקה מצטברת מול אשתקד'!A69,'מנורה'!A:G,5,0)+VLOOKUP('תפוקה מצטברת מול אשתקד'!A69,'איילון'!A:G,5,0)+VLOOKUP('תפוקה מצטברת מול אשתקד'!A69,'הראל'!A:G,5,0)+VLOOKUP('תפוקה מצטברת מול אשתקד'!A69,'הפניקס'!A:G,5,0)+VLOOKUP('תפוקה מצטברת מול אשתקד'!A69,'כלל'!A:G,5,0)+VLOOKUP('תפוקה מצטברת מול אשתקד'!A69,'מור'!A:G,5,0)+VLOOKUP('תפוקה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אשתקד'!A69,'אינפניטי'!A:G,5,0)</f>
        <v>-42.85328351</v>
      </c>
      <c r="J69" s="18">
        <f>VLOOKUP(A69,'הכשרה'!A:G,6,0)+VLOOKUP('תפוקה מצטברת מול אשתקד'!A69,'מגדל'!A:G,6,0)+VLOOKUP('תפוקה מצטברת מול אשתקד'!A69,'מנורה'!A:G,6,0)+VLOOKUP('תפוקה מצטברת מול אשתקד'!A69,'איילון'!A:G,6,0)+VLOOKUP(A69,'הראל'!A:G,6,0)+VLOOKUP('תפוקה מצטברת מול אשתקד'!A69,'הפניקס'!A:G,6,0)+VLOOKUP('תפוקה מצטברת מול אשתקד'!A69,'כלל'!A:G,6,0)+VLOOKUP('תפוקה מצטברת מול אשתקד'!A69,'מור'!A:G,6,0)+VLOOKUP('תפוקה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אשתקד'!A69,'אינפניטי'!A:G,6,0)</f>
        <v>27863.54</v>
      </c>
      <c r="K69" s="18">
        <f>VLOOKUP(A69,'הכשרה'!A:G,7,0)+VLOOKUP('תפוקה מצטברת מול אשתקד'!A69,'מגדל'!A:G,7,0)+VLOOKUP('תפוקה מצטברת מול אשתקד'!A69,'מנורה'!A:G,7,0)+VLOOKUP('תפוקה מצטברת מול אשתקד'!A69,'איילון'!A:G,7,0)+VLOOKUP('תפוקה מצטברת מול אשתקד'!A69,'הראל'!A:G,7,0)+VLOOKUP('תפוקה מצטברת מול אשתקד'!A69,'הפניקס'!A:G,7,0)+VLOOKUP('תפוקה מצטברת מול אשתקד'!A69,'כלל'!A:G,7,0)+VLOOKUP('תפוקה מצטברת מול אשתקד'!A69,'מור'!A:G,7,0)+VLOOKUP('תפוקה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אשתקד'!A69,'אינפניטי'!A:G,7,0)</f>
        <v>0</v>
      </c>
      <c r="L69" s="19">
        <f>VLOOKUP(A69,'הכשרה'!A:K,8,0)+VLOOKUP('תפוקה מצטברת מול אשתקד'!A69,'מגדל'!A:K,8,0)+VLOOKUP('תפוקה מצטברת מול אשתקד'!A69,'מנורה'!A:K,8,0)+VLOOKUP('תפוקה מצטברת מול אשתקד'!A69,'איילון'!A:K,8,0)+VLOOKUP('תפוקה מצטברת מול אשתקד'!A69,'הראל'!A:K,8,0)+VLOOKUP('תפוקה מצטברת מול אשתקד'!A69,'הפניקס'!A:K,8,0)+VLOOKUP('תפוקה מצטברת מול אשתקד'!A69,'כלל'!A:K,8,0)+VLOOKUP('תפוקה מצטברת מול אשתקד'!A69,'מור'!A:K,8,0)+VLOOKUP('תפוקה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אשתקד'!A69,'אינפניטי'!A:K,8,0)</f>
        <v>74811.85</v>
      </c>
      <c r="M69" s="19">
        <f>VLOOKUP(A69,'הכשרה'!A:K,9,0)+VLOOKUP('תפוקה מצטברת מול אשתקד'!A69,'מגדל'!A:K,9,0)+VLOOKUP('תפוקה מצטברת מול אשתקד'!A69,'מנורה'!A:K,9,0)+VLOOKUP('תפוקה מצטברת מול אשתקד'!A69,'איילון'!A:K,9,0)+VLOOKUP('תפוקה מצטברת מול אשתקד'!A69,'הראל'!A:K,9,0)+VLOOKUP('תפוקה מצטברת מול אשתקד'!A69,'הפניקס'!A:K,9,0)+VLOOKUP('תפוקה מצטברת מול אשתקד'!A69,'כלל'!A:K,9,0)+VLOOKUP('תפוקה מצטברת מול אשתקד'!A69,'מור'!A:K,9,0)+VLOOKUP('תפוקה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אשתקד'!A69,'אינפניטי'!A:K,9,0)</f>
        <v>27927.01232</v>
      </c>
      <c r="N69" s="19">
        <f>VLOOKUP(A69,'הכשרה'!A:K,10,0)+VLOOKUP('תפוקה מצטברת מול אשתקד'!A69,'מגדל'!A:K,10,0)+VLOOKUP('תפוקה מצטברת מול אשתקד'!A69,'מנורה'!A:K,10,0)+VLOOKUP('תפוקה מצטברת מול אשתקד'!A69,'איילון'!A:K,10,0)+VLOOKUP('תפוקה מצטברת מול אשתקד'!A69,'הראל'!A:K,10,0)+VLOOKUP('תפוקה מצטברת מול אשתקד'!A69,'הפניקס'!A:K,10,0)+VLOOKUP('תפוקה מצטברת מול אשתקד'!A69,'כלל'!A:K,10,0)+VLOOKUP('תפוקה מצטברת מול אשתקד'!A69,'מור'!A:K,10,0)+VLOOKUP('תפוקה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אשתקד'!A69,'אינפניטי'!A:K,10,0)</f>
        <v>77999.75</v>
      </c>
      <c r="O69" s="19">
        <f>VLOOKUP(A69,'הכשרה'!A:K,11,0)+VLOOKUP('תפוקה מצטברת מול אשתקד'!A69,'מגדל'!A:K,11,0)+VLOOKUP('תפוקה מצטברת מול אשתקד'!A69,'מנורה'!A:K,11,0)+VLOOKUP('תפוקה מצטברת מול אשתקד'!A69,'איילון'!A:K,11,0)+VLOOKUP('תפוקה מצטברת מול אשתקד'!A69,'הראל'!A:K,11,0)+VLOOKUP('תפוקה מצטברת מול אשתקד'!A69,'הפניקס'!A:K,11,0)+VLOOKUP('תפוקה מצטברת מול אשתקד'!A69,'כלל'!A:K,11,0)+VLOOKUP('תפוקה מצטברת מול אשתקד'!A69,'מור'!A:K,11,0)+VLOOKUP('תפוקה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אשתקד'!A69,'אינפניטי'!A:K,11,0)</f>
        <v>791095.68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" t="s">
        <v>89</v>
      </c>
      <c r="B70" s="1" t="s">
        <v>37</v>
      </c>
      <c r="C70" s="1" t="s">
        <v>87</v>
      </c>
      <c r="D70" s="17">
        <f t="shared" ref="D70:F70" si="82">IF(H70=0,0%,IF(L70=0,100%,H70/L70-1))</f>
        <v>2.717681065</v>
      </c>
      <c r="E70" s="17">
        <f t="shared" si="82"/>
        <v>-1.039838479</v>
      </c>
      <c r="F70" s="17">
        <f t="shared" si="82"/>
        <v>3.106706694</v>
      </c>
      <c r="G70" s="17">
        <f t="shared" si="77"/>
        <v>5.110950102</v>
      </c>
      <c r="H70" s="18">
        <f>VLOOKUP(A70,'הכשרה'!A:G,4,0)+VLOOKUP('תפוקה מצטברת מול אשתקד'!A70,'מגדל'!A:G,4,0)+VLOOKUP('תפוקה מצטברת מול אשתקד'!A70,'מנורה'!A:G,4,0)+VLOOKUP('תפוקה מצטברת מול אשתקד'!A70,'איילון'!A:G,4,0)+VLOOKUP('תפוקה מצטברת מול אשתקד'!A70,'הראל'!A:G,4,0)+VLOOKUP('תפוקה מצטברת מול אשתקד'!A70,'הפניקס'!A:G,4,0)+VLOOKUP('תפוקה מצטברת מול אשתקד'!A70,'כלל'!A:G,4,0)+VLOOKUP('תפוקה מצטברת מול אשתקד'!A70,'מור'!A:G,4,0)+VLOOKUP('תפוקה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אשתקד'!A70,'אינפניטי'!A:G,4,0)</f>
        <v>221736.308</v>
      </c>
      <c r="I70" s="18">
        <f>VLOOKUP(A70,'הכשרה'!A:G,5,0)+VLOOKUP('תפוקה מצטברת מול אשתקד'!A70,'מגדל'!A:G,5,0)+VLOOKUP('תפוקה מצטברת מול אשתקד'!A70,'מנורה'!A:G,5,0)+VLOOKUP('תפוקה מצטברת מול אשתקד'!A70,'איילון'!A:G,5,0)+VLOOKUP('תפוקה מצטברת מול אשתקד'!A70,'הראל'!A:G,5,0)+VLOOKUP('תפוקה מצטברת מול אשתקד'!A70,'הפניקס'!A:G,5,0)+VLOOKUP('תפוקה מצטברת מול אשתקד'!A70,'כלל'!A:G,5,0)+VLOOKUP('תפוקה מצטברת מול אשתקד'!A70,'מור'!A:G,5,0)+VLOOKUP('תפוקה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אשתקד'!A70,'אינפניטי'!A:G,5,0)</f>
        <v>-295.4700458</v>
      </c>
      <c r="J70" s="18">
        <f>VLOOKUP(A70,'הכשרה'!A:G,6,0)+VLOOKUP('תפוקה מצטברת מול אשתקד'!A70,'מגדל'!A:G,6,0)+VLOOKUP('תפוקה מצטברת מול אשתקד'!A70,'מנורה'!A:G,6,0)+VLOOKUP('תפוקה מצטברת מול אשתקד'!A70,'איילון'!A:G,6,0)+VLOOKUP(A70,'הראל'!A:G,6,0)+VLOOKUP('תפוקה מצטברת מול אשתקד'!A70,'הפניקס'!A:G,6,0)+VLOOKUP('תפוקה מצטברת מול אשתקד'!A70,'כלל'!A:G,6,0)+VLOOKUP('תפוקה מצטברת מול אשתקד'!A70,'מור'!A:G,6,0)+VLOOKUP('תפוקה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אשתקד'!A70,'אינפניטי'!A:G,6,0)</f>
        <v>77573.26</v>
      </c>
      <c r="K70" s="18">
        <f>VLOOKUP(A70,'הכשרה'!A:G,7,0)+VLOOKUP('תפוקה מצטברת מול אשתקד'!A70,'מגדל'!A:G,7,0)+VLOOKUP('תפוקה מצטברת מול אשתקד'!A70,'מנורה'!A:G,7,0)+VLOOKUP('תפוקה מצטברת מול אשתקד'!A70,'איילון'!A:G,7,0)+VLOOKUP('תפוקה מצטברת מול אשתקד'!A70,'הראל'!A:G,7,0)+VLOOKUP('תפוקה מצטברת מול אשתקד'!A70,'הפניקס'!A:G,7,0)+VLOOKUP('תפוקה מצטברת מול אשתקד'!A70,'כלל'!A:G,7,0)+VLOOKUP('תפוקה מצטברת מול אשתקד'!A70,'מור'!A:G,7,0)+VLOOKUP('תפוקה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אשתקד'!A70,'אינפניטי'!A:G,7,0)</f>
        <v>2185473.69</v>
      </c>
      <c r="L70" s="19">
        <f>VLOOKUP(A70,'הכשרה'!A:K,8,0)+VLOOKUP('תפוקה מצטברת מול אשתקד'!A70,'מגדל'!A:K,8,0)+VLOOKUP('תפוקה מצטברת מול אשתקד'!A70,'מנורה'!A:K,8,0)+VLOOKUP('תפוקה מצטברת מול אשתקד'!A70,'איילון'!A:K,8,0)+VLOOKUP('תפוקה מצטברת מול אשתקד'!A70,'הראל'!A:K,8,0)+VLOOKUP('תפוקה מצטברת מול אשתקד'!A70,'הפניקס'!A:K,8,0)+VLOOKUP('תפוקה מצטברת מול אשתקד'!A70,'כלל'!A:K,8,0)+VLOOKUP('תפוקה מצטברת מול אשתקד'!A70,'מור'!A:K,8,0)+VLOOKUP('תפוקה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אשתקד'!A70,'אינפניטי'!A:K,8,0)</f>
        <v>59643.71449</v>
      </c>
      <c r="M70" s="19">
        <f>VLOOKUP(A70,'הכשרה'!A:K,9,0)+VLOOKUP('תפוקה מצטברת מול אשתקד'!A70,'מגדל'!A:K,9,0)+VLOOKUP('תפוקה מצטברת מול אשתקד'!A70,'מנורה'!A:K,9,0)+VLOOKUP('תפוקה מצטברת מול אשתקד'!A70,'איילון'!A:K,9,0)+VLOOKUP('תפוקה מצטברת מול אשתקד'!A70,'הראל'!A:K,9,0)+VLOOKUP('תפוקה מצטברת מול אשתקד'!A70,'הפניקס'!A:K,9,0)+VLOOKUP('תפוקה מצטברת מול אשתקד'!A70,'כלל'!A:K,9,0)+VLOOKUP('תפוקה מצטברת מול אשתקד'!A70,'מור'!A:K,9,0)+VLOOKUP('תפוקה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אשתקד'!A70,'אינפניטי'!A:K,9,0)</f>
        <v>7416.700007</v>
      </c>
      <c r="N70" s="19">
        <f>VLOOKUP(A70,'הכשרה'!A:K,10,0)+VLOOKUP('תפוקה מצטברת מול אשתקד'!A70,'מגדל'!A:K,10,0)+VLOOKUP('תפוקה מצטברת מול אשתקד'!A70,'מנורה'!A:K,10,0)+VLOOKUP('תפוקה מצטברת מול אשתקד'!A70,'איילון'!A:K,10,0)+VLOOKUP('תפוקה מצטברת מול אשתקד'!A70,'הראל'!A:K,10,0)+VLOOKUP('תפוקה מצטברת מול אשתקד'!A70,'הפניקס'!A:K,10,0)+VLOOKUP('תפוקה מצטברת מול אשתקד'!A70,'כלל'!A:K,10,0)+VLOOKUP('תפוקה מצטברת מול אשתקד'!A70,'מור'!A:K,10,0)+VLOOKUP('תפוקה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אשתקד'!A70,'אינפניטי'!A:K,10,0)</f>
        <v>18889.40842</v>
      </c>
      <c r="O70" s="19">
        <f>VLOOKUP(A70,'הכשרה'!A:K,11,0)+VLOOKUP('תפוקה מצטברת מול אשתקד'!A70,'מגדל'!A:K,11,0)+VLOOKUP('תפוקה מצטברת מול אשתקד'!A70,'מנורה'!A:K,11,0)+VLOOKUP('תפוקה מצטברת מול אשתקד'!A70,'איילון'!A:K,11,0)+VLOOKUP('תפוקה מצטברת מול אשתקד'!A70,'הראל'!A:K,11,0)+VLOOKUP('תפוקה מצטברת מול אשתקד'!A70,'הפניקס'!A:K,11,0)+VLOOKUP('תפוקה מצטברת מול אשתקד'!A70,'כלל'!A:K,11,0)+VLOOKUP('תפוקה מצטברת מול אשתקד'!A70,'מור'!A:K,11,0)+VLOOKUP('תפוקה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אשתקד'!A70,'אינפניטי'!A:K,11,0)</f>
        <v>357632.39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" t="s">
        <v>90</v>
      </c>
      <c r="B71" s="1" t="s">
        <v>37</v>
      </c>
      <c r="C71" s="1" t="s">
        <v>87</v>
      </c>
      <c r="D71" s="17">
        <f t="shared" ref="D71:F71" si="83">IF(H71=0,0%,IF(L71=0,100%,H71/L71-1))</f>
        <v>0</v>
      </c>
      <c r="E71" s="17">
        <f t="shared" si="83"/>
        <v>0.7144972503</v>
      </c>
      <c r="F71" s="17">
        <f t="shared" si="83"/>
        <v>0</v>
      </c>
      <c r="G71" s="17">
        <f t="shared" si="77"/>
        <v>0</v>
      </c>
      <c r="H71" s="18">
        <f>VLOOKUP(A71,'הכשרה'!A:G,4,0)+VLOOKUP('תפוקה מצטברת מול אשתקד'!A71,'מגדל'!A:G,4,0)+VLOOKUP('תפוקה מצטברת מול אשתקד'!A71,'מנורה'!A:G,4,0)+VLOOKUP('תפוקה מצטברת מול אשתקד'!A71,'איילון'!A:G,4,0)+VLOOKUP('תפוקה מצטברת מול אשתקד'!A71,'הראל'!A:G,4,0)+VLOOKUP('תפוקה מצטברת מול אשתקד'!A71,'הפניקס'!A:G,4,0)+VLOOKUP('תפוקה מצטברת מול אשתקד'!A71,'כלל'!A:G,4,0)+VLOOKUP('תפוקה מצטברת מול אשתקד'!A71,'מור'!A:G,4,0)+VLOOKUP('תפוקה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אשתקד'!A71,'אינפניטי'!A:G,4,0)</f>
        <v>0</v>
      </c>
      <c r="I71" s="18">
        <f>VLOOKUP(A71,'הכשרה'!A:G,5,0)+VLOOKUP('תפוקה מצטברת מול אשתקד'!A71,'מגדל'!A:G,5,0)+VLOOKUP('תפוקה מצטברת מול אשתקד'!A71,'מנורה'!A:G,5,0)+VLOOKUP('תפוקה מצטברת מול אשתקד'!A71,'איילון'!A:G,5,0)+VLOOKUP('תפוקה מצטברת מול אשתקד'!A71,'הראל'!A:G,5,0)+VLOOKUP('תפוקה מצטברת מול אשתקד'!A71,'הפניקס'!A:G,5,0)+VLOOKUP('תפוקה מצטברת מול אשתקד'!A71,'כלל'!A:G,5,0)+VLOOKUP('תפוקה מצטברת מול אשתקד'!A71,'מור'!A:G,5,0)+VLOOKUP('תפוקה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אשתקד'!A71,'אינפניטי'!A:G,5,0)</f>
        <v>77772.916</v>
      </c>
      <c r="J71" s="18">
        <f>VLOOKUP(A71,'הכשרה'!A:G,6,0)+VLOOKUP('תפוקה מצטברת מול אשתקד'!A71,'מגדל'!A:G,6,0)+VLOOKUP('תפוקה מצטברת מול אשתקד'!A71,'מנורה'!A:G,6,0)+VLOOKUP('תפוקה מצטברת מול אשתקד'!A71,'איילון'!A:G,6,0)+VLOOKUP(A71,'הראל'!A:G,6,0)+VLOOKUP('תפוקה מצטברת מול אשתקד'!A71,'הפניקס'!A:G,6,0)+VLOOKUP('תפוקה מצטברת מול אשתקד'!A71,'כלל'!A:G,6,0)+VLOOKUP('תפוקה מצטברת מול אשתקד'!A71,'מור'!A:G,6,0)+VLOOKUP('תפוקה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אשתקד'!A71,'אינפניטי'!A:G,6,0)</f>
        <v>0</v>
      </c>
      <c r="K71" s="18">
        <f>VLOOKUP(A71,'הכשרה'!A:G,7,0)+VLOOKUP('תפוקה מצטברת מול אשתקד'!A71,'מגדל'!A:G,7,0)+VLOOKUP('תפוקה מצטברת מול אשתקד'!A71,'מנורה'!A:G,7,0)+VLOOKUP('תפוקה מצטברת מול אשתקד'!A71,'איילון'!A:G,7,0)+VLOOKUP('תפוקה מצטברת מול אשתקד'!A71,'הראל'!A:G,7,0)+VLOOKUP('תפוקה מצטברת מול אשתקד'!A71,'הפניקס'!A:G,7,0)+VLOOKUP('תפוקה מצטברת מול אשתקד'!A71,'כלל'!A:G,7,0)+VLOOKUP('תפוקה מצטברת מול אשתקד'!A71,'מור'!A:G,7,0)+VLOOKUP('תפוקה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אשתקד'!A71,'אינפניטי'!A:G,7,0)</f>
        <v>0</v>
      </c>
      <c r="L71" s="19">
        <f>VLOOKUP(A71,'הכשרה'!A:K,8,0)+VLOOKUP('תפוקה מצטברת מול אשתקד'!A71,'מגדל'!A:K,8,0)+VLOOKUP('תפוקה מצטברת מול אשתקד'!A71,'מנורה'!A:K,8,0)+VLOOKUP('תפוקה מצטברת מול אשתקד'!A71,'איילון'!A:K,8,0)+VLOOKUP('תפוקה מצטברת מול אשתקד'!A71,'הראל'!A:K,8,0)+VLOOKUP('תפוקה מצטברת מול אשתקד'!A71,'הפניקס'!A:K,8,0)+VLOOKUP('תפוקה מצטברת מול אשתקד'!A71,'כלל'!A:K,8,0)+VLOOKUP('תפוקה מצטברת מול אשתקד'!A71,'מור'!A:K,8,0)+VLOOKUP('תפוקה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אשתקד'!A71,'אינפניטי'!A:K,8,0)</f>
        <v>9608.902017</v>
      </c>
      <c r="M71" s="19">
        <f>VLOOKUP(A71,'הכשרה'!A:K,9,0)+VLOOKUP('תפוקה מצטברת מול אשתקד'!A71,'מגדל'!A:K,9,0)+VLOOKUP('תפוקה מצטברת מול אשתקד'!A71,'מנורה'!A:K,9,0)+VLOOKUP('תפוקה מצטברת מול אשתקד'!A71,'איילון'!A:K,9,0)+VLOOKUP('תפוקה מצטברת מול אשתקד'!A71,'הראל'!A:K,9,0)+VLOOKUP('תפוקה מצטברת מול אשתקד'!A71,'הפניקס'!A:K,9,0)+VLOOKUP('תפוקה מצטברת מול אשתקד'!A71,'כלל'!A:K,9,0)+VLOOKUP('תפוקה מצטברת מול אשתקד'!A71,'מור'!A:K,9,0)+VLOOKUP('תפוקה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אשתקד'!A71,'אינפניטי'!A:K,9,0)</f>
        <v>45361.93685</v>
      </c>
      <c r="N71" s="19">
        <f>VLOOKUP(A71,'הכשרה'!A:K,10,0)+VLOOKUP('תפוקה מצטברת מול אשתקד'!A71,'מגדל'!A:K,10,0)+VLOOKUP('תפוקה מצטברת מול אשתקד'!A71,'מנורה'!A:K,10,0)+VLOOKUP('תפוקה מצטברת מול אשתקד'!A71,'איילון'!A:K,10,0)+VLOOKUP('תפוקה מצטברת מול אשתקד'!A71,'הראל'!A:K,10,0)+VLOOKUP('תפוקה מצטברת מול אשתקד'!A71,'הפניקס'!A:K,10,0)+VLOOKUP('תפוקה מצטברת מול אשתקד'!A71,'כלל'!A:K,10,0)+VLOOKUP('תפוקה מצטברת מול אשתקד'!A71,'מור'!A:K,10,0)+VLOOKUP('תפוקה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אשתקד'!A71,'אינפניטי'!A:K,10,0)</f>
        <v>0</v>
      </c>
      <c r="O71" s="19">
        <f>VLOOKUP(A71,'הכשרה'!A:K,11,0)+VLOOKUP('תפוקה מצטברת מול אשתקד'!A71,'מגדל'!A:K,11,0)+VLOOKUP('תפוקה מצטברת מול אשתקד'!A71,'מנורה'!A:K,11,0)+VLOOKUP('תפוקה מצטברת מול אשתקד'!A71,'איילון'!A:K,11,0)+VLOOKUP('תפוקה מצטברת מול אשתקד'!A71,'הראל'!A:K,11,0)+VLOOKUP('תפוקה מצטברת מול אשתקד'!A71,'הפניקס'!A:K,11,0)+VLOOKUP('תפוקה מצטברת מול אשתקד'!A71,'כלל'!A:K,11,0)+VLOOKUP('תפוקה מצטברת מול אשתקד'!A71,'מור'!A:K,11,0)+VLOOKUP('תפוקה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אשתקד'!A71,'אינפניטי'!A:K,11,0)</f>
        <v>90372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" t="s">
        <v>91</v>
      </c>
      <c r="B72" s="1" t="s">
        <v>37</v>
      </c>
      <c r="C72" s="1" t="s">
        <v>87</v>
      </c>
      <c r="D72" s="17">
        <f t="shared" ref="D72:F72" si="84">IF(H72=0,0%,IF(L72=0,100%,H72/L72-1))</f>
        <v>0.3800712785</v>
      </c>
      <c r="E72" s="17">
        <f t="shared" si="84"/>
        <v>0.385831336</v>
      </c>
      <c r="F72" s="17">
        <f t="shared" si="84"/>
        <v>0.2590352895</v>
      </c>
      <c r="G72" s="17">
        <f t="shared" si="77"/>
        <v>0.7888741252</v>
      </c>
      <c r="H72" s="18">
        <f>VLOOKUP(A72,'הכשרה'!A:G,4,0)+VLOOKUP('תפוקה מצטברת מול אשתקד'!A72,'מגדל'!A:G,4,0)+VLOOKUP('תפוקה מצטברת מול אשתקד'!A72,'מנורה'!A:G,4,0)+VLOOKUP('תפוקה מצטברת מול אשתקד'!A72,'איילון'!A:G,4,0)+VLOOKUP('תפוקה מצטברת מול אשתקד'!A72,'הראל'!A:G,4,0)+VLOOKUP('תפוקה מצטברת מול אשתקד'!A72,'הפניקס'!A:G,4,0)+VLOOKUP('תפוקה מצטברת מול אשתקד'!A72,'כלל'!A:G,4,0)+VLOOKUP('תפוקה מצטברת מול אשתקד'!A72,'מור'!A:G,4,0)+VLOOKUP('תפוקה מצטברת מול אשתקד'!A72,'אלטשולר שחם'!A:G,4,0)+VLOOKUP('תפוקה מצטברת מול אשתקד'!A72,'מדיהו '!A:G,4,0)+VLOOKUP('תפוקה מצטברת מול אשתקד'!A72,'אנליסט '!A:G,4,0)+VLOOKUP('תפוקה מצטברת מול אשתקד'!A72,'מיטב דש'!A:G,4,0)+VLOOKUP('תפוקה מצטברת מול אשתקד'!A72,'אינפניטי'!A:G,4,0)</f>
        <v>737380.1512</v>
      </c>
      <c r="I72" s="18">
        <f>VLOOKUP(A72,'הכשרה'!A:G,5,0)+VLOOKUP('תפוקה מצטברת מול אשתקד'!A72,'מגדל'!A:G,5,0)+VLOOKUP('תפוקה מצטברת מול אשתקד'!A72,'מנורה'!A:G,5,0)+VLOOKUP('תפוקה מצטברת מול אשתקד'!A72,'איילון'!A:G,5,0)+VLOOKUP('תפוקה מצטברת מול אשתקד'!A72,'הראל'!A:G,5,0)+VLOOKUP('תפוקה מצטברת מול אשתקד'!A72,'הפניקס'!A:G,5,0)+VLOOKUP('תפוקה מצטברת מול אשתקד'!A72,'כלל'!A:G,5,0)+VLOOKUP('תפוקה מצטברת מול אשתקד'!A72,'מור'!A:G,5,0)+VLOOKUP('תפוקה מצטברת מול אשתקד'!A72,'אלטשולר שחם'!A:G,5,0)+VLOOKUP('תפוקה מצטברת מול אשתקד'!A72,'מדיהו '!A:G,5,0)+VLOOKUP('תפוקה מצטברת מול אשתקד'!A72,'אנליסט '!A:G,5,0)+VLOOKUP('תפוקה מצטברת מול אשתקד'!A72,'מיטב דש'!A:G,5,0)+VLOOKUP('תפוקה מצטברת מול אשתקד'!A72,'אינפניטי'!A:G,5,0)</f>
        <v>73958.3045</v>
      </c>
      <c r="J72" s="18">
        <f>VLOOKUP(A72,'הכשרה'!A:G,6,0)+VLOOKUP('תפוקה מצטברת מול אשתקד'!A72,'מגדל'!A:G,6,0)+VLOOKUP('תפוקה מצטברת מול אשתקד'!A72,'מנורה'!A:G,6,0)+VLOOKUP('תפוקה מצטברת מול אשתקד'!A72,'איילון'!A:G,6,0)+VLOOKUP(A72,'הראל'!A:G,6,0)+VLOOKUP('תפוקה מצטברת מול אשתקד'!A72,'הפניקס'!A:G,6,0)+VLOOKUP('תפוקה מצטברת מול אשתקד'!A72,'כלל'!A:G,6,0)+VLOOKUP('תפוקה מצטברת מול אשתקד'!A72,'מור'!A:G,6,0)+VLOOKUP('תפוקה מצטברת מול אשתקד'!A72,'אלטשולר שחם'!A:G,6,0)+VLOOKUP('תפוקה מצטברת מול אשתקד'!A72,'מדיהו '!A:G,6,0)+VLOOKUP('תפוקה מצטברת מול אשתקד'!A72,'אנליסט '!A:G,6,0)+VLOOKUP('תפוקה מצטברת מול אשתקד'!A72,'מיטב דש'!A:G,6,0)+VLOOKUP('תפוקה מצטברת מול אשתקד'!A72,'אינפניטי'!A:G,6,0)</f>
        <v>5743496</v>
      </c>
      <c r="K72" s="18">
        <f>VLOOKUP(A72,'הכשרה'!A:G,7,0)+VLOOKUP('תפוקה מצטברת מול אשתקד'!A72,'מגדל'!A:G,7,0)+VLOOKUP('תפוקה מצטברת מול אשתקד'!A72,'מנורה'!A:G,7,0)+VLOOKUP('תפוקה מצטברת מול אשתקד'!A72,'איילון'!A:G,7,0)+VLOOKUP('תפוקה מצטברת מול אשתקד'!A72,'הראל'!A:G,7,0)+VLOOKUP('תפוקה מצטברת מול אשתקד'!A72,'הפניקס'!A:G,7,0)+VLOOKUP('תפוקה מצטברת מול אשתקד'!A72,'כלל'!A:G,7,0)+VLOOKUP('תפוקה מצטברת מול אשתקד'!A72,'מור'!A:G,7,0)+VLOOKUP('תפוקה מצטברת מול אשתקד'!A72,'אלטשולר שחם'!A:G,7,0)+VLOOKUP('תפוקה מצטברת מול אשתקד'!A72,'מדיהו '!A:K,7,0)+VLOOKUP(A72,'אנליסט '!A:G,7,0)+VLOOKUP('תפוקה מצטברת מול אשתקד'!A72,'מיטב דש'!A:G,7,0)+VLOOKUP('תפוקה מצטברת מול אשתקד'!A72,'אינפניטי'!A:G,7,0)</f>
        <v>7038733.27</v>
      </c>
      <c r="L72" s="19">
        <f>VLOOKUP(A72,'הכשרה'!A:K,8,0)+VLOOKUP('תפוקה מצטברת מול אשתקד'!A72,'מגדל'!A:K,8,0)+VLOOKUP('תפוקה מצטברת מול אשתקד'!A72,'מנורה'!A:K,8,0)+VLOOKUP('תפוקה מצטברת מול אשתקד'!A72,'איילון'!A:K,8,0)+VLOOKUP('תפוקה מצטברת מול אשתקד'!A72,'הראל'!A:K,8,0)+VLOOKUP('תפוקה מצטברת מול אשתקד'!A72,'הפניקס'!A:K,8,0)+VLOOKUP('תפוקה מצטברת מול אשתקד'!A72,'כלל'!A:K,8,0)+VLOOKUP('תפוקה מצטברת מול אשתקד'!A72,'מור'!A:K,8,0)+VLOOKUP('תפוקה מצטברת מול אשתקד'!A72,'אלטשולר שחם'!A:K,8,0)+VLOOKUP('תפוקה מצטברת מול אשתקד'!A72,'מדיהו '!A:K,8,0)+VLOOKUP('תפוקה מצטברת מול אשתקד'!A72,'אנליסט '!A:K,8,0)+VLOOKUP('תפוקה מצטברת מול אשתקד'!A72,'מיטב דש'!A:K,8,0)+VLOOKUP('תפוקה מצטברת מול אשתקד'!A72,'אינפניטי'!A:K,8,0)</f>
        <v>534305.8454</v>
      </c>
      <c r="M72" s="19">
        <f>VLOOKUP(A72,'הכשרה'!A:K,9,0)+VLOOKUP('תפוקה מצטברת מול אשתקד'!A72,'מגדל'!A:K,9,0)+VLOOKUP('תפוקה מצטברת מול אשתקד'!A72,'מנורה'!A:K,9,0)+VLOOKUP('תפוקה מצטברת מול אשתקד'!A72,'איילון'!A:K,9,0)+VLOOKUP('תפוקה מצטברת מול אשתקד'!A72,'הראל'!A:K,9,0)+VLOOKUP('תפוקה מצטברת מול אשתקד'!A72,'הפניקס'!A:K,9,0)+VLOOKUP('תפוקה מצטברת מול אשתקד'!A72,'כלל'!A:K,9,0)+VLOOKUP('תפוקה מצטברת מול אשתקד'!A72,'מור'!A:K,9,0)+VLOOKUP('תפוקה מצטברת מול אשתקד'!A72,'אלטשולר שחם'!A:K,9,0)+VLOOKUP('תפוקה מצטברת מול אשתקד'!A72,'מדיהו '!A:K,9,0)+VLOOKUP('תפוקה מצטברת מול אשתקד'!A72,'אנליסט '!A:K,9,0)+VLOOKUP('תפוקה מצטברת מול אשתקד'!A72,'מיטב דש'!A:K,9,0)+VLOOKUP('תפוקה מצטברת מול אשתקד'!A72,'אינפניטי'!A:K,9,0)</f>
        <v>53367.46441</v>
      </c>
      <c r="N72" s="19">
        <f>VLOOKUP(A72,'הכשרה'!A:K,10,0)+VLOOKUP('תפוקה מצטברת מול אשתקד'!A72,'מגדל'!A:K,10,0)+VLOOKUP('תפוקה מצטברת מול אשתקד'!A72,'מנורה'!A:K,10,0)+VLOOKUP('תפוקה מצטברת מול אשתקד'!A72,'איילון'!A:K,10,0)+VLOOKUP('תפוקה מצטברת מול אשתקד'!A72,'הראל'!A:K,10,0)+VLOOKUP('תפוקה מצטברת מול אשתקד'!A72,'הפניקס'!A:K,10,0)+VLOOKUP('תפוקה מצטברת מול אשתקד'!A72,'כלל'!A:K,10,0)+VLOOKUP('תפוקה מצטברת מול אשתקד'!A72,'מור'!A:K,10,0)+VLOOKUP('תפוקה מצטברת מול אשתקד'!A72,'אלטשולר שחם'!A:K,10,0)+VLOOKUP('תפוקה מצטברת מול אשתקד'!A72,'מדיהו '!A:K,10,0)+VLOOKUP('תפוקה מצטברת מול אשתקד'!A72,'אנליסט '!A:K,10,0)+VLOOKUP('תפוקה מצטברת מול אשתקד'!A72,'מיטב דש'!A:K,10,0)+VLOOKUP('תפוקה מצטברת מול אשתקד'!A72,'אינפניטי'!A:K,10,0)</f>
        <v>4561822.888</v>
      </c>
      <c r="O72" s="19">
        <f>VLOOKUP(A72,'הכשרה'!A:K,11,0)+VLOOKUP('תפוקה מצטברת מול אשתקד'!A72,'מגדל'!A:K,11,0)+VLOOKUP('תפוקה מצטברת מול אשתקד'!A72,'מנורה'!A:K,11,0)+VLOOKUP('תפוקה מצטברת מול אשתקד'!A72,'איילון'!A:K,11,0)+VLOOKUP('תפוקה מצטברת מול אשתקד'!A72,'הראל'!A:K,11,0)+VLOOKUP('תפוקה מצטברת מול אשתקד'!A72,'הפניקס'!A:K,11,0)+VLOOKUP('תפוקה מצטברת מול אשתקד'!A72,'כלל'!A:K,11,0)+VLOOKUP('תפוקה מצטברת מול אשתקד'!A72,'מור'!A:K,11,0)+VLOOKUP('תפוקה מצטברת מול אשתקד'!A72,'אלטשולר שחם'!A:K,11,0)+VLOOKUP('תפוקה מצטברת מול אשתקד'!A72,'מדיהו '!A:K,11,0)+VLOOKUP('תפוקה מצטברת מול אשתקד'!A72,'אנליסט '!A:K,11,0)+VLOOKUP('תפוקה מצטברת מול אשתקד'!A72,'מיטב דש'!A:K,11,0)+VLOOKUP('תפוקה מצטברת מול אשתקד'!A72,'אינפניטי'!A:K,11,0)</f>
        <v>3934728.09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7" t="s">
        <v>92</v>
      </c>
      <c r="B73" s="1" t="s">
        <v>37</v>
      </c>
      <c r="C73" s="1" t="s">
        <v>87</v>
      </c>
      <c r="D73" s="17">
        <f t="shared" ref="D73:F73" si="85">IF(H73=0,0%,IF(L73=0,100%,H73/L73-1))</f>
        <v>0.3839600886</v>
      </c>
      <c r="E73" s="17">
        <f t="shared" si="85"/>
        <v>0.2904285562</v>
      </c>
      <c r="F73" s="17">
        <f t="shared" si="85"/>
        <v>0.6123440677</v>
      </c>
      <c r="G73" s="17">
        <f t="shared" si="77"/>
        <v>0.8338041481</v>
      </c>
      <c r="H73" s="18">
        <f>VLOOKUP(A73,'הכשרה'!A:G,4,0)+VLOOKUP('תפוקה מצטברת מול אשתקד'!A73,'מגדל'!A:G,4,0)+VLOOKUP('תפוקה מצטברת מול אשתקד'!A73,'מנורה'!A:G,4,0)+VLOOKUP('תפוקה מצטברת מול אשתקד'!A73,'איילון'!A:G,4,0)+VLOOKUP('תפוקה מצטברת מול אשתקד'!A73,'הראל'!A:G,4,0)+VLOOKUP('תפוקה מצטברת מול אשתקד'!A73,'הפניקס'!A:G,4,0)+VLOOKUP('תפוקה מצטברת מול אשתקד'!A73,'כלל'!A:G,4,0)+VLOOKUP('תפוקה מצטברת מול אשתקד'!A73,'מור'!A:G,4,0)+VLOOKUP('תפוקה מצטברת מול אשתקד'!A73,'אלטשולר שחם'!A:G,4,0)+VLOOKUP('תפוקה מצטברת מול אשתקד'!A73,'מדיהו '!A:G,4,0)+VLOOKUP('תפוקה מצטברת מול אשתקד'!A73,'אנליסט '!A:G,4,0)+VLOOKUP('תפוקה מצטברת מול אשתקד'!A73,'מיטב דש'!A:G,4,0)+VLOOKUP('תפוקה מצטברת מול אשתקד'!A73,'אינפניטי'!A:G,4,0)</f>
        <v>2202807.933</v>
      </c>
      <c r="I73" s="18">
        <f>VLOOKUP(A73,'הכשרה'!A:G,5,0)+VLOOKUP('תפוקה מצטברת מול אשתקד'!A73,'מגדל'!A:G,5,0)+VLOOKUP('תפוקה מצטברת מול אשתקד'!A73,'מנורה'!A:G,5,0)+VLOOKUP('תפוקה מצטברת מול אשתקד'!A73,'איילון'!A:G,5,0)+VLOOKUP('תפוקה מצטברת מול אשתקד'!A73,'הראל'!A:G,5,0)+VLOOKUP('תפוקה מצטברת מול אשתקד'!A73,'הפניקס'!A:G,5,0)+VLOOKUP('תפוקה מצטברת מול אשתקד'!A73,'כלל'!A:G,5,0)+VLOOKUP('תפוקה מצטברת מול אשתקד'!A73,'מור'!A:G,5,0)+VLOOKUP('תפוקה מצטברת מול אשתקד'!A73,'אלטשולר שחם'!A:G,5,0)+VLOOKUP('תפוקה מצטברת מול אשתקד'!A73,'מדיהו '!A:G,5,0)+VLOOKUP('תפוקה מצטברת מול אשתקד'!A73,'אנליסט '!A:G,5,0)+VLOOKUP('תפוקה מצטברת מול אשתקד'!A73,'מיטב דש'!A:G,5,0)+VLOOKUP('תפוקה מצטברת מול אשתקד'!A73,'אינפניטי'!A:G,5,0)</f>
        <v>216033.1929</v>
      </c>
      <c r="J73" s="18">
        <f>VLOOKUP(A73,'הכשרה'!A:G,6,0)+VLOOKUP('תפוקה מצטברת מול אשתקד'!A73,'מגדל'!A:G,6,0)+VLOOKUP('תפוקה מצטברת מול אשתקד'!A73,'מנורה'!A:G,6,0)+VLOOKUP('תפוקה מצטברת מול אשתקד'!A73,'איילון'!A:G,6,0)+VLOOKUP(A73,'הראל'!A:G,6,0)+VLOOKUP('תפוקה מצטברת מול אשתקד'!A73,'הפניקס'!A:G,6,0)+VLOOKUP('תפוקה מצטברת מול אשתקד'!A73,'כלל'!A:G,6,0)+VLOOKUP('תפוקה מצטברת מול אשתקד'!A73,'מור'!A:G,6,0)+VLOOKUP('תפוקה מצטברת מול אשתקד'!A73,'אלטשולר שחם'!A:G,6,0)+VLOOKUP('תפוקה מצטברת מול אשתקד'!A73,'מדיהו '!A:G,6,0)+VLOOKUP('תפוקה מצטברת מול אשתקד'!A73,'אנליסט '!A:G,6,0)+VLOOKUP('תפוקה מצטברת מול אשתקד'!A73,'מיטב דש'!A:G,6,0)+VLOOKUP('תפוקה מצטברת מול אשתקד'!A73,'אינפניטי'!A:G,6,0)</f>
        <v>22597765.31</v>
      </c>
      <c r="K73" s="18">
        <f>VLOOKUP(A73,'הכשרה'!A:G,7,0)+VLOOKUP('תפוקה מצטברת מול אשתקד'!A73,'מגדל'!A:G,7,0)+VLOOKUP('תפוקה מצטברת מול אשתקד'!A73,'מנורה'!A:G,7,0)+VLOOKUP('תפוקה מצטברת מול אשתקד'!A73,'איילון'!A:G,7,0)+VLOOKUP('תפוקה מצטברת מול אשתקד'!A73,'הראל'!A:G,7,0)+VLOOKUP('תפוקה מצטברת מול אשתקד'!A73,'הפניקס'!A:G,7,0)+VLOOKUP('תפוקה מצטברת מול אשתקד'!A73,'כלל'!A:G,7,0)+VLOOKUP('תפוקה מצטברת מול אשתקד'!A73,'מור'!A:G,7,0)+VLOOKUP('תפוקה מצטברת מול אשתקד'!A73,'אלטשולר שחם'!A:G,7,0)+VLOOKUP('תפוקה מצטברת מול אשתקד'!A73,'מדיהו '!A:K,7,0)+VLOOKUP(A73,'אנליסט '!A:G,7,0)+VLOOKUP('תפוקה מצטברת מול אשתקד'!A73,'מיטב דש'!A:G,7,0)+VLOOKUP('תפוקה מצטברת מול אשתקד'!A73,'אינפניטי'!A:G,7,0)</f>
        <v>19101225.56</v>
      </c>
      <c r="L73" s="19">
        <f>VLOOKUP(A73,'הכשרה'!A:K,8,0)+VLOOKUP('תפוקה מצטברת מול אשתקד'!A73,'מגדל'!A:K,8,0)+VLOOKUP('תפוקה מצטברת מול אשתקד'!A73,'מנורה'!A:K,8,0)+VLOOKUP('תפוקה מצטברת מול אשתקד'!A73,'איילון'!A:K,8,0)+VLOOKUP('תפוקה מצטברת מול אשתקד'!A73,'הראל'!A:K,8,0)+VLOOKUP('תפוקה מצטברת מול אשתקד'!A73,'הפניקס'!A:K,8,0)+VLOOKUP('תפוקה מצטברת מול אשתקד'!A73,'כלל'!A:K,8,0)+VLOOKUP('תפוקה מצטברת מול אשתקד'!A73,'מור'!A:K,8,0)+VLOOKUP('תפוקה מצטברת מול אשתקד'!A73,'אלטשולר שחם'!A:K,8,0)+VLOOKUP('תפוקה מצטברת מול אשתקד'!A73,'מדיהו '!A:K,8,0)+VLOOKUP('תפוקה מצטברת מול אשתקד'!A73,'אנליסט '!A:K,8,0)+VLOOKUP('תפוקה מצטברת מול אשתקד'!A73,'מיטב דש'!A:K,8,0)+VLOOKUP('תפוקה מצטברת מול אשתקד'!A73,'אינפניטי'!A:K,8,0)</f>
        <v>1591670.129</v>
      </c>
      <c r="M73" s="19">
        <f>VLOOKUP(A73,'הכשרה'!A:K,9,0)+VLOOKUP('תפוקה מצטברת מול אשתקד'!A73,'מגדל'!A:K,9,0)+VLOOKUP('תפוקה מצטברת מול אשתקד'!A73,'מנורה'!A:K,9,0)+VLOOKUP('תפוקה מצטברת מול אשתקד'!A73,'איילון'!A:K,9,0)+VLOOKUP('תפוקה מצטברת מול אשתקד'!A73,'הראל'!A:K,9,0)+VLOOKUP('תפוקה מצטברת מול אשתקד'!A73,'הפניקס'!A:K,9,0)+VLOOKUP('תפוקה מצטברת מול אשתקד'!A73,'כלל'!A:K,9,0)+VLOOKUP('תפוקה מצטברת מול אשתקד'!A73,'מור'!A:K,9,0)+VLOOKUP('תפוקה מצטברת מול אשתקד'!A73,'אלטשולר שחם'!A:K,9,0)+VLOOKUP('תפוקה מצטברת מול אשתקד'!A73,'מדיהו '!A:K,9,0)+VLOOKUP('תפוקה מצטברת מול אשתקד'!A73,'אנליסט '!A:K,9,0)+VLOOKUP('תפוקה מצטברת מול אשתקד'!A73,'מיטב דש'!A:K,9,0)+VLOOKUP('תפוקה מצטברת מול אשתקד'!A73,'אינפניטי'!A:K,9,0)</f>
        <v>167411.9748</v>
      </c>
      <c r="N73" s="19">
        <f>VLOOKUP(A73,'הכשרה'!A:K,10,0)+VLOOKUP('תפוקה מצטברת מול אשתקד'!A73,'מגדל'!A:K,10,0)+VLOOKUP('תפוקה מצטברת מול אשתקד'!A73,'מנורה'!A:K,10,0)+VLOOKUP('תפוקה מצטברת מול אשתקד'!A73,'איילון'!A:K,10,0)+VLOOKUP('תפוקה מצטברת מול אשתקד'!A73,'הראל'!A:K,10,0)+VLOOKUP('תפוקה מצטברת מול אשתקד'!A73,'הפניקס'!A:K,10,0)+VLOOKUP('תפוקה מצטברת מול אשתקד'!A73,'כלל'!A:K,10,0)+VLOOKUP('תפוקה מצטברת מול אשתקד'!A73,'מור'!A:K,10,0)+VLOOKUP('תפוקה מצטברת מול אשתקד'!A73,'אלטשולר שחם'!A:K,10,0)+VLOOKUP('תפוקה מצטברת מול אשתקד'!A73,'מדיהו '!A:K,10,0)+VLOOKUP('תפוקה מצטברת מול אשתקד'!A73,'אנליסט '!A:K,10,0)+VLOOKUP('תפוקה מצטברת מול אשתקד'!A73,'מיטב דש'!A:K,10,0)+VLOOKUP('תפוקה מצטברת מול אשתקד'!A73,'אינפניטי'!A:K,10,0)</f>
        <v>14015473.35</v>
      </c>
      <c r="O73" s="19">
        <f>VLOOKUP(A73,'הכשרה'!A:K,11,0)+VLOOKUP('תפוקה מצטברת מול אשתקד'!A73,'מגדל'!A:K,11,0)+VLOOKUP('תפוקה מצטברת מול אשתקד'!A73,'מנורה'!A:K,11,0)+VLOOKUP('תפוקה מצטברת מול אשתקד'!A73,'איילון'!A:K,11,0)+VLOOKUP('תפוקה מצטברת מול אשתקד'!A73,'הראל'!A:K,11,0)+VLOOKUP('תפוקה מצטברת מול אשתקד'!A73,'הפניקס'!A:K,11,0)+VLOOKUP('תפוקה מצטברת מול אשתקד'!A73,'כלל'!A:K,11,0)+VLOOKUP('תפוקה מצטברת מול אשתקד'!A73,'מור'!A:K,11,0)+VLOOKUP('תפוקה מצטברת מול אשתקד'!A73,'אלטשולר שחם'!A:K,11,0)+VLOOKUP('תפוקה מצטברת מול אשתקד'!A73,'מדיהו '!A:K,11,0)+VLOOKUP('תפוקה מצטברת מול אשתקד'!A73,'אנליסט '!A:K,11,0)+VLOOKUP('תפוקה מצטברת מול אשתקד'!A73,'מיטב דש'!A:K,11,0)+VLOOKUP('תפוקה מצטברת מול אשתקד'!A73,'אינפניטי'!A:K,11,0)</f>
        <v>10416175.35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" t="s">
        <v>93</v>
      </c>
      <c r="B74" s="1" t="s">
        <v>37</v>
      </c>
      <c r="C74" s="21" t="s">
        <v>87</v>
      </c>
      <c r="D74" s="22">
        <f t="shared" ref="D74:F74" si="86">IF(H74=0,0%,IF(L74=0,100%,H74/L74-1))</f>
        <v>2.615005917</v>
      </c>
      <c r="E74" s="22">
        <f t="shared" si="86"/>
        <v>0.02762218882</v>
      </c>
      <c r="F74" s="22">
        <f t="shared" si="86"/>
        <v>0</v>
      </c>
      <c r="G74" s="17">
        <f t="shared" si="77"/>
        <v>0</v>
      </c>
      <c r="H74" s="18">
        <f>VLOOKUP(A74,'הכשרה'!A:G,4,0)+VLOOKUP('תפוקה מצטברת מול אשתקד'!A74,'מגדל'!A:G,4,0)+VLOOKUP('תפוקה מצטברת מול אשתקד'!A74,'מנורה'!A:G,4,0)+VLOOKUP('תפוקה מצטברת מול אשתקד'!A74,'איילון'!A:G,4,0)+VLOOKUP('תפוקה מצטברת מול אשתקד'!A74,'הראל'!A:G,4,0)+VLOOKUP('תפוקה מצטברת מול אשתקד'!A74,'הפניקס'!A:G,4,0)+VLOOKUP('תפוקה מצטברת מול אשתקד'!A74,'כלל'!A:G,4,0)+VLOOKUP('תפוקה מצטברת מול אשתקד'!A74,'מור'!A:G,4,0)+VLOOKUP('תפוקה מצטברת מול אשתקד'!A74,'אלטשולר שחם'!A:G,4,0)+VLOOKUP('תפוקה מצטברת מול אשתקד'!A74,'מדיהו '!A:G,4,0)+VLOOKUP('תפוקה מצטברת מול אשתקד'!A74,'אנליסט '!A:G,4,0)+VLOOKUP('תפוקה מצטברת מול אשתקד'!A74,'מיטב דש'!A:G,4,0)+VLOOKUP('תפוקה מצטברת מול אשתקד'!A74,'אינפניטי'!A:G,4,0)</f>
        <v>73312.32</v>
      </c>
      <c r="I74" s="18">
        <f>VLOOKUP(A74,'הכשרה'!A:G,5,0)+VLOOKUP('תפוקה מצטברת מול אשתקד'!A74,'מגדל'!A:G,5,0)+VLOOKUP('תפוקה מצטברת מול אשתקד'!A74,'מנורה'!A:G,5,0)+VLOOKUP('תפוקה מצטברת מול אשתקד'!A74,'איילון'!A:G,5,0)+VLOOKUP('תפוקה מצטברת מול אשתקד'!A74,'הראל'!A:G,5,0)+VLOOKUP('תפוקה מצטברת מול אשתקד'!A74,'הפניקס'!A:G,5,0)+VLOOKUP('תפוקה מצטברת מול אשתקד'!A74,'כלל'!A:G,5,0)+VLOOKUP('תפוקה מצטברת מול אשתקד'!A74,'מור'!A:G,5,0)+VLOOKUP('תפוקה מצטברת מול אשתקד'!A74,'אלטשולר שחם'!A:G,5,0)+VLOOKUP('תפוקה מצטברת מול אשתקד'!A74,'מדיהו '!A:G,5,0)+VLOOKUP('תפוקה מצטברת מול אשתקד'!A74,'אנליסט '!A:G,5,0)+VLOOKUP('תפוקה מצטברת מול אשתקד'!A74,'מיטב דש'!A:G,5,0)+VLOOKUP('תפוקה מצטברת מול אשתקד'!A74,'אינפניטי'!A:G,5,0)</f>
        <v>25433.623</v>
      </c>
      <c r="J74" s="18">
        <f>VLOOKUP(A74,'הכשרה'!A:G,6,0)+VLOOKUP('תפוקה מצטברת מול אשתקד'!A74,'מגדל'!A:G,6,0)+VLOOKUP('תפוקה מצטברת מול אשתקד'!A74,'מנורה'!A:G,6,0)+VLOOKUP('תפוקה מצטברת מול אשתקד'!A74,'איילון'!A:G,6,0)+VLOOKUP(A74,'הראל'!A:G,6,0)+VLOOKUP('תפוקה מצטברת מול אשתקד'!A74,'הפניקס'!A:G,6,0)+VLOOKUP('תפוקה מצטברת מול אשתקד'!A74,'כלל'!A:G,6,0)+VLOOKUP('תפוקה מצטברת מול אשתקד'!A74,'מור'!A:G,6,0)+VLOOKUP('תפוקה מצטברת מול אשתקד'!A74,'אלטשולר שחם'!A:G,6,0)+VLOOKUP('תפוקה מצטברת מול אשתקד'!A74,'מדיהו '!A:G,6,0)+VLOOKUP('תפוקה מצטברת מול אשתקד'!A74,'אנליסט '!A:G,6,0)+VLOOKUP('תפוקה מצטברת מול אשתקד'!A74,'מיטב דש'!A:G,6,0)+VLOOKUP('תפוקה מצטברת מול אשתקד'!A74,'אינפניטי'!A:G,6,0)</f>
        <v>0</v>
      </c>
      <c r="K74" s="18">
        <f>VLOOKUP(A74,'הכשרה'!A:G,7,0)+VLOOKUP('תפוקה מצטברת מול אשתקד'!A74,'מגדל'!A:G,7,0)+VLOOKUP('תפוקה מצטברת מול אשתקד'!A74,'מנורה'!A:G,7,0)+VLOOKUP('תפוקה מצטברת מול אשתקד'!A74,'איילון'!A:G,7,0)+VLOOKUP('תפוקה מצטברת מול אשתקד'!A74,'הראל'!A:G,7,0)+VLOOKUP('תפוקה מצטברת מול אשתקד'!A74,'הפניקס'!A:G,7,0)+VLOOKUP('תפוקה מצטברת מול אשתקד'!A74,'כלל'!A:G,7,0)+VLOOKUP('תפוקה מצטברת מול אשתקד'!A74,'מור'!A:G,7,0)+VLOOKUP('תפוקה מצטברת מול אשתקד'!A74,'אלטשולר שחם'!A:G,7,0)+VLOOKUP('תפוקה מצטברת מול אשתקד'!A74,'מדיהו '!A:K,7,0)+VLOOKUP(A74,'אנליסט '!A:G,7,0)+VLOOKUP('תפוקה מצטברת מול אשתקד'!A74,'מיטב דש'!A:G,7,0)+VLOOKUP('תפוקה מצטברת מול אשתקד'!A74,'אינפניטי'!A:G,7,0)</f>
        <v>0</v>
      </c>
      <c r="L74" s="19">
        <f>VLOOKUP(A74,'הכשרה'!A:K,8,0)+VLOOKUP('תפוקה מצטברת מול אשתקד'!A74,'מגדל'!A:K,8,0)+VLOOKUP('תפוקה מצטברת מול אשתקד'!A74,'מנורה'!A:K,8,0)+VLOOKUP('תפוקה מצטברת מול אשתקד'!A74,'איילון'!A:K,8,0)+VLOOKUP('תפוקה מצטברת מול אשתקד'!A74,'הראל'!A:K,8,0)+VLOOKUP('תפוקה מצטברת מול אשתקד'!A74,'הפניקס'!A:K,8,0)+VLOOKUP('תפוקה מצטברת מול אשתקד'!A74,'כלל'!A:K,8,0)+VLOOKUP('תפוקה מצטברת מול אשתקד'!A74,'מור'!A:K,8,0)+VLOOKUP('תפוקה מצטברת מול אשתקד'!A74,'אלטשולר שחם'!A:K,8,0)+VLOOKUP('תפוקה מצטברת מול אשתקד'!A74,'מדיהו '!A:K,8,0)+VLOOKUP('תפוקה מצטברת מול אשתקד'!A74,'אנליסט '!A:K,8,0)+VLOOKUP('תפוקה מצטברת מול אשתקד'!A74,'מיטב דש'!A:K,8,0)+VLOOKUP('תפוקה מצטברת מול אשתקד'!A74,'אינפניטי'!A:K,8,0)</f>
        <v>20280</v>
      </c>
      <c r="M74" s="19">
        <f>VLOOKUP(A74,'הכשרה'!A:K,9,0)+VLOOKUP('תפוקה מצטברת מול אשתקד'!A74,'מגדל'!A:K,9,0)+VLOOKUP('תפוקה מצטברת מול אשתקד'!A74,'מנורה'!A:K,9,0)+VLOOKUP('תפוקה מצטברת מול אשתקד'!A74,'איילון'!A:K,9,0)+VLOOKUP('תפוקה מצטברת מול אשתקד'!A74,'הראל'!A:K,9,0)+VLOOKUP('תפוקה מצטברת מול אשתקד'!A74,'הפניקס'!A:K,9,0)+VLOOKUP('תפוקה מצטברת מול אשתקד'!A74,'כלל'!A:K,9,0)+VLOOKUP('תפוקה מצטברת מול אשתקד'!A74,'מור'!A:K,9,0)+VLOOKUP('תפוקה מצטברת מול אשתקד'!A74,'אלטשולר שחם'!A:K,9,0)+VLOOKUP('תפוקה מצטברת מול אשתקד'!A74,'מדיהו '!A:K,9,0)+VLOOKUP('תפוקה מצטברת מול אשתקד'!A74,'אנליסט '!A:K,9,0)+VLOOKUP('תפוקה מצטברת מול אשתקד'!A74,'מיטב דש'!A:K,9,0)+VLOOKUP('תפוקה מצטברת מול אשתקד'!A74,'אינפניטי'!A:K,9,0)</f>
        <v>24749.97453</v>
      </c>
      <c r="N74" s="19">
        <f>VLOOKUP(A74,'הכשרה'!A:K,10,0)+VLOOKUP('תפוקה מצטברת מול אשתקד'!A74,'מגדל'!A:K,10,0)+VLOOKUP('תפוקה מצטברת מול אשתקד'!A74,'מנורה'!A:K,10,0)+VLOOKUP('תפוקה מצטברת מול אשתקד'!A74,'איילון'!A:K,10,0)+VLOOKUP('תפוקה מצטברת מול אשתקד'!A74,'הראל'!A:K,10,0)+VLOOKUP('תפוקה מצטברת מול אשתקד'!A74,'הפניקס'!A:K,10,0)+VLOOKUP('תפוקה מצטברת מול אשתקד'!A74,'כלל'!A:K,10,0)+VLOOKUP('תפוקה מצטברת מול אשתקד'!A74,'מור'!A:K,10,0)+VLOOKUP('תפוקה מצטברת מול אשתקד'!A74,'אלטשולר שחם'!A:K,10,0)+VLOOKUP('תפוקה מצטברת מול אשתקד'!A74,'מדיהו '!A:K,10,0)+VLOOKUP('תפוקה מצטברת מול אשתקד'!A74,'אנליסט '!A:K,10,0)+VLOOKUP('תפוקה מצטברת מול אשתקד'!A74,'מיטב דש'!A:K,10,0)+VLOOKUP('תפוקה מצטברת מול אשתקד'!A74,'אינפניטי'!A:K,10,0)</f>
        <v>0</v>
      </c>
      <c r="O74" s="19">
        <f>VLOOKUP(A74,'הכשרה'!A:K,11,0)+VLOOKUP('תפוקה מצטברת מול אשתקד'!A74,'מגדל'!A:K,11,0)+VLOOKUP('תפוקה מצטברת מול אשתקד'!A74,'מנורה'!A:K,11,0)+VLOOKUP('תפוקה מצטברת מול אשתקד'!A74,'איילון'!A:K,11,0)+VLOOKUP('תפוקה מצטברת מול אשתקד'!A74,'הראל'!A:K,11,0)+VLOOKUP('תפוקה מצטברת מול אשתקד'!A74,'הפניקס'!A:K,11,0)+VLOOKUP('תפוקה מצטברת מול אשתקד'!A74,'כלל'!A:K,11,0)+VLOOKUP('תפוקה מצטברת מול אשתקד'!A74,'מור'!A:K,11,0)+VLOOKUP('תפוקה מצטברת מול אשתקד'!A74,'אלטשולר שחם'!A:K,11,0)+VLOOKUP('תפוקה מצטברת מול אשתקד'!A74,'מדיהו '!A:K,11,0)+VLOOKUP('תפוקה מצטברת מול אשתקד'!A74,'אנליסט '!A:K,11,0)+VLOOKUP('תפוקה מצטברת מול אשתקד'!A74,'מיטב דש'!A:K,11,0)+VLOOKUP('תפוקה מצטברת מול אשתקד'!A74,'אינפניטי'!A:K,11,0)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7.75" customHeight="1">
      <c r="A75" s="24" t="s">
        <v>94</v>
      </c>
      <c r="B75" s="25"/>
      <c r="C75" s="25"/>
      <c r="D75" s="26">
        <f t="shared" ref="D75:F75" si="87">IF(H75=0,0%,IF(L75=0,100%,H75/L75-1))</f>
        <v>0.328606302</v>
      </c>
      <c r="E75" s="26">
        <f t="shared" si="87"/>
        <v>0.1828157747</v>
      </c>
      <c r="F75" s="26">
        <f t="shared" si="87"/>
        <v>0.3534468996</v>
      </c>
      <c r="G75" s="17">
        <f t="shared" si="77"/>
        <v>0.5444099121</v>
      </c>
      <c r="H75" s="27">
        <f t="shared" ref="H75:O75" si="88">SUM(H67:H74)</f>
        <v>5800114.062</v>
      </c>
      <c r="I75" s="27">
        <f t="shared" si="88"/>
        <v>884736.4027</v>
      </c>
      <c r="J75" s="27">
        <f t="shared" si="88"/>
        <v>38774756.71</v>
      </c>
      <c r="K75" s="27">
        <f t="shared" si="88"/>
        <v>41648434.14</v>
      </c>
      <c r="L75" s="27">
        <f t="shared" si="88"/>
        <v>4365562.66</v>
      </c>
      <c r="M75" s="27">
        <f t="shared" si="88"/>
        <v>747991.7175</v>
      </c>
      <c r="N75" s="27">
        <f t="shared" si="88"/>
        <v>28648893.96</v>
      </c>
      <c r="O75" s="27">
        <f t="shared" si="88"/>
        <v>26967215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0.0" customHeight="1">
      <c r="A76" s="24" t="s">
        <v>95</v>
      </c>
      <c r="B76" s="25"/>
      <c r="C76" s="25"/>
      <c r="D76" s="26">
        <f t="shared" ref="D76:F76" si="89">IF(H76=0,0%,IF(L76=0,100%,H76/L76-1))</f>
        <v>0.1538538926</v>
      </c>
      <c r="E76" s="26">
        <f t="shared" si="89"/>
        <v>-0.007711552782</v>
      </c>
      <c r="F76" s="26">
        <f t="shared" si="89"/>
        <v>0.007185571661</v>
      </c>
      <c r="G76" s="17">
        <f t="shared" si="77"/>
        <v>0.004325287057</v>
      </c>
      <c r="H76" s="27">
        <f t="shared" ref="H76:O76" si="90">H75+H66+H56+H22+H8</f>
        <v>26734140.42</v>
      </c>
      <c r="I76" s="27">
        <f t="shared" si="90"/>
        <v>4159293.341</v>
      </c>
      <c r="J76" s="27">
        <f t="shared" si="90"/>
        <v>100985675.7</v>
      </c>
      <c r="K76" s="27">
        <f t="shared" si="90"/>
        <v>120655640.5</v>
      </c>
      <c r="L76" s="27">
        <f t="shared" si="90"/>
        <v>23169432.97</v>
      </c>
      <c r="M76" s="27">
        <f t="shared" si="90"/>
        <v>4191617.219</v>
      </c>
      <c r="N76" s="27">
        <f t="shared" si="90"/>
        <v>100265212.8</v>
      </c>
      <c r="O76" s="27">
        <f t="shared" si="90"/>
        <v>120136017.7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8"/>
      <c r="B77" s="39"/>
      <c r="C77" s="3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0"/>
      <c r="B78" s="39"/>
      <c r="C78" s="3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0"/>
      <c r="B79" s="39"/>
      <c r="C79" s="39"/>
      <c r="D79" s="10"/>
      <c r="E79" s="10"/>
      <c r="F79" s="10"/>
      <c r="G79" s="10"/>
      <c r="H79" s="41"/>
      <c r="I79" s="41"/>
      <c r="J79" s="41"/>
      <c r="K79" s="41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0"/>
      <c r="B80" s="39"/>
      <c r="C80" s="3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0"/>
      <c r="B81" s="39"/>
      <c r="C81" s="39"/>
      <c r="D81" s="10"/>
      <c r="E81" s="10"/>
      <c r="F81" s="10"/>
      <c r="G81" s="10"/>
      <c r="H81" s="41"/>
      <c r="I81" s="41"/>
      <c r="J81" s="41"/>
      <c r="K81" s="41"/>
      <c r="L81" s="10"/>
      <c r="M81" s="10"/>
      <c r="N81" s="4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8"/>
      <c r="B82" s="39"/>
      <c r="C82" s="39"/>
      <c r="D82" s="10"/>
      <c r="E82" s="10"/>
      <c r="F82" s="10"/>
      <c r="G82" s="10"/>
      <c r="H82" s="16"/>
      <c r="I82" s="16"/>
      <c r="J82" s="16"/>
      <c r="K82" s="16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38"/>
      <c r="B83" s="39"/>
      <c r="C83" s="3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38"/>
      <c r="B84" s="39"/>
      <c r="C84" s="3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8"/>
      <c r="B85" s="39"/>
      <c r="C85" s="3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38"/>
      <c r="B86" s="39"/>
      <c r="C86" s="3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38"/>
      <c r="B87" s="39"/>
      <c r="C87" s="3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38"/>
      <c r="B88" s="39"/>
      <c r="C88" s="3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38"/>
      <c r="B89" s="39"/>
      <c r="C89" s="3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38"/>
      <c r="B90" s="39"/>
      <c r="C90" s="3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8"/>
      <c r="B91" s="39"/>
      <c r="C91" s="3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38"/>
      <c r="B92" s="39"/>
      <c r="C92" s="3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38"/>
      <c r="B93" s="39"/>
      <c r="C93" s="3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38"/>
      <c r="B94" s="39"/>
      <c r="C94" s="3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38"/>
      <c r="B95" s="39"/>
      <c r="C95" s="3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38"/>
      <c r="B96" s="39"/>
      <c r="C96" s="3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38"/>
      <c r="B97" s="39"/>
      <c r="C97" s="3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38"/>
      <c r="B98" s="39"/>
      <c r="C98" s="3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38"/>
      <c r="B99" s="39"/>
      <c r="C99" s="3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38"/>
      <c r="B100" s="39"/>
      <c r="C100" s="3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38"/>
      <c r="B101" s="39"/>
      <c r="C101" s="3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38"/>
      <c r="B102" s="39"/>
      <c r="C102" s="3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38"/>
      <c r="B103" s="39"/>
      <c r="C103" s="3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38"/>
      <c r="B104" s="39"/>
      <c r="C104" s="3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38"/>
      <c r="B105" s="39"/>
      <c r="C105" s="3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38"/>
      <c r="B106" s="39"/>
      <c r="C106" s="3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38"/>
      <c r="B107" s="39"/>
      <c r="C107" s="3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38"/>
      <c r="B108" s="39"/>
      <c r="C108" s="3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38"/>
      <c r="B109" s="39"/>
      <c r="C109" s="3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38"/>
      <c r="B110" s="39"/>
      <c r="C110" s="3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38"/>
      <c r="B111" s="39"/>
      <c r="C111" s="3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38"/>
      <c r="B112" s="39"/>
      <c r="C112" s="3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38"/>
      <c r="B113" s="39"/>
      <c r="C113" s="3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38"/>
      <c r="B114" s="39"/>
      <c r="C114" s="3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38"/>
      <c r="B115" s="39"/>
      <c r="C115" s="3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38"/>
      <c r="B116" s="39"/>
      <c r="C116" s="3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38"/>
      <c r="B117" s="39"/>
      <c r="C117" s="3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38"/>
      <c r="B118" s="39"/>
      <c r="C118" s="3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38"/>
      <c r="B119" s="39"/>
      <c r="C119" s="3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38"/>
      <c r="B120" s="39"/>
      <c r="C120" s="3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38"/>
      <c r="B121" s="39"/>
      <c r="C121" s="3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38"/>
      <c r="B122" s="39"/>
      <c r="C122" s="3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38"/>
      <c r="B123" s="39"/>
      <c r="C123" s="3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38"/>
      <c r="B124" s="39"/>
      <c r="C124" s="3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38"/>
      <c r="B125" s="39"/>
      <c r="C125" s="3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38"/>
      <c r="B126" s="39"/>
      <c r="C126" s="3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38"/>
      <c r="B127" s="39"/>
      <c r="C127" s="3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38"/>
      <c r="B128" s="39"/>
      <c r="C128" s="3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38"/>
      <c r="B129" s="39"/>
      <c r="C129" s="3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38"/>
      <c r="B130" s="39"/>
      <c r="C130" s="3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38"/>
      <c r="B131" s="39"/>
      <c r="C131" s="3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38"/>
      <c r="B132" s="39"/>
      <c r="C132" s="3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38"/>
      <c r="B133" s="39"/>
      <c r="C133" s="3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38"/>
      <c r="B134" s="39"/>
      <c r="C134" s="3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38"/>
      <c r="B135" s="39"/>
      <c r="C135" s="3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38"/>
      <c r="B136" s="39"/>
      <c r="C136" s="3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8"/>
      <c r="B137" s="39"/>
      <c r="C137" s="3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8"/>
      <c r="B138" s="39"/>
      <c r="C138" s="3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8"/>
      <c r="B139" s="39"/>
      <c r="C139" s="3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8"/>
      <c r="B140" s="39"/>
      <c r="C140" s="3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8"/>
      <c r="B141" s="39"/>
      <c r="C141" s="3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8"/>
      <c r="B142" s="39"/>
      <c r="C142" s="3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8"/>
      <c r="B143" s="39"/>
      <c r="C143" s="3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8"/>
      <c r="B144" s="39"/>
      <c r="C144" s="3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8"/>
      <c r="B145" s="39"/>
      <c r="C145" s="3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8"/>
      <c r="B146" s="39"/>
      <c r="C146" s="3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8"/>
      <c r="B147" s="39"/>
      <c r="C147" s="3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8"/>
      <c r="B148" s="39"/>
      <c r="C148" s="3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8"/>
      <c r="B149" s="39"/>
      <c r="C149" s="3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8"/>
      <c r="B150" s="39"/>
      <c r="C150" s="3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8"/>
      <c r="B151" s="39"/>
      <c r="C151" s="3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8"/>
      <c r="B152" s="39"/>
      <c r="C152" s="3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8"/>
      <c r="B153" s="39"/>
      <c r="C153" s="3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8"/>
      <c r="B154" s="39"/>
      <c r="C154" s="3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8"/>
      <c r="B155" s="39"/>
      <c r="C155" s="3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8"/>
      <c r="B156" s="39"/>
      <c r="C156" s="3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8"/>
      <c r="B157" s="39"/>
      <c r="C157" s="3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8"/>
      <c r="B158" s="39"/>
      <c r="C158" s="3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8"/>
      <c r="B159" s="39"/>
      <c r="C159" s="3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8"/>
      <c r="B160" s="39"/>
      <c r="C160" s="3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8"/>
      <c r="B161" s="39"/>
      <c r="C161" s="3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8"/>
      <c r="B162" s="39"/>
      <c r="C162" s="3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8"/>
      <c r="B163" s="39"/>
      <c r="C163" s="3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8"/>
      <c r="B164" s="39"/>
      <c r="C164" s="3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8"/>
      <c r="B165" s="39"/>
      <c r="C165" s="3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8"/>
      <c r="B166" s="39"/>
      <c r="C166" s="3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8"/>
      <c r="B167" s="39"/>
      <c r="C167" s="3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8"/>
      <c r="B168" s="39"/>
      <c r="C168" s="3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8"/>
      <c r="B169" s="39"/>
      <c r="C169" s="3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8"/>
      <c r="B170" s="39"/>
      <c r="C170" s="3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8"/>
      <c r="B171" s="39"/>
      <c r="C171" s="3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8"/>
      <c r="B172" s="39"/>
      <c r="C172" s="3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8"/>
      <c r="B173" s="39"/>
      <c r="C173" s="3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8"/>
      <c r="B174" s="39"/>
      <c r="C174" s="3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8"/>
      <c r="B175" s="39"/>
      <c r="C175" s="3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8"/>
      <c r="B176" s="39"/>
      <c r="C176" s="3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8"/>
      <c r="B177" s="39"/>
      <c r="C177" s="3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8"/>
      <c r="B178" s="39"/>
      <c r="C178" s="3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8"/>
      <c r="B179" s="39"/>
      <c r="C179" s="3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8"/>
      <c r="B180" s="39"/>
      <c r="C180" s="3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8"/>
      <c r="B181" s="39"/>
      <c r="C181" s="3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8"/>
      <c r="B182" s="39"/>
      <c r="C182" s="3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8"/>
      <c r="B183" s="39"/>
      <c r="C183" s="3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8"/>
      <c r="B184" s="39"/>
      <c r="C184" s="3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8"/>
      <c r="B185" s="39"/>
      <c r="C185" s="3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8"/>
      <c r="B186" s="39"/>
      <c r="C186" s="3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8"/>
      <c r="B187" s="39"/>
      <c r="C187" s="3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8"/>
      <c r="B188" s="39"/>
      <c r="C188" s="3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8"/>
      <c r="B189" s="39"/>
      <c r="C189" s="3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8"/>
      <c r="B190" s="39"/>
      <c r="C190" s="3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8"/>
      <c r="B191" s="39"/>
      <c r="C191" s="3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8"/>
      <c r="B192" s="39"/>
      <c r="C192" s="3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8"/>
      <c r="B193" s="39"/>
      <c r="C193" s="3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8"/>
      <c r="B194" s="39"/>
      <c r="C194" s="3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8"/>
      <c r="B195" s="39"/>
      <c r="C195" s="3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8"/>
      <c r="B196" s="39"/>
      <c r="C196" s="3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8"/>
      <c r="B197" s="39"/>
      <c r="C197" s="3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8"/>
      <c r="B198" s="39"/>
      <c r="C198" s="3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8"/>
      <c r="B199" s="39"/>
      <c r="C199" s="3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8"/>
      <c r="B200" s="39"/>
      <c r="C200" s="3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8"/>
      <c r="B201" s="39"/>
      <c r="C201" s="3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8"/>
      <c r="B202" s="39"/>
      <c r="C202" s="3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8"/>
      <c r="B203" s="39"/>
      <c r="C203" s="3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8"/>
      <c r="B204" s="39"/>
      <c r="C204" s="3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8"/>
      <c r="B205" s="39"/>
      <c r="C205" s="3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8"/>
      <c r="B206" s="39"/>
      <c r="C206" s="3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8"/>
      <c r="B207" s="39"/>
      <c r="C207" s="3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8"/>
      <c r="B208" s="39"/>
      <c r="C208" s="3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8"/>
      <c r="B209" s="39"/>
      <c r="C209" s="3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8"/>
      <c r="B210" s="39"/>
      <c r="C210" s="3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8"/>
      <c r="B211" s="39"/>
      <c r="C211" s="3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8"/>
      <c r="B212" s="39"/>
      <c r="C212" s="3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8"/>
      <c r="B213" s="39"/>
      <c r="C213" s="3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8"/>
      <c r="B214" s="39"/>
      <c r="C214" s="3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8"/>
      <c r="B215" s="39"/>
      <c r="C215" s="3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8"/>
      <c r="B216" s="39"/>
      <c r="C216" s="3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8"/>
      <c r="B217" s="39"/>
      <c r="C217" s="3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8"/>
      <c r="B218" s="39"/>
      <c r="C218" s="3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8"/>
      <c r="B219" s="39"/>
      <c r="C219" s="3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8"/>
      <c r="B220" s="39"/>
      <c r="C220" s="3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8"/>
      <c r="B221" s="39"/>
      <c r="C221" s="3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8"/>
      <c r="B222" s="39"/>
      <c r="C222" s="3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8"/>
      <c r="B223" s="39"/>
      <c r="C223" s="3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8"/>
      <c r="B224" s="39"/>
      <c r="C224" s="3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8"/>
      <c r="B225" s="39"/>
      <c r="C225" s="3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8"/>
      <c r="B226" s="39"/>
      <c r="C226" s="3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8"/>
      <c r="B227" s="39"/>
      <c r="C227" s="3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8"/>
      <c r="B228" s="39"/>
      <c r="C228" s="3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8"/>
      <c r="B229" s="39"/>
      <c r="C229" s="3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8"/>
      <c r="B230" s="39"/>
      <c r="C230" s="3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8"/>
      <c r="B231" s="39"/>
      <c r="C231" s="3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8"/>
      <c r="B232" s="39"/>
      <c r="C232" s="3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8"/>
      <c r="B233" s="39"/>
      <c r="C233" s="3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8"/>
      <c r="B234" s="39"/>
      <c r="C234" s="3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8"/>
      <c r="B235" s="39"/>
      <c r="C235" s="3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8"/>
      <c r="B236" s="39"/>
      <c r="C236" s="3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8"/>
      <c r="B237" s="39"/>
      <c r="C237" s="3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8"/>
      <c r="B238" s="39"/>
      <c r="C238" s="3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8"/>
      <c r="B239" s="39"/>
      <c r="C239" s="3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8"/>
      <c r="B240" s="39"/>
      <c r="C240" s="3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8"/>
      <c r="B241" s="39"/>
      <c r="C241" s="3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8"/>
      <c r="B242" s="39"/>
      <c r="C242" s="3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8"/>
      <c r="B243" s="39"/>
      <c r="C243" s="3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8"/>
      <c r="B244" s="39"/>
      <c r="C244" s="3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8"/>
      <c r="B245" s="39"/>
      <c r="C245" s="3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8"/>
      <c r="B246" s="39"/>
      <c r="C246" s="3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8"/>
      <c r="B247" s="39"/>
      <c r="C247" s="3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8"/>
      <c r="B248" s="39"/>
      <c r="C248" s="3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8"/>
      <c r="B249" s="39"/>
      <c r="C249" s="3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8"/>
      <c r="B250" s="39"/>
      <c r="C250" s="3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8"/>
      <c r="B251" s="39"/>
      <c r="C251" s="3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8"/>
      <c r="B252" s="39"/>
      <c r="C252" s="3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8"/>
      <c r="B253" s="39"/>
      <c r="C253" s="3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8"/>
      <c r="B254" s="39"/>
      <c r="C254" s="3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8"/>
      <c r="B255" s="39"/>
      <c r="C255" s="3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8"/>
      <c r="B256" s="39"/>
      <c r="C256" s="3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8"/>
      <c r="B257" s="39"/>
      <c r="C257" s="3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8"/>
      <c r="B258" s="39"/>
      <c r="C258" s="3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8"/>
      <c r="B259" s="39"/>
      <c r="C259" s="3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8"/>
      <c r="B260" s="39"/>
      <c r="C260" s="3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8"/>
      <c r="B261" s="39"/>
      <c r="C261" s="3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8"/>
      <c r="B262" s="39"/>
      <c r="C262" s="3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8"/>
      <c r="B263" s="39"/>
      <c r="C263" s="3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8"/>
      <c r="B264" s="39"/>
      <c r="C264" s="3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8"/>
      <c r="B265" s="39"/>
      <c r="C265" s="3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8"/>
      <c r="B266" s="39"/>
      <c r="C266" s="3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8"/>
      <c r="B267" s="39"/>
      <c r="C267" s="3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8"/>
      <c r="B268" s="39"/>
      <c r="C268" s="3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8"/>
      <c r="B269" s="39"/>
      <c r="C269" s="3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8"/>
      <c r="B270" s="39"/>
      <c r="C270" s="3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8"/>
      <c r="B271" s="39"/>
      <c r="C271" s="3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8"/>
      <c r="B272" s="39"/>
      <c r="C272" s="3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8"/>
      <c r="B273" s="39"/>
      <c r="C273" s="3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8"/>
      <c r="B274" s="39"/>
      <c r="C274" s="3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8"/>
      <c r="B275" s="39"/>
      <c r="C275" s="3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8"/>
      <c r="B276" s="39"/>
      <c r="C276" s="3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8"/>
      <c r="B277" s="39"/>
      <c r="C277" s="3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8"/>
      <c r="B278" s="39"/>
      <c r="C278" s="3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8"/>
      <c r="B279" s="39"/>
      <c r="C279" s="3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8"/>
      <c r="B280" s="39"/>
      <c r="C280" s="3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8"/>
      <c r="B281" s="39"/>
      <c r="C281" s="3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8"/>
      <c r="B282" s="39"/>
      <c r="C282" s="3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8"/>
      <c r="B283" s="39"/>
      <c r="C283" s="3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8"/>
      <c r="B284" s="39"/>
      <c r="C284" s="3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8"/>
      <c r="B285" s="39"/>
      <c r="C285" s="3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8"/>
      <c r="B286" s="39"/>
      <c r="C286" s="3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8"/>
      <c r="B287" s="39"/>
      <c r="C287" s="3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8"/>
      <c r="B288" s="39"/>
      <c r="C288" s="3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8"/>
      <c r="B289" s="39"/>
      <c r="C289" s="3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8"/>
      <c r="B290" s="39"/>
      <c r="C290" s="3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8"/>
      <c r="B291" s="39"/>
      <c r="C291" s="3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8"/>
      <c r="B292" s="39"/>
      <c r="C292" s="3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8"/>
      <c r="B293" s="39"/>
      <c r="C293" s="3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8"/>
      <c r="B294" s="39"/>
      <c r="C294" s="3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8"/>
      <c r="B295" s="39"/>
      <c r="C295" s="3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8"/>
      <c r="B296" s="39"/>
      <c r="C296" s="3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8"/>
      <c r="B297" s="39"/>
      <c r="C297" s="3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38"/>
      <c r="B298" s="39"/>
      <c r="C298" s="3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38"/>
      <c r="B299" s="39"/>
      <c r="C299" s="3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38"/>
      <c r="B300" s="39"/>
      <c r="C300" s="3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38"/>
      <c r="B301" s="39"/>
      <c r="C301" s="3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38"/>
      <c r="B302" s="39"/>
      <c r="C302" s="3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38"/>
      <c r="B303" s="39"/>
      <c r="C303" s="3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38"/>
      <c r="B304" s="39"/>
      <c r="C304" s="3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38"/>
      <c r="B305" s="39"/>
      <c r="C305" s="3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38"/>
      <c r="B306" s="39"/>
      <c r="C306" s="3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38"/>
      <c r="B307" s="39"/>
      <c r="C307" s="3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38"/>
      <c r="B308" s="39"/>
      <c r="C308" s="3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38"/>
      <c r="B309" s="39"/>
      <c r="C309" s="3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38"/>
      <c r="B310" s="39"/>
      <c r="C310" s="3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38"/>
      <c r="B311" s="39"/>
      <c r="C311" s="3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38"/>
      <c r="B312" s="39"/>
      <c r="C312" s="3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38"/>
      <c r="B313" s="39"/>
      <c r="C313" s="3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38"/>
      <c r="B314" s="39"/>
      <c r="C314" s="3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38"/>
      <c r="B315" s="39"/>
      <c r="C315" s="3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38"/>
      <c r="B316" s="39"/>
      <c r="C316" s="3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38"/>
      <c r="B317" s="39"/>
      <c r="C317" s="3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38"/>
      <c r="B318" s="39"/>
      <c r="C318" s="3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38"/>
      <c r="B319" s="39"/>
      <c r="C319" s="3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38"/>
      <c r="B320" s="39"/>
      <c r="C320" s="3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38"/>
      <c r="B321" s="39"/>
      <c r="C321" s="3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38"/>
      <c r="B322" s="39"/>
      <c r="C322" s="3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38"/>
      <c r="B323" s="39"/>
      <c r="C323" s="3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38"/>
      <c r="B324" s="39"/>
      <c r="C324" s="3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38"/>
      <c r="B325" s="39"/>
      <c r="C325" s="3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38"/>
      <c r="B326" s="39"/>
      <c r="C326" s="3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38"/>
      <c r="B327" s="39"/>
      <c r="C327" s="3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38"/>
      <c r="B328" s="39"/>
      <c r="C328" s="3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38"/>
      <c r="B329" s="39"/>
      <c r="C329" s="3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38"/>
      <c r="B330" s="39"/>
      <c r="C330" s="3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8"/>
      <c r="B331" s="39"/>
      <c r="C331" s="3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38"/>
      <c r="B332" s="39"/>
      <c r="C332" s="3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38"/>
      <c r="B333" s="39"/>
      <c r="C333" s="3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38"/>
      <c r="B334" s="39"/>
      <c r="C334" s="3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38"/>
      <c r="B335" s="39"/>
      <c r="C335" s="3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38"/>
      <c r="B336" s="39"/>
      <c r="C336" s="3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8"/>
      <c r="B337" s="39"/>
      <c r="C337" s="3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38"/>
      <c r="B338" s="39"/>
      <c r="C338" s="3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38"/>
      <c r="B339" s="39"/>
      <c r="C339" s="3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38"/>
      <c r="B340" s="39"/>
      <c r="C340" s="3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38"/>
      <c r="B341" s="39"/>
      <c r="C341" s="3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38"/>
      <c r="B342" s="39"/>
      <c r="C342" s="3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8"/>
      <c r="B343" s="39"/>
      <c r="C343" s="3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8"/>
      <c r="B344" s="39"/>
      <c r="C344" s="3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8"/>
      <c r="B345" s="39"/>
      <c r="C345" s="3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8"/>
      <c r="B346" s="39"/>
      <c r="C346" s="3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8"/>
      <c r="B347" s="39"/>
      <c r="C347" s="3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8"/>
      <c r="B348" s="39"/>
      <c r="C348" s="3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8"/>
      <c r="B349" s="39"/>
      <c r="C349" s="3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8"/>
      <c r="B350" s="39"/>
      <c r="C350" s="3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8"/>
      <c r="B351" s="39"/>
      <c r="C351" s="3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8"/>
      <c r="B352" s="39"/>
      <c r="C352" s="3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8"/>
      <c r="B353" s="39"/>
      <c r="C353" s="3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8"/>
      <c r="B354" s="39"/>
      <c r="C354" s="3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8"/>
      <c r="B355" s="39"/>
      <c r="C355" s="3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8"/>
      <c r="B356" s="39"/>
      <c r="C356" s="3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8"/>
      <c r="B357" s="39"/>
      <c r="C357" s="3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8"/>
      <c r="B358" s="39"/>
      <c r="C358" s="3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8"/>
      <c r="B359" s="39"/>
      <c r="C359" s="3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8"/>
      <c r="B360" s="39"/>
      <c r="C360" s="3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8"/>
      <c r="B361" s="39"/>
      <c r="C361" s="3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8"/>
      <c r="B362" s="39"/>
      <c r="C362" s="3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8"/>
      <c r="B363" s="39"/>
      <c r="C363" s="3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8"/>
      <c r="B364" s="39"/>
      <c r="C364" s="3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8"/>
      <c r="B365" s="39"/>
      <c r="C365" s="3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8"/>
      <c r="B366" s="39"/>
      <c r="C366" s="3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8"/>
      <c r="B367" s="39"/>
      <c r="C367" s="3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8"/>
      <c r="B368" s="39"/>
      <c r="C368" s="3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8"/>
      <c r="B369" s="39"/>
      <c r="C369" s="3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8"/>
      <c r="B370" s="39"/>
      <c r="C370" s="3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8"/>
      <c r="B371" s="39"/>
      <c r="C371" s="3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8"/>
      <c r="B372" s="39"/>
      <c r="C372" s="3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8"/>
      <c r="B373" s="39"/>
      <c r="C373" s="3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8"/>
      <c r="B374" s="39"/>
      <c r="C374" s="3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8"/>
      <c r="B375" s="39"/>
      <c r="C375" s="3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8"/>
      <c r="B376" s="39"/>
      <c r="C376" s="3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8"/>
      <c r="B377" s="39"/>
      <c r="C377" s="3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8"/>
      <c r="B378" s="39"/>
      <c r="C378" s="3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8"/>
      <c r="B379" s="39"/>
      <c r="C379" s="3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8"/>
      <c r="B380" s="39"/>
      <c r="C380" s="3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8"/>
      <c r="B381" s="39"/>
      <c r="C381" s="3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8"/>
      <c r="B382" s="39"/>
      <c r="C382" s="3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8"/>
      <c r="B383" s="39"/>
      <c r="C383" s="3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8"/>
      <c r="B384" s="39"/>
      <c r="C384" s="3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8"/>
      <c r="B385" s="39"/>
      <c r="C385" s="3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8"/>
      <c r="B386" s="39"/>
      <c r="C386" s="3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8"/>
      <c r="B387" s="39"/>
      <c r="C387" s="3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8"/>
      <c r="B388" s="39"/>
      <c r="C388" s="3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8"/>
      <c r="B389" s="39"/>
      <c r="C389" s="3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8"/>
      <c r="B390" s="39"/>
      <c r="C390" s="3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8"/>
      <c r="B391" s="39"/>
      <c r="C391" s="3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8"/>
      <c r="B392" s="39"/>
      <c r="C392" s="3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8"/>
      <c r="B393" s="39"/>
      <c r="C393" s="3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8"/>
      <c r="B394" s="39"/>
      <c r="C394" s="3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8"/>
      <c r="B395" s="39"/>
      <c r="C395" s="3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8"/>
      <c r="B396" s="39"/>
      <c r="C396" s="3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8"/>
      <c r="B397" s="39"/>
      <c r="C397" s="3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8"/>
      <c r="B398" s="39"/>
      <c r="C398" s="3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8"/>
      <c r="B399" s="39"/>
      <c r="C399" s="3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8"/>
      <c r="B400" s="39"/>
      <c r="C400" s="3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8"/>
      <c r="B401" s="39"/>
      <c r="C401" s="3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8"/>
      <c r="B402" s="39"/>
      <c r="C402" s="3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8"/>
      <c r="B403" s="39"/>
      <c r="C403" s="3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8"/>
      <c r="B404" s="39"/>
      <c r="C404" s="3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8"/>
      <c r="B405" s="39"/>
      <c r="C405" s="3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8"/>
      <c r="B406" s="39"/>
      <c r="C406" s="3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8"/>
      <c r="B407" s="39"/>
      <c r="C407" s="3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8"/>
      <c r="B408" s="39"/>
      <c r="C408" s="3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8"/>
      <c r="B409" s="39"/>
      <c r="C409" s="3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8"/>
      <c r="B410" s="39"/>
      <c r="C410" s="3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8"/>
      <c r="B411" s="39"/>
      <c r="C411" s="3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8"/>
      <c r="B412" s="39"/>
      <c r="C412" s="3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8"/>
      <c r="B413" s="39"/>
      <c r="C413" s="3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8"/>
      <c r="B414" s="39"/>
      <c r="C414" s="3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8"/>
      <c r="B415" s="39"/>
      <c r="C415" s="3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8"/>
      <c r="B416" s="39"/>
      <c r="C416" s="3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8"/>
      <c r="B417" s="39"/>
      <c r="C417" s="3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8"/>
      <c r="B418" s="39"/>
      <c r="C418" s="3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8"/>
      <c r="B419" s="39"/>
      <c r="C419" s="3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8"/>
      <c r="B420" s="39"/>
      <c r="C420" s="3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8"/>
      <c r="B421" s="39"/>
      <c r="C421" s="3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8"/>
      <c r="B422" s="39"/>
      <c r="C422" s="3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8"/>
      <c r="B423" s="39"/>
      <c r="C423" s="3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8"/>
      <c r="B424" s="39"/>
      <c r="C424" s="3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8"/>
      <c r="B425" s="39"/>
      <c r="C425" s="3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8"/>
      <c r="B426" s="39"/>
      <c r="C426" s="3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8"/>
      <c r="B427" s="39"/>
      <c r="C427" s="3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8"/>
      <c r="B428" s="39"/>
      <c r="C428" s="3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8"/>
      <c r="B429" s="39"/>
      <c r="C429" s="3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8"/>
      <c r="B430" s="39"/>
      <c r="C430" s="3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8"/>
      <c r="B431" s="39"/>
      <c r="C431" s="3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8"/>
      <c r="B432" s="39"/>
      <c r="C432" s="3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8"/>
      <c r="B433" s="39"/>
      <c r="C433" s="3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8"/>
      <c r="B434" s="39"/>
      <c r="C434" s="3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8"/>
      <c r="B435" s="39"/>
      <c r="C435" s="3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8"/>
      <c r="B436" s="39"/>
      <c r="C436" s="3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8"/>
      <c r="B437" s="39"/>
      <c r="C437" s="3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8"/>
      <c r="B438" s="39"/>
      <c r="C438" s="3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8"/>
      <c r="B439" s="39"/>
      <c r="C439" s="3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8"/>
      <c r="B440" s="39"/>
      <c r="C440" s="3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8"/>
      <c r="B441" s="39"/>
      <c r="C441" s="3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8"/>
      <c r="B442" s="39"/>
      <c r="C442" s="3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8"/>
      <c r="B443" s="39"/>
      <c r="C443" s="3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8"/>
      <c r="B444" s="39"/>
      <c r="C444" s="3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8"/>
      <c r="B445" s="39"/>
      <c r="C445" s="3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8"/>
      <c r="B446" s="39"/>
      <c r="C446" s="3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8"/>
      <c r="B447" s="39"/>
      <c r="C447" s="3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8"/>
      <c r="B448" s="39"/>
      <c r="C448" s="3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8"/>
      <c r="B449" s="39"/>
      <c r="C449" s="3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8"/>
      <c r="B450" s="39"/>
      <c r="C450" s="3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8"/>
      <c r="B451" s="39"/>
      <c r="C451" s="3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8"/>
      <c r="B452" s="39"/>
      <c r="C452" s="3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8"/>
      <c r="B453" s="39"/>
      <c r="C453" s="3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8"/>
      <c r="B454" s="39"/>
      <c r="C454" s="3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8"/>
      <c r="B455" s="39"/>
      <c r="C455" s="3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8"/>
      <c r="B456" s="39"/>
      <c r="C456" s="3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8"/>
      <c r="B457" s="39"/>
      <c r="C457" s="3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8"/>
      <c r="B458" s="39"/>
      <c r="C458" s="3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8"/>
      <c r="B459" s="39"/>
      <c r="C459" s="3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8"/>
      <c r="B460" s="39"/>
      <c r="C460" s="3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8"/>
      <c r="B461" s="39"/>
      <c r="C461" s="3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8"/>
      <c r="B462" s="39"/>
      <c r="C462" s="3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8"/>
      <c r="B463" s="39"/>
      <c r="C463" s="3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8"/>
      <c r="B464" s="39"/>
      <c r="C464" s="3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8"/>
      <c r="B465" s="39"/>
      <c r="C465" s="3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8"/>
      <c r="B466" s="39"/>
      <c r="C466" s="3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8"/>
      <c r="B467" s="39"/>
      <c r="C467" s="3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8"/>
      <c r="B468" s="39"/>
      <c r="C468" s="3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8"/>
      <c r="B469" s="39"/>
      <c r="C469" s="3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8"/>
      <c r="B470" s="39"/>
      <c r="C470" s="3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8"/>
      <c r="B471" s="39"/>
      <c r="C471" s="3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8"/>
      <c r="B472" s="39"/>
      <c r="C472" s="3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8"/>
      <c r="B473" s="39"/>
      <c r="C473" s="3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8"/>
      <c r="B474" s="39"/>
      <c r="C474" s="3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8"/>
      <c r="B475" s="39"/>
      <c r="C475" s="3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8"/>
      <c r="B476" s="39"/>
      <c r="C476" s="3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8"/>
      <c r="B477" s="39"/>
      <c r="C477" s="3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8"/>
      <c r="B478" s="39"/>
      <c r="C478" s="3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8"/>
      <c r="B479" s="39"/>
      <c r="C479" s="3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8"/>
      <c r="B480" s="39"/>
      <c r="C480" s="3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8"/>
      <c r="B481" s="39"/>
      <c r="C481" s="3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8"/>
      <c r="B482" s="39"/>
      <c r="C482" s="3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8"/>
      <c r="B483" s="39"/>
      <c r="C483" s="3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8"/>
      <c r="B484" s="39"/>
      <c r="C484" s="3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8"/>
      <c r="B485" s="39"/>
      <c r="C485" s="3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8"/>
      <c r="B486" s="39"/>
      <c r="C486" s="3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8"/>
      <c r="B487" s="39"/>
      <c r="C487" s="3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8"/>
      <c r="B488" s="39"/>
      <c r="C488" s="3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8"/>
      <c r="B489" s="39"/>
      <c r="C489" s="3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8"/>
      <c r="B490" s="39"/>
      <c r="C490" s="3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8"/>
      <c r="B491" s="39"/>
      <c r="C491" s="3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8"/>
      <c r="B492" s="39"/>
      <c r="C492" s="3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8"/>
      <c r="B493" s="39"/>
      <c r="C493" s="3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8"/>
      <c r="B494" s="39"/>
      <c r="C494" s="3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8"/>
      <c r="B495" s="39"/>
      <c r="C495" s="3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8"/>
      <c r="B496" s="39"/>
      <c r="C496" s="3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8"/>
      <c r="B497" s="39"/>
      <c r="C497" s="3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8"/>
      <c r="B498" s="39"/>
      <c r="C498" s="3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8"/>
      <c r="B499" s="39"/>
      <c r="C499" s="3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8"/>
      <c r="B500" s="39"/>
      <c r="C500" s="3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8"/>
      <c r="B501" s="39"/>
      <c r="C501" s="3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8"/>
      <c r="B502" s="39"/>
      <c r="C502" s="3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8"/>
      <c r="B503" s="39"/>
      <c r="C503" s="3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8"/>
      <c r="B504" s="39"/>
      <c r="C504" s="3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8"/>
      <c r="B505" s="39"/>
      <c r="C505" s="3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8"/>
      <c r="B506" s="39"/>
      <c r="C506" s="3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8"/>
      <c r="B507" s="39"/>
      <c r="C507" s="3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8"/>
      <c r="B508" s="39"/>
      <c r="C508" s="3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8"/>
      <c r="B509" s="39"/>
      <c r="C509" s="3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8"/>
      <c r="B510" s="39"/>
      <c r="C510" s="3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8"/>
      <c r="B511" s="39"/>
      <c r="C511" s="3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8"/>
      <c r="B512" s="39"/>
      <c r="C512" s="3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8"/>
      <c r="B513" s="39"/>
      <c r="C513" s="3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8"/>
      <c r="B514" s="39"/>
      <c r="C514" s="3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8"/>
      <c r="B515" s="39"/>
      <c r="C515" s="3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8"/>
      <c r="B516" s="39"/>
      <c r="C516" s="3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8"/>
      <c r="B517" s="39"/>
      <c r="C517" s="3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8"/>
      <c r="B518" s="39"/>
      <c r="C518" s="3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8"/>
      <c r="B519" s="39"/>
      <c r="C519" s="3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8"/>
      <c r="B520" s="39"/>
      <c r="C520" s="3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8"/>
      <c r="B521" s="39"/>
      <c r="C521" s="3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8"/>
      <c r="B522" s="39"/>
      <c r="C522" s="3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8"/>
      <c r="B523" s="39"/>
      <c r="C523" s="3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8"/>
      <c r="B524" s="39"/>
      <c r="C524" s="3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8"/>
      <c r="B525" s="39"/>
      <c r="C525" s="3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8"/>
      <c r="B526" s="39"/>
      <c r="C526" s="3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8"/>
      <c r="B527" s="39"/>
      <c r="C527" s="3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8"/>
      <c r="B528" s="39"/>
      <c r="C528" s="3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8"/>
      <c r="B529" s="39"/>
      <c r="C529" s="3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8"/>
      <c r="B530" s="39"/>
      <c r="C530" s="3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8"/>
      <c r="B531" s="39"/>
      <c r="C531" s="3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8"/>
      <c r="B532" s="39"/>
      <c r="C532" s="3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8"/>
      <c r="B533" s="39"/>
      <c r="C533" s="3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8"/>
      <c r="B534" s="39"/>
      <c r="C534" s="3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8"/>
      <c r="B535" s="39"/>
      <c r="C535" s="3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8"/>
      <c r="B536" s="39"/>
      <c r="C536" s="3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8"/>
      <c r="B537" s="39"/>
      <c r="C537" s="3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8"/>
      <c r="B538" s="39"/>
      <c r="C538" s="3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8"/>
      <c r="B539" s="39"/>
      <c r="C539" s="3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8"/>
      <c r="B540" s="39"/>
      <c r="C540" s="3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8"/>
      <c r="B541" s="39"/>
      <c r="C541" s="3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8"/>
      <c r="B542" s="39"/>
      <c r="C542" s="3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38"/>
      <c r="B543" s="39"/>
      <c r="C543" s="3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38"/>
      <c r="B544" s="39"/>
      <c r="C544" s="3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38"/>
      <c r="B545" s="39"/>
      <c r="C545" s="3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38"/>
      <c r="B546" s="39"/>
      <c r="C546" s="3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38"/>
      <c r="B547" s="39"/>
      <c r="C547" s="3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38"/>
      <c r="B548" s="39"/>
      <c r="C548" s="3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38"/>
      <c r="B549" s="39"/>
      <c r="C549" s="3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38"/>
      <c r="B550" s="39"/>
      <c r="C550" s="3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38"/>
      <c r="B551" s="39"/>
      <c r="C551" s="3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38"/>
      <c r="B552" s="39"/>
      <c r="C552" s="3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38"/>
      <c r="B553" s="39"/>
      <c r="C553" s="3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38"/>
      <c r="B554" s="39"/>
      <c r="C554" s="3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38"/>
      <c r="B555" s="39"/>
      <c r="C555" s="3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38"/>
      <c r="B556" s="39"/>
      <c r="C556" s="3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38"/>
      <c r="B557" s="39"/>
      <c r="C557" s="3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38"/>
      <c r="B558" s="39"/>
      <c r="C558" s="3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38"/>
      <c r="B559" s="39"/>
      <c r="C559" s="3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38"/>
      <c r="B560" s="39"/>
      <c r="C560" s="3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38"/>
      <c r="B561" s="39"/>
      <c r="C561" s="3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38"/>
      <c r="B562" s="39"/>
      <c r="C562" s="3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38"/>
      <c r="B563" s="39"/>
      <c r="C563" s="3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38"/>
      <c r="B564" s="39"/>
      <c r="C564" s="3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38"/>
      <c r="B565" s="39"/>
      <c r="C565" s="3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38"/>
      <c r="B566" s="39"/>
      <c r="C566" s="3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38"/>
      <c r="B567" s="39"/>
      <c r="C567" s="3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38"/>
      <c r="B568" s="39"/>
      <c r="C568" s="3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38"/>
      <c r="B569" s="39"/>
      <c r="C569" s="3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38"/>
      <c r="B570" s="39"/>
      <c r="C570" s="3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38"/>
      <c r="B571" s="39"/>
      <c r="C571" s="3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38"/>
      <c r="B572" s="39"/>
      <c r="C572" s="3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38"/>
      <c r="B573" s="39"/>
      <c r="C573" s="3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38"/>
      <c r="B574" s="39"/>
      <c r="C574" s="3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38"/>
      <c r="B575" s="39"/>
      <c r="C575" s="3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38"/>
      <c r="B576" s="39"/>
      <c r="C576" s="3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38"/>
      <c r="B577" s="39"/>
      <c r="C577" s="3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38"/>
      <c r="B578" s="39"/>
      <c r="C578" s="3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38"/>
      <c r="B579" s="39"/>
      <c r="C579" s="3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38"/>
      <c r="B580" s="39"/>
      <c r="C580" s="3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38"/>
      <c r="B581" s="39"/>
      <c r="C581" s="3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38"/>
      <c r="B582" s="39"/>
      <c r="C582" s="3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38"/>
      <c r="B583" s="39"/>
      <c r="C583" s="3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38"/>
      <c r="B584" s="39"/>
      <c r="C584" s="3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38"/>
      <c r="B585" s="39"/>
      <c r="C585" s="3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38"/>
      <c r="B586" s="39"/>
      <c r="C586" s="3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38"/>
      <c r="B587" s="39"/>
      <c r="C587" s="3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38"/>
      <c r="B588" s="39"/>
      <c r="C588" s="3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38"/>
      <c r="B589" s="39"/>
      <c r="C589" s="3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38"/>
      <c r="B590" s="39"/>
      <c r="C590" s="3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38"/>
      <c r="B591" s="39"/>
      <c r="C591" s="3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38"/>
      <c r="B592" s="39"/>
      <c r="C592" s="3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38"/>
      <c r="B593" s="39"/>
      <c r="C593" s="3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38"/>
      <c r="B594" s="39"/>
      <c r="C594" s="3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38"/>
      <c r="B595" s="39"/>
      <c r="C595" s="3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38"/>
      <c r="B596" s="39"/>
      <c r="C596" s="3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38"/>
      <c r="B597" s="39"/>
      <c r="C597" s="3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38"/>
      <c r="B598" s="39"/>
      <c r="C598" s="3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38"/>
      <c r="B599" s="39"/>
      <c r="C599" s="3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38"/>
      <c r="B600" s="39"/>
      <c r="C600" s="3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38"/>
      <c r="B601" s="39"/>
      <c r="C601" s="3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38"/>
      <c r="B602" s="39"/>
      <c r="C602" s="3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38"/>
      <c r="B603" s="39"/>
      <c r="C603" s="3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38"/>
      <c r="B604" s="39"/>
      <c r="C604" s="3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38"/>
      <c r="B605" s="39"/>
      <c r="C605" s="3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38"/>
      <c r="B606" s="39"/>
      <c r="C606" s="3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38"/>
      <c r="B607" s="39"/>
      <c r="C607" s="3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38"/>
      <c r="B608" s="39"/>
      <c r="C608" s="3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38"/>
      <c r="B609" s="39"/>
      <c r="C609" s="3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38"/>
      <c r="B610" s="39"/>
      <c r="C610" s="3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38"/>
      <c r="B611" s="39"/>
      <c r="C611" s="3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38"/>
      <c r="B612" s="39"/>
      <c r="C612" s="3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38"/>
      <c r="B613" s="39"/>
      <c r="C613" s="3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38"/>
      <c r="B614" s="39"/>
      <c r="C614" s="3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38"/>
      <c r="B615" s="39"/>
      <c r="C615" s="3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38"/>
      <c r="B616" s="39"/>
      <c r="C616" s="3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38"/>
      <c r="B617" s="39"/>
      <c r="C617" s="3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38"/>
      <c r="B618" s="39"/>
      <c r="C618" s="3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38"/>
      <c r="B619" s="39"/>
      <c r="C619" s="3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38"/>
      <c r="B620" s="39"/>
      <c r="C620" s="3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38"/>
      <c r="B621" s="39"/>
      <c r="C621" s="3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38"/>
      <c r="B622" s="39"/>
      <c r="C622" s="3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38"/>
      <c r="B623" s="39"/>
      <c r="C623" s="3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38"/>
      <c r="B624" s="39"/>
      <c r="C624" s="3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38"/>
      <c r="B625" s="39"/>
      <c r="C625" s="3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38"/>
      <c r="B626" s="39"/>
      <c r="C626" s="3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38"/>
      <c r="B627" s="39"/>
      <c r="C627" s="3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38"/>
      <c r="B628" s="39"/>
      <c r="C628" s="3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38"/>
      <c r="B629" s="39"/>
      <c r="C629" s="3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38"/>
      <c r="B630" s="39"/>
      <c r="C630" s="3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38"/>
      <c r="B631" s="39"/>
      <c r="C631" s="3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38"/>
      <c r="B632" s="39"/>
      <c r="C632" s="3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38"/>
      <c r="B633" s="39"/>
      <c r="C633" s="3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38"/>
      <c r="B634" s="39"/>
      <c r="C634" s="3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38"/>
      <c r="B635" s="39"/>
      <c r="C635" s="3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38"/>
      <c r="B636" s="39"/>
      <c r="C636" s="3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38"/>
      <c r="B637" s="39"/>
      <c r="C637" s="3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38"/>
      <c r="B638" s="39"/>
      <c r="C638" s="3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38"/>
      <c r="B639" s="39"/>
      <c r="C639" s="3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38"/>
      <c r="B640" s="39"/>
      <c r="C640" s="3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38"/>
      <c r="B641" s="39"/>
      <c r="C641" s="3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38"/>
      <c r="B642" s="39"/>
      <c r="C642" s="3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38"/>
      <c r="B643" s="39"/>
      <c r="C643" s="3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38"/>
      <c r="B644" s="39"/>
      <c r="C644" s="3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38"/>
      <c r="B645" s="39"/>
      <c r="C645" s="3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38"/>
      <c r="B646" s="39"/>
      <c r="C646" s="3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38"/>
      <c r="B647" s="39"/>
      <c r="C647" s="3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38"/>
      <c r="B648" s="39"/>
      <c r="C648" s="3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38"/>
      <c r="B649" s="39"/>
      <c r="C649" s="3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38"/>
      <c r="B650" s="39"/>
      <c r="C650" s="3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38"/>
      <c r="B651" s="39"/>
      <c r="C651" s="3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38"/>
      <c r="B652" s="39"/>
      <c r="C652" s="3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38"/>
      <c r="B653" s="39"/>
      <c r="C653" s="3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38"/>
      <c r="B654" s="39"/>
      <c r="C654" s="3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38"/>
      <c r="B655" s="39"/>
      <c r="C655" s="3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38"/>
      <c r="B656" s="39"/>
      <c r="C656" s="3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38"/>
      <c r="B657" s="39"/>
      <c r="C657" s="3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38"/>
      <c r="B658" s="39"/>
      <c r="C658" s="3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38"/>
      <c r="B659" s="39"/>
      <c r="C659" s="3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38"/>
      <c r="B660" s="39"/>
      <c r="C660" s="3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38"/>
      <c r="B661" s="39"/>
      <c r="C661" s="3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38"/>
      <c r="B662" s="39"/>
      <c r="C662" s="3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38"/>
      <c r="B663" s="39"/>
      <c r="C663" s="3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38"/>
      <c r="B664" s="39"/>
      <c r="C664" s="3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38"/>
      <c r="B665" s="39"/>
      <c r="C665" s="3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38"/>
      <c r="B666" s="39"/>
      <c r="C666" s="3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38"/>
      <c r="B667" s="39"/>
      <c r="C667" s="3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38"/>
      <c r="B668" s="39"/>
      <c r="C668" s="3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38"/>
      <c r="B669" s="39"/>
      <c r="C669" s="3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38"/>
      <c r="B670" s="39"/>
      <c r="C670" s="3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38"/>
      <c r="B671" s="39"/>
      <c r="C671" s="3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38"/>
      <c r="B672" s="39"/>
      <c r="C672" s="3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38"/>
      <c r="B673" s="39"/>
      <c r="C673" s="3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38"/>
      <c r="B674" s="39"/>
      <c r="C674" s="3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38"/>
      <c r="B675" s="39"/>
      <c r="C675" s="3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38"/>
      <c r="B676" s="39"/>
      <c r="C676" s="3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38"/>
      <c r="B677" s="39"/>
      <c r="C677" s="3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38"/>
      <c r="B678" s="39"/>
      <c r="C678" s="3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38"/>
      <c r="B679" s="39"/>
      <c r="C679" s="3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38"/>
      <c r="B680" s="39"/>
      <c r="C680" s="3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38"/>
      <c r="B681" s="39"/>
      <c r="C681" s="3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38"/>
      <c r="B682" s="39"/>
      <c r="C682" s="3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38"/>
      <c r="B683" s="39"/>
      <c r="C683" s="3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38"/>
      <c r="B684" s="39"/>
      <c r="C684" s="3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38"/>
      <c r="B685" s="39"/>
      <c r="C685" s="3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38"/>
      <c r="B686" s="39"/>
      <c r="C686" s="3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38"/>
      <c r="B687" s="39"/>
      <c r="C687" s="3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38"/>
      <c r="B688" s="39"/>
      <c r="C688" s="3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38"/>
      <c r="B689" s="39"/>
      <c r="C689" s="3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38"/>
      <c r="B690" s="39"/>
      <c r="C690" s="3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38"/>
      <c r="B691" s="39"/>
      <c r="C691" s="3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38"/>
      <c r="B692" s="39"/>
      <c r="C692" s="3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38"/>
      <c r="B693" s="39"/>
      <c r="C693" s="3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38"/>
      <c r="B694" s="39"/>
      <c r="C694" s="3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38"/>
      <c r="B695" s="39"/>
      <c r="C695" s="3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38"/>
      <c r="B696" s="39"/>
      <c r="C696" s="3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38"/>
      <c r="B697" s="39"/>
      <c r="C697" s="3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38"/>
      <c r="B698" s="39"/>
      <c r="C698" s="3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38"/>
      <c r="B699" s="39"/>
      <c r="C699" s="3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38"/>
      <c r="B700" s="39"/>
      <c r="C700" s="3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38"/>
      <c r="B701" s="39"/>
      <c r="C701" s="3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38"/>
      <c r="B702" s="39"/>
      <c r="C702" s="3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38"/>
      <c r="B703" s="39"/>
      <c r="C703" s="3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38"/>
      <c r="B704" s="39"/>
      <c r="C704" s="3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38"/>
      <c r="B705" s="39"/>
      <c r="C705" s="3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38"/>
      <c r="B706" s="39"/>
      <c r="C706" s="3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38"/>
      <c r="B707" s="39"/>
      <c r="C707" s="3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38"/>
      <c r="B708" s="39"/>
      <c r="C708" s="3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38"/>
      <c r="B709" s="39"/>
      <c r="C709" s="3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38"/>
      <c r="B710" s="39"/>
      <c r="C710" s="3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38"/>
      <c r="B711" s="39"/>
      <c r="C711" s="3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38"/>
      <c r="B712" s="39"/>
      <c r="C712" s="3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38"/>
      <c r="B713" s="39"/>
      <c r="C713" s="3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38"/>
      <c r="B714" s="39"/>
      <c r="C714" s="3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38"/>
      <c r="B715" s="39"/>
      <c r="C715" s="3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38"/>
      <c r="B716" s="39"/>
      <c r="C716" s="3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38"/>
      <c r="B717" s="39"/>
      <c r="C717" s="3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38"/>
      <c r="B718" s="39"/>
      <c r="C718" s="3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38"/>
      <c r="B719" s="39"/>
      <c r="C719" s="3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38"/>
      <c r="B720" s="39"/>
      <c r="C720" s="3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38"/>
      <c r="B721" s="39"/>
      <c r="C721" s="3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38"/>
      <c r="B722" s="39"/>
      <c r="C722" s="3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38"/>
      <c r="B723" s="39"/>
      <c r="C723" s="3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38"/>
      <c r="B724" s="39"/>
      <c r="C724" s="3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38"/>
      <c r="B725" s="39"/>
      <c r="C725" s="3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38"/>
      <c r="B726" s="39"/>
      <c r="C726" s="3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38"/>
      <c r="B727" s="39"/>
      <c r="C727" s="3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38"/>
      <c r="B728" s="39"/>
      <c r="C728" s="3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38"/>
      <c r="B729" s="39"/>
      <c r="C729" s="3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38"/>
      <c r="B730" s="39"/>
      <c r="C730" s="3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38"/>
      <c r="B731" s="39"/>
      <c r="C731" s="3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38"/>
      <c r="B732" s="39"/>
      <c r="C732" s="3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38"/>
      <c r="B733" s="39"/>
      <c r="C733" s="3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38"/>
      <c r="B734" s="39"/>
      <c r="C734" s="3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38"/>
      <c r="B735" s="39"/>
      <c r="C735" s="3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38"/>
      <c r="B736" s="39"/>
      <c r="C736" s="3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38"/>
      <c r="B737" s="39"/>
      <c r="C737" s="3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38"/>
      <c r="B738" s="39"/>
      <c r="C738" s="3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38"/>
      <c r="B739" s="39"/>
      <c r="C739" s="3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38"/>
      <c r="B740" s="39"/>
      <c r="C740" s="3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38"/>
      <c r="B741" s="39"/>
      <c r="C741" s="3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38"/>
      <c r="B742" s="39"/>
      <c r="C742" s="3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38"/>
      <c r="B743" s="39"/>
      <c r="C743" s="3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38"/>
      <c r="B744" s="39"/>
      <c r="C744" s="3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38"/>
      <c r="B745" s="39"/>
      <c r="C745" s="3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38"/>
      <c r="B746" s="39"/>
      <c r="C746" s="3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38"/>
      <c r="B747" s="39"/>
      <c r="C747" s="3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38"/>
      <c r="B748" s="39"/>
      <c r="C748" s="3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38"/>
      <c r="B749" s="39"/>
      <c r="C749" s="3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38"/>
      <c r="B750" s="39"/>
      <c r="C750" s="3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38"/>
      <c r="B751" s="39"/>
      <c r="C751" s="3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38"/>
      <c r="B752" s="39"/>
      <c r="C752" s="3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38"/>
      <c r="B753" s="39"/>
      <c r="C753" s="3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38"/>
      <c r="B754" s="39"/>
      <c r="C754" s="3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38"/>
      <c r="B755" s="39"/>
      <c r="C755" s="3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38"/>
      <c r="B756" s="39"/>
      <c r="C756" s="3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38"/>
      <c r="B757" s="39"/>
      <c r="C757" s="3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38"/>
      <c r="B758" s="39"/>
      <c r="C758" s="3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38"/>
      <c r="B759" s="39"/>
      <c r="C759" s="3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38"/>
      <c r="B760" s="39"/>
      <c r="C760" s="3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38"/>
      <c r="B761" s="39"/>
      <c r="C761" s="3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38"/>
      <c r="B762" s="39"/>
      <c r="C762" s="3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38"/>
      <c r="B763" s="39"/>
      <c r="C763" s="3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38"/>
      <c r="B764" s="39"/>
      <c r="C764" s="3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38"/>
      <c r="B765" s="39"/>
      <c r="C765" s="3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38"/>
      <c r="B766" s="39"/>
      <c r="C766" s="3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38"/>
      <c r="B767" s="39"/>
      <c r="C767" s="3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38"/>
      <c r="B768" s="39"/>
      <c r="C768" s="3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38"/>
      <c r="B769" s="39"/>
      <c r="C769" s="3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38"/>
      <c r="B770" s="39"/>
      <c r="C770" s="3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38"/>
      <c r="B771" s="39"/>
      <c r="C771" s="3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38"/>
      <c r="B772" s="39"/>
      <c r="C772" s="3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38"/>
      <c r="B773" s="39"/>
      <c r="C773" s="3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38"/>
      <c r="B774" s="39"/>
      <c r="C774" s="3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38"/>
      <c r="B775" s="39"/>
      <c r="C775" s="3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38"/>
      <c r="B776" s="39"/>
      <c r="C776" s="3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38"/>
      <c r="B777" s="39"/>
      <c r="C777" s="3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38"/>
      <c r="B778" s="39"/>
      <c r="C778" s="3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38"/>
      <c r="B779" s="39"/>
      <c r="C779" s="3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38"/>
      <c r="B780" s="39"/>
      <c r="C780" s="3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38"/>
      <c r="B781" s="39"/>
      <c r="C781" s="3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38"/>
      <c r="B782" s="39"/>
      <c r="C782" s="3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38"/>
      <c r="B783" s="39"/>
      <c r="C783" s="3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38"/>
      <c r="B784" s="39"/>
      <c r="C784" s="3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38"/>
      <c r="B785" s="39"/>
      <c r="C785" s="3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38"/>
      <c r="B786" s="39"/>
      <c r="C786" s="3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38"/>
      <c r="B787" s="39"/>
      <c r="C787" s="3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38"/>
      <c r="B788" s="39"/>
      <c r="C788" s="3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38"/>
      <c r="B789" s="39"/>
      <c r="C789" s="3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38"/>
      <c r="B790" s="39"/>
      <c r="C790" s="3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38"/>
      <c r="B791" s="39"/>
      <c r="C791" s="3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38"/>
      <c r="B792" s="39"/>
      <c r="C792" s="3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38"/>
      <c r="B793" s="39"/>
      <c r="C793" s="3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38"/>
      <c r="B794" s="39"/>
      <c r="C794" s="3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38"/>
      <c r="B795" s="39"/>
      <c r="C795" s="3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38"/>
      <c r="B796" s="39"/>
      <c r="C796" s="3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38"/>
      <c r="B797" s="39"/>
      <c r="C797" s="3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38"/>
      <c r="B798" s="39"/>
      <c r="C798" s="3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38"/>
      <c r="B799" s="39"/>
      <c r="C799" s="3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38"/>
      <c r="B800" s="39"/>
      <c r="C800" s="3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38"/>
      <c r="B801" s="39"/>
      <c r="C801" s="3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38"/>
      <c r="B802" s="39"/>
      <c r="C802" s="3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38"/>
      <c r="B803" s="39"/>
      <c r="C803" s="3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38"/>
      <c r="B804" s="39"/>
      <c r="C804" s="3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38"/>
      <c r="B805" s="39"/>
      <c r="C805" s="3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38"/>
      <c r="B806" s="39"/>
      <c r="C806" s="3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38"/>
      <c r="B807" s="39"/>
      <c r="C807" s="3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38"/>
      <c r="B808" s="39"/>
      <c r="C808" s="3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38"/>
      <c r="B809" s="39"/>
      <c r="C809" s="3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38"/>
      <c r="B810" s="39"/>
      <c r="C810" s="3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38"/>
      <c r="B811" s="39"/>
      <c r="C811" s="3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38"/>
      <c r="B812" s="39"/>
      <c r="C812" s="3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38"/>
      <c r="B813" s="39"/>
      <c r="C813" s="3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38"/>
      <c r="B814" s="39"/>
      <c r="C814" s="3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38"/>
      <c r="B815" s="39"/>
      <c r="C815" s="3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38"/>
      <c r="B816" s="39"/>
      <c r="C816" s="3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38"/>
      <c r="B817" s="39"/>
      <c r="C817" s="3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38"/>
      <c r="B818" s="39"/>
      <c r="C818" s="3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38"/>
      <c r="B819" s="39"/>
      <c r="C819" s="3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38"/>
      <c r="B820" s="39"/>
      <c r="C820" s="3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38"/>
      <c r="B821" s="39"/>
      <c r="C821" s="3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38"/>
      <c r="B822" s="39"/>
      <c r="C822" s="3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38"/>
      <c r="B823" s="39"/>
      <c r="C823" s="3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38"/>
      <c r="B824" s="39"/>
      <c r="C824" s="3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38"/>
      <c r="B825" s="39"/>
      <c r="C825" s="3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38"/>
      <c r="B826" s="39"/>
      <c r="C826" s="3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38"/>
      <c r="B827" s="39"/>
      <c r="C827" s="3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38"/>
      <c r="B828" s="39"/>
      <c r="C828" s="3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38"/>
      <c r="B829" s="39"/>
      <c r="C829" s="3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38"/>
      <c r="B830" s="39"/>
      <c r="C830" s="3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38"/>
      <c r="B831" s="39"/>
      <c r="C831" s="3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38"/>
      <c r="B832" s="39"/>
      <c r="C832" s="3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38"/>
      <c r="B833" s="39"/>
      <c r="C833" s="3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38"/>
      <c r="B834" s="39"/>
      <c r="C834" s="3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38"/>
      <c r="B835" s="39"/>
      <c r="C835" s="3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38"/>
      <c r="B836" s="39"/>
      <c r="C836" s="3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38"/>
      <c r="B837" s="39"/>
      <c r="C837" s="3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38"/>
      <c r="B838" s="39"/>
      <c r="C838" s="3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38"/>
      <c r="B839" s="39"/>
      <c r="C839" s="3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38"/>
      <c r="B840" s="39"/>
      <c r="C840" s="3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38"/>
      <c r="B841" s="39"/>
      <c r="C841" s="3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38"/>
      <c r="B842" s="39"/>
      <c r="C842" s="3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38"/>
      <c r="B843" s="39"/>
      <c r="C843" s="3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38"/>
      <c r="B844" s="39"/>
      <c r="C844" s="3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38"/>
      <c r="B845" s="39"/>
      <c r="C845" s="3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38"/>
      <c r="B846" s="39"/>
      <c r="C846" s="3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38"/>
      <c r="B847" s="39"/>
      <c r="C847" s="3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38"/>
      <c r="B848" s="39"/>
      <c r="C848" s="3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38"/>
      <c r="B849" s="39"/>
      <c r="C849" s="3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38"/>
      <c r="B850" s="39"/>
      <c r="C850" s="3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38"/>
      <c r="B851" s="39"/>
      <c r="C851" s="3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38"/>
      <c r="B852" s="39"/>
      <c r="C852" s="3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38"/>
      <c r="B853" s="39"/>
      <c r="C853" s="3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38"/>
      <c r="B854" s="39"/>
      <c r="C854" s="3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38"/>
      <c r="B855" s="39"/>
      <c r="C855" s="3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38"/>
      <c r="B856" s="39"/>
      <c r="C856" s="3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38"/>
      <c r="B857" s="39"/>
      <c r="C857" s="3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38"/>
      <c r="B858" s="39"/>
      <c r="C858" s="3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38"/>
      <c r="B859" s="39"/>
      <c r="C859" s="3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38"/>
      <c r="B860" s="39"/>
      <c r="C860" s="3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38"/>
      <c r="B861" s="39"/>
      <c r="C861" s="3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38"/>
      <c r="B862" s="39"/>
      <c r="C862" s="3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38"/>
      <c r="B863" s="39"/>
      <c r="C863" s="3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38"/>
      <c r="B864" s="39"/>
      <c r="C864" s="3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38"/>
      <c r="B865" s="39"/>
      <c r="C865" s="3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38"/>
      <c r="B866" s="39"/>
      <c r="C866" s="3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38"/>
      <c r="B867" s="39"/>
      <c r="C867" s="3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38"/>
      <c r="B868" s="39"/>
      <c r="C868" s="3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38"/>
      <c r="B869" s="39"/>
      <c r="C869" s="3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38"/>
      <c r="B870" s="39"/>
      <c r="C870" s="3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38"/>
      <c r="B871" s="39"/>
      <c r="C871" s="3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38"/>
      <c r="B872" s="39"/>
      <c r="C872" s="3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38"/>
      <c r="B873" s="39"/>
      <c r="C873" s="3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38"/>
      <c r="B874" s="39"/>
      <c r="C874" s="3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38"/>
      <c r="B875" s="39"/>
      <c r="C875" s="3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38"/>
      <c r="B876" s="39"/>
      <c r="C876" s="3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38"/>
      <c r="B877" s="39"/>
      <c r="C877" s="3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38"/>
      <c r="B878" s="39"/>
      <c r="C878" s="3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38"/>
      <c r="B879" s="39"/>
      <c r="C879" s="3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38"/>
      <c r="B880" s="39"/>
      <c r="C880" s="3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38"/>
      <c r="B881" s="39"/>
      <c r="C881" s="3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38"/>
      <c r="B882" s="39"/>
      <c r="C882" s="3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38"/>
      <c r="B883" s="39"/>
      <c r="C883" s="3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38"/>
      <c r="B884" s="39"/>
      <c r="C884" s="3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38"/>
      <c r="B885" s="39"/>
      <c r="C885" s="3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38"/>
      <c r="B886" s="39"/>
      <c r="C886" s="3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38"/>
      <c r="B887" s="39"/>
      <c r="C887" s="3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38"/>
      <c r="B888" s="39"/>
      <c r="C888" s="3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38"/>
      <c r="B889" s="39"/>
      <c r="C889" s="3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38"/>
      <c r="B890" s="39"/>
      <c r="C890" s="3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38"/>
      <c r="B891" s="39"/>
      <c r="C891" s="3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38"/>
      <c r="B892" s="39"/>
      <c r="C892" s="3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38"/>
      <c r="B893" s="39"/>
      <c r="C893" s="3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38"/>
      <c r="B894" s="39"/>
      <c r="C894" s="3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38"/>
      <c r="B895" s="39"/>
      <c r="C895" s="3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38"/>
      <c r="B896" s="39"/>
      <c r="C896" s="3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38"/>
      <c r="B897" s="39"/>
      <c r="C897" s="3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38"/>
      <c r="B898" s="39"/>
      <c r="C898" s="3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38"/>
      <c r="B899" s="39"/>
      <c r="C899" s="3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38"/>
      <c r="B900" s="39"/>
      <c r="C900" s="3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38"/>
      <c r="B901" s="39"/>
      <c r="C901" s="3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38"/>
      <c r="B902" s="39"/>
      <c r="C902" s="3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38"/>
      <c r="B903" s="39"/>
      <c r="C903" s="3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38"/>
      <c r="B904" s="39"/>
      <c r="C904" s="3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38"/>
      <c r="B905" s="39"/>
      <c r="C905" s="3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38"/>
      <c r="B906" s="39"/>
      <c r="C906" s="3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38"/>
      <c r="B907" s="39"/>
      <c r="C907" s="3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38"/>
      <c r="B908" s="39"/>
      <c r="C908" s="3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38"/>
      <c r="B909" s="39"/>
      <c r="C909" s="3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38"/>
      <c r="B910" s="39"/>
      <c r="C910" s="3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38"/>
      <c r="B911" s="39"/>
      <c r="C911" s="3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38"/>
      <c r="B912" s="39"/>
      <c r="C912" s="3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38"/>
      <c r="B913" s="39"/>
      <c r="C913" s="3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38"/>
      <c r="B914" s="39"/>
      <c r="C914" s="3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38"/>
      <c r="B915" s="39"/>
      <c r="C915" s="3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38"/>
      <c r="B916" s="39"/>
      <c r="C916" s="3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38"/>
      <c r="B917" s="39"/>
      <c r="C917" s="3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38"/>
      <c r="B918" s="39"/>
      <c r="C918" s="3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38"/>
      <c r="B919" s="39"/>
      <c r="C919" s="3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38"/>
      <c r="B920" s="39"/>
      <c r="C920" s="3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38"/>
      <c r="B921" s="39"/>
      <c r="C921" s="3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38"/>
      <c r="B922" s="39"/>
      <c r="C922" s="3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38"/>
      <c r="B923" s="39"/>
      <c r="C923" s="3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38"/>
      <c r="B924" s="39"/>
      <c r="C924" s="3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38"/>
      <c r="B925" s="39"/>
      <c r="C925" s="3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38"/>
      <c r="B926" s="39"/>
      <c r="C926" s="3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38"/>
      <c r="B927" s="39"/>
      <c r="C927" s="3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38"/>
      <c r="B928" s="39"/>
      <c r="C928" s="3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38"/>
      <c r="B929" s="39"/>
      <c r="C929" s="3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38"/>
      <c r="B930" s="39"/>
      <c r="C930" s="3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38"/>
      <c r="B931" s="39"/>
      <c r="C931" s="3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38"/>
      <c r="B932" s="39"/>
      <c r="C932" s="3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38"/>
      <c r="B933" s="39"/>
      <c r="C933" s="3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38"/>
      <c r="B934" s="39"/>
      <c r="C934" s="3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38"/>
      <c r="B935" s="39"/>
      <c r="C935" s="3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38"/>
      <c r="B936" s="39"/>
      <c r="C936" s="3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38"/>
      <c r="B937" s="39"/>
      <c r="C937" s="3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38"/>
      <c r="B938" s="39"/>
      <c r="C938" s="3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38"/>
      <c r="B939" s="39"/>
      <c r="C939" s="3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38"/>
      <c r="B940" s="39"/>
      <c r="C940" s="3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38"/>
      <c r="B941" s="39"/>
      <c r="C941" s="3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38"/>
      <c r="B942" s="39"/>
      <c r="C942" s="3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38"/>
      <c r="B943" s="39"/>
      <c r="C943" s="3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38"/>
      <c r="B944" s="39"/>
      <c r="C944" s="3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38"/>
      <c r="B945" s="39"/>
      <c r="C945" s="3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38"/>
      <c r="B946" s="39"/>
      <c r="C946" s="3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38"/>
      <c r="B947" s="39"/>
      <c r="C947" s="3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38"/>
      <c r="B948" s="39"/>
      <c r="C948" s="3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38"/>
      <c r="B949" s="39"/>
      <c r="C949" s="3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38"/>
      <c r="B950" s="39"/>
      <c r="C950" s="3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38"/>
      <c r="B951" s="39"/>
      <c r="C951" s="3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38"/>
      <c r="B952" s="39"/>
      <c r="C952" s="3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38"/>
      <c r="B953" s="39"/>
      <c r="C953" s="3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38"/>
      <c r="B954" s="39"/>
      <c r="C954" s="3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38"/>
      <c r="B955" s="39"/>
      <c r="C955" s="3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38"/>
      <c r="B956" s="39"/>
      <c r="C956" s="3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38"/>
      <c r="B957" s="39"/>
      <c r="C957" s="3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38"/>
      <c r="B958" s="39"/>
      <c r="C958" s="3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38"/>
      <c r="B959" s="39"/>
      <c r="C959" s="3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38"/>
      <c r="B960" s="39"/>
      <c r="C960" s="3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38"/>
      <c r="B961" s="39"/>
      <c r="C961" s="3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38"/>
      <c r="B962" s="39"/>
      <c r="C962" s="3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8"/>
      <c r="B963" s="39"/>
      <c r="C963" s="3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38"/>
      <c r="B964" s="39"/>
      <c r="C964" s="3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38"/>
      <c r="B965" s="39"/>
      <c r="C965" s="3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38"/>
      <c r="B966" s="39"/>
      <c r="C966" s="3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38"/>
      <c r="B967" s="39"/>
      <c r="C967" s="3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38"/>
      <c r="B968" s="39"/>
      <c r="C968" s="3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38"/>
      <c r="B969" s="39"/>
      <c r="C969" s="3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38"/>
      <c r="B970" s="39"/>
      <c r="C970" s="3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38"/>
      <c r="B971" s="39"/>
      <c r="C971" s="3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38"/>
      <c r="B972" s="39"/>
      <c r="C972" s="3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38"/>
      <c r="B973" s="39"/>
      <c r="C973" s="3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38"/>
      <c r="B974" s="39"/>
      <c r="C974" s="3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38"/>
      <c r="B975" s="39"/>
      <c r="C975" s="3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38"/>
      <c r="B976" s="39"/>
      <c r="C976" s="3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38"/>
      <c r="B977" s="39"/>
      <c r="C977" s="3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38"/>
      <c r="B978" s="39"/>
      <c r="C978" s="3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38"/>
      <c r="B979" s="39"/>
      <c r="C979" s="3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38"/>
      <c r="B980" s="39"/>
      <c r="C980" s="3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38"/>
      <c r="B981" s="39"/>
      <c r="C981" s="3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38"/>
      <c r="B982" s="39"/>
      <c r="C982" s="3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38"/>
      <c r="B983" s="39"/>
      <c r="C983" s="3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38"/>
      <c r="B984" s="39"/>
      <c r="C984" s="3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38"/>
      <c r="B985" s="39"/>
      <c r="C985" s="3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38"/>
      <c r="B986" s="39"/>
      <c r="C986" s="3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38"/>
      <c r="B987" s="39"/>
      <c r="C987" s="3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38"/>
      <c r="B988" s="39"/>
      <c r="C988" s="3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38"/>
      <c r="B989" s="39"/>
      <c r="C989" s="3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38"/>
      <c r="B990" s="39"/>
      <c r="C990" s="3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38"/>
      <c r="B991" s="39"/>
      <c r="C991" s="3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38"/>
      <c r="B992" s="39"/>
      <c r="C992" s="3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38"/>
      <c r="B993" s="39"/>
      <c r="C993" s="3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38"/>
      <c r="B994" s="39"/>
      <c r="C994" s="3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38"/>
      <c r="B995" s="39"/>
      <c r="C995" s="3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38"/>
      <c r="B996" s="39"/>
      <c r="C996" s="3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38"/>
      <c r="B997" s="39"/>
      <c r="C997" s="3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38"/>
      <c r="B998" s="39"/>
      <c r="C998" s="3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38"/>
      <c r="B999" s="39"/>
      <c r="C999" s="3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38"/>
      <c r="B1000" s="39"/>
      <c r="C1000" s="3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D1:F1"/>
    <mergeCell ref="H1:K1"/>
    <mergeCell ref="L1:O1"/>
  </mergeCells>
  <conditionalFormatting sqref="D1:D25 D26:G77 D82:G1000 E2:G25 G15:G76">
    <cfRule type="cellIs" dxfId="0" priority="1" operator="lessThan">
      <formula>-0.0001</formula>
    </cfRule>
  </conditionalFormatting>
  <conditionalFormatting sqref="D3:G77 D82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showGridLines="0" rightToLeft="1" workbookViewId="0"/>
  </sheetViews>
  <sheetFormatPr customHeight="1" defaultColWidth="14.43" defaultRowHeight="15.0"/>
  <cols>
    <col customWidth="1" min="1" max="1" width="16.71"/>
    <col customWidth="1" min="2" max="2" width="15.43"/>
    <col customWidth="1" min="3" max="3" width="14.0"/>
    <col customWidth="1" min="4" max="5" width="16.86"/>
    <col customWidth="1" min="6" max="6" width="7.57"/>
    <col customWidth="1" min="7" max="7" width="7.86"/>
    <col customWidth="1" min="8" max="8" width="8.29"/>
    <col customWidth="1" min="9" max="12" width="11.43"/>
    <col customWidth="1" min="13" max="13" width="11.57"/>
    <col customWidth="1" min="14" max="14" width="16.86"/>
    <col customWidth="1" min="15" max="15" width="15.29"/>
    <col customWidth="1" min="16" max="17" width="18.57"/>
    <col customWidth="1" min="18" max="18" width="16.86"/>
    <col customWidth="1" min="19" max="19" width="31.86"/>
    <col customWidth="1" min="20" max="20" width="29.29"/>
    <col customWidth="1" min="21" max="21" width="21.43"/>
    <col customWidth="1" min="22" max="26" width="8.57"/>
  </cols>
  <sheetData>
    <row r="1">
      <c r="A1" s="43" t="s">
        <v>96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41"/>
      <c r="O1" s="41"/>
      <c r="P1" s="41"/>
      <c r="Q1" s="41"/>
      <c r="R1" s="41"/>
      <c r="S1" s="41"/>
      <c r="T1" s="41"/>
      <c r="U1" s="41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41"/>
      <c r="O2" s="41"/>
      <c r="P2" s="41"/>
      <c r="Q2" s="41"/>
      <c r="R2" s="40"/>
      <c r="S2" s="41"/>
      <c r="T2" s="41"/>
      <c r="U2" s="41"/>
    </row>
    <row r="3">
      <c r="A3" s="44" t="s">
        <v>97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45"/>
      <c r="M3" s="16"/>
      <c r="N3" s="41"/>
      <c r="O3" s="41"/>
      <c r="P3" s="41"/>
      <c r="Q3" s="41"/>
      <c r="R3" s="41"/>
      <c r="S3" s="41"/>
      <c r="T3" s="41"/>
      <c r="U3" s="41"/>
    </row>
    <row r="4" ht="31.5" customHeight="1">
      <c r="A4" s="46" t="s">
        <v>98</v>
      </c>
      <c r="B4" s="47" t="s">
        <v>99</v>
      </c>
      <c r="C4" s="48"/>
      <c r="D4" s="48"/>
      <c r="E4" s="49"/>
      <c r="F4" s="50" t="s">
        <v>0</v>
      </c>
      <c r="G4" s="48"/>
      <c r="H4" s="48"/>
      <c r="I4" s="49"/>
      <c r="J4" s="51" t="s">
        <v>100</v>
      </c>
      <c r="K4" s="48"/>
      <c r="L4" s="48"/>
      <c r="M4" s="49"/>
      <c r="N4" s="41"/>
      <c r="O4" s="41"/>
      <c r="P4" s="41"/>
      <c r="Q4" s="41"/>
      <c r="R4" s="41"/>
      <c r="S4" s="41"/>
      <c r="T4" s="41"/>
      <c r="U4" s="41"/>
    </row>
    <row r="5">
      <c r="A5" s="52"/>
      <c r="B5" s="53" t="s">
        <v>6</v>
      </c>
      <c r="C5" s="54" t="s">
        <v>11</v>
      </c>
      <c r="D5" s="54" t="s">
        <v>10</v>
      </c>
      <c r="E5" s="55" t="s">
        <v>9</v>
      </c>
      <c r="F5" s="56" t="s">
        <v>6</v>
      </c>
      <c r="G5" s="57" t="s">
        <v>7</v>
      </c>
      <c r="H5" s="58" t="s">
        <v>8</v>
      </c>
      <c r="I5" s="59" t="s">
        <v>12</v>
      </c>
      <c r="J5" s="60" t="s">
        <v>6</v>
      </c>
      <c r="K5" s="61" t="s">
        <v>7</v>
      </c>
      <c r="L5" s="61" t="s">
        <v>8</v>
      </c>
      <c r="M5" s="62" t="s">
        <v>9</v>
      </c>
      <c r="N5" s="41"/>
      <c r="O5" s="41"/>
      <c r="P5" s="41"/>
      <c r="Q5" s="41"/>
      <c r="R5" s="41"/>
      <c r="S5" s="41"/>
      <c r="T5" s="41"/>
      <c r="U5" s="41"/>
    </row>
    <row r="6">
      <c r="A6" s="63" t="s">
        <v>15</v>
      </c>
      <c r="B6" s="64">
        <f>'תפוקה מצטברת מול אשתקד'!H8</f>
        <v>8487571.297</v>
      </c>
      <c r="C6" s="65">
        <f>'תפוקה מצטברת מול אשתקד'!I8</f>
        <v>383882.7793</v>
      </c>
      <c r="D6" s="65">
        <f>'תפוקה מצטברת מול אשתקד'!J8</f>
        <v>23309821.8</v>
      </c>
      <c r="E6" s="66">
        <f>'תפוקה מצטברת מול אשתקד'!K8</f>
        <v>52786736.66</v>
      </c>
      <c r="F6" s="67">
        <f>'תפוקה מצטברת מול אשתקד'!D8</f>
        <v>0.5907072444</v>
      </c>
      <c r="G6" s="68">
        <f>'תפוקה מצטברת מול אשתקד'!E8</f>
        <v>-0.5493965932</v>
      </c>
      <c r="H6" s="68">
        <f>'תפוקה מצטברת מול אשתקד'!F8</f>
        <v>0.07327676951</v>
      </c>
      <c r="I6" s="69">
        <f>'תפוקה מצטברת מול אשתקד'!G8</f>
        <v>0.6266840538</v>
      </c>
      <c r="J6" s="67">
        <f>'תפוקה מצטברת מול יעד מצטבר'!D8</f>
        <v>-0.2657810296</v>
      </c>
      <c r="K6" s="68">
        <f>'תפוקה מצטברת מול יעד מצטבר'!E8</f>
        <v>-0.655880257</v>
      </c>
      <c r="L6" s="68">
        <f>'תפוקה מצטברת מול יעד מצטבר'!F8</f>
        <v>-0.4644375103</v>
      </c>
      <c r="M6" s="69">
        <f>'תפוקה מצטברת מול יעד מצטבר'!G8</f>
        <v>-0.2214001112</v>
      </c>
      <c r="N6" s="41"/>
      <c r="O6" s="41"/>
      <c r="P6" s="41"/>
      <c r="Q6" s="41"/>
      <c r="R6" s="41"/>
      <c r="S6" s="41"/>
      <c r="T6" s="41"/>
      <c r="U6" s="41"/>
    </row>
    <row r="7">
      <c r="A7" s="70" t="s">
        <v>101</v>
      </c>
      <c r="B7" s="64">
        <f>'תפוקה מצטברת מול אשתקד'!H22</f>
        <v>3089301.614</v>
      </c>
      <c r="C7" s="65">
        <f>'תפוקה מצטברת מול אשתקד'!I22</f>
        <v>1714930.906</v>
      </c>
      <c r="D7" s="65">
        <f>'תפוקה מצטברת מול אשתקד'!J22</f>
        <v>16341208.02</v>
      </c>
      <c r="E7" s="66">
        <f>'תפוקה מצטברת מול אשתקד'!K22</f>
        <v>7184904.92</v>
      </c>
      <c r="F7" s="67">
        <f>'תפוקה מצטברת מול אשתקד'!D22</f>
        <v>0.05286830856</v>
      </c>
      <c r="G7" s="68">
        <f>'תפוקה מצטברת מול אשתקד'!E22</f>
        <v>0.4356069829</v>
      </c>
      <c r="H7" s="68">
        <f>'תפוקה מצטברת מול אשתקד'!F22</f>
        <v>-0.3030379848</v>
      </c>
      <c r="I7" s="69">
        <f>'תפוקה מצטברת מול אשתקד'!G22</f>
        <v>-0.5445276126</v>
      </c>
      <c r="J7" s="67">
        <f>'תפוקה מצטברת מול יעד מצטבר'!D22</f>
        <v>-0.3147676306</v>
      </c>
      <c r="K7" s="68">
        <f>'תפוקה מצטברת מול יעד מצטבר'!E22</f>
        <v>-0.01931097021</v>
      </c>
      <c r="L7" s="68">
        <f>'תפוקה מצטברת מול יעד מצטבר'!F22</f>
        <v>-0.4368207878</v>
      </c>
      <c r="M7" s="69">
        <f>'תפוקה מצטברת מול יעד מצטבר'!G22</f>
        <v>-0.5778303708</v>
      </c>
      <c r="N7" s="41"/>
      <c r="O7" s="41"/>
      <c r="P7" s="41"/>
      <c r="Q7" s="41"/>
      <c r="R7" s="41"/>
      <c r="S7" s="41"/>
      <c r="T7" s="41"/>
      <c r="U7" s="41"/>
    </row>
    <row r="8">
      <c r="A8" s="70" t="s">
        <v>102</v>
      </c>
      <c r="B8" s="64">
        <f>'תפוקה מצטברת מול אשתקד'!H75</f>
        <v>5800114.062</v>
      </c>
      <c r="C8" s="65">
        <f>'תפוקה מצטברת מול אשתקד'!I75</f>
        <v>884736.4027</v>
      </c>
      <c r="D8" s="65">
        <f>'תפוקה מצטברת מול אשתקד'!J75</f>
        <v>38774756.71</v>
      </c>
      <c r="E8" s="66">
        <f>'תפוקה מצטברת מול אשתקד'!K75</f>
        <v>41648434.14</v>
      </c>
      <c r="F8" s="67">
        <f>'תפוקה מצטברת מול אשתקד'!D75</f>
        <v>0.328606302</v>
      </c>
      <c r="G8" s="68">
        <f>'תפוקה מצטברת מול אשתקד'!E75</f>
        <v>0.1828157747</v>
      </c>
      <c r="H8" s="68">
        <f>'תפוקה מצטברת מול אשתקד'!F75</f>
        <v>0.3534468996</v>
      </c>
      <c r="I8" s="69">
        <f>'תפוקה מצטברת מול אשתקד'!G66</f>
        <v>0.1485673611</v>
      </c>
      <c r="J8" s="67">
        <f>'תפוקה מצטברת מול יעד מצטבר'!D66</f>
        <v>-0.3275233166</v>
      </c>
      <c r="K8" s="68">
        <f>'תפוקה מצטברת מול יעד מצטבר'!E66</f>
        <v>-0.6878493299</v>
      </c>
      <c r="L8" s="68">
        <f>'תפוקה מצטברת מול יעד מצטבר'!F66</f>
        <v>-0.2053507597</v>
      </c>
      <c r="M8" s="69">
        <f>'תפוקה מצטברת מול יעד מצטבר'!G66</f>
        <v>-0.3905625072</v>
      </c>
      <c r="N8" s="41"/>
      <c r="O8" s="41"/>
      <c r="P8" s="41"/>
      <c r="Q8" s="41"/>
      <c r="R8" s="41"/>
      <c r="S8" s="41"/>
      <c r="T8" s="41"/>
      <c r="U8" s="41"/>
    </row>
    <row r="9">
      <c r="A9" s="71" t="s">
        <v>72</v>
      </c>
      <c r="B9" s="64">
        <f>'תפוקה מצטברת מול אשתקד'!H56</f>
        <v>6403097.868</v>
      </c>
      <c r="C9" s="65">
        <f>'תפוקה מצטברת מול אשתקד'!I56</f>
        <v>964929.1763</v>
      </c>
      <c r="D9" s="65">
        <f>'תפוקה מצטברת מול אשתקד'!J56</f>
        <v>12361360.77</v>
      </c>
      <c r="E9" s="66">
        <f>'תפוקה מצטברת מול אשתקד'!K56</f>
        <v>12234242.34</v>
      </c>
      <c r="F9" s="67">
        <f>'תפוקה מצטברת מול אשתקד'!D76</f>
        <v>0.1538538926</v>
      </c>
      <c r="G9" s="68">
        <f>'תפוקה מצטברת מול אשתקד'!E76</f>
        <v>-0.007711552782</v>
      </c>
      <c r="H9" s="68">
        <f>'תפוקה מצטברת מול אשתקד'!F76</f>
        <v>0.007185571661</v>
      </c>
      <c r="I9" s="69">
        <f>'תפוקה מצטברת מול אשתקד'!G75</f>
        <v>0.5444099121</v>
      </c>
      <c r="J9" s="67">
        <f>'תפוקה מצטברת מול יעד מצטבר'!D75</f>
        <v>0.1534252201</v>
      </c>
      <c r="K9" s="68">
        <f>'תפוקה מצטברת מול יעד מצטבר'!E75</f>
        <v>0.04801753461</v>
      </c>
      <c r="L9" s="68">
        <f>'תפוקה מצטברת מול יעד מצטבר'!F75</f>
        <v>0.4038143699</v>
      </c>
      <c r="M9" s="69">
        <f>'תפוקה מצטברת מול יעד מצטבר'!G75</f>
        <v>1.915576987</v>
      </c>
      <c r="N9" s="41"/>
      <c r="O9" s="41"/>
      <c r="P9" s="41"/>
      <c r="Q9" s="41"/>
      <c r="R9" s="41"/>
      <c r="S9" s="41"/>
      <c r="T9" s="41"/>
      <c r="U9" s="41"/>
    </row>
    <row r="10">
      <c r="A10" s="72" t="s">
        <v>83</v>
      </c>
      <c r="B10" s="73">
        <f>'תפוקה מצטברת מול אשתקד'!H66</f>
        <v>2954055.575</v>
      </c>
      <c r="C10" s="74">
        <f>'תפוקה מצטברת מול אשתקד'!I66</f>
        <v>210814.0766</v>
      </c>
      <c r="D10" s="74">
        <f>'תפוקה מצטברת מול אשתקד'!J66</f>
        <v>10198528.35</v>
      </c>
      <c r="E10" s="75">
        <f>'תפוקה מצטברת מול אשתקד'!K66</f>
        <v>6801322.42</v>
      </c>
      <c r="F10" s="76" t="str">
        <f>'תפוקה מצטברת מול אשתקד'!D77</f>
        <v/>
      </c>
      <c r="G10" s="77" t="str">
        <f>'תפוקה מצטברת מול אשתקד'!E77</f>
        <v/>
      </c>
      <c r="H10" s="77" t="str">
        <f>'תפוקה מצטברת מול אשתקד'!F77</f>
        <v/>
      </c>
      <c r="I10" s="78">
        <f>'תפוקה מצטברת מול אשתקד'!G76</f>
        <v>0.004325287057</v>
      </c>
      <c r="J10" s="76">
        <f>'תפוקה מצטברת מול יעד מצטבר'!D76</f>
        <v>-0.1598031228</v>
      </c>
      <c r="K10" s="77">
        <f>'תפוקה מצטברת מול יעד מצטבר'!E76</f>
        <v>-0.256716893</v>
      </c>
      <c r="L10" s="77">
        <f>'תפוקה מצטברת מול יעד מצטבר'!F76</f>
        <v>-0.2027404698</v>
      </c>
      <c r="M10" s="78">
        <f>'תפוקה מצטברת מול יעד מצטבר'!G76</f>
        <v>-0.02114646274</v>
      </c>
      <c r="N10" s="41"/>
      <c r="O10" s="41"/>
      <c r="P10" s="41"/>
      <c r="Q10" s="41"/>
      <c r="R10" s="41"/>
      <c r="S10" s="41"/>
      <c r="T10" s="41"/>
      <c r="U10" s="41"/>
    </row>
    <row r="11">
      <c r="A11" s="79" t="s">
        <v>103</v>
      </c>
      <c r="B11" s="80">
        <f t="shared" ref="B11:E11" si="1">SUM(B6:B10)</f>
        <v>26734140.42</v>
      </c>
      <c r="C11" s="80">
        <f t="shared" si="1"/>
        <v>4159293.341</v>
      </c>
      <c r="D11" s="80">
        <f t="shared" si="1"/>
        <v>100985675.7</v>
      </c>
      <c r="E11" s="80">
        <f t="shared" si="1"/>
        <v>120655640.5</v>
      </c>
      <c r="F11" s="81">
        <f>'תפוקה מצטברת מול אשתקד'!D76</f>
        <v>0.1538538926</v>
      </c>
      <c r="G11" s="82">
        <f>'תפוקה מצטברת מול אשתקד'!E76</f>
        <v>-0.007711552782</v>
      </c>
      <c r="H11" s="83">
        <f>'תפוקה מצטברת מול אשתקד'!F76</f>
        <v>0.007185571661</v>
      </c>
      <c r="I11" s="84">
        <f>'תפוקה מצטברת מול יעד מצטבר'!D75</f>
        <v>0.1534252201</v>
      </c>
      <c r="J11" s="85">
        <f>'תפוקה מצטברת מול יעד מצטבר'!D76</f>
        <v>-0.1598031228</v>
      </c>
      <c r="K11" s="85">
        <f>'תפוקה מצטברת מול יעד מצטבר'!E76</f>
        <v>-0.256716893</v>
      </c>
      <c r="L11" s="85">
        <f>'תפוקה מצטברת מול יעד מצטבר'!F76</f>
        <v>-0.2027404698</v>
      </c>
      <c r="M11" s="84">
        <f>'תפוקה מצטברת מול יעד מצטבר'!G76</f>
        <v>-0.02114646274</v>
      </c>
      <c r="N11" s="41"/>
      <c r="O11" s="41"/>
      <c r="P11" s="41"/>
      <c r="Q11" s="41"/>
      <c r="R11" s="41"/>
      <c r="S11" s="41"/>
      <c r="T11" s="41"/>
      <c r="U11" s="41"/>
    </row>
    <row r="12">
      <c r="A12" s="86"/>
      <c r="B12" s="86"/>
      <c r="C12" s="86"/>
      <c r="D12" s="86"/>
      <c r="E12" s="86"/>
      <c r="F12" s="87"/>
      <c r="G12" s="87"/>
      <c r="H12" s="87"/>
      <c r="I12" s="87"/>
      <c r="J12" s="87"/>
      <c r="K12" s="87"/>
      <c r="L12" s="87"/>
      <c r="M12" s="87"/>
      <c r="N12" s="41"/>
      <c r="O12" s="41"/>
      <c r="P12" s="41"/>
      <c r="Q12" s="41"/>
      <c r="R12" s="41"/>
      <c r="S12" s="41"/>
      <c r="T12" s="41"/>
      <c r="U12" s="41"/>
    </row>
    <row r="13">
      <c r="A13" s="86"/>
      <c r="B13" s="86"/>
      <c r="C13" s="86"/>
      <c r="D13" s="86"/>
      <c r="E13" s="86"/>
      <c r="F13" s="87"/>
      <c r="G13" s="87"/>
      <c r="H13" s="87"/>
      <c r="I13" s="87"/>
      <c r="J13" s="87"/>
      <c r="K13" s="87"/>
      <c r="L13" s="87"/>
      <c r="M13" s="87"/>
      <c r="N13" s="41"/>
      <c r="O13" s="41"/>
      <c r="P13" s="41"/>
      <c r="Q13" s="41"/>
      <c r="R13" s="41"/>
      <c r="S13" s="41"/>
      <c r="T13" s="41"/>
      <c r="U13" s="41"/>
    </row>
    <row r="14">
      <c r="A14" s="44" t="s">
        <v>104</v>
      </c>
      <c r="B14" s="88"/>
      <c r="C14" s="88"/>
      <c r="H14" s="89"/>
      <c r="I14" s="89"/>
      <c r="J14" s="89"/>
      <c r="K14" s="90"/>
      <c r="L14" s="90"/>
      <c r="M14" s="91"/>
      <c r="N14" s="92"/>
      <c r="O14" s="88"/>
    </row>
    <row r="15" ht="24.0" customHeight="1">
      <c r="A15" s="93" t="s">
        <v>105</v>
      </c>
      <c r="B15" s="47" t="s">
        <v>99</v>
      </c>
      <c r="C15" s="48"/>
      <c r="D15" s="48"/>
      <c r="E15" s="49"/>
      <c r="F15" s="50" t="s">
        <v>0</v>
      </c>
      <c r="G15" s="48"/>
      <c r="H15" s="48"/>
      <c r="I15" s="49"/>
      <c r="J15" s="51" t="s">
        <v>100</v>
      </c>
      <c r="K15" s="48"/>
      <c r="L15" s="48"/>
      <c r="M15" s="49"/>
      <c r="N15" s="94" t="s">
        <v>2</v>
      </c>
      <c r="O15" s="48"/>
      <c r="P15" s="48"/>
      <c r="Q15" s="49"/>
      <c r="R15" s="95" t="s">
        <v>106</v>
      </c>
      <c r="S15" s="48"/>
      <c r="T15" s="48"/>
      <c r="U15" s="49"/>
    </row>
    <row r="16" ht="16.5" customHeight="1">
      <c r="A16" s="96"/>
      <c r="B16" s="53" t="s">
        <v>6</v>
      </c>
      <c r="C16" s="54" t="s">
        <v>11</v>
      </c>
      <c r="D16" s="54" t="s">
        <v>10</v>
      </c>
      <c r="E16" s="55" t="s">
        <v>9</v>
      </c>
      <c r="F16" s="56" t="s">
        <v>6</v>
      </c>
      <c r="G16" s="57" t="s">
        <v>7</v>
      </c>
      <c r="H16" s="58" t="s">
        <v>8</v>
      </c>
      <c r="I16" s="59" t="s">
        <v>12</v>
      </c>
      <c r="J16" s="97" t="s">
        <v>6</v>
      </c>
      <c r="K16" s="98" t="s">
        <v>7</v>
      </c>
      <c r="L16" s="98" t="s">
        <v>8</v>
      </c>
      <c r="M16" s="99" t="s">
        <v>9</v>
      </c>
      <c r="N16" s="100" t="s">
        <v>6</v>
      </c>
      <c r="O16" s="101" t="s">
        <v>7</v>
      </c>
      <c r="P16" s="101" t="s">
        <v>10</v>
      </c>
      <c r="Q16" s="102" t="s">
        <v>12</v>
      </c>
      <c r="R16" s="103" t="s">
        <v>6</v>
      </c>
      <c r="S16" s="103" t="s">
        <v>7</v>
      </c>
      <c r="T16" s="104" t="s">
        <v>10</v>
      </c>
      <c r="U16" s="105" t="s">
        <v>12</v>
      </c>
    </row>
    <row r="17" ht="21.75" customHeight="1">
      <c r="A17" s="106" t="s">
        <v>37</v>
      </c>
      <c r="B17" s="64">
        <f>SUMIF('תפוקה מצטברת מול אשתקד'!B:B,'דוח הנהלה'!A17,'תפוקה מצטברת מול אשתקד'!H:H)</f>
        <v>11670381.91</v>
      </c>
      <c r="C17" s="64">
        <f>SUMIF('תפוקה מצטברת מול אשתקד'!B:B,'דוח הנהלה'!A17,'תפוקה מצטברת מול אשתקד'!I:I)</f>
        <v>1788699.304</v>
      </c>
      <c r="D17" s="64">
        <f>SUMIF('תפוקה מצטברת מול אשתקד'!B:B,'דוח הנהלה'!A17,'תפוקה מצטברת מול אשתקד'!J:J)</f>
        <v>46005125.04</v>
      </c>
      <c r="E17" s="64">
        <f>SUMIF('תפוקה מצטברת מול אשתקד'!B:B,'דוח הנהלה'!A17,'תפוקה מצטברת מול אשתקד'!K:K)</f>
        <v>49170586.21</v>
      </c>
      <c r="F17" s="67">
        <f t="shared" ref="F17:I17" si="2">(B17-N17)/N17</f>
        <v>-0.007842291867</v>
      </c>
      <c r="G17" s="68">
        <f t="shared" si="2"/>
        <v>-0.008683274059</v>
      </c>
      <c r="H17" s="68">
        <f t="shared" si="2"/>
        <v>0.2664140581</v>
      </c>
      <c r="I17" s="69">
        <f t="shared" si="2"/>
        <v>-0.2397558513</v>
      </c>
      <c r="J17" s="67">
        <f t="shared" ref="J17:M17" si="3">(B17-R17)/R17</f>
        <v>0.106354639</v>
      </c>
      <c r="K17" s="68">
        <f t="shared" si="3"/>
        <v>-0.06128676013</v>
      </c>
      <c r="L17" s="68">
        <f t="shared" si="3"/>
        <v>0.3086739784</v>
      </c>
      <c r="M17" s="69">
        <f t="shared" si="3"/>
        <v>1.054063639</v>
      </c>
      <c r="N17" s="107">
        <f>SUMIF('תפוקה מצטברת מול אשתקד'!B:B,'דוח הנהלה'!A17,'תפוקה מצטברת מול אשתקד'!L:L)</f>
        <v>11762627.87</v>
      </c>
      <c r="O17" s="107">
        <f>SUMIF('תפוקה מצטברת מול אשתקד'!B:B,'דוח הנהלה'!A17,'תפוקה מצטברת מול אשתקד'!M:M)</f>
        <v>1804367.119</v>
      </c>
      <c r="P17" s="107">
        <f>SUMIF('תפוקה מצטברת מול אשתקד'!B:B,'דוח הנהלה'!A17,'תפוקה מצטברת מול אשתקד'!N:N)</f>
        <v>36327080.18</v>
      </c>
      <c r="Q17" s="107">
        <f>SUMIF('תפוקה מצטברת מול אשתקד'!B:B,'דוח הנהלה'!A17,'תפוקה מצטברת מול אשתקד'!O:O)</f>
        <v>64677362.26</v>
      </c>
      <c r="R17" s="107">
        <f>SUMIF('תפוקה מצטברת מול יעד מצטבר'!B:B,'דוח הנהלה'!A17,'תפוקה מצטברת מול יעד מצטבר'!H:K)</f>
        <v>10548500</v>
      </c>
      <c r="S17" s="107">
        <f>SUMIF('תפוקה מצטברת מול יעד מצטבר'!B:B,'דוח הנהלה'!A17,'תפוקה מצטברת מול יעד מצטבר'!I:I)</f>
        <v>1905480</v>
      </c>
      <c r="T17" s="107">
        <f>SUMIF('תפוקה מצטברת מול יעד מצטבר'!B:B,'דוח הנהלה'!A17,'תפוקה מצטברת מול יעד מצטבר'!J:J)</f>
        <v>35154000</v>
      </c>
      <c r="U17" s="107">
        <f>SUMIF('תפוקה מצטברת מול יעד מצטבר'!B:B,'דוח הנהלה'!A17,'תפוקה מצטברת מול יעד מצטבר'!K:K)</f>
        <v>23938200</v>
      </c>
    </row>
    <row r="18">
      <c r="A18" s="106" t="s">
        <v>66</v>
      </c>
      <c r="B18" s="64">
        <f>SUMIF('תפוקה מצטברת מול אשתקד'!B:B,'דוח הנהלה'!A18,'תפוקה מצטברת מול אשתקד'!H:H)</f>
        <v>30045.09</v>
      </c>
      <c r="C18" s="64">
        <f>SUMIF('תפוקה מצטברת מול אשתקד'!B:B,'דוח הנהלה'!A18,'תפוקה מצטברת מול אשתקד'!I:I)</f>
        <v>13183.4</v>
      </c>
      <c r="D18" s="64">
        <f>SUMIF('תפוקה מצטברת מול אשתקד'!B:B,'דוח הנהלה'!A18,'תפוקה מצטברת מול אשתקד'!J:J)</f>
        <v>0</v>
      </c>
      <c r="E18" s="64">
        <f>SUMIF('תפוקה מצטברת מול אשתקד'!B:B,'דוח הנהלה'!A18,'תפוקה מצטברת מול אשתקד'!K:K)</f>
        <v>0</v>
      </c>
      <c r="F18" s="67">
        <f t="shared" ref="F18:G18" si="4">(B18-N18)/N18</f>
        <v>1.896596916</v>
      </c>
      <c r="G18" s="68">
        <f t="shared" si="4"/>
        <v>2.998440568</v>
      </c>
      <c r="H18" s="108">
        <v>0.0</v>
      </c>
      <c r="I18" s="69">
        <f>(E18-Q18)/Q18</f>
        <v>-1</v>
      </c>
      <c r="J18" s="67">
        <f t="shared" ref="J18:M18" si="5">(B18-R18)/R18</f>
        <v>-0.8700471886</v>
      </c>
      <c r="K18" s="68">
        <f t="shared" si="5"/>
        <v>-0.7813698176</v>
      </c>
      <c r="L18" s="68">
        <f t="shared" si="5"/>
        <v>-1</v>
      </c>
      <c r="M18" s="69">
        <f t="shared" si="5"/>
        <v>-1</v>
      </c>
      <c r="N18" s="107">
        <f>SUMIF('תפוקה מצטברת מול אשתקד'!B:B,'דוח הנהלה'!A18,'תפוקה מצטברת מול אשתקד'!L:L)</f>
        <v>10372.54781</v>
      </c>
      <c r="O18" s="107">
        <f>SUMIF('תפוקה מצטברת מול אשתקד'!B:B,'דוח הנהלה'!A18,'תפוקה מצטברת מול אשתקד'!M:M)</f>
        <v>3297.135415</v>
      </c>
      <c r="P18" s="107">
        <f>SUMIF('תפוקה מצטברת מול אשתקד'!B:B,'דוח הנהלה'!A18,'תפוקה מצטברת מול אשתקד'!N:N)</f>
        <v>0</v>
      </c>
      <c r="Q18" s="107">
        <f>SUMIF('תפוקה מצטברת מול אשתקד'!B:B,'דוח הנהלה'!A18,'תפוקה מצטברת מול אשתקד'!O:O)</f>
        <v>-168129.66</v>
      </c>
      <c r="R18" s="107">
        <f>SUMIF('תפוקה מצטברת מול יעד מצטבר'!B:B,'דוח הנהלה'!A18,'תפוקה מצטברת מול יעד מצטבר'!H:H)</f>
        <v>231200</v>
      </c>
      <c r="S18" s="107">
        <f>SUMIF('תפוקה מצטברת מול יעד מצטבר'!B:B,'דוח הנהלה'!A18,'תפוקה מצטברת מול יעד מצטבר'!I:I)</f>
        <v>60300</v>
      </c>
      <c r="T18" s="107">
        <f>SUMIF('תפוקה מצטברת מול יעד מצטבר'!B:B,'דוח הנהלה'!A18,'תפוקה מצטברת מול יעד מצטבר'!J:J)</f>
        <v>558000</v>
      </c>
      <c r="U18" s="107">
        <f>SUMIF('תפוקה מצטברת מול יעד מצטבר'!B:B,'דוח הנהלה'!A18,'תפוקה מצטברת מול יעד מצטבר'!K:K)</f>
        <v>558000</v>
      </c>
    </row>
    <row r="19">
      <c r="A19" s="106" t="s">
        <v>14</v>
      </c>
      <c r="B19" s="64">
        <f>SUMIF('תפוקה מצטברת מול אשתקד'!B:B,'דוח הנהלה'!A19,'תפוקה מצטברת מול אשתקד'!H:H)</f>
        <v>12079657.84</v>
      </c>
      <c r="C19" s="64">
        <f>SUMIF('תפוקה מצטברת מול אשתקד'!B:B,'דוח הנהלה'!A19,'תפוקה מצטברת מול אשתקד'!I:I)</f>
        <v>2146596.56</v>
      </c>
      <c r="D19" s="64">
        <f>SUMIF('תפוקה מצטברת מול אשתקד'!B:B,'דוח הנהלה'!A19,'תפוקה מצטברת מול אשתקד'!J:J)</f>
        <v>44782022.27</v>
      </c>
      <c r="E19" s="64">
        <f>SUMIF('תפוקה מצטברת מול אשתקד'!B:B,'דוח הנהלה'!A19,'תפוקה מצטברת מול אשתקד'!K:K)</f>
        <v>64683731.85</v>
      </c>
      <c r="F19" s="67">
        <f t="shared" ref="F19:I19" si="6">(B19-N19)/N19</f>
        <v>0.4138430924</v>
      </c>
      <c r="G19" s="68">
        <f t="shared" si="6"/>
        <v>0.02789218082</v>
      </c>
      <c r="H19" s="68">
        <f t="shared" si="6"/>
        <v>-0.1234810053</v>
      </c>
      <c r="I19" s="69">
        <f t="shared" si="6"/>
        <v>0.3013469943</v>
      </c>
      <c r="J19" s="67">
        <f t="shared" ref="J19:M19" si="7">(B19-R19)/R19</f>
        <v>-0.2743381247</v>
      </c>
      <c r="K19" s="68">
        <f t="shared" si="7"/>
        <v>-0.2734976274</v>
      </c>
      <c r="L19" s="68">
        <f t="shared" si="7"/>
        <v>-0.4267534272</v>
      </c>
      <c r="M19" s="69">
        <f t="shared" si="7"/>
        <v>-0.2616518064</v>
      </c>
      <c r="N19" s="107">
        <f>SUMIF('תפוקה מצטברת מול אשתקד'!B:B,'דוח הנהלה'!A19,'תפוקה מצטברת מול אשתקד'!L:L)</f>
        <v>8543846.136</v>
      </c>
      <c r="O19" s="107">
        <f>SUMIF('תפוקה מצטברת מול אשתקד'!B:B,'דוח הנהלה'!A19,'תפוקה מצטברת מול אשתקד'!M:M)</f>
        <v>2088347.981</v>
      </c>
      <c r="P19" s="107">
        <f>SUMIF('תפוקה מצטברת מול אשתקד'!B:B,'דוח הנהלה'!A19,'תפוקה מצטברת מול אשתקד'!N:N)</f>
        <v>51090760.77</v>
      </c>
      <c r="Q19" s="107">
        <f>SUMIF('תפוקה מצטברת מול אשתקד'!B:B,'דוח הנהלה'!A19,'תפוקה מצטברת מול אשתקד'!O:O)</f>
        <v>49705214.78</v>
      </c>
      <c r="R19" s="107">
        <f>SUMIF('תפוקה מצטברת מול יעד מצטבר'!B:B,'דוח הנהלה'!A19,'תפוקה מצטברת מול יעד מצטבר'!H:H)</f>
        <v>16646400</v>
      </c>
      <c r="S19" s="107">
        <f>SUMIF('תפוקה מצטברת מול יעד מצטבר'!B:B,'דוח הנהלה'!A19,'תפוקה מצטברת מול יעד מצטבר'!I:I)</f>
        <v>2954700</v>
      </c>
      <c r="T19" s="107">
        <f>SUMIF('תפוקה מצטברת מול יעד מצטבר'!B:B,'דוח הנהלה'!A19,'תפוקה מצטברת מול יעד מצטבר'!J:J)</f>
        <v>78120000</v>
      </c>
      <c r="U19" s="107">
        <f>SUMIF('תפוקה מצטברת מול יעד מצטבר'!B:B,'דוח הנהלה'!A19,'תפוקה מצטברת מול יעד מצטבר'!K:K)</f>
        <v>87606000</v>
      </c>
    </row>
    <row r="20">
      <c r="A20" s="106" t="s">
        <v>74</v>
      </c>
      <c r="B20" s="64">
        <f>SUMIF('תפוקה מצטברת מול אשתקד'!B:B,'דוח הנהלה'!A20,'תפוקה מצטברת מול אשתקד'!H:H)</f>
        <v>2954055.575</v>
      </c>
      <c r="C20" s="64">
        <f>SUMIF('תפוקה מצטברת מול אשתקד'!B:B,'דוח הנהלה'!A20,'תפוקה מצטברת מול אשתקד'!I:I)</f>
        <v>210814.0766</v>
      </c>
      <c r="D20" s="64">
        <f>SUMIF('תפוקה מצטברת מול אשתקד'!B:B,'דוח הנהלה'!A20,'תפוקה מצטברת מול אשתקד'!J:J)</f>
        <v>10198528.35</v>
      </c>
      <c r="E20" s="64">
        <f>SUMIF('תפוקה מצטברת מול אשתקד'!B:B,'דוח הנהלה'!A20,'תפוקה מצטברת מול אשתקד'!K:K)</f>
        <v>6801322.42</v>
      </c>
      <c r="F20" s="67">
        <f t="shared" ref="F20:I20" si="8">(B20-N20)/N20</f>
        <v>0.03557093421</v>
      </c>
      <c r="G20" s="68">
        <f t="shared" si="8"/>
        <v>-0.286838558</v>
      </c>
      <c r="H20" s="68">
        <f t="shared" si="8"/>
        <v>-0.2061778483</v>
      </c>
      <c r="I20" s="69">
        <f t="shared" si="8"/>
        <v>0.1485673611</v>
      </c>
      <c r="J20" s="67">
        <f t="shared" ref="J20:M20" si="9">(B20-R20)/R20</f>
        <v>-0.3275233166</v>
      </c>
      <c r="K20" s="68">
        <f t="shared" si="9"/>
        <v>-0.6878493299</v>
      </c>
      <c r="L20" s="68">
        <f t="shared" si="9"/>
        <v>-0.2053507597</v>
      </c>
      <c r="M20" s="69">
        <f t="shared" si="9"/>
        <v>-0.3905625072</v>
      </c>
      <c r="N20" s="107">
        <f>SUMIF('תפוקה מצטברת מול אשתקד'!B:B,'דוח הנהלה'!A20,'תפוקה מצטברת מול אשתקד'!L:L)</f>
        <v>2852586.411</v>
      </c>
      <c r="O20" s="107">
        <f>SUMIF('תפוקה מצטברת מול אשתקד'!B:B,'דוח הנהלה'!A20,'תפוקה מצטברת מול אשתקד'!M:M)</f>
        <v>295604.9839</v>
      </c>
      <c r="P20" s="107">
        <f>SUMIF('תפוקה מצטברת מול אשתקד'!B:B,'דוח הנהלה'!A20,'תפוקה מצטברת מול אשתקד'!N:N)</f>
        <v>12847371.83</v>
      </c>
      <c r="Q20" s="107">
        <f>SUMIF('תפוקה מצטברת מול אשתקד'!B:B,'דוח הנהלה'!A20,'תפוקה מצטברת מול אשתקד'!O:O)</f>
        <v>5921570.341</v>
      </c>
      <c r="R20" s="107">
        <f>SUMIF('תפוקה מצטברת מול יעד מצטבר'!B:B,'דוח הנהלה'!A20,'תפוקה מצטברת מול יעד מצטבר'!H:H)</f>
        <v>4392800</v>
      </c>
      <c r="S20" s="107">
        <f>SUMIF('תפוקה מצטברת מול יעד מצטבר'!B:B,'דוח הנהלה'!A20,'תפוקה מצטברת מול יעד מצטבר'!I:I)</f>
        <v>675360</v>
      </c>
      <c r="T20" s="107">
        <f>SUMIF('תפוקה מצטברת מול יעד מצטבר'!B:B,'דוח הנהלה'!A20,'תפוקה מצטברת מול יעד מצטבר'!J:J)</f>
        <v>12834000</v>
      </c>
      <c r="U20" s="107">
        <f>SUMIF('תפוקה מצטברת מול יעד מצטבר'!B:B,'דוח הנהלה'!A20,'תפוקה מצטברת מול יעד מצטבר'!K:K)</f>
        <v>11160000</v>
      </c>
    </row>
    <row r="21" ht="15.75" customHeight="1">
      <c r="A21" s="109"/>
      <c r="B21" s="80">
        <f t="shared" ref="B21:E21" si="10">SUM(B17:B20)</f>
        <v>26734140.42</v>
      </c>
      <c r="C21" s="80">
        <f t="shared" si="10"/>
        <v>4159293.341</v>
      </c>
      <c r="D21" s="80">
        <f t="shared" si="10"/>
        <v>100985675.7</v>
      </c>
      <c r="E21" s="80">
        <f t="shared" si="10"/>
        <v>120655640.5</v>
      </c>
      <c r="F21" s="110">
        <f t="shared" ref="F21:H21" si="11">(B21-N21)/N21</f>
        <v>0.1538538926</v>
      </c>
      <c r="G21" s="111">
        <f t="shared" si="11"/>
        <v>-0.007711552782</v>
      </c>
      <c r="H21" s="112">
        <f t="shared" si="11"/>
        <v>0.007185571661</v>
      </c>
      <c r="I21" s="113">
        <f>(B21-R21)/R21</f>
        <v>-0.1598031228</v>
      </c>
      <c r="J21" s="114">
        <f t="shared" ref="J21:M21" si="12">(B21-R21)/R21</f>
        <v>-0.1598031228</v>
      </c>
      <c r="K21" s="115">
        <f t="shared" si="12"/>
        <v>-0.256716893</v>
      </c>
      <c r="L21" s="116">
        <f t="shared" si="12"/>
        <v>-0.2027404698</v>
      </c>
      <c r="M21" s="117">
        <f t="shared" si="12"/>
        <v>-0.02114646274</v>
      </c>
      <c r="N21" s="118">
        <f t="shared" ref="N21:U21" si="13">SUM(N17:N20)</f>
        <v>23169432.97</v>
      </c>
      <c r="O21" s="118">
        <f t="shared" si="13"/>
        <v>4191617.219</v>
      </c>
      <c r="P21" s="118">
        <f t="shared" si="13"/>
        <v>100265212.8</v>
      </c>
      <c r="Q21" s="118">
        <f t="shared" si="13"/>
        <v>120136017.7</v>
      </c>
      <c r="R21" s="119">
        <f t="shared" si="13"/>
        <v>31818900</v>
      </c>
      <c r="S21" s="119">
        <f t="shared" si="13"/>
        <v>5595840</v>
      </c>
      <c r="T21" s="119">
        <f t="shared" si="13"/>
        <v>126666000</v>
      </c>
      <c r="U21" s="119">
        <f t="shared" si="13"/>
        <v>123262200</v>
      </c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41"/>
      <c r="O22" s="41"/>
      <c r="P22" s="41"/>
      <c r="Q22" s="41"/>
      <c r="R22" s="41"/>
      <c r="S22" s="41"/>
      <c r="T22" s="41"/>
      <c r="U22" s="41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41"/>
      <c r="O23" s="41"/>
      <c r="P23" s="41"/>
      <c r="Q23" s="41"/>
      <c r="R23" s="41"/>
      <c r="S23" s="41"/>
      <c r="T23" s="41"/>
      <c r="U23" s="41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41"/>
      <c r="O24" s="41"/>
      <c r="P24" s="41"/>
      <c r="Q24" s="41"/>
      <c r="R24" s="41"/>
      <c r="S24" s="41"/>
      <c r="T24" s="41"/>
      <c r="U24" s="41"/>
    </row>
    <row r="25" ht="15.75" customHeight="1">
      <c r="A25" s="120" t="s">
        <v>107</v>
      </c>
      <c r="B25" s="88"/>
      <c r="C25" s="88"/>
      <c r="H25" s="89"/>
      <c r="I25" s="89"/>
      <c r="J25" s="89"/>
      <c r="K25" s="90"/>
      <c r="L25" s="90"/>
      <c r="M25" s="91"/>
      <c r="N25" s="91"/>
      <c r="O25" s="88"/>
      <c r="R25" s="121" t="s">
        <v>108</v>
      </c>
      <c r="S25" s="91"/>
      <c r="T25" s="91"/>
      <c r="U25" s="88"/>
    </row>
    <row r="26" ht="21.0" customHeight="1">
      <c r="A26" s="46" t="s">
        <v>98</v>
      </c>
      <c r="B26" s="47" t="s">
        <v>99</v>
      </c>
      <c r="C26" s="48"/>
      <c r="D26" s="48"/>
      <c r="E26" s="49"/>
      <c r="F26" s="50" t="s">
        <v>0</v>
      </c>
      <c r="G26" s="48"/>
      <c r="H26" s="48"/>
      <c r="I26" s="49"/>
      <c r="J26" s="16"/>
      <c r="K26" s="16"/>
      <c r="L26" s="16"/>
      <c r="M26" s="16"/>
      <c r="N26" s="41"/>
      <c r="O26" s="41"/>
      <c r="P26" s="41"/>
      <c r="Q26" s="41"/>
      <c r="R26" s="122" t="s">
        <v>109</v>
      </c>
      <c r="S26" s="123" t="s">
        <v>110</v>
      </c>
      <c r="T26" s="123" t="s">
        <v>111</v>
      </c>
      <c r="U26" s="123" t="s">
        <v>112</v>
      </c>
    </row>
    <row r="27" ht="15.75" customHeight="1">
      <c r="A27" s="52"/>
      <c r="B27" s="53" t="s">
        <v>6</v>
      </c>
      <c r="C27" s="54" t="s">
        <v>11</v>
      </c>
      <c r="D27" s="54" t="s">
        <v>10</v>
      </c>
      <c r="E27" s="124" t="s">
        <v>9</v>
      </c>
      <c r="F27" s="125" t="s">
        <v>6</v>
      </c>
      <c r="G27" s="125" t="s">
        <v>7</v>
      </c>
      <c r="H27" s="125" t="s">
        <v>8</v>
      </c>
      <c r="I27" s="125" t="s">
        <v>9</v>
      </c>
      <c r="J27" s="16"/>
      <c r="K27" s="16"/>
      <c r="L27" s="16"/>
      <c r="M27" s="16"/>
      <c r="N27" s="41"/>
      <c r="O27" s="41"/>
      <c r="P27" s="41"/>
      <c r="Q27" s="41"/>
      <c r="R27" s="126" t="s">
        <v>18</v>
      </c>
      <c r="S27" s="17">
        <v>1.0</v>
      </c>
      <c r="T27" s="127">
        <v>40998.678491696315</v>
      </c>
      <c r="U27" s="128">
        <v>40998.678491696315</v>
      </c>
    </row>
    <row r="28" ht="15.75" customHeight="1">
      <c r="A28" s="63" t="s">
        <v>113</v>
      </c>
      <c r="B28" s="129">
        <f>'מנורה'!D76</f>
        <v>3817815.19</v>
      </c>
      <c r="C28" s="129">
        <f>'מנורה'!E76</f>
        <v>978318.3968</v>
      </c>
      <c r="D28" s="129">
        <f>'מנורה'!F76</f>
        <v>4831046.611</v>
      </c>
      <c r="E28" s="129">
        <f>'מנורה'!G76</f>
        <v>-5904683.825</v>
      </c>
      <c r="F28" s="130">
        <f>'מנורה'!D76/'מנורה'!H76-1</f>
        <v>0.04058458225</v>
      </c>
      <c r="G28" s="130">
        <f>'מנורה'!E76/'מנורה'!I76-1</f>
        <v>-0.09417061697</v>
      </c>
      <c r="H28" s="130">
        <f>'מנורה'!F76/'מנורה'!J76-1</f>
        <v>-0.4371335386</v>
      </c>
      <c r="I28" s="130">
        <f>'מנורה'!G76/'מנורה'!K76-1</f>
        <v>-1.27981322</v>
      </c>
      <c r="J28" s="16"/>
      <c r="K28" s="16"/>
      <c r="L28" s="16"/>
      <c r="M28" s="16"/>
      <c r="N28" s="41"/>
      <c r="O28" s="41"/>
      <c r="P28" s="41"/>
      <c r="Q28" s="41"/>
      <c r="R28" s="131" t="s">
        <v>30</v>
      </c>
      <c r="S28" s="17">
        <v>0.44627074889682494</v>
      </c>
      <c r="T28" s="127">
        <v>73714.77298726243</v>
      </c>
      <c r="U28" s="128">
        <v>238894.25913885163</v>
      </c>
    </row>
    <row r="29" ht="15.75" customHeight="1">
      <c r="A29" s="70" t="s">
        <v>114</v>
      </c>
      <c r="B29" s="64">
        <f>'מגדל'!D76</f>
        <v>15056563.5</v>
      </c>
      <c r="C29" s="64">
        <f>'מגדל'!E76</f>
        <v>688899.06</v>
      </c>
      <c r="D29" s="64">
        <f>'מגדל'!F76</f>
        <v>39420920.13</v>
      </c>
      <c r="E29" s="64">
        <f>'מגדל'!G76</f>
        <v>112628612</v>
      </c>
      <c r="F29" s="68">
        <f>'מגדל'!D76/'מגדל'!H76-1</f>
        <v>0.59194363</v>
      </c>
      <c r="G29" s="68">
        <f>'מגדל'!E76/'מגדל'!I76-1</f>
        <v>0.276795501</v>
      </c>
      <c r="H29" s="68">
        <f>'מגדל'!F76/'מגדל'!J76-1</f>
        <v>0.5403639788</v>
      </c>
      <c r="I29" s="130">
        <f>'מגדל'!G76/'מגדל'!K76-1</f>
        <v>1.24095389</v>
      </c>
      <c r="J29" s="16"/>
      <c r="K29" s="16"/>
      <c r="L29" s="16"/>
      <c r="M29" s="16"/>
      <c r="N29" s="41"/>
      <c r="O29" s="41"/>
      <c r="P29" s="41"/>
      <c r="Q29" s="41"/>
      <c r="R29" s="131" t="s">
        <v>17</v>
      </c>
      <c r="S29" s="17">
        <v>1.0</v>
      </c>
      <c r="T29" s="127">
        <v>53005.6961604641</v>
      </c>
      <c r="U29" s="128">
        <v>53005.6961604641</v>
      </c>
    </row>
    <row r="30" ht="15.75" customHeight="1">
      <c r="A30" s="70" t="s">
        <v>115</v>
      </c>
      <c r="B30" s="64">
        <f>'כלל'!D76</f>
        <v>4154444.4</v>
      </c>
      <c r="C30" s="64">
        <f>'כלל'!E76</f>
        <v>1455428.004</v>
      </c>
      <c r="D30" s="64">
        <f>'כלל'!F76</f>
        <v>16745933.29</v>
      </c>
      <c r="E30" s="64">
        <f>'כלל'!G76</f>
        <v>8305186.305</v>
      </c>
      <c r="F30" s="68">
        <f>'כלל'!D76/'כלל'!H76-1</f>
        <v>-0.2498050695</v>
      </c>
      <c r="G30" s="68">
        <f>'כלל'!E76/'כלל'!I76-1</f>
        <v>0.4586966339</v>
      </c>
      <c r="H30" s="68">
        <f>'כלל'!F76/'כלל'!J76-1</f>
        <v>0.1402744066</v>
      </c>
      <c r="I30" s="130">
        <f>'כלל'!G76/'כלל'!K76-1</f>
        <v>-0.7808140902</v>
      </c>
      <c r="J30" s="16"/>
      <c r="K30" s="16"/>
      <c r="L30" s="16"/>
      <c r="M30" s="16"/>
      <c r="N30" s="41"/>
      <c r="O30" s="41"/>
      <c r="P30" s="41"/>
      <c r="Q30" s="41"/>
      <c r="R30" s="131" t="s">
        <v>23</v>
      </c>
      <c r="S30" s="17">
        <v>1.0052489992973506</v>
      </c>
      <c r="T30" s="127">
        <v>512958.4447817905</v>
      </c>
      <c r="U30" s="128">
        <v>1023238.4302782579</v>
      </c>
    </row>
    <row r="31" ht="15.75" customHeight="1">
      <c r="A31" s="70" t="s">
        <v>116</v>
      </c>
      <c r="B31" s="64">
        <f>'אלטשולר שחם'!D76</f>
        <v>12000</v>
      </c>
      <c r="C31" s="64">
        <f>'אלטשולר שחם'!E76</f>
        <v>0</v>
      </c>
      <c r="D31" s="64">
        <f>'אלטשולר שחם'!F76</f>
        <v>219926</v>
      </c>
      <c r="E31" s="64">
        <f>'אלטשולר שחם'!G76</f>
        <v>0</v>
      </c>
      <c r="F31" s="68">
        <v>1.0</v>
      </c>
      <c r="G31" s="68">
        <v>0.0</v>
      </c>
      <c r="H31" s="68">
        <f>'אלטשולר שחם'!F76/'אלטשולר שחם'!J76-1</f>
        <v>1.192681954</v>
      </c>
      <c r="I31" s="130">
        <v>0.0</v>
      </c>
      <c r="J31" s="16"/>
      <c r="K31" s="16"/>
      <c r="L31" s="16"/>
      <c r="M31" s="16"/>
      <c r="N31" s="41"/>
      <c r="O31" s="41"/>
      <c r="P31" s="41"/>
      <c r="Q31" s="41"/>
      <c r="R31" s="131" t="s">
        <v>92</v>
      </c>
      <c r="S31" s="17">
        <v>0.29042855620203367</v>
      </c>
      <c r="T31" s="127">
        <v>48621.21811960367</v>
      </c>
      <c r="U31" s="128">
        <v>216033.19287659286</v>
      </c>
    </row>
    <row r="32" ht="15.75" customHeight="1">
      <c r="A32" s="70" t="s">
        <v>117</v>
      </c>
      <c r="B32" s="64">
        <f>'מור'!D76</f>
        <v>0</v>
      </c>
      <c r="C32" s="64">
        <f>'מור'!E76</f>
        <v>0</v>
      </c>
      <c r="D32" s="64">
        <f>'מור'!F76</f>
        <v>1750542.67</v>
      </c>
      <c r="E32" s="64">
        <f>'מור'!G76</f>
        <v>0</v>
      </c>
      <c r="F32" s="68">
        <v>0.0</v>
      </c>
      <c r="G32" s="68">
        <v>0.0</v>
      </c>
      <c r="H32" s="68">
        <f>'מור'!F76/'מור'!J76-1</f>
        <v>-0.5673334291</v>
      </c>
      <c r="I32" s="130">
        <v>0.0</v>
      </c>
      <c r="J32" s="16"/>
      <c r="K32" s="16"/>
      <c r="L32" s="16"/>
      <c r="M32" s="16"/>
      <c r="N32" s="41"/>
      <c r="O32" s="41"/>
      <c r="P32" s="41"/>
      <c r="Q32" s="41"/>
    </row>
    <row r="33" ht="15.75" customHeight="1">
      <c r="A33" s="70" t="s">
        <v>118</v>
      </c>
      <c r="B33" s="64">
        <f>'הראל'!D76</f>
        <v>1319106</v>
      </c>
      <c r="C33" s="64">
        <f>'הראל'!E76</f>
        <v>473764</v>
      </c>
      <c r="D33" s="64">
        <f>'הראל'!F76</f>
        <v>2672288</v>
      </c>
      <c r="E33" s="64">
        <f>'הראל'!G76</f>
        <v>-2842186</v>
      </c>
      <c r="F33" s="68">
        <f>'הראל'!D76/'הראל'!H76-1</f>
        <v>-0.5230647849</v>
      </c>
      <c r="G33" s="68">
        <f>'הראל'!E76/'הראל'!I76-1</f>
        <v>-0.4428534043</v>
      </c>
      <c r="H33" s="68">
        <f>'הראל'!F76/'הראל'!J76-1</f>
        <v>-0.6637067553</v>
      </c>
      <c r="I33" s="130">
        <f>'הראל'!G76/'הראל'!K76-1</f>
        <v>-1.521202597</v>
      </c>
      <c r="J33" s="16"/>
      <c r="K33" s="16"/>
      <c r="L33" s="16"/>
      <c r="M33" s="16"/>
      <c r="N33" s="41"/>
      <c r="O33" s="41"/>
      <c r="P33" s="41"/>
      <c r="Q33" s="41"/>
      <c r="R33" s="41"/>
      <c r="S33" s="41"/>
      <c r="T33" s="41"/>
      <c r="U33" s="40"/>
    </row>
    <row r="34" ht="15.75" customHeight="1">
      <c r="A34" s="70" t="s">
        <v>119</v>
      </c>
      <c r="B34" s="64">
        <f>'הפניקס'!D76</f>
        <v>2372966.326</v>
      </c>
      <c r="C34" s="64">
        <f>'הפניקס'!E76</f>
        <v>174409.8805</v>
      </c>
      <c r="D34" s="64">
        <f>'הפניקס'!F76</f>
        <v>17228480.79</v>
      </c>
      <c r="E34" s="64">
        <f>'הפניקס'!G76</f>
        <v>8468712</v>
      </c>
      <c r="F34" s="68">
        <f>'הפניקס'!D76/'הפניקס'!H76-1</f>
        <v>0.3655089481</v>
      </c>
      <c r="G34" s="68">
        <f>'הפניקס'!E76/'הפניקס'!I76-1</f>
        <v>-0.3615281319</v>
      </c>
      <c r="H34" s="68">
        <f>'הפניקס'!F76/'הפניקס'!J76-1</f>
        <v>1.058748236</v>
      </c>
      <c r="I34" s="130">
        <f>'הפניקס'!G76/'הפניקס'!K76-1</f>
        <v>0.5595102106</v>
      </c>
      <c r="J34" s="16"/>
      <c r="K34" s="16"/>
      <c r="L34" s="16"/>
      <c r="M34" s="16"/>
      <c r="N34" s="41"/>
      <c r="O34" s="41"/>
      <c r="P34" s="41"/>
      <c r="Q34" s="41"/>
      <c r="R34" s="41"/>
      <c r="S34" s="41"/>
      <c r="T34" s="41"/>
      <c r="U34" s="40"/>
    </row>
    <row r="35" ht="15.75" customHeight="1">
      <c r="A35" s="70" t="s">
        <v>120</v>
      </c>
      <c r="B35" s="64">
        <f>'איילון'!D76</f>
        <v>1245</v>
      </c>
      <c r="C35" s="64">
        <f>'איילון'!E76</f>
        <v>364969</v>
      </c>
      <c r="D35" s="64">
        <f>'איילון'!F76</f>
        <v>0</v>
      </c>
      <c r="E35" s="64">
        <f>'איילון'!G76</f>
        <v>0</v>
      </c>
      <c r="F35" s="68">
        <v>1.0</v>
      </c>
      <c r="G35" s="68">
        <f>'איילון'!E76/'איילון'!I76-1</f>
        <v>-0.1500235685</v>
      </c>
      <c r="H35" s="68">
        <v>0.0</v>
      </c>
      <c r="I35" s="130">
        <v>0.0</v>
      </c>
      <c r="J35" s="16"/>
      <c r="K35" s="16"/>
      <c r="L35" s="16"/>
      <c r="M35" s="16"/>
      <c r="N35" s="41"/>
      <c r="O35" s="41"/>
      <c r="P35" s="41"/>
      <c r="Q35" s="41"/>
      <c r="R35" s="41"/>
      <c r="S35" s="41"/>
      <c r="T35" s="41"/>
      <c r="U35" s="40"/>
    </row>
    <row r="36" ht="15.75" customHeight="1">
      <c r="A36" s="132" t="s">
        <v>121</v>
      </c>
      <c r="B36" s="65">
        <f>'הכשרה'!D76</f>
        <v>0</v>
      </c>
      <c r="C36" s="65">
        <f>'הכשרה'!E76</f>
        <v>3622</v>
      </c>
      <c r="D36" s="65">
        <f>'הכשרה'!F76</f>
        <v>0</v>
      </c>
      <c r="E36" s="65">
        <f>'הכשרה'!G76</f>
        <v>0</v>
      </c>
      <c r="F36" s="68">
        <v>0.0</v>
      </c>
      <c r="G36" s="68">
        <f>'הכשרה'!E76/'הכשרה'!I76-1</f>
        <v>-0.7977779018</v>
      </c>
      <c r="H36" s="68">
        <v>1.0</v>
      </c>
      <c r="I36" s="68">
        <v>0.0</v>
      </c>
      <c r="J36" s="16"/>
      <c r="K36" s="16"/>
      <c r="L36" s="16"/>
      <c r="M36" s="16"/>
      <c r="N36" s="41"/>
      <c r="O36" s="41"/>
      <c r="P36" s="41"/>
      <c r="Q36" s="41"/>
      <c r="R36" s="133" t="s">
        <v>122</v>
      </c>
      <c r="S36" s="91"/>
      <c r="T36" s="91"/>
      <c r="U36" s="88"/>
    </row>
    <row r="37" ht="15.75" customHeight="1">
      <c r="A37" s="132" t="s">
        <v>123</v>
      </c>
      <c r="B37" s="65">
        <f>'מדיהו '!D76</f>
        <v>0</v>
      </c>
      <c r="C37" s="65">
        <f>'מדיהו '!E76</f>
        <v>19883</v>
      </c>
      <c r="D37" s="65">
        <f>'מדיהו '!F76</f>
        <v>0</v>
      </c>
      <c r="E37" s="16">
        <f>'מדיהו '!G76</f>
        <v>0</v>
      </c>
      <c r="F37" s="68">
        <v>0.0</v>
      </c>
      <c r="G37" s="68">
        <f>'מדיהו '!E76/'מדיהו '!I76-1</f>
        <v>4.723373633</v>
      </c>
      <c r="H37" s="68">
        <v>0.0</v>
      </c>
      <c r="I37" s="68">
        <v>0.0</v>
      </c>
      <c r="J37" s="16"/>
      <c r="K37" s="16"/>
      <c r="L37" s="16"/>
      <c r="M37" s="16"/>
      <c r="N37" s="41"/>
      <c r="O37" s="41"/>
      <c r="P37" s="41"/>
      <c r="Q37" s="41"/>
      <c r="R37" s="134" t="s">
        <v>109</v>
      </c>
      <c r="S37" s="135" t="s">
        <v>110</v>
      </c>
      <c r="T37" s="135" t="s">
        <v>124</v>
      </c>
      <c r="U37" s="135" t="s">
        <v>112</v>
      </c>
    </row>
    <row r="38" ht="15.75" customHeight="1">
      <c r="A38" s="132" t="s">
        <v>125</v>
      </c>
      <c r="B38" s="65">
        <f>'אנליסט '!D76</f>
        <v>0</v>
      </c>
      <c r="C38" s="65">
        <f>'אנליסט '!E76</f>
        <v>0</v>
      </c>
      <c r="D38" s="65">
        <f>'אנליסט '!F76</f>
        <v>18116538.17</v>
      </c>
      <c r="E38" s="65">
        <f>'אנליסט '!G76</f>
        <v>0</v>
      </c>
      <c r="F38" s="68">
        <v>0.0</v>
      </c>
      <c r="G38" s="68">
        <v>0.0</v>
      </c>
      <c r="H38" s="68">
        <f>'אנליסט '!F76/'אנליסט '!J76-1</f>
        <v>-0.4107193033</v>
      </c>
      <c r="I38" s="68">
        <v>0.0</v>
      </c>
      <c r="J38" s="16"/>
      <c r="K38" s="16"/>
      <c r="L38" s="16"/>
      <c r="M38" s="16"/>
      <c r="N38" s="41"/>
      <c r="O38" s="41"/>
      <c r="P38" s="41"/>
      <c r="Q38" s="41"/>
      <c r="R38" s="1" t="s">
        <v>50</v>
      </c>
      <c r="S38" s="17">
        <v>-0.3556459634248016</v>
      </c>
      <c r="T38" s="127">
        <v>-149050.81271087303</v>
      </c>
      <c r="U38" s="128">
        <v>270048.03288136324</v>
      </c>
    </row>
    <row r="39" ht="15.75" customHeight="1">
      <c r="A39" s="132" t="s">
        <v>126</v>
      </c>
      <c r="B39" s="65">
        <f>'מיטב דש'!D76</f>
        <v>0</v>
      </c>
      <c r="C39" s="65">
        <f>'מיטב דש'!E76</f>
        <v>0</v>
      </c>
      <c r="D39" s="65">
        <f>'מיטב דש'!F76</f>
        <v>0</v>
      </c>
      <c r="E39" s="65">
        <f>'מיטב דש'!G76</f>
        <v>0</v>
      </c>
      <c r="F39" s="68">
        <v>0.0</v>
      </c>
      <c r="G39" s="68">
        <v>0.0</v>
      </c>
      <c r="H39" s="68">
        <v>0.0</v>
      </c>
      <c r="I39" s="68">
        <v>0.0</v>
      </c>
      <c r="J39" s="16"/>
      <c r="K39" s="16"/>
      <c r="L39" s="16"/>
      <c r="M39" s="16"/>
      <c r="N39" s="41"/>
      <c r="O39" s="41"/>
      <c r="P39" s="41"/>
      <c r="Q39" s="41"/>
      <c r="R39" s="30" t="s">
        <v>13</v>
      </c>
      <c r="S39" s="17">
        <v>-0.6620767574460354</v>
      </c>
      <c r="T39" s="127">
        <v>-556719.1144801687</v>
      </c>
      <c r="U39" s="128">
        <v>284148.8184581746</v>
      </c>
    </row>
    <row r="40" ht="15.75" customHeight="1">
      <c r="A40" s="132" t="s">
        <v>127</v>
      </c>
      <c r="B40" s="65">
        <f>'אינפניטי'!D76</f>
        <v>0</v>
      </c>
      <c r="C40" s="65">
        <f>'אינפניטי'!E76</f>
        <v>0</v>
      </c>
      <c r="D40" s="65">
        <f>'אינפניטי'!F76</f>
        <v>0</v>
      </c>
      <c r="E40" s="65">
        <f>'אינפניטי'!G76</f>
        <v>0</v>
      </c>
      <c r="F40" s="68">
        <v>0.0</v>
      </c>
      <c r="G40" s="68">
        <v>0.0</v>
      </c>
      <c r="H40" s="68">
        <v>0.0</v>
      </c>
      <c r="I40" s="68">
        <v>0.0</v>
      </c>
      <c r="J40" s="16"/>
      <c r="K40" s="16"/>
      <c r="L40" s="16"/>
      <c r="M40" s="16"/>
      <c r="N40" s="41"/>
      <c r="O40" s="41"/>
      <c r="P40" s="41"/>
      <c r="Q40" s="41"/>
      <c r="R40" s="1" t="s">
        <v>75</v>
      </c>
      <c r="S40" s="17">
        <v>-0.7602590667722235</v>
      </c>
      <c r="T40" s="127">
        <v>-92662.8646105892</v>
      </c>
      <c r="U40" s="128">
        <v>29220.41</v>
      </c>
    </row>
    <row r="41" ht="15.75" customHeight="1">
      <c r="A41" s="136" t="s">
        <v>128</v>
      </c>
      <c r="B41" s="137">
        <f t="shared" ref="B41:E41" si="14">SUM(B28:B40)</f>
        <v>26734140.42</v>
      </c>
      <c r="C41" s="138">
        <f t="shared" si="14"/>
        <v>4159293.341</v>
      </c>
      <c r="D41" s="138">
        <f t="shared" si="14"/>
        <v>100985675.7</v>
      </c>
      <c r="E41" s="139">
        <f t="shared" si="14"/>
        <v>120655640.5</v>
      </c>
      <c r="F41" s="140">
        <f>('תפוקה מצטברת מול אשתקד'!H76-'תפוקה מצטברת מול אשתקד'!L76)/'תפוקה מצטברת מול אשתקד'!L76</f>
        <v>0.1538538926</v>
      </c>
      <c r="G41" s="140">
        <f>('תפוקה מצטברת מול אשתקד'!I76-'תפוקה מצטברת מול אשתקד'!M76)/'תפוקה מצטברת מול אשתקד'!M76</f>
        <v>-0.007711552782</v>
      </c>
      <c r="H41" s="140">
        <f>('תפוקה מצטברת מול אשתקד'!J76-'תפוקה מצטברת מול אשתקד'!N76)/'תפוקה מצטברת מול אשתקד'!N76</f>
        <v>0.007185571661</v>
      </c>
      <c r="I41" s="140">
        <f>('תפוקה מצטברת מול אשתקד'!K76-'תפוקה מצטברת מול אשתקד'!O76)/'תפוקה מצטברת מול אשתקד'!O76</f>
        <v>0.004325287057</v>
      </c>
      <c r="J41" s="16"/>
      <c r="K41" s="16"/>
      <c r="L41" s="16"/>
      <c r="M41" s="16"/>
      <c r="N41" s="41"/>
      <c r="O41" s="41"/>
      <c r="P41" s="41"/>
      <c r="Q41" s="41"/>
      <c r="R41" s="30" t="s">
        <v>24</v>
      </c>
      <c r="S41" s="17">
        <v>-0.5010626408520893</v>
      </c>
      <c r="T41" s="127">
        <v>-40769.3573824773</v>
      </c>
      <c r="U41" s="128">
        <v>40596.43215861955</v>
      </c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41"/>
      <c r="O42" s="41"/>
      <c r="P42" s="41"/>
      <c r="Q42" s="41"/>
      <c r="R42" s="30" t="s">
        <v>26</v>
      </c>
      <c r="S42" s="17">
        <v>-0.32909280803565644</v>
      </c>
      <c r="T42" s="127">
        <v>-70133.94224302834</v>
      </c>
      <c r="U42" s="128">
        <v>142979.0171730568</v>
      </c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41"/>
      <c r="O43" s="41"/>
      <c r="P43" s="41"/>
      <c r="Q43" s="41"/>
      <c r="R43" s="41"/>
      <c r="S43" s="41"/>
      <c r="T43" s="41"/>
      <c r="U43" s="4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41"/>
      <c r="O44" s="41"/>
      <c r="P44" s="41"/>
      <c r="Q44" s="41"/>
      <c r="R44" s="41"/>
      <c r="S44" s="41"/>
      <c r="T44" s="41"/>
      <c r="U44" s="4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41"/>
      <c r="O45" s="41"/>
      <c r="P45" s="41"/>
      <c r="Q45" s="41"/>
      <c r="R45" s="41"/>
      <c r="S45" s="41"/>
      <c r="T45" s="41"/>
      <c r="U45" s="4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41"/>
      <c r="O46" s="41"/>
      <c r="P46" s="41"/>
      <c r="Q46" s="41"/>
      <c r="R46" s="41"/>
      <c r="S46" s="41"/>
      <c r="T46" s="41"/>
      <c r="U46" s="4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41"/>
      <c r="O47" s="41"/>
      <c r="P47" s="41"/>
      <c r="Q47" s="41"/>
      <c r="R47" s="41"/>
      <c r="S47" s="41"/>
      <c r="T47" s="41"/>
      <c r="U47" s="4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41"/>
      <c r="O48" s="41"/>
      <c r="P48" s="41"/>
      <c r="Q48" s="41"/>
      <c r="R48" s="41"/>
      <c r="S48" s="41"/>
      <c r="T48" s="41"/>
      <c r="U48" s="4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41"/>
      <c r="O49" s="41"/>
      <c r="P49" s="41"/>
      <c r="Q49" s="41"/>
      <c r="R49" s="41"/>
      <c r="S49" s="41"/>
      <c r="T49" s="41"/>
      <c r="U49" s="4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41"/>
      <c r="O50" s="41"/>
      <c r="P50" s="41"/>
      <c r="Q50" s="41"/>
      <c r="R50" s="41"/>
      <c r="S50" s="41"/>
      <c r="T50" s="41"/>
      <c r="U50" s="4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41"/>
      <c r="O51" s="41"/>
      <c r="P51" s="41"/>
      <c r="Q51" s="41"/>
      <c r="R51" s="41"/>
      <c r="S51" s="41"/>
      <c r="T51" s="41"/>
      <c r="U51" s="4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41"/>
      <c r="O52" s="41"/>
      <c r="P52" s="41"/>
      <c r="Q52" s="41"/>
      <c r="R52" s="41"/>
      <c r="S52" s="41"/>
      <c r="T52" s="41"/>
      <c r="U52" s="4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41"/>
      <c r="O53" s="41"/>
      <c r="P53" s="41"/>
      <c r="Q53" s="41"/>
      <c r="R53" s="41"/>
      <c r="S53" s="41"/>
      <c r="T53" s="41"/>
      <c r="U53" s="4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41"/>
      <c r="O54" s="41"/>
      <c r="P54" s="41"/>
      <c r="Q54" s="41"/>
      <c r="R54" s="41"/>
      <c r="S54" s="41"/>
      <c r="T54" s="41"/>
      <c r="U54" s="4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41"/>
      <c r="O55" s="41"/>
      <c r="P55" s="41"/>
      <c r="Q55" s="41"/>
      <c r="R55" s="41"/>
      <c r="S55" s="41"/>
      <c r="T55" s="41"/>
      <c r="U55" s="4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41"/>
      <c r="O56" s="41"/>
      <c r="P56" s="41"/>
      <c r="Q56" s="41"/>
      <c r="R56" s="41"/>
      <c r="S56" s="41"/>
      <c r="T56" s="41"/>
      <c r="U56" s="4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41"/>
      <c r="O57" s="41"/>
      <c r="P57" s="41"/>
      <c r="Q57" s="41"/>
      <c r="R57" s="41"/>
      <c r="S57" s="41"/>
      <c r="T57" s="41"/>
      <c r="U57" s="4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41"/>
      <c r="O58" s="41"/>
      <c r="P58" s="41"/>
      <c r="Q58" s="41"/>
      <c r="R58" s="41"/>
      <c r="S58" s="41"/>
      <c r="T58" s="41"/>
      <c r="U58" s="4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41"/>
      <c r="O59" s="41"/>
      <c r="P59" s="41"/>
      <c r="Q59" s="41"/>
      <c r="R59" s="41"/>
      <c r="S59" s="41"/>
      <c r="T59" s="41"/>
      <c r="U59" s="4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41"/>
      <c r="O60" s="41"/>
      <c r="P60" s="41"/>
      <c r="Q60" s="41"/>
      <c r="R60" s="41"/>
      <c r="S60" s="41"/>
      <c r="T60" s="41"/>
      <c r="U60" s="4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1"/>
      <c r="P61" s="41"/>
      <c r="Q61" s="41"/>
      <c r="R61" s="41"/>
      <c r="S61" s="41"/>
      <c r="T61" s="41"/>
      <c r="U61" s="4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41"/>
      <c r="O62" s="41"/>
      <c r="P62" s="41"/>
      <c r="Q62" s="41"/>
      <c r="R62" s="41"/>
      <c r="S62" s="41"/>
      <c r="T62" s="41"/>
      <c r="U62" s="4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41"/>
      <c r="O63" s="41"/>
      <c r="P63" s="41"/>
      <c r="Q63" s="41"/>
      <c r="R63" s="41"/>
      <c r="S63" s="41"/>
      <c r="T63" s="41"/>
      <c r="U63" s="4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41"/>
      <c r="O64" s="41"/>
      <c r="P64" s="41"/>
      <c r="Q64" s="41"/>
      <c r="R64" s="41"/>
      <c r="S64" s="41"/>
      <c r="T64" s="41"/>
      <c r="U64" s="4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41"/>
      <c r="O65" s="41"/>
      <c r="P65" s="41"/>
      <c r="Q65" s="41"/>
      <c r="R65" s="41"/>
      <c r="S65" s="41"/>
      <c r="T65" s="41"/>
      <c r="U65" s="4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41"/>
      <c r="O66" s="41"/>
      <c r="P66" s="41"/>
      <c r="Q66" s="41"/>
      <c r="R66" s="41"/>
      <c r="S66" s="41"/>
      <c r="T66" s="41"/>
      <c r="U66" s="4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41"/>
      <c r="O67" s="41"/>
      <c r="P67" s="41"/>
      <c r="Q67" s="41"/>
      <c r="R67" s="41"/>
      <c r="S67" s="41"/>
      <c r="T67" s="41"/>
      <c r="U67" s="4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41"/>
      <c r="O68" s="41"/>
      <c r="P68" s="41"/>
      <c r="Q68" s="41"/>
      <c r="R68" s="41"/>
      <c r="S68" s="41"/>
      <c r="T68" s="41"/>
      <c r="U68" s="4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41"/>
      <c r="O69" s="41"/>
      <c r="P69" s="41"/>
      <c r="Q69" s="41"/>
      <c r="R69" s="41"/>
      <c r="S69" s="41"/>
      <c r="T69" s="41"/>
      <c r="U69" s="4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41"/>
      <c r="O70" s="41"/>
      <c r="P70" s="41"/>
      <c r="Q70" s="41"/>
      <c r="R70" s="41"/>
      <c r="S70" s="41"/>
      <c r="T70" s="41"/>
      <c r="U70" s="4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41"/>
      <c r="O71" s="41"/>
      <c r="P71" s="41"/>
      <c r="Q71" s="41"/>
      <c r="R71" s="41"/>
      <c r="S71" s="41"/>
      <c r="T71" s="41"/>
      <c r="U71" s="4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41"/>
      <c r="O72" s="41"/>
      <c r="P72" s="41"/>
      <c r="Q72" s="41"/>
      <c r="R72" s="41"/>
      <c r="S72" s="41"/>
      <c r="T72" s="41"/>
      <c r="U72" s="4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41"/>
      <c r="O73" s="41"/>
      <c r="P73" s="41"/>
      <c r="Q73" s="41"/>
      <c r="R73" s="41"/>
      <c r="S73" s="41"/>
      <c r="T73" s="41"/>
      <c r="U73" s="4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41"/>
      <c r="O74" s="41"/>
      <c r="P74" s="41"/>
      <c r="Q74" s="41"/>
      <c r="R74" s="41"/>
      <c r="S74" s="41"/>
      <c r="T74" s="41"/>
      <c r="U74" s="4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41"/>
      <c r="O75" s="41"/>
      <c r="P75" s="41"/>
      <c r="Q75" s="41"/>
      <c r="R75" s="41"/>
      <c r="S75" s="41"/>
      <c r="T75" s="41"/>
      <c r="U75" s="4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41"/>
      <c r="O76" s="41"/>
      <c r="P76" s="41"/>
      <c r="Q76" s="41"/>
      <c r="R76" s="41"/>
      <c r="S76" s="41"/>
      <c r="T76" s="41"/>
      <c r="U76" s="4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41"/>
      <c r="O77" s="41"/>
      <c r="P77" s="41"/>
      <c r="Q77" s="41"/>
      <c r="R77" s="41"/>
      <c r="S77" s="41"/>
      <c r="T77" s="41"/>
      <c r="U77" s="4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41"/>
      <c r="O78" s="41"/>
      <c r="P78" s="41"/>
      <c r="Q78" s="41"/>
      <c r="R78" s="41"/>
      <c r="S78" s="41"/>
      <c r="T78" s="41"/>
      <c r="U78" s="4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41"/>
      <c r="O79" s="41"/>
      <c r="P79" s="41"/>
      <c r="Q79" s="41"/>
      <c r="R79" s="41"/>
      <c r="S79" s="41"/>
      <c r="T79" s="41"/>
      <c r="U79" s="4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41"/>
      <c r="O80" s="41"/>
      <c r="P80" s="41"/>
      <c r="Q80" s="41"/>
      <c r="R80" s="41"/>
      <c r="S80" s="41"/>
      <c r="T80" s="41"/>
      <c r="U80" s="4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41"/>
      <c r="O81" s="41"/>
      <c r="P81" s="41"/>
      <c r="Q81" s="41"/>
      <c r="R81" s="41"/>
      <c r="S81" s="41"/>
      <c r="T81" s="41"/>
      <c r="U81" s="4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41"/>
      <c r="O82" s="41"/>
      <c r="P82" s="41"/>
      <c r="Q82" s="41"/>
      <c r="R82" s="41"/>
      <c r="S82" s="41"/>
      <c r="T82" s="41"/>
      <c r="U82" s="4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41"/>
      <c r="O83" s="41"/>
      <c r="P83" s="41"/>
      <c r="Q83" s="41"/>
      <c r="R83" s="41"/>
      <c r="S83" s="41"/>
      <c r="T83" s="41"/>
      <c r="U83" s="4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41"/>
      <c r="O84" s="41"/>
      <c r="P84" s="41"/>
      <c r="Q84" s="41"/>
      <c r="R84" s="41"/>
      <c r="S84" s="41"/>
      <c r="T84" s="41"/>
      <c r="U84" s="4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41"/>
      <c r="O85" s="41"/>
      <c r="P85" s="41"/>
      <c r="Q85" s="41"/>
      <c r="R85" s="41"/>
      <c r="S85" s="41"/>
      <c r="T85" s="41"/>
      <c r="U85" s="4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41"/>
      <c r="O86" s="41"/>
      <c r="P86" s="41"/>
      <c r="Q86" s="41"/>
      <c r="R86" s="41"/>
      <c r="S86" s="41"/>
      <c r="T86" s="41"/>
      <c r="U86" s="4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41"/>
      <c r="O87" s="41"/>
      <c r="P87" s="41"/>
      <c r="Q87" s="41"/>
      <c r="R87" s="41"/>
      <c r="S87" s="41"/>
      <c r="T87" s="41"/>
      <c r="U87" s="4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41"/>
      <c r="O88" s="41"/>
      <c r="P88" s="41"/>
      <c r="Q88" s="41"/>
      <c r="R88" s="41"/>
      <c r="S88" s="41"/>
      <c r="T88" s="41"/>
      <c r="U88" s="4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41"/>
      <c r="O89" s="41"/>
      <c r="P89" s="41"/>
      <c r="Q89" s="41"/>
      <c r="R89" s="41"/>
      <c r="S89" s="41"/>
      <c r="T89" s="41"/>
      <c r="U89" s="4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41"/>
      <c r="O90" s="41"/>
      <c r="P90" s="41"/>
      <c r="Q90" s="41"/>
      <c r="R90" s="41"/>
      <c r="S90" s="41"/>
      <c r="T90" s="41"/>
      <c r="U90" s="4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41"/>
      <c r="O91" s="41"/>
      <c r="P91" s="41"/>
      <c r="Q91" s="41"/>
      <c r="R91" s="41"/>
      <c r="S91" s="41"/>
      <c r="T91" s="41"/>
      <c r="U91" s="4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41"/>
      <c r="O92" s="41"/>
      <c r="P92" s="41"/>
      <c r="Q92" s="41"/>
      <c r="R92" s="41"/>
      <c r="S92" s="41"/>
      <c r="T92" s="41"/>
      <c r="U92" s="4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41"/>
      <c r="O93" s="41"/>
      <c r="P93" s="41"/>
      <c r="Q93" s="41"/>
      <c r="R93" s="41"/>
      <c r="S93" s="41"/>
      <c r="T93" s="41"/>
      <c r="U93" s="4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41"/>
      <c r="O94" s="41"/>
      <c r="P94" s="41"/>
      <c r="Q94" s="41"/>
      <c r="R94" s="41"/>
      <c r="S94" s="41"/>
      <c r="T94" s="41"/>
      <c r="U94" s="4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41"/>
      <c r="O95" s="41"/>
      <c r="P95" s="41"/>
      <c r="Q95" s="41"/>
      <c r="R95" s="41"/>
      <c r="S95" s="41"/>
      <c r="T95" s="41"/>
      <c r="U95" s="4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41"/>
      <c r="O96" s="41"/>
      <c r="P96" s="41"/>
      <c r="Q96" s="41"/>
      <c r="R96" s="41"/>
      <c r="S96" s="41"/>
      <c r="T96" s="41"/>
      <c r="U96" s="4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41"/>
      <c r="O97" s="41"/>
      <c r="P97" s="41"/>
      <c r="Q97" s="41"/>
      <c r="R97" s="41"/>
      <c r="S97" s="41"/>
      <c r="T97" s="41"/>
      <c r="U97" s="4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41"/>
      <c r="O98" s="41"/>
      <c r="P98" s="41"/>
      <c r="Q98" s="41"/>
      <c r="R98" s="41"/>
      <c r="S98" s="41"/>
      <c r="T98" s="41"/>
      <c r="U98" s="4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41"/>
      <c r="O99" s="41"/>
      <c r="P99" s="41"/>
      <c r="Q99" s="41"/>
      <c r="R99" s="41"/>
      <c r="S99" s="41"/>
      <c r="T99" s="41"/>
      <c r="U99" s="4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41"/>
      <c r="O100" s="41"/>
      <c r="P100" s="41"/>
      <c r="Q100" s="41"/>
      <c r="R100" s="41"/>
      <c r="S100" s="41"/>
      <c r="T100" s="41"/>
      <c r="U100" s="4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41"/>
      <c r="O101" s="41"/>
      <c r="P101" s="41"/>
      <c r="Q101" s="41"/>
      <c r="R101" s="41"/>
      <c r="S101" s="41"/>
      <c r="T101" s="41"/>
      <c r="U101" s="4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41"/>
      <c r="O102" s="41"/>
      <c r="P102" s="41"/>
      <c r="Q102" s="41"/>
      <c r="R102" s="41"/>
      <c r="S102" s="41"/>
      <c r="T102" s="41"/>
      <c r="U102" s="4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41"/>
      <c r="O103" s="41"/>
      <c r="P103" s="41"/>
      <c r="Q103" s="41"/>
      <c r="R103" s="41"/>
      <c r="S103" s="41"/>
      <c r="T103" s="41"/>
      <c r="U103" s="4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41"/>
      <c r="O104" s="41"/>
      <c r="P104" s="41"/>
      <c r="Q104" s="41"/>
      <c r="R104" s="41"/>
      <c r="S104" s="41"/>
      <c r="T104" s="41"/>
      <c r="U104" s="4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41"/>
      <c r="O105" s="41"/>
      <c r="P105" s="41"/>
      <c r="Q105" s="41"/>
      <c r="R105" s="41"/>
      <c r="S105" s="41"/>
      <c r="T105" s="41"/>
      <c r="U105" s="4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41"/>
      <c r="O106" s="41"/>
      <c r="P106" s="41"/>
      <c r="Q106" s="41"/>
      <c r="R106" s="41"/>
      <c r="S106" s="41"/>
      <c r="T106" s="41"/>
      <c r="U106" s="4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41"/>
      <c r="O107" s="41"/>
      <c r="P107" s="41"/>
      <c r="Q107" s="41"/>
      <c r="R107" s="41"/>
      <c r="S107" s="41"/>
      <c r="T107" s="41"/>
      <c r="U107" s="4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41"/>
      <c r="O108" s="41"/>
      <c r="P108" s="41"/>
      <c r="Q108" s="41"/>
      <c r="R108" s="41"/>
      <c r="S108" s="41"/>
      <c r="T108" s="41"/>
      <c r="U108" s="4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41"/>
      <c r="O109" s="41"/>
      <c r="P109" s="41"/>
      <c r="Q109" s="41"/>
      <c r="R109" s="41"/>
      <c r="S109" s="41"/>
      <c r="T109" s="41"/>
      <c r="U109" s="4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41"/>
      <c r="O110" s="41"/>
      <c r="P110" s="41"/>
      <c r="Q110" s="41"/>
      <c r="R110" s="41"/>
      <c r="S110" s="41"/>
      <c r="T110" s="41"/>
      <c r="U110" s="4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41"/>
      <c r="O111" s="41"/>
      <c r="P111" s="41"/>
      <c r="Q111" s="41"/>
      <c r="R111" s="41"/>
      <c r="S111" s="41"/>
      <c r="T111" s="41"/>
      <c r="U111" s="4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41"/>
      <c r="O112" s="41"/>
      <c r="P112" s="41"/>
      <c r="Q112" s="41"/>
      <c r="R112" s="41"/>
      <c r="S112" s="41"/>
      <c r="T112" s="41"/>
      <c r="U112" s="4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41"/>
      <c r="O113" s="41"/>
      <c r="P113" s="41"/>
      <c r="Q113" s="41"/>
      <c r="R113" s="41"/>
      <c r="S113" s="41"/>
      <c r="T113" s="41"/>
      <c r="U113" s="4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41"/>
      <c r="O114" s="41"/>
      <c r="P114" s="41"/>
      <c r="Q114" s="41"/>
      <c r="R114" s="41"/>
      <c r="S114" s="41"/>
      <c r="T114" s="41"/>
      <c r="U114" s="4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41"/>
      <c r="O115" s="41"/>
      <c r="P115" s="41"/>
      <c r="Q115" s="41"/>
      <c r="R115" s="41"/>
      <c r="S115" s="41"/>
      <c r="T115" s="41"/>
      <c r="U115" s="4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41"/>
      <c r="O116" s="41"/>
      <c r="P116" s="41"/>
      <c r="Q116" s="41"/>
      <c r="R116" s="41"/>
      <c r="S116" s="41"/>
      <c r="T116" s="41"/>
      <c r="U116" s="4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41"/>
      <c r="O117" s="41"/>
      <c r="P117" s="41"/>
      <c r="Q117" s="41"/>
      <c r="R117" s="41"/>
      <c r="S117" s="41"/>
      <c r="T117" s="41"/>
      <c r="U117" s="4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41"/>
      <c r="O118" s="41"/>
      <c r="P118" s="41"/>
      <c r="Q118" s="41"/>
      <c r="R118" s="41"/>
      <c r="S118" s="41"/>
      <c r="T118" s="41"/>
      <c r="U118" s="4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41"/>
      <c r="O119" s="41"/>
      <c r="P119" s="41"/>
      <c r="Q119" s="41"/>
      <c r="R119" s="41"/>
      <c r="S119" s="41"/>
      <c r="T119" s="41"/>
      <c r="U119" s="4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41"/>
      <c r="O120" s="41"/>
      <c r="P120" s="41"/>
      <c r="Q120" s="41"/>
      <c r="R120" s="41"/>
      <c r="S120" s="41"/>
      <c r="T120" s="41"/>
      <c r="U120" s="4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41"/>
      <c r="O121" s="41"/>
      <c r="P121" s="41"/>
      <c r="Q121" s="41"/>
      <c r="R121" s="41"/>
      <c r="S121" s="41"/>
      <c r="T121" s="41"/>
      <c r="U121" s="4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41"/>
      <c r="O122" s="41"/>
      <c r="P122" s="41"/>
      <c r="Q122" s="41"/>
      <c r="R122" s="41"/>
      <c r="S122" s="41"/>
      <c r="T122" s="41"/>
      <c r="U122" s="4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41"/>
      <c r="O123" s="41"/>
      <c r="P123" s="41"/>
      <c r="Q123" s="41"/>
      <c r="R123" s="41"/>
      <c r="S123" s="41"/>
      <c r="T123" s="41"/>
      <c r="U123" s="4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41"/>
      <c r="O124" s="41"/>
      <c r="P124" s="41"/>
      <c r="Q124" s="41"/>
      <c r="R124" s="41"/>
      <c r="S124" s="41"/>
      <c r="T124" s="41"/>
      <c r="U124" s="4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41"/>
      <c r="O125" s="41"/>
      <c r="P125" s="41"/>
      <c r="Q125" s="41"/>
      <c r="R125" s="41"/>
      <c r="S125" s="41"/>
      <c r="T125" s="41"/>
      <c r="U125" s="4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41"/>
      <c r="O126" s="41"/>
      <c r="P126" s="41"/>
      <c r="Q126" s="41"/>
      <c r="R126" s="41"/>
      <c r="S126" s="41"/>
      <c r="T126" s="41"/>
      <c r="U126" s="4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41"/>
      <c r="O127" s="41"/>
      <c r="P127" s="41"/>
      <c r="Q127" s="41"/>
      <c r="R127" s="41"/>
      <c r="S127" s="41"/>
      <c r="T127" s="41"/>
      <c r="U127" s="4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41"/>
      <c r="O128" s="41"/>
      <c r="P128" s="41"/>
      <c r="Q128" s="41"/>
      <c r="R128" s="41"/>
      <c r="S128" s="41"/>
      <c r="T128" s="41"/>
      <c r="U128" s="4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41"/>
      <c r="O129" s="41"/>
      <c r="P129" s="41"/>
      <c r="Q129" s="41"/>
      <c r="R129" s="41"/>
      <c r="S129" s="41"/>
      <c r="T129" s="41"/>
      <c r="U129" s="4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41"/>
      <c r="O130" s="41"/>
      <c r="P130" s="41"/>
      <c r="Q130" s="41"/>
      <c r="R130" s="41"/>
      <c r="S130" s="41"/>
      <c r="T130" s="41"/>
      <c r="U130" s="4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41"/>
      <c r="O131" s="41"/>
      <c r="P131" s="41"/>
      <c r="Q131" s="41"/>
      <c r="R131" s="41"/>
      <c r="S131" s="41"/>
      <c r="T131" s="41"/>
      <c r="U131" s="4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41"/>
      <c r="O132" s="41"/>
      <c r="P132" s="41"/>
      <c r="Q132" s="41"/>
      <c r="R132" s="41"/>
      <c r="S132" s="41"/>
      <c r="T132" s="41"/>
      <c r="U132" s="4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41"/>
      <c r="O133" s="41"/>
      <c r="P133" s="41"/>
      <c r="Q133" s="41"/>
      <c r="R133" s="41"/>
      <c r="S133" s="41"/>
      <c r="T133" s="41"/>
      <c r="U133" s="4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41"/>
      <c r="O134" s="41"/>
      <c r="P134" s="41"/>
      <c r="Q134" s="41"/>
      <c r="R134" s="41"/>
      <c r="S134" s="41"/>
      <c r="T134" s="41"/>
      <c r="U134" s="4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41"/>
      <c r="O135" s="41"/>
      <c r="P135" s="41"/>
      <c r="Q135" s="41"/>
      <c r="R135" s="41"/>
      <c r="S135" s="41"/>
      <c r="T135" s="41"/>
      <c r="U135" s="4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41"/>
      <c r="O136" s="41"/>
      <c r="P136" s="41"/>
      <c r="Q136" s="41"/>
      <c r="R136" s="41"/>
      <c r="S136" s="41"/>
      <c r="T136" s="41"/>
      <c r="U136" s="4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41"/>
      <c r="O137" s="41"/>
      <c r="P137" s="41"/>
      <c r="Q137" s="41"/>
      <c r="R137" s="41"/>
      <c r="S137" s="41"/>
      <c r="T137" s="41"/>
      <c r="U137" s="4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41"/>
      <c r="O138" s="41"/>
      <c r="P138" s="41"/>
      <c r="Q138" s="41"/>
      <c r="R138" s="41"/>
      <c r="S138" s="41"/>
      <c r="T138" s="41"/>
      <c r="U138" s="4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41"/>
      <c r="O139" s="41"/>
      <c r="P139" s="41"/>
      <c r="Q139" s="41"/>
      <c r="R139" s="41"/>
      <c r="S139" s="41"/>
      <c r="T139" s="41"/>
      <c r="U139" s="4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41"/>
      <c r="O140" s="41"/>
      <c r="P140" s="41"/>
      <c r="Q140" s="41"/>
      <c r="R140" s="41"/>
      <c r="S140" s="41"/>
      <c r="T140" s="41"/>
      <c r="U140" s="4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41"/>
      <c r="O141" s="41"/>
      <c r="P141" s="41"/>
      <c r="Q141" s="41"/>
      <c r="R141" s="41"/>
      <c r="S141" s="41"/>
      <c r="T141" s="41"/>
      <c r="U141" s="4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41"/>
      <c r="O142" s="41"/>
      <c r="P142" s="41"/>
      <c r="Q142" s="41"/>
      <c r="R142" s="41"/>
      <c r="S142" s="41"/>
      <c r="T142" s="41"/>
      <c r="U142" s="4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41"/>
      <c r="O143" s="41"/>
      <c r="P143" s="41"/>
      <c r="Q143" s="41"/>
      <c r="R143" s="41"/>
      <c r="S143" s="41"/>
      <c r="T143" s="41"/>
      <c r="U143" s="4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41"/>
      <c r="O144" s="41"/>
      <c r="P144" s="41"/>
      <c r="Q144" s="41"/>
      <c r="R144" s="41"/>
      <c r="S144" s="41"/>
      <c r="T144" s="41"/>
      <c r="U144" s="4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41"/>
      <c r="O145" s="41"/>
      <c r="P145" s="41"/>
      <c r="Q145" s="41"/>
      <c r="R145" s="41"/>
      <c r="S145" s="41"/>
      <c r="T145" s="41"/>
      <c r="U145" s="4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41"/>
      <c r="O146" s="41"/>
      <c r="P146" s="41"/>
      <c r="Q146" s="41"/>
      <c r="R146" s="41"/>
      <c r="S146" s="41"/>
      <c r="T146" s="41"/>
      <c r="U146" s="4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41"/>
      <c r="O147" s="41"/>
      <c r="P147" s="41"/>
      <c r="Q147" s="41"/>
      <c r="R147" s="41"/>
      <c r="S147" s="41"/>
      <c r="T147" s="41"/>
      <c r="U147" s="4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41"/>
      <c r="O148" s="41"/>
      <c r="P148" s="41"/>
      <c r="Q148" s="41"/>
      <c r="R148" s="41"/>
      <c r="S148" s="41"/>
      <c r="T148" s="41"/>
      <c r="U148" s="4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41"/>
      <c r="O149" s="41"/>
      <c r="P149" s="41"/>
      <c r="Q149" s="41"/>
      <c r="R149" s="41"/>
      <c r="S149" s="41"/>
      <c r="T149" s="41"/>
      <c r="U149" s="4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41"/>
      <c r="O150" s="41"/>
      <c r="P150" s="41"/>
      <c r="Q150" s="41"/>
      <c r="R150" s="41"/>
      <c r="S150" s="41"/>
      <c r="T150" s="41"/>
      <c r="U150" s="4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41"/>
      <c r="O151" s="41"/>
      <c r="P151" s="41"/>
      <c r="Q151" s="41"/>
      <c r="R151" s="41"/>
      <c r="S151" s="41"/>
      <c r="T151" s="41"/>
      <c r="U151" s="4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41"/>
      <c r="O152" s="41"/>
      <c r="P152" s="41"/>
      <c r="Q152" s="41"/>
      <c r="R152" s="41"/>
      <c r="S152" s="41"/>
      <c r="T152" s="41"/>
      <c r="U152" s="4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41"/>
      <c r="O153" s="41"/>
      <c r="P153" s="41"/>
      <c r="Q153" s="41"/>
      <c r="R153" s="41"/>
      <c r="S153" s="41"/>
      <c r="T153" s="41"/>
      <c r="U153" s="4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41"/>
      <c r="O154" s="41"/>
      <c r="P154" s="41"/>
      <c r="Q154" s="41"/>
      <c r="R154" s="41"/>
      <c r="S154" s="41"/>
      <c r="T154" s="41"/>
      <c r="U154" s="4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41"/>
      <c r="O155" s="41"/>
      <c r="P155" s="41"/>
      <c r="Q155" s="41"/>
      <c r="R155" s="41"/>
      <c r="S155" s="41"/>
      <c r="T155" s="41"/>
      <c r="U155" s="4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41"/>
      <c r="O156" s="41"/>
      <c r="P156" s="41"/>
      <c r="Q156" s="41"/>
      <c r="R156" s="41"/>
      <c r="S156" s="41"/>
      <c r="T156" s="41"/>
      <c r="U156" s="4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41"/>
      <c r="O157" s="41"/>
      <c r="P157" s="41"/>
      <c r="Q157" s="41"/>
      <c r="R157" s="41"/>
      <c r="S157" s="41"/>
      <c r="T157" s="41"/>
      <c r="U157" s="4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41"/>
      <c r="O158" s="41"/>
      <c r="P158" s="41"/>
      <c r="Q158" s="41"/>
      <c r="R158" s="41"/>
      <c r="S158" s="41"/>
      <c r="T158" s="41"/>
      <c r="U158" s="4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41"/>
      <c r="O159" s="41"/>
      <c r="P159" s="41"/>
      <c r="Q159" s="41"/>
      <c r="R159" s="41"/>
      <c r="S159" s="41"/>
      <c r="T159" s="41"/>
      <c r="U159" s="4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41"/>
      <c r="O160" s="41"/>
      <c r="P160" s="41"/>
      <c r="Q160" s="41"/>
      <c r="R160" s="41"/>
      <c r="S160" s="41"/>
      <c r="T160" s="41"/>
      <c r="U160" s="4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41"/>
      <c r="O161" s="41"/>
      <c r="P161" s="41"/>
      <c r="Q161" s="41"/>
      <c r="R161" s="41"/>
      <c r="S161" s="41"/>
      <c r="T161" s="41"/>
      <c r="U161" s="4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41"/>
      <c r="O162" s="41"/>
      <c r="P162" s="41"/>
      <c r="Q162" s="41"/>
      <c r="R162" s="41"/>
      <c r="S162" s="41"/>
      <c r="T162" s="41"/>
      <c r="U162" s="4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41"/>
      <c r="O163" s="41"/>
      <c r="P163" s="41"/>
      <c r="Q163" s="41"/>
      <c r="R163" s="41"/>
      <c r="S163" s="41"/>
      <c r="T163" s="41"/>
      <c r="U163" s="4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41"/>
      <c r="O164" s="41"/>
      <c r="P164" s="41"/>
      <c r="Q164" s="41"/>
      <c r="R164" s="41"/>
      <c r="S164" s="41"/>
      <c r="T164" s="41"/>
      <c r="U164" s="4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41"/>
      <c r="O165" s="41"/>
      <c r="P165" s="41"/>
      <c r="Q165" s="41"/>
      <c r="R165" s="41"/>
      <c r="S165" s="41"/>
      <c r="T165" s="41"/>
      <c r="U165" s="4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41"/>
      <c r="O166" s="41"/>
      <c r="P166" s="41"/>
      <c r="Q166" s="41"/>
      <c r="R166" s="41"/>
      <c r="S166" s="41"/>
      <c r="T166" s="41"/>
      <c r="U166" s="4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41"/>
      <c r="O167" s="41"/>
      <c r="P167" s="41"/>
      <c r="Q167" s="41"/>
      <c r="R167" s="41"/>
      <c r="S167" s="41"/>
      <c r="T167" s="41"/>
      <c r="U167" s="4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41"/>
      <c r="O168" s="41"/>
      <c r="P168" s="41"/>
      <c r="Q168" s="41"/>
      <c r="R168" s="41"/>
      <c r="S168" s="41"/>
      <c r="T168" s="41"/>
      <c r="U168" s="4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41"/>
      <c r="O169" s="41"/>
      <c r="P169" s="41"/>
      <c r="Q169" s="41"/>
      <c r="R169" s="41"/>
      <c r="S169" s="41"/>
      <c r="T169" s="41"/>
      <c r="U169" s="4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41"/>
      <c r="O170" s="41"/>
      <c r="P170" s="41"/>
      <c r="Q170" s="41"/>
      <c r="R170" s="41"/>
      <c r="S170" s="41"/>
      <c r="T170" s="41"/>
      <c r="U170" s="4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41"/>
      <c r="O171" s="41"/>
      <c r="P171" s="41"/>
      <c r="Q171" s="41"/>
      <c r="R171" s="41"/>
      <c r="S171" s="41"/>
      <c r="T171" s="41"/>
      <c r="U171" s="4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41"/>
      <c r="O172" s="41"/>
      <c r="P172" s="41"/>
      <c r="Q172" s="41"/>
      <c r="R172" s="41"/>
      <c r="S172" s="41"/>
      <c r="T172" s="41"/>
      <c r="U172" s="4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41"/>
      <c r="O173" s="41"/>
      <c r="P173" s="41"/>
      <c r="Q173" s="41"/>
      <c r="R173" s="41"/>
      <c r="S173" s="41"/>
      <c r="T173" s="41"/>
      <c r="U173" s="4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41"/>
      <c r="O174" s="41"/>
      <c r="P174" s="41"/>
      <c r="Q174" s="41"/>
      <c r="R174" s="41"/>
      <c r="S174" s="41"/>
      <c r="T174" s="41"/>
      <c r="U174" s="4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41"/>
      <c r="O175" s="41"/>
      <c r="P175" s="41"/>
      <c r="Q175" s="41"/>
      <c r="R175" s="41"/>
      <c r="S175" s="41"/>
      <c r="T175" s="41"/>
      <c r="U175" s="4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41"/>
      <c r="O176" s="41"/>
      <c r="P176" s="41"/>
      <c r="Q176" s="41"/>
      <c r="R176" s="41"/>
      <c r="S176" s="41"/>
      <c r="T176" s="41"/>
      <c r="U176" s="4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41"/>
      <c r="O177" s="41"/>
      <c r="P177" s="41"/>
      <c r="Q177" s="41"/>
      <c r="R177" s="41"/>
      <c r="S177" s="41"/>
      <c r="T177" s="41"/>
      <c r="U177" s="4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41"/>
      <c r="O178" s="41"/>
      <c r="P178" s="41"/>
      <c r="Q178" s="41"/>
      <c r="R178" s="41"/>
      <c r="S178" s="41"/>
      <c r="T178" s="41"/>
      <c r="U178" s="4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41"/>
      <c r="O179" s="41"/>
      <c r="P179" s="41"/>
      <c r="Q179" s="41"/>
      <c r="R179" s="41"/>
      <c r="S179" s="41"/>
      <c r="T179" s="41"/>
      <c r="U179" s="4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41"/>
      <c r="O180" s="41"/>
      <c r="P180" s="41"/>
      <c r="Q180" s="41"/>
      <c r="R180" s="41"/>
      <c r="S180" s="41"/>
      <c r="T180" s="41"/>
      <c r="U180" s="4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41"/>
      <c r="O181" s="41"/>
      <c r="P181" s="41"/>
      <c r="Q181" s="41"/>
      <c r="R181" s="41"/>
      <c r="S181" s="41"/>
      <c r="T181" s="41"/>
      <c r="U181" s="4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41"/>
      <c r="O182" s="41"/>
      <c r="P182" s="41"/>
      <c r="Q182" s="41"/>
      <c r="R182" s="41"/>
      <c r="S182" s="41"/>
      <c r="T182" s="41"/>
      <c r="U182" s="4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41"/>
      <c r="O183" s="41"/>
      <c r="P183" s="41"/>
      <c r="Q183" s="41"/>
      <c r="R183" s="41"/>
      <c r="S183" s="41"/>
      <c r="T183" s="41"/>
      <c r="U183" s="4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41"/>
      <c r="O184" s="41"/>
      <c r="P184" s="41"/>
      <c r="Q184" s="41"/>
      <c r="R184" s="41"/>
      <c r="S184" s="41"/>
      <c r="T184" s="41"/>
      <c r="U184" s="4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41"/>
      <c r="O185" s="41"/>
      <c r="P185" s="41"/>
      <c r="Q185" s="41"/>
      <c r="R185" s="41"/>
      <c r="S185" s="41"/>
      <c r="T185" s="41"/>
      <c r="U185" s="4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41"/>
      <c r="O186" s="41"/>
      <c r="P186" s="41"/>
      <c r="Q186" s="41"/>
      <c r="R186" s="41"/>
      <c r="S186" s="41"/>
      <c r="T186" s="41"/>
      <c r="U186" s="4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41"/>
      <c r="O187" s="41"/>
      <c r="P187" s="41"/>
      <c r="Q187" s="41"/>
      <c r="R187" s="41"/>
      <c r="S187" s="41"/>
      <c r="T187" s="41"/>
      <c r="U187" s="4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41"/>
      <c r="O188" s="41"/>
      <c r="P188" s="41"/>
      <c r="Q188" s="41"/>
      <c r="R188" s="41"/>
      <c r="S188" s="41"/>
      <c r="T188" s="41"/>
      <c r="U188" s="4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41"/>
      <c r="O189" s="41"/>
      <c r="P189" s="41"/>
      <c r="Q189" s="41"/>
      <c r="R189" s="41"/>
      <c r="S189" s="41"/>
      <c r="T189" s="41"/>
      <c r="U189" s="4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41"/>
      <c r="O190" s="41"/>
      <c r="P190" s="41"/>
      <c r="Q190" s="41"/>
      <c r="R190" s="41"/>
      <c r="S190" s="41"/>
      <c r="T190" s="41"/>
      <c r="U190" s="4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41"/>
      <c r="O191" s="41"/>
      <c r="P191" s="41"/>
      <c r="Q191" s="41"/>
      <c r="R191" s="41"/>
      <c r="S191" s="41"/>
      <c r="T191" s="41"/>
      <c r="U191" s="4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41"/>
      <c r="O192" s="41"/>
      <c r="P192" s="41"/>
      <c r="Q192" s="41"/>
      <c r="R192" s="41"/>
      <c r="S192" s="41"/>
      <c r="T192" s="41"/>
      <c r="U192" s="4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41"/>
      <c r="O193" s="41"/>
      <c r="P193" s="41"/>
      <c r="Q193" s="41"/>
      <c r="R193" s="41"/>
      <c r="S193" s="41"/>
      <c r="T193" s="41"/>
      <c r="U193" s="4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41"/>
      <c r="O194" s="41"/>
      <c r="P194" s="41"/>
      <c r="Q194" s="41"/>
      <c r="R194" s="41"/>
      <c r="S194" s="41"/>
      <c r="T194" s="41"/>
      <c r="U194" s="4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41"/>
      <c r="O195" s="41"/>
      <c r="P195" s="41"/>
      <c r="Q195" s="41"/>
      <c r="R195" s="41"/>
      <c r="S195" s="41"/>
      <c r="T195" s="41"/>
      <c r="U195" s="4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41"/>
      <c r="O196" s="41"/>
      <c r="P196" s="41"/>
      <c r="Q196" s="41"/>
      <c r="R196" s="41"/>
      <c r="S196" s="41"/>
      <c r="T196" s="41"/>
      <c r="U196" s="4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41"/>
      <c r="O197" s="41"/>
      <c r="P197" s="41"/>
      <c r="Q197" s="41"/>
      <c r="R197" s="41"/>
      <c r="S197" s="41"/>
      <c r="T197" s="41"/>
      <c r="U197" s="4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41"/>
      <c r="O198" s="41"/>
      <c r="P198" s="41"/>
      <c r="Q198" s="41"/>
      <c r="R198" s="41"/>
      <c r="S198" s="41"/>
      <c r="T198" s="41"/>
      <c r="U198" s="4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41"/>
      <c r="O199" s="41"/>
      <c r="P199" s="41"/>
      <c r="Q199" s="41"/>
      <c r="R199" s="41"/>
      <c r="S199" s="41"/>
      <c r="T199" s="41"/>
      <c r="U199" s="4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41"/>
      <c r="O200" s="41"/>
      <c r="P200" s="41"/>
      <c r="Q200" s="41"/>
      <c r="R200" s="41"/>
      <c r="S200" s="41"/>
      <c r="T200" s="41"/>
      <c r="U200" s="4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41"/>
      <c r="O201" s="41"/>
      <c r="P201" s="41"/>
      <c r="Q201" s="41"/>
      <c r="R201" s="41"/>
      <c r="S201" s="41"/>
      <c r="T201" s="41"/>
      <c r="U201" s="4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41"/>
      <c r="O202" s="41"/>
      <c r="P202" s="41"/>
      <c r="Q202" s="41"/>
      <c r="R202" s="41"/>
      <c r="S202" s="41"/>
      <c r="T202" s="41"/>
      <c r="U202" s="4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41"/>
      <c r="O203" s="41"/>
      <c r="P203" s="41"/>
      <c r="Q203" s="41"/>
      <c r="R203" s="41"/>
      <c r="S203" s="41"/>
      <c r="T203" s="41"/>
      <c r="U203" s="4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41"/>
      <c r="O204" s="41"/>
      <c r="P204" s="41"/>
      <c r="Q204" s="41"/>
      <c r="R204" s="41"/>
      <c r="S204" s="41"/>
      <c r="T204" s="41"/>
      <c r="U204" s="4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41"/>
      <c r="O205" s="41"/>
      <c r="P205" s="41"/>
      <c r="Q205" s="41"/>
      <c r="R205" s="41"/>
      <c r="S205" s="41"/>
      <c r="T205" s="41"/>
      <c r="U205" s="4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41"/>
      <c r="O206" s="41"/>
      <c r="P206" s="41"/>
      <c r="Q206" s="41"/>
      <c r="R206" s="41"/>
      <c r="S206" s="41"/>
      <c r="T206" s="41"/>
      <c r="U206" s="4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41"/>
      <c r="O207" s="41"/>
      <c r="P207" s="41"/>
      <c r="Q207" s="41"/>
      <c r="R207" s="41"/>
      <c r="S207" s="41"/>
      <c r="T207" s="41"/>
      <c r="U207" s="4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41"/>
      <c r="O208" s="41"/>
      <c r="P208" s="41"/>
      <c r="Q208" s="41"/>
      <c r="R208" s="41"/>
      <c r="S208" s="41"/>
      <c r="T208" s="41"/>
      <c r="U208" s="4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41"/>
      <c r="O209" s="41"/>
      <c r="P209" s="41"/>
      <c r="Q209" s="41"/>
      <c r="R209" s="41"/>
      <c r="S209" s="41"/>
      <c r="T209" s="41"/>
      <c r="U209" s="4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41"/>
      <c r="O210" s="41"/>
      <c r="P210" s="41"/>
      <c r="Q210" s="41"/>
      <c r="R210" s="41"/>
      <c r="S210" s="41"/>
      <c r="T210" s="41"/>
      <c r="U210" s="4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41"/>
      <c r="O211" s="41"/>
      <c r="P211" s="41"/>
      <c r="Q211" s="41"/>
      <c r="R211" s="41"/>
      <c r="S211" s="41"/>
      <c r="T211" s="41"/>
      <c r="U211" s="4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41"/>
      <c r="O212" s="41"/>
      <c r="P212" s="41"/>
      <c r="Q212" s="41"/>
      <c r="R212" s="41"/>
      <c r="S212" s="41"/>
      <c r="T212" s="41"/>
      <c r="U212" s="4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41"/>
      <c r="O213" s="41"/>
      <c r="P213" s="41"/>
      <c r="Q213" s="41"/>
      <c r="R213" s="41"/>
      <c r="S213" s="41"/>
      <c r="T213" s="41"/>
      <c r="U213" s="4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41"/>
      <c r="O214" s="41"/>
      <c r="P214" s="41"/>
      <c r="Q214" s="41"/>
      <c r="R214" s="41"/>
      <c r="S214" s="41"/>
      <c r="T214" s="41"/>
      <c r="U214" s="4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41"/>
      <c r="O215" s="41"/>
      <c r="P215" s="41"/>
      <c r="Q215" s="41"/>
      <c r="R215" s="41"/>
      <c r="S215" s="41"/>
      <c r="T215" s="41"/>
      <c r="U215" s="4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41"/>
      <c r="O216" s="41"/>
      <c r="P216" s="41"/>
      <c r="Q216" s="41"/>
      <c r="R216" s="41"/>
      <c r="S216" s="41"/>
      <c r="T216" s="41"/>
      <c r="U216" s="4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41"/>
      <c r="O217" s="41"/>
      <c r="P217" s="41"/>
      <c r="Q217" s="41"/>
      <c r="R217" s="41"/>
      <c r="S217" s="41"/>
      <c r="T217" s="41"/>
      <c r="U217" s="4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41"/>
      <c r="O218" s="41"/>
      <c r="P218" s="41"/>
      <c r="Q218" s="41"/>
      <c r="R218" s="41"/>
      <c r="S218" s="41"/>
      <c r="T218" s="41"/>
      <c r="U218" s="4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41"/>
      <c r="O219" s="41"/>
      <c r="P219" s="41"/>
      <c r="Q219" s="41"/>
      <c r="R219" s="41"/>
      <c r="S219" s="41"/>
      <c r="T219" s="41"/>
      <c r="U219" s="4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41"/>
      <c r="O220" s="41"/>
      <c r="P220" s="41"/>
      <c r="Q220" s="41"/>
      <c r="R220" s="41"/>
      <c r="S220" s="41"/>
      <c r="T220" s="41"/>
      <c r="U220" s="4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41"/>
      <c r="O221" s="41"/>
      <c r="P221" s="41"/>
      <c r="Q221" s="41"/>
      <c r="R221" s="41"/>
      <c r="S221" s="41"/>
      <c r="T221" s="41"/>
      <c r="U221" s="4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41"/>
      <c r="O222" s="41"/>
      <c r="P222" s="41"/>
      <c r="Q222" s="41"/>
      <c r="R222" s="41"/>
      <c r="S222" s="41"/>
      <c r="T222" s="41"/>
      <c r="U222" s="4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41"/>
      <c r="O223" s="41"/>
      <c r="P223" s="41"/>
      <c r="Q223" s="41"/>
      <c r="R223" s="41"/>
      <c r="S223" s="41"/>
      <c r="T223" s="41"/>
      <c r="U223" s="4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41"/>
      <c r="O224" s="41"/>
      <c r="P224" s="41"/>
      <c r="Q224" s="41"/>
      <c r="R224" s="41"/>
      <c r="S224" s="41"/>
      <c r="T224" s="41"/>
      <c r="U224" s="4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41"/>
      <c r="O225" s="41"/>
      <c r="P225" s="41"/>
      <c r="Q225" s="41"/>
      <c r="R225" s="41"/>
      <c r="S225" s="41"/>
      <c r="T225" s="41"/>
      <c r="U225" s="4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41"/>
      <c r="O226" s="41"/>
      <c r="P226" s="41"/>
      <c r="Q226" s="41"/>
      <c r="R226" s="41"/>
      <c r="S226" s="41"/>
      <c r="T226" s="41"/>
      <c r="U226" s="4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41"/>
      <c r="O227" s="41"/>
      <c r="P227" s="41"/>
      <c r="Q227" s="41"/>
      <c r="R227" s="41"/>
      <c r="S227" s="41"/>
      <c r="T227" s="41"/>
      <c r="U227" s="4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41"/>
      <c r="O228" s="41"/>
      <c r="P228" s="41"/>
      <c r="Q228" s="41"/>
      <c r="R228" s="41"/>
      <c r="S228" s="41"/>
      <c r="T228" s="41"/>
      <c r="U228" s="4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41"/>
      <c r="O229" s="41"/>
      <c r="P229" s="41"/>
      <c r="Q229" s="41"/>
      <c r="R229" s="41"/>
      <c r="S229" s="41"/>
      <c r="T229" s="41"/>
      <c r="U229" s="4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41"/>
      <c r="O230" s="41"/>
      <c r="P230" s="41"/>
      <c r="Q230" s="41"/>
      <c r="R230" s="41"/>
      <c r="S230" s="41"/>
      <c r="T230" s="41"/>
      <c r="U230" s="4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41"/>
      <c r="O231" s="41"/>
      <c r="P231" s="41"/>
      <c r="Q231" s="41"/>
      <c r="R231" s="41"/>
      <c r="S231" s="41"/>
      <c r="T231" s="41"/>
      <c r="U231" s="4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41"/>
      <c r="O232" s="41"/>
      <c r="P232" s="41"/>
      <c r="Q232" s="41"/>
      <c r="R232" s="41"/>
      <c r="S232" s="41"/>
      <c r="T232" s="41"/>
      <c r="U232" s="4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41"/>
      <c r="O233" s="41"/>
      <c r="P233" s="41"/>
      <c r="Q233" s="41"/>
      <c r="R233" s="41"/>
      <c r="S233" s="41"/>
      <c r="T233" s="41"/>
      <c r="U233" s="4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41"/>
      <c r="O234" s="41"/>
      <c r="P234" s="41"/>
      <c r="Q234" s="41"/>
      <c r="R234" s="41"/>
      <c r="S234" s="41"/>
      <c r="T234" s="41"/>
      <c r="U234" s="4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41"/>
      <c r="O235" s="41"/>
      <c r="P235" s="41"/>
      <c r="Q235" s="41"/>
      <c r="R235" s="41"/>
      <c r="S235" s="41"/>
      <c r="T235" s="41"/>
      <c r="U235" s="4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41"/>
      <c r="O236" s="41"/>
      <c r="P236" s="41"/>
      <c r="Q236" s="41"/>
      <c r="R236" s="41"/>
      <c r="S236" s="41"/>
      <c r="T236" s="41"/>
      <c r="U236" s="4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41"/>
      <c r="O237" s="41"/>
      <c r="P237" s="41"/>
      <c r="Q237" s="41"/>
      <c r="R237" s="41"/>
      <c r="S237" s="41"/>
      <c r="T237" s="41"/>
      <c r="U237" s="4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41"/>
      <c r="O238" s="41"/>
      <c r="P238" s="41"/>
      <c r="Q238" s="41"/>
      <c r="R238" s="41"/>
      <c r="S238" s="41"/>
      <c r="T238" s="41"/>
      <c r="U238" s="4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41"/>
      <c r="O239" s="41"/>
      <c r="P239" s="41"/>
      <c r="Q239" s="41"/>
      <c r="R239" s="41"/>
      <c r="S239" s="41"/>
      <c r="T239" s="41"/>
      <c r="U239" s="4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41"/>
      <c r="O240" s="41"/>
      <c r="P240" s="41"/>
      <c r="Q240" s="41"/>
      <c r="R240" s="41"/>
      <c r="S240" s="41"/>
      <c r="T240" s="41"/>
      <c r="U240" s="4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41"/>
      <c r="O241" s="41"/>
      <c r="P241" s="41"/>
      <c r="Q241" s="41"/>
      <c r="R241" s="41"/>
      <c r="S241" s="41"/>
      <c r="T241" s="41"/>
      <c r="U241" s="4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41"/>
      <c r="O242" s="41"/>
      <c r="P242" s="41"/>
      <c r="Q242" s="41"/>
      <c r="R242" s="41"/>
      <c r="S242" s="41"/>
      <c r="T242" s="41"/>
      <c r="U242" s="4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41"/>
      <c r="O243" s="41"/>
      <c r="P243" s="41"/>
      <c r="Q243" s="41"/>
      <c r="R243" s="41"/>
      <c r="S243" s="41"/>
      <c r="T243" s="41"/>
      <c r="U243" s="4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41"/>
      <c r="O244" s="41"/>
      <c r="P244" s="41"/>
      <c r="Q244" s="41"/>
      <c r="R244" s="41"/>
      <c r="S244" s="41"/>
      <c r="T244" s="41"/>
      <c r="U244" s="4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41"/>
      <c r="O245" s="41"/>
      <c r="P245" s="41"/>
      <c r="Q245" s="41"/>
      <c r="R245" s="41"/>
      <c r="S245" s="41"/>
      <c r="T245" s="41"/>
      <c r="U245" s="4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41"/>
      <c r="O246" s="41"/>
      <c r="P246" s="41"/>
      <c r="Q246" s="41"/>
      <c r="R246" s="41"/>
      <c r="S246" s="41"/>
      <c r="T246" s="41"/>
      <c r="U246" s="4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41"/>
      <c r="O247" s="41"/>
      <c r="P247" s="41"/>
      <c r="Q247" s="41"/>
      <c r="R247" s="41"/>
      <c r="S247" s="41"/>
      <c r="T247" s="41"/>
      <c r="U247" s="4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41"/>
      <c r="O248" s="41"/>
      <c r="P248" s="41"/>
      <c r="Q248" s="41"/>
      <c r="R248" s="41"/>
      <c r="S248" s="41"/>
      <c r="T248" s="41"/>
      <c r="U248" s="4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41"/>
      <c r="O249" s="41"/>
      <c r="P249" s="41"/>
      <c r="Q249" s="41"/>
      <c r="R249" s="41"/>
      <c r="S249" s="41"/>
      <c r="T249" s="41"/>
      <c r="U249" s="4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41"/>
      <c r="O250" s="41"/>
      <c r="P250" s="41"/>
      <c r="Q250" s="41"/>
      <c r="R250" s="41"/>
      <c r="S250" s="41"/>
      <c r="T250" s="41"/>
      <c r="U250" s="4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41"/>
      <c r="O251" s="41"/>
      <c r="P251" s="41"/>
      <c r="Q251" s="41"/>
      <c r="R251" s="41"/>
      <c r="S251" s="41"/>
      <c r="T251" s="41"/>
      <c r="U251" s="4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41"/>
      <c r="O252" s="41"/>
      <c r="P252" s="41"/>
      <c r="Q252" s="41"/>
      <c r="R252" s="41"/>
      <c r="S252" s="41"/>
      <c r="T252" s="41"/>
      <c r="U252" s="4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41"/>
      <c r="O253" s="41"/>
      <c r="P253" s="41"/>
      <c r="Q253" s="41"/>
      <c r="R253" s="41"/>
      <c r="S253" s="41"/>
      <c r="T253" s="41"/>
      <c r="U253" s="4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41"/>
      <c r="O254" s="41"/>
      <c r="P254" s="41"/>
      <c r="Q254" s="41"/>
      <c r="R254" s="41"/>
      <c r="S254" s="41"/>
      <c r="T254" s="41"/>
      <c r="U254" s="4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41"/>
      <c r="O255" s="41"/>
      <c r="P255" s="41"/>
      <c r="Q255" s="41"/>
      <c r="R255" s="41"/>
      <c r="S255" s="41"/>
      <c r="T255" s="41"/>
      <c r="U255" s="4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41"/>
      <c r="O256" s="41"/>
      <c r="P256" s="41"/>
      <c r="Q256" s="41"/>
      <c r="R256" s="41"/>
      <c r="S256" s="41"/>
      <c r="T256" s="41"/>
      <c r="U256" s="4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41"/>
      <c r="O257" s="41"/>
      <c r="P257" s="41"/>
      <c r="Q257" s="41"/>
      <c r="R257" s="41"/>
      <c r="S257" s="41"/>
      <c r="T257" s="41"/>
      <c r="U257" s="4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41"/>
      <c r="O258" s="41"/>
      <c r="P258" s="41"/>
      <c r="Q258" s="41"/>
      <c r="R258" s="41"/>
      <c r="S258" s="41"/>
      <c r="T258" s="41"/>
      <c r="U258" s="4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41"/>
      <c r="O259" s="41"/>
      <c r="P259" s="41"/>
      <c r="Q259" s="41"/>
      <c r="R259" s="41"/>
      <c r="S259" s="41"/>
      <c r="T259" s="41"/>
      <c r="U259" s="4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41"/>
      <c r="O260" s="41"/>
      <c r="P260" s="41"/>
      <c r="Q260" s="41"/>
      <c r="R260" s="41"/>
      <c r="S260" s="41"/>
      <c r="T260" s="41"/>
      <c r="U260" s="4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41"/>
      <c r="O261" s="41"/>
      <c r="P261" s="41"/>
      <c r="Q261" s="41"/>
      <c r="R261" s="41"/>
      <c r="S261" s="41"/>
      <c r="T261" s="41"/>
      <c r="U261" s="4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41"/>
      <c r="O262" s="41"/>
      <c r="P262" s="41"/>
      <c r="Q262" s="41"/>
      <c r="R262" s="41"/>
      <c r="S262" s="41"/>
      <c r="T262" s="41"/>
      <c r="U262" s="4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41"/>
      <c r="O263" s="41"/>
      <c r="P263" s="41"/>
      <c r="Q263" s="41"/>
      <c r="R263" s="41"/>
      <c r="S263" s="41"/>
      <c r="T263" s="41"/>
      <c r="U263" s="4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41"/>
      <c r="O264" s="41"/>
      <c r="P264" s="41"/>
      <c r="Q264" s="41"/>
      <c r="R264" s="41"/>
      <c r="S264" s="41"/>
      <c r="T264" s="41"/>
      <c r="U264" s="4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41"/>
      <c r="O265" s="41"/>
      <c r="P265" s="41"/>
      <c r="Q265" s="41"/>
      <c r="R265" s="41"/>
      <c r="S265" s="41"/>
      <c r="T265" s="41"/>
      <c r="U265" s="4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41"/>
      <c r="O266" s="41"/>
      <c r="P266" s="41"/>
      <c r="Q266" s="41"/>
      <c r="R266" s="41"/>
      <c r="S266" s="41"/>
      <c r="T266" s="41"/>
      <c r="U266" s="4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41"/>
      <c r="O267" s="41"/>
      <c r="P267" s="41"/>
      <c r="Q267" s="41"/>
      <c r="R267" s="41"/>
      <c r="S267" s="41"/>
      <c r="T267" s="41"/>
      <c r="U267" s="4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41"/>
      <c r="O268" s="41"/>
      <c r="P268" s="41"/>
      <c r="Q268" s="41"/>
      <c r="R268" s="41"/>
      <c r="S268" s="41"/>
      <c r="T268" s="41"/>
      <c r="U268" s="4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41"/>
      <c r="O269" s="41"/>
      <c r="P269" s="41"/>
      <c r="Q269" s="41"/>
      <c r="R269" s="41"/>
      <c r="S269" s="41"/>
      <c r="T269" s="41"/>
      <c r="U269" s="4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41"/>
      <c r="O270" s="41"/>
      <c r="P270" s="41"/>
      <c r="Q270" s="41"/>
      <c r="R270" s="41"/>
      <c r="S270" s="41"/>
      <c r="T270" s="41"/>
      <c r="U270" s="4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41"/>
      <c r="O271" s="41"/>
      <c r="P271" s="41"/>
      <c r="Q271" s="41"/>
      <c r="R271" s="41"/>
      <c r="S271" s="41"/>
      <c r="T271" s="41"/>
      <c r="U271" s="4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41"/>
      <c r="O272" s="41"/>
      <c r="P272" s="41"/>
      <c r="Q272" s="41"/>
      <c r="R272" s="41"/>
      <c r="S272" s="41"/>
      <c r="T272" s="41"/>
      <c r="U272" s="4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41"/>
      <c r="O273" s="41"/>
      <c r="P273" s="41"/>
      <c r="Q273" s="41"/>
      <c r="R273" s="41"/>
      <c r="S273" s="41"/>
      <c r="T273" s="41"/>
      <c r="U273" s="4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41"/>
      <c r="O274" s="41"/>
      <c r="P274" s="41"/>
      <c r="Q274" s="41"/>
      <c r="R274" s="41"/>
      <c r="S274" s="41"/>
      <c r="T274" s="41"/>
      <c r="U274" s="4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41"/>
      <c r="O275" s="41"/>
      <c r="P275" s="41"/>
      <c r="Q275" s="41"/>
      <c r="R275" s="41"/>
      <c r="S275" s="41"/>
      <c r="T275" s="41"/>
      <c r="U275" s="4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41"/>
      <c r="O276" s="41"/>
      <c r="P276" s="41"/>
      <c r="Q276" s="41"/>
      <c r="R276" s="41"/>
      <c r="S276" s="41"/>
      <c r="T276" s="41"/>
      <c r="U276" s="4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41"/>
      <c r="O277" s="41"/>
      <c r="P277" s="41"/>
      <c r="Q277" s="41"/>
      <c r="R277" s="41"/>
      <c r="S277" s="41"/>
      <c r="T277" s="41"/>
      <c r="U277" s="4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41"/>
      <c r="O278" s="41"/>
      <c r="P278" s="41"/>
      <c r="Q278" s="41"/>
      <c r="R278" s="41"/>
      <c r="S278" s="41"/>
      <c r="T278" s="41"/>
      <c r="U278" s="4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41"/>
      <c r="O279" s="41"/>
      <c r="P279" s="41"/>
      <c r="Q279" s="41"/>
      <c r="R279" s="41"/>
      <c r="S279" s="41"/>
      <c r="T279" s="41"/>
      <c r="U279" s="4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41"/>
      <c r="O280" s="41"/>
      <c r="P280" s="41"/>
      <c r="Q280" s="41"/>
      <c r="R280" s="41"/>
      <c r="S280" s="41"/>
      <c r="T280" s="41"/>
      <c r="U280" s="41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41"/>
      <c r="O281" s="41"/>
      <c r="P281" s="41"/>
      <c r="Q281" s="41"/>
      <c r="R281" s="41"/>
      <c r="S281" s="41"/>
      <c r="T281" s="41"/>
      <c r="U281" s="41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41"/>
      <c r="O282" s="41"/>
      <c r="P282" s="41"/>
      <c r="Q282" s="41"/>
      <c r="R282" s="41"/>
      <c r="S282" s="41"/>
      <c r="T282" s="41"/>
      <c r="U282" s="41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41"/>
      <c r="O283" s="41"/>
      <c r="P283" s="41"/>
      <c r="Q283" s="41"/>
      <c r="R283" s="41"/>
      <c r="S283" s="41"/>
      <c r="T283" s="41"/>
      <c r="U283" s="41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41"/>
      <c r="O284" s="41"/>
      <c r="P284" s="41"/>
      <c r="Q284" s="41"/>
      <c r="R284" s="41"/>
      <c r="S284" s="41"/>
      <c r="T284" s="41"/>
      <c r="U284" s="41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41"/>
      <c r="O285" s="41"/>
      <c r="P285" s="41"/>
      <c r="Q285" s="41"/>
      <c r="R285" s="41"/>
      <c r="S285" s="41"/>
      <c r="T285" s="41"/>
      <c r="U285" s="41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41"/>
      <c r="O286" s="41"/>
      <c r="P286" s="41"/>
      <c r="Q286" s="41"/>
      <c r="R286" s="41"/>
      <c r="S286" s="41"/>
      <c r="T286" s="41"/>
      <c r="U286" s="41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41"/>
      <c r="O287" s="41"/>
      <c r="P287" s="41"/>
      <c r="Q287" s="41"/>
      <c r="R287" s="41"/>
      <c r="S287" s="41"/>
      <c r="T287" s="41"/>
      <c r="U287" s="41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41"/>
      <c r="O288" s="41"/>
      <c r="P288" s="41"/>
      <c r="Q288" s="41"/>
      <c r="R288" s="41"/>
      <c r="S288" s="41"/>
      <c r="T288" s="41"/>
      <c r="U288" s="41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41"/>
      <c r="O289" s="41"/>
      <c r="P289" s="41"/>
      <c r="Q289" s="41"/>
      <c r="R289" s="41"/>
      <c r="S289" s="41"/>
      <c r="T289" s="41"/>
      <c r="U289" s="41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41"/>
      <c r="O290" s="41"/>
      <c r="P290" s="41"/>
      <c r="Q290" s="41"/>
      <c r="R290" s="41"/>
      <c r="S290" s="41"/>
      <c r="T290" s="41"/>
      <c r="U290" s="41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41"/>
      <c r="O291" s="41"/>
      <c r="P291" s="41"/>
      <c r="Q291" s="41"/>
      <c r="R291" s="41"/>
      <c r="S291" s="41"/>
      <c r="T291" s="41"/>
      <c r="U291" s="41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41"/>
      <c r="O292" s="41"/>
      <c r="P292" s="41"/>
      <c r="Q292" s="41"/>
      <c r="R292" s="41"/>
      <c r="S292" s="41"/>
      <c r="T292" s="41"/>
      <c r="U292" s="41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41"/>
      <c r="O293" s="41"/>
      <c r="P293" s="41"/>
      <c r="Q293" s="41"/>
      <c r="R293" s="41"/>
      <c r="S293" s="41"/>
      <c r="T293" s="41"/>
      <c r="U293" s="41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41"/>
      <c r="O294" s="41"/>
      <c r="P294" s="41"/>
      <c r="Q294" s="41"/>
      <c r="R294" s="41"/>
      <c r="S294" s="41"/>
      <c r="T294" s="41"/>
      <c r="U294" s="41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41"/>
      <c r="O295" s="41"/>
      <c r="P295" s="41"/>
      <c r="Q295" s="41"/>
      <c r="R295" s="41"/>
      <c r="S295" s="41"/>
      <c r="T295" s="41"/>
      <c r="U295" s="41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41"/>
      <c r="O296" s="41"/>
      <c r="P296" s="41"/>
      <c r="Q296" s="41"/>
      <c r="R296" s="41"/>
      <c r="S296" s="41"/>
      <c r="T296" s="41"/>
      <c r="U296" s="41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41"/>
      <c r="O297" s="41"/>
      <c r="P297" s="41"/>
      <c r="Q297" s="41"/>
      <c r="R297" s="41"/>
      <c r="S297" s="41"/>
      <c r="T297" s="41"/>
      <c r="U297" s="41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41"/>
      <c r="O298" s="41"/>
      <c r="P298" s="41"/>
      <c r="Q298" s="41"/>
      <c r="R298" s="41"/>
      <c r="S298" s="41"/>
      <c r="T298" s="41"/>
      <c r="U298" s="41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41"/>
      <c r="O299" s="41"/>
      <c r="P299" s="41"/>
      <c r="Q299" s="41"/>
      <c r="R299" s="41"/>
      <c r="S299" s="41"/>
      <c r="T299" s="41"/>
      <c r="U299" s="41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41"/>
      <c r="O300" s="41"/>
      <c r="P300" s="41"/>
      <c r="Q300" s="41"/>
      <c r="R300" s="41"/>
      <c r="S300" s="41"/>
      <c r="T300" s="41"/>
      <c r="U300" s="41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41"/>
      <c r="O301" s="41"/>
      <c r="P301" s="41"/>
      <c r="Q301" s="41"/>
      <c r="R301" s="41"/>
      <c r="S301" s="41"/>
      <c r="T301" s="41"/>
      <c r="U301" s="41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41"/>
      <c r="O302" s="41"/>
      <c r="P302" s="41"/>
      <c r="Q302" s="41"/>
      <c r="R302" s="41"/>
      <c r="S302" s="41"/>
      <c r="T302" s="41"/>
      <c r="U302" s="41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41"/>
      <c r="O303" s="41"/>
      <c r="P303" s="41"/>
      <c r="Q303" s="41"/>
      <c r="R303" s="41"/>
      <c r="S303" s="41"/>
      <c r="T303" s="41"/>
      <c r="U303" s="41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41"/>
      <c r="O304" s="41"/>
      <c r="P304" s="41"/>
      <c r="Q304" s="41"/>
      <c r="R304" s="41"/>
      <c r="S304" s="41"/>
      <c r="T304" s="41"/>
      <c r="U304" s="41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41"/>
      <c r="O305" s="41"/>
      <c r="P305" s="41"/>
      <c r="Q305" s="41"/>
      <c r="R305" s="41"/>
      <c r="S305" s="41"/>
      <c r="T305" s="41"/>
      <c r="U305" s="41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41"/>
      <c r="O306" s="41"/>
      <c r="P306" s="41"/>
      <c r="Q306" s="41"/>
      <c r="R306" s="41"/>
      <c r="S306" s="41"/>
      <c r="T306" s="41"/>
      <c r="U306" s="41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41"/>
      <c r="O307" s="41"/>
      <c r="P307" s="41"/>
      <c r="Q307" s="41"/>
      <c r="R307" s="41"/>
      <c r="S307" s="41"/>
      <c r="T307" s="41"/>
      <c r="U307" s="41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41"/>
      <c r="O308" s="41"/>
      <c r="P308" s="41"/>
      <c r="Q308" s="41"/>
      <c r="R308" s="41"/>
      <c r="S308" s="41"/>
      <c r="T308" s="41"/>
      <c r="U308" s="41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41"/>
      <c r="O309" s="41"/>
      <c r="P309" s="41"/>
      <c r="Q309" s="41"/>
      <c r="R309" s="41"/>
      <c r="S309" s="41"/>
      <c r="T309" s="41"/>
      <c r="U309" s="41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41"/>
      <c r="O310" s="41"/>
      <c r="P310" s="41"/>
      <c r="Q310" s="41"/>
      <c r="R310" s="41"/>
      <c r="S310" s="41"/>
      <c r="T310" s="41"/>
      <c r="U310" s="41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41"/>
      <c r="O311" s="41"/>
      <c r="P311" s="41"/>
      <c r="Q311" s="41"/>
      <c r="R311" s="41"/>
      <c r="S311" s="41"/>
      <c r="T311" s="41"/>
      <c r="U311" s="41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41"/>
      <c r="O312" s="41"/>
      <c r="P312" s="41"/>
      <c r="Q312" s="41"/>
      <c r="R312" s="41"/>
      <c r="S312" s="41"/>
      <c r="T312" s="41"/>
      <c r="U312" s="41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41"/>
      <c r="O313" s="41"/>
      <c r="P313" s="41"/>
      <c r="Q313" s="41"/>
      <c r="R313" s="41"/>
      <c r="S313" s="41"/>
      <c r="T313" s="41"/>
      <c r="U313" s="41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41"/>
      <c r="O314" s="41"/>
      <c r="P314" s="41"/>
      <c r="Q314" s="41"/>
      <c r="R314" s="41"/>
      <c r="S314" s="41"/>
      <c r="T314" s="41"/>
      <c r="U314" s="41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41"/>
      <c r="O315" s="41"/>
      <c r="P315" s="41"/>
      <c r="Q315" s="41"/>
      <c r="R315" s="41"/>
      <c r="S315" s="41"/>
      <c r="T315" s="41"/>
      <c r="U315" s="41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41"/>
      <c r="O316" s="41"/>
      <c r="P316" s="41"/>
      <c r="Q316" s="41"/>
      <c r="R316" s="41"/>
      <c r="S316" s="41"/>
      <c r="T316" s="41"/>
      <c r="U316" s="41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41"/>
      <c r="O317" s="41"/>
      <c r="P317" s="41"/>
      <c r="Q317" s="41"/>
      <c r="R317" s="41"/>
      <c r="S317" s="41"/>
      <c r="T317" s="41"/>
      <c r="U317" s="41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41"/>
      <c r="O318" s="41"/>
      <c r="P318" s="41"/>
      <c r="Q318" s="41"/>
      <c r="R318" s="41"/>
      <c r="S318" s="41"/>
      <c r="T318" s="41"/>
      <c r="U318" s="41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41"/>
      <c r="O319" s="41"/>
      <c r="P319" s="41"/>
      <c r="Q319" s="41"/>
      <c r="R319" s="41"/>
      <c r="S319" s="41"/>
      <c r="T319" s="41"/>
      <c r="U319" s="41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41"/>
      <c r="O320" s="41"/>
      <c r="P320" s="41"/>
      <c r="Q320" s="41"/>
      <c r="R320" s="41"/>
      <c r="S320" s="41"/>
      <c r="T320" s="41"/>
      <c r="U320" s="41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41"/>
      <c r="O321" s="41"/>
      <c r="P321" s="41"/>
      <c r="Q321" s="41"/>
      <c r="R321" s="41"/>
      <c r="S321" s="41"/>
      <c r="T321" s="41"/>
      <c r="U321" s="41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41"/>
      <c r="O322" s="41"/>
      <c r="P322" s="41"/>
      <c r="Q322" s="41"/>
      <c r="R322" s="41"/>
      <c r="S322" s="41"/>
      <c r="T322" s="41"/>
      <c r="U322" s="41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41"/>
      <c r="O323" s="41"/>
      <c r="P323" s="41"/>
      <c r="Q323" s="41"/>
      <c r="R323" s="41"/>
      <c r="S323" s="41"/>
      <c r="T323" s="41"/>
      <c r="U323" s="41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41"/>
      <c r="O324" s="41"/>
      <c r="P324" s="41"/>
      <c r="Q324" s="41"/>
      <c r="R324" s="41"/>
      <c r="S324" s="41"/>
      <c r="T324" s="41"/>
      <c r="U324" s="41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41"/>
      <c r="O325" s="41"/>
      <c r="P325" s="41"/>
      <c r="Q325" s="41"/>
      <c r="R325" s="41"/>
      <c r="S325" s="41"/>
      <c r="T325" s="41"/>
      <c r="U325" s="41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41"/>
      <c r="O326" s="41"/>
      <c r="P326" s="41"/>
      <c r="Q326" s="41"/>
      <c r="R326" s="41"/>
      <c r="S326" s="41"/>
      <c r="T326" s="41"/>
      <c r="U326" s="41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41"/>
      <c r="O327" s="41"/>
      <c r="P327" s="41"/>
      <c r="Q327" s="41"/>
      <c r="R327" s="41"/>
      <c r="S327" s="41"/>
      <c r="T327" s="41"/>
      <c r="U327" s="41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41"/>
      <c r="O328" s="41"/>
      <c r="P328" s="41"/>
      <c r="Q328" s="41"/>
      <c r="R328" s="41"/>
      <c r="S328" s="41"/>
      <c r="T328" s="41"/>
      <c r="U328" s="41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41"/>
      <c r="O329" s="41"/>
      <c r="P329" s="41"/>
      <c r="Q329" s="41"/>
      <c r="R329" s="41"/>
      <c r="S329" s="41"/>
      <c r="T329" s="41"/>
      <c r="U329" s="41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41"/>
      <c r="O330" s="41"/>
      <c r="P330" s="41"/>
      <c r="Q330" s="41"/>
      <c r="R330" s="41"/>
      <c r="S330" s="41"/>
      <c r="T330" s="41"/>
      <c r="U330" s="41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41"/>
      <c r="O331" s="41"/>
      <c r="P331" s="41"/>
      <c r="Q331" s="41"/>
      <c r="R331" s="41"/>
      <c r="S331" s="41"/>
      <c r="T331" s="41"/>
      <c r="U331" s="41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41"/>
      <c r="O332" s="41"/>
      <c r="P332" s="41"/>
      <c r="Q332" s="41"/>
      <c r="R332" s="41"/>
      <c r="S332" s="41"/>
      <c r="T332" s="41"/>
      <c r="U332" s="41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41"/>
      <c r="O333" s="41"/>
      <c r="P333" s="41"/>
      <c r="Q333" s="41"/>
      <c r="R333" s="41"/>
      <c r="S333" s="41"/>
      <c r="T333" s="41"/>
      <c r="U333" s="41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41"/>
      <c r="O334" s="41"/>
      <c r="P334" s="41"/>
      <c r="Q334" s="41"/>
      <c r="R334" s="41"/>
      <c r="S334" s="41"/>
      <c r="T334" s="41"/>
      <c r="U334" s="41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41"/>
      <c r="O335" s="41"/>
      <c r="P335" s="41"/>
      <c r="Q335" s="41"/>
      <c r="R335" s="41"/>
      <c r="S335" s="41"/>
      <c r="T335" s="41"/>
      <c r="U335" s="41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41"/>
      <c r="O336" s="41"/>
      <c r="P336" s="41"/>
      <c r="Q336" s="41"/>
      <c r="R336" s="41"/>
      <c r="S336" s="41"/>
      <c r="T336" s="41"/>
      <c r="U336" s="41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41"/>
      <c r="O337" s="41"/>
      <c r="P337" s="41"/>
      <c r="Q337" s="41"/>
      <c r="R337" s="41"/>
      <c r="S337" s="41"/>
      <c r="T337" s="41"/>
      <c r="U337" s="41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41"/>
      <c r="O338" s="41"/>
      <c r="P338" s="41"/>
      <c r="Q338" s="41"/>
      <c r="R338" s="41"/>
      <c r="S338" s="41"/>
      <c r="T338" s="41"/>
      <c r="U338" s="41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41"/>
      <c r="O339" s="41"/>
      <c r="P339" s="41"/>
      <c r="Q339" s="41"/>
      <c r="R339" s="41"/>
      <c r="S339" s="41"/>
      <c r="T339" s="41"/>
      <c r="U339" s="41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41"/>
      <c r="O340" s="41"/>
      <c r="P340" s="41"/>
      <c r="Q340" s="41"/>
      <c r="R340" s="41"/>
      <c r="S340" s="41"/>
      <c r="T340" s="41"/>
      <c r="U340" s="41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41"/>
      <c r="O341" s="41"/>
      <c r="P341" s="41"/>
      <c r="Q341" s="41"/>
      <c r="R341" s="41"/>
      <c r="S341" s="41"/>
      <c r="T341" s="41"/>
      <c r="U341" s="41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41"/>
      <c r="O342" s="41"/>
      <c r="P342" s="41"/>
      <c r="Q342" s="41"/>
      <c r="R342" s="41"/>
      <c r="S342" s="41"/>
      <c r="T342" s="41"/>
      <c r="U342" s="41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41"/>
      <c r="O343" s="41"/>
      <c r="P343" s="41"/>
      <c r="Q343" s="41"/>
      <c r="R343" s="41"/>
      <c r="S343" s="41"/>
      <c r="T343" s="41"/>
      <c r="U343" s="41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41"/>
      <c r="O344" s="41"/>
      <c r="P344" s="41"/>
      <c r="Q344" s="41"/>
      <c r="R344" s="41"/>
      <c r="S344" s="41"/>
      <c r="T344" s="41"/>
      <c r="U344" s="41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41"/>
      <c r="O345" s="41"/>
      <c r="P345" s="41"/>
      <c r="Q345" s="41"/>
      <c r="R345" s="41"/>
      <c r="S345" s="41"/>
      <c r="T345" s="41"/>
      <c r="U345" s="41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41"/>
      <c r="O346" s="41"/>
      <c r="P346" s="41"/>
      <c r="Q346" s="41"/>
      <c r="R346" s="41"/>
      <c r="S346" s="41"/>
      <c r="T346" s="41"/>
      <c r="U346" s="41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41"/>
      <c r="O347" s="41"/>
      <c r="P347" s="41"/>
      <c r="Q347" s="41"/>
      <c r="R347" s="41"/>
      <c r="S347" s="41"/>
      <c r="T347" s="41"/>
      <c r="U347" s="41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41"/>
      <c r="O348" s="41"/>
      <c r="P348" s="41"/>
      <c r="Q348" s="41"/>
      <c r="R348" s="41"/>
      <c r="S348" s="41"/>
      <c r="T348" s="41"/>
      <c r="U348" s="41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41"/>
      <c r="O349" s="41"/>
      <c r="P349" s="41"/>
      <c r="Q349" s="41"/>
      <c r="R349" s="41"/>
      <c r="S349" s="41"/>
      <c r="T349" s="41"/>
      <c r="U349" s="41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41"/>
      <c r="O350" s="41"/>
      <c r="P350" s="41"/>
      <c r="Q350" s="41"/>
      <c r="R350" s="41"/>
      <c r="S350" s="41"/>
      <c r="T350" s="41"/>
      <c r="U350" s="41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41"/>
      <c r="O351" s="41"/>
      <c r="P351" s="41"/>
      <c r="Q351" s="41"/>
      <c r="R351" s="41"/>
      <c r="S351" s="41"/>
      <c r="T351" s="41"/>
      <c r="U351" s="41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41"/>
      <c r="O352" s="41"/>
      <c r="P352" s="41"/>
      <c r="Q352" s="41"/>
      <c r="R352" s="41"/>
      <c r="S352" s="41"/>
      <c r="T352" s="41"/>
      <c r="U352" s="41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41"/>
      <c r="O353" s="41"/>
      <c r="P353" s="41"/>
      <c r="Q353" s="41"/>
      <c r="R353" s="41"/>
      <c r="S353" s="41"/>
      <c r="T353" s="41"/>
      <c r="U353" s="41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41"/>
      <c r="O354" s="41"/>
      <c r="P354" s="41"/>
      <c r="Q354" s="41"/>
      <c r="R354" s="41"/>
      <c r="S354" s="41"/>
      <c r="T354" s="41"/>
      <c r="U354" s="41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41"/>
      <c r="O355" s="41"/>
      <c r="P355" s="41"/>
      <c r="Q355" s="41"/>
      <c r="R355" s="41"/>
      <c r="S355" s="41"/>
      <c r="T355" s="41"/>
      <c r="U355" s="41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41"/>
      <c r="O356" s="41"/>
      <c r="P356" s="41"/>
      <c r="Q356" s="41"/>
      <c r="R356" s="41"/>
      <c r="S356" s="41"/>
      <c r="T356" s="41"/>
      <c r="U356" s="41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41"/>
      <c r="O357" s="41"/>
      <c r="P357" s="41"/>
      <c r="Q357" s="41"/>
      <c r="R357" s="41"/>
      <c r="S357" s="41"/>
      <c r="T357" s="41"/>
      <c r="U357" s="41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41"/>
      <c r="O358" s="41"/>
      <c r="P358" s="41"/>
      <c r="Q358" s="41"/>
      <c r="R358" s="41"/>
      <c r="S358" s="41"/>
      <c r="T358" s="41"/>
      <c r="U358" s="41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41"/>
      <c r="O359" s="41"/>
      <c r="P359" s="41"/>
      <c r="Q359" s="41"/>
      <c r="R359" s="41"/>
      <c r="S359" s="41"/>
      <c r="T359" s="41"/>
      <c r="U359" s="41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41"/>
      <c r="O360" s="41"/>
      <c r="P360" s="41"/>
      <c r="Q360" s="41"/>
      <c r="R360" s="41"/>
      <c r="S360" s="41"/>
      <c r="T360" s="41"/>
      <c r="U360" s="41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41"/>
      <c r="O361" s="41"/>
      <c r="P361" s="41"/>
      <c r="Q361" s="41"/>
      <c r="R361" s="41"/>
      <c r="S361" s="41"/>
      <c r="T361" s="41"/>
      <c r="U361" s="41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41"/>
      <c r="O362" s="41"/>
      <c r="P362" s="41"/>
      <c r="Q362" s="41"/>
      <c r="R362" s="41"/>
      <c r="S362" s="41"/>
      <c r="T362" s="41"/>
      <c r="U362" s="41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41"/>
      <c r="O363" s="41"/>
      <c r="P363" s="41"/>
      <c r="Q363" s="41"/>
      <c r="R363" s="41"/>
      <c r="S363" s="41"/>
      <c r="T363" s="41"/>
      <c r="U363" s="41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41"/>
      <c r="O364" s="41"/>
      <c r="P364" s="41"/>
      <c r="Q364" s="41"/>
      <c r="R364" s="41"/>
      <c r="S364" s="41"/>
      <c r="T364" s="41"/>
      <c r="U364" s="41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41"/>
      <c r="O365" s="41"/>
      <c r="P365" s="41"/>
      <c r="Q365" s="41"/>
      <c r="R365" s="41"/>
      <c r="S365" s="41"/>
      <c r="T365" s="41"/>
      <c r="U365" s="41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41"/>
      <c r="O366" s="41"/>
      <c r="P366" s="41"/>
      <c r="Q366" s="41"/>
      <c r="R366" s="41"/>
      <c r="S366" s="41"/>
      <c r="T366" s="41"/>
      <c r="U366" s="41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41"/>
      <c r="O367" s="41"/>
      <c r="P367" s="41"/>
      <c r="Q367" s="41"/>
      <c r="R367" s="41"/>
      <c r="S367" s="41"/>
      <c r="T367" s="41"/>
      <c r="U367" s="41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41"/>
      <c r="O368" s="41"/>
      <c r="P368" s="41"/>
      <c r="Q368" s="41"/>
      <c r="R368" s="41"/>
      <c r="S368" s="41"/>
      <c r="T368" s="41"/>
      <c r="U368" s="41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41"/>
      <c r="O369" s="41"/>
      <c r="P369" s="41"/>
      <c r="Q369" s="41"/>
      <c r="R369" s="41"/>
      <c r="S369" s="41"/>
      <c r="T369" s="41"/>
      <c r="U369" s="41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41"/>
      <c r="O370" s="41"/>
      <c r="P370" s="41"/>
      <c r="Q370" s="41"/>
      <c r="R370" s="41"/>
      <c r="S370" s="41"/>
      <c r="T370" s="41"/>
      <c r="U370" s="41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41"/>
      <c r="O371" s="41"/>
      <c r="P371" s="41"/>
      <c r="Q371" s="41"/>
      <c r="R371" s="41"/>
      <c r="S371" s="41"/>
      <c r="T371" s="41"/>
      <c r="U371" s="41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41"/>
      <c r="O372" s="41"/>
      <c r="P372" s="41"/>
      <c r="Q372" s="41"/>
      <c r="R372" s="41"/>
      <c r="S372" s="41"/>
      <c r="T372" s="41"/>
      <c r="U372" s="41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41"/>
      <c r="O373" s="41"/>
      <c r="P373" s="41"/>
      <c r="Q373" s="41"/>
      <c r="R373" s="41"/>
      <c r="S373" s="41"/>
      <c r="T373" s="41"/>
      <c r="U373" s="41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41"/>
      <c r="O374" s="41"/>
      <c r="P374" s="41"/>
      <c r="Q374" s="41"/>
      <c r="R374" s="41"/>
      <c r="S374" s="41"/>
      <c r="T374" s="41"/>
      <c r="U374" s="41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41"/>
      <c r="O375" s="41"/>
      <c r="P375" s="41"/>
      <c r="Q375" s="41"/>
      <c r="R375" s="41"/>
      <c r="S375" s="41"/>
      <c r="T375" s="41"/>
      <c r="U375" s="41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41"/>
      <c r="O376" s="41"/>
      <c r="P376" s="41"/>
      <c r="Q376" s="41"/>
      <c r="R376" s="41"/>
      <c r="S376" s="41"/>
      <c r="T376" s="41"/>
      <c r="U376" s="41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41"/>
      <c r="O377" s="41"/>
      <c r="P377" s="41"/>
      <c r="Q377" s="41"/>
      <c r="R377" s="41"/>
      <c r="S377" s="41"/>
      <c r="T377" s="41"/>
      <c r="U377" s="41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41"/>
      <c r="O378" s="41"/>
      <c r="P378" s="41"/>
      <c r="Q378" s="41"/>
      <c r="R378" s="41"/>
      <c r="S378" s="41"/>
      <c r="T378" s="41"/>
      <c r="U378" s="41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41"/>
      <c r="O379" s="41"/>
      <c r="P379" s="41"/>
      <c r="Q379" s="41"/>
      <c r="R379" s="41"/>
      <c r="S379" s="41"/>
      <c r="T379" s="41"/>
      <c r="U379" s="41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41"/>
      <c r="O380" s="41"/>
      <c r="P380" s="41"/>
      <c r="Q380" s="41"/>
      <c r="R380" s="41"/>
      <c r="S380" s="41"/>
      <c r="T380" s="41"/>
      <c r="U380" s="41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41"/>
      <c r="O381" s="41"/>
      <c r="P381" s="41"/>
      <c r="Q381" s="41"/>
      <c r="R381" s="41"/>
      <c r="S381" s="41"/>
      <c r="T381" s="41"/>
      <c r="U381" s="41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41"/>
      <c r="O382" s="41"/>
      <c r="P382" s="41"/>
      <c r="Q382" s="41"/>
      <c r="R382" s="41"/>
      <c r="S382" s="41"/>
      <c r="T382" s="41"/>
      <c r="U382" s="41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41"/>
      <c r="O383" s="41"/>
      <c r="P383" s="41"/>
      <c r="Q383" s="41"/>
      <c r="R383" s="41"/>
      <c r="S383" s="41"/>
      <c r="T383" s="41"/>
      <c r="U383" s="41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41"/>
      <c r="O384" s="41"/>
      <c r="P384" s="41"/>
      <c r="Q384" s="41"/>
      <c r="R384" s="41"/>
      <c r="S384" s="41"/>
      <c r="T384" s="41"/>
      <c r="U384" s="41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41"/>
      <c r="O385" s="41"/>
      <c r="P385" s="41"/>
      <c r="Q385" s="41"/>
      <c r="R385" s="41"/>
      <c r="S385" s="41"/>
      <c r="T385" s="41"/>
      <c r="U385" s="41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41"/>
      <c r="O386" s="41"/>
      <c r="P386" s="41"/>
      <c r="Q386" s="41"/>
      <c r="R386" s="41"/>
      <c r="S386" s="41"/>
      <c r="T386" s="41"/>
      <c r="U386" s="41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41"/>
      <c r="O387" s="41"/>
      <c r="P387" s="41"/>
      <c r="Q387" s="41"/>
      <c r="R387" s="41"/>
      <c r="S387" s="41"/>
      <c r="T387" s="41"/>
      <c r="U387" s="41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41"/>
      <c r="O388" s="41"/>
      <c r="P388" s="41"/>
      <c r="Q388" s="41"/>
      <c r="R388" s="41"/>
      <c r="S388" s="41"/>
      <c r="T388" s="41"/>
      <c r="U388" s="41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41"/>
      <c r="O389" s="41"/>
      <c r="P389" s="41"/>
      <c r="Q389" s="41"/>
      <c r="R389" s="41"/>
      <c r="S389" s="41"/>
      <c r="T389" s="41"/>
      <c r="U389" s="41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41"/>
      <c r="O390" s="41"/>
      <c r="P390" s="41"/>
      <c r="Q390" s="41"/>
      <c r="R390" s="41"/>
      <c r="S390" s="41"/>
      <c r="T390" s="41"/>
      <c r="U390" s="41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41"/>
      <c r="O391" s="41"/>
      <c r="P391" s="41"/>
      <c r="Q391" s="41"/>
      <c r="R391" s="41"/>
      <c r="S391" s="41"/>
      <c r="T391" s="41"/>
      <c r="U391" s="41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41"/>
      <c r="O392" s="41"/>
      <c r="P392" s="41"/>
      <c r="Q392" s="41"/>
      <c r="R392" s="41"/>
      <c r="S392" s="41"/>
      <c r="T392" s="41"/>
      <c r="U392" s="41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41"/>
      <c r="O393" s="41"/>
      <c r="P393" s="41"/>
      <c r="Q393" s="41"/>
      <c r="R393" s="41"/>
      <c r="S393" s="41"/>
      <c r="T393" s="41"/>
      <c r="U393" s="41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41"/>
      <c r="O394" s="41"/>
      <c r="P394" s="41"/>
      <c r="Q394" s="41"/>
      <c r="R394" s="41"/>
      <c r="S394" s="41"/>
      <c r="T394" s="41"/>
      <c r="U394" s="41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41"/>
      <c r="O395" s="41"/>
      <c r="P395" s="41"/>
      <c r="Q395" s="41"/>
      <c r="R395" s="41"/>
      <c r="S395" s="41"/>
      <c r="T395" s="41"/>
      <c r="U395" s="41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41"/>
      <c r="O396" s="41"/>
      <c r="P396" s="41"/>
      <c r="Q396" s="41"/>
      <c r="R396" s="41"/>
      <c r="S396" s="41"/>
      <c r="T396" s="41"/>
      <c r="U396" s="41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41"/>
      <c r="O397" s="41"/>
      <c r="P397" s="41"/>
      <c r="Q397" s="41"/>
      <c r="R397" s="41"/>
      <c r="S397" s="41"/>
      <c r="T397" s="41"/>
      <c r="U397" s="41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41"/>
      <c r="O398" s="41"/>
      <c r="P398" s="41"/>
      <c r="Q398" s="41"/>
      <c r="R398" s="41"/>
      <c r="S398" s="41"/>
      <c r="T398" s="41"/>
      <c r="U398" s="41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41"/>
      <c r="O399" s="41"/>
      <c r="P399" s="41"/>
      <c r="Q399" s="41"/>
      <c r="R399" s="41"/>
      <c r="S399" s="41"/>
      <c r="T399" s="41"/>
      <c r="U399" s="41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41"/>
      <c r="O400" s="41"/>
      <c r="P400" s="41"/>
      <c r="Q400" s="41"/>
      <c r="R400" s="41"/>
      <c r="S400" s="41"/>
      <c r="T400" s="41"/>
      <c r="U400" s="41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41"/>
      <c r="O401" s="41"/>
      <c r="P401" s="41"/>
      <c r="Q401" s="41"/>
      <c r="R401" s="41"/>
      <c r="S401" s="41"/>
      <c r="T401" s="41"/>
      <c r="U401" s="41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41"/>
      <c r="O402" s="41"/>
      <c r="P402" s="41"/>
      <c r="Q402" s="41"/>
      <c r="R402" s="41"/>
      <c r="S402" s="41"/>
      <c r="T402" s="41"/>
      <c r="U402" s="41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41"/>
      <c r="O403" s="41"/>
      <c r="P403" s="41"/>
      <c r="Q403" s="41"/>
      <c r="R403" s="41"/>
      <c r="S403" s="41"/>
      <c r="T403" s="41"/>
      <c r="U403" s="41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41"/>
      <c r="O404" s="41"/>
      <c r="P404" s="41"/>
      <c r="Q404" s="41"/>
      <c r="R404" s="41"/>
      <c r="S404" s="41"/>
      <c r="T404" s="41"/>
      <c r="U404" s="41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41"/>
      <c r="O405" s="41"/>
      <c r="P405" s="41"/>
      <c r="Q405" s="41"/>
      <c r="R405" s="41"/>
      <c r="S405" s="41"/>
      <c r="T405" s="41"/>
      <c r="U405" s="41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41"/>
      <c r="O406" s="41"/>
      <c r="P406" s="41"/>
      <c r="Q406" s="41"/>
      <c r="R406" s="41"/>
      <c r="S406" s="41"/>
      <c r="T406" s="41"/>
      <c r="U406" s="41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41"/>
      <c r="O407" s="41"/>
      <c r="P407" s="41"/>
      <c r="Q407" s="41"/>
      <c r="R407" s="41"/>
      <c r="S407" s="41"/>
      <c r="T407" s="41"/>
      <c r="U407" s="41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41"/>
      <c r="O408" s="41"/>
      <c r="P408" s="41"/>
      <c r="Q408" s="41"/>
      <c r="R408" s="41"/>
      <c r="S408" s="41"/>
      <c r="T408" s="41"/>
      <c r="U408" s="41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41"/>
      <c r="O409" s="41"/>
      <c r="P409" s="41"/>
      <c r="Q409" s="41"/>
      <c r="R409" s="41"/>
      <c r="S409" s="41"/>
      <c r="T409" s="41"/>
      <c r="U409" s="41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41"/>
      <c r="O410" s="41"/>
      <c r="P410" s="41"/>
      <c r="Q410" s="41"/>
      <c r="R410" s="41"/>
      <c r="S410" s="41"/>
      <c r="T410" s="41"/>
      <c r="U410" s="41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41"/>
      <c r="O411" s="41"/>
      <c r="P411" s="41"/>
      <c r="Q411" s="41"/>
      <c r="R411" s="41"/>
      <c r="S411" s="41"/>
      <c r="T411" s="41"/>
      <c r="U411" s="41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41"/>
      <c r="O412" s="41"/>
      <c r="P412" s="41"/>
      <c r="Q412" s="41"/>
      <c r="R412" s="41"/>
      <c r="S412" s="41"/>
      <c r="T412" s="41"/>
      <c r="U412" s="41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41"/>
      <c r="O413" s="41"/>
      <c r="P413" s="41"/>
      <c r="Q413" s="41"/>
      <c r="R413" s="41"/>
      <c r="S413" s="41"/>
      <c r="T413" s="41"/>
      <c r="U413" s="41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41"/>
      <c r="O414" s="41"/>
      <c r="P414" s="41"/>
      <c r="Q414" s="41"/>
      <c r="R414" s="41"/>
      <c r="S414" s="41"/>
      <c r="T414" s="41"/>
      <c r="U414" s="41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41"/>
      <c r="O415" s="41"/>
      <c r="P415" s="41"/>
      <c r="Q415" s="41"/>
      <c r="R415" s="41"/>
      <c r="S415" s="41"/>
      <c r="T415" s="41"/>
      <c r="U415" s="41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41"/>
      <c r="O416" s="41"/>
      <c r="P416" s="41"/>
      <c r="Q416" s="41"/>
      <c r="R416" s="41"/>
      <c r="S416" s="41"/>
      <c r="T416" s="41"/>
      <c r="U416" s="41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41"/>
      <c r="O417" s="41"/>
      <c r="P417" s="41"/>
      <c r="Q417" s="41"/>
      <c r="R417" s="41"/>
      <c r="S417" s="41"/>
      <c r="T417" s="41"/>
      <c r="U417" s="41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41"/>
      <c r="O418" s="41"/>
      <c r="P418" s="41"/>
      <c r="Q418" s="41"/>
      <c r="R418" s="41"/>
      <c r="S418" s="41"/>
      <c r="T418" s="41"/>
      <c r="U418" s="41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41"/>
      <c r="O419" s="41"/>
      <c r="P419" s="41"/>
      <c r="Q419" s="41"/>
      <c r="R419" s="41"/>
      <c r="S419" s="41"/>
      <c r="T419" s="41"/>
      <c r="U419" s="41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41"/>
      <c r="O420" s="41"/>
      <c r="P420" s="41"/>
      <c r="Q420" s="41"/>
      <c r="R420" s="41"/>
      <c r="S420" s="41"/>
      <c r="T420" s="41"/>
      <c r="U420" s="41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41"/>
      <c r="O421" s="41"/>
      <c r="P421" s="41"/>
      <c r="Q421" s="41"/>
      <c r="R421" s="41"/>
      <c r="S421" s="41"/>
      <c r="T421" s="41"/>
      <c r="U421" s="41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41"/>
      <c r="O422" s="41"/>
      <c r="P422" s="41"/>
      <c r="Q422" s="41"/>
      <c r="R422" s="41"/>
      <c r="S422" s="41"/>
      <c r="T422" s="41"/>
      <c r="U422" s="41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41"/>
      <c r="O423" s="41"/>
      <c r="P423" s="41"/>
      <c r="Q423" s="41"/>
      <c r="R423" s="41"/>
      <c r="S423" s="41"/>
      <c r="T423" s="41"/>
      <c r="U423" s="41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41"/>
      <c r="O424" s="41"/>
      <c r="P424" s="41"/>
      <c r="Q424" s="41"/>
      <c r="R424" s="41"/>
      <c r="S424" s="41"/>
      <c r="T424" s="41"/>
      <c r="U424" s="41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41"/>
      <c r="O425" s="41"/>
      <c r="P425" s="41"/>
      <c r="Q425" s="41"/>
      <c r="R425" s="41"/>
      <c r="S425" s="41"/>
      <c r="T425" s="41"/>
      <c r="U425" s="41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41"/>
      <c r="O426" s="41"/>
      <c r="P426" s="41"/>
      <c r="Q426" s="41"/>
      <c r="R426" s="41"/>
      <c r="S426" s="41"/>
      <c r="T426" s="41"/>
      <c r="U426" s="41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41"/>
      <c r="O427" s="41"/>
      <c r="P427" s="41"/>
      <c r="Q427" s="41"/>
      <c r="R427" s="41"/>
      <c r="S427" s="41"/>
      <c r="T427" s="41"/>
      <c r="U427" s="41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41"/>
      <c r="O428" s="41"/>
      <c r="P428" s="41"/>
      <c r="Q428" s="41"/>
      <c r="R428" s="41"/>
      <c r="S428" s="41"/>
      <c r="T428" s="41"/>
      <c r="U428" s="41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41"/>
      <c r="O429" s="41"/>
      <c r="P429" s="41"/>
      <c r="Q429" s="41"/>
      <c r="R429" s="41"/>
      <c r="S429" s="41"/>
      <c r="T429" s="41"/>
      <c r="U429" s="41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41"/>
      <c r="O430" s="41"/>
      <c r="P430" s="41"/>
      <c r="Q430" s="41"/>
      <c r="R430" s="41"/>
      <c r="S430" s="41"/>
      <c r="T430" s="41"/>
      <c r="U430" s="41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41"/>
      <c r="O431" s="41"/>
      <c r="P431" s="41"/>
      <c r="Q431" s="41"/>
      <c r="R431" s="41"/>
      <c r="S431" s="41"/>
      <c r="T431" s="41"/>
      <c r="U431" s="41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41"/>
      <c r="O432" s="41"/>
      <c r="P432" s="41"/>
      <c r="Q432" s="41"/>
      <c r="R432" s="41"/>
      <c r="S432" s="41"/>
      <c r="T432" s="41"/>
      <c r="U432" s="41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41"/>
      <c r="O433" s="41"/>
      <c r="P433" s="41"/>
      <c r="Q433" s="41"/>
      <c r="R433" s="41"/>
      <c r="S433" s="41"/>
      <c r="T433" s="41"/>
      <c r="U433" s="41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41"/>
      <c r="O434" s="41"/>
      <c r="P434" s="41"/>
      <c r="Q434" s="41"/>
      <c r="R434" s="41"/>
      <c r="S434" s="41"/>
      <c r="T434" s="41"/>
      <c r="U434" s="41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41"/>
      <c r="O435" s="41"/>
      <c r="P435" s="41"/>
      <c r="Q435" s="41"/>
      <c r="R435" s="41"/>
      <c r="S435" s="41"/>
      <c r="T435" s="41"/>
      <c r="U435" s="41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41"/>
      <c r="O436" s="41"/>
      <c r="P436" s="41"/>
      <c r="Q436" s="41"/>
      <c r="R436" s="41"/>
      <c r="S436" s="41"/>
      <c r="T436" s="41"/>
      <c r="U436" s="41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41"/>
      <c r="O437" s="41"/>
      <c r="P437" s="41"/>
      <c r="Q437" s="41"/>
      <c r="R437" s="41"/>
      <c r="S437" s="41"/>
      <c r="T437" s="41"/>
      <c r="U437" s="41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41"/>
      <c r="O438" s="41"/>
      <c r="P438" s="41"/>
      <c r="Q438" s="41"/>
      <c r="R438" s="41"/>
      <c r="S438" s="41"/>
      <c r="T438" s="41"/>
      <c r="U438" s="41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41"/>
      <c r="O439" s="41"/>
      <c r="P439" s="41"/>
      <c r="Q439" s="41"/>
      <c r="R439" s="41"/>
      <c r="S439" s="41"/>
      <c r="T439" s="41"/>
      <c r="U439" s="41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41"/>
      <c r="O440" s="41"/>
      <c r="P440" s="41"/>
      <c r="Q440" s="41"/>
      <c r="R440" s="41"/>
      <c r="S440" s="41"/>
      <c r="T440" s="41"/>
      <c r="U440" s="41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41"/>
      <c r="O441" s="41"/>
      <c r="P441" s="41"/>
      <c r="Q441" s="41"/>
      <c r="R441" s="41"/>
      <c r="S441" s="41"/>
      <c r="T441" s="41"/>
      <c r="U441" s="41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41"/>
      <c r="O442" s="41"/>
      <c r="P442" s="41"/>
      <c r="Q442" s="41"/>
      <c r="R442" s="41"/>
      <c r="S442" s="41"/>
      <c r="T442" s="41"/>
      <c r="U442" s="41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41"/>
      <c r="O443" s="41"/>
      <c r="P443" s="41"/>
      <c r="Q443" s="41"/>
      <c r="R443" s="41"/>
      <c r="S443" s="41"/>
      <c r="T443" s="41"/>
      <c r="U443" s="41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41"/>
      <c r="O444" s="41"/>
      <c r="P444" s="41"/>
      <c r="Q444" s="41"/>
      <c r="R444" s="41"/>
      <c r="S444" s="41"/>
      <c r="T444" s="41"/>
      <c r="U444" s="41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41"/>
      <c r="O445" s="41"/>
      <c r="P445" s="41"/>
      <c r="Q445" s="41"/>
      <c r="R445" s="41"/>
      <c r="S445" s="41"/>
      <c r="T445" s="41"/>
      <c r="U445" s="41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41"/>
      <c r="O446" s="41"/>
      <c r="P446" s="41"/>
      <c r="Q446" s="41"/>
      <c r="R446" s="41"/>
      <c r="S446" s="41"/>
      <c r="T446" s="41"/>
      <c r="U446" s="41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41"/>
      <c r="O447" s="41"/>
      <c r="P447" s="41"/>
      <c r="Q447" s="41"/>
      <c r="R447" s="41"/>
      <c r="S447" s="41"/>
      <c r="T447" s="41"/>
      <c r="U447" s="41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41"/>
      <c r="O448" s="41"/>
      <c r="P448" s="41"/>
      <c r="Q448" s="41"/>
      <c r="R448" s="41"/>
      <c r="S448" s="41"/>
      <c r="T448" s="41"/>
      <c r="U448" s="41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41"/>
      <c r="O449" s="41"/>
      <c r="P449" s="41"/>
      <c r="Q449" s="41"/>
      <c r="R449" s="41"/>
      <c r="S449" s="41"/>
      <c r="T449" s="41"/>
      <c r="U449" s="41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41"/>
      <c r="O450" s="41"/>
      <c r="P450" s="41"/>
      <c r="Q450" s="41"/>
      <c r="R450" s="41"/>
      <c r="S450" s="41"/>
      <c r="T450" s="41"/>
      <c r="U450" s="41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41"/>
      <c r="O451" s="41"/>
      <c r="P451" s="41"/>
      <c r="Q451" s="41"/>
      <c r="R451" s="41"/>
      <c r="S451" s="41"/>
      <c r="T451" s="41"/>
      <c r="U451" s="41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41"/>
      <c r="O452" s="41"/>
      <c r="P452" s="41"/>
      <c r="Q452" s="41"/>
      <c r="R452" s="41"/>
      <c r="S452" s="41"/>
      <c r="T452" s="41"/>
      <c r="U452" s="41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41"/>
      <c r="O453" s="41"/>
      <c r="P453" s="41"/>
      <c r="Q453" s="41"/>
      <c r="R453" s="41"/>
      <c r="S453" s="41"/>
      <c r="T453" s="41"/>
      <c r="U453" s="41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41"/>
      <c r="O454" s="41"/>
      <c r="P454" s="41"/>
      <c r="Q454" s="41"/>
      <c r="R454" s="41"/>
      <c r="S454" s="41"/>
      <c r="T454" s="41"/>
      <c r="U454" s="41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41"/>
      <c r="O455" s="41"/>
      <c r="P455" s="41"/>
      <c r="Q455" s="41"/>
      <c r="R455" s="41"/>
      <c r="S455" s="41"/>
      <c r="T455" s="41"/>
      <c r="U455" s="41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41"/>
      <c r="O456" s="41"/>
      <c r="P456" s="41"/>
      <c r="Q456" s="41"/>
      <c r="R456" s="41"/>
      <c r="S456" s="41"/>
      <c r="T456" s="41"/>
      <c r="U456" s="41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41"/>
      <c r="O457" s="41"/>
      <c r="P457" s="41"/>
      <c r="Q457" s="41"/>
      <c r="R457" s="41"/>
      <c r="S457" s="41"/>
      <c r="T457" s="41"/>
      <c r="U457" s="41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41"/>
      <c r="O458" s="41"/>
      <c r="P458" s="41"/>
      <c r="Q458" s="41"/>
      <c r="R458" s="41"/>
      <c r="S458" s="41"/>
      <c r="T458" s="41"/>
      <c r="U458" s="41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41"/>
      <c r="O459" s="41"/>
      <c r="P459" s="41"/>
      <c r="Q459" s="41"/>
      <c r="R459" s="41"/>
      <c r="S459" s="41"/>
      <c r="T459" s="41"/>
      <c r="U459" s="41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41"/>
      <c r="O460" s="41"/>
      <c r="P460" s="41"/>
      <c r="Q460" s="41"/>
      <c r="R460" s="41"/>
      <c r="S460" s="41"/>
      <c r="T460" s="41"/>
      <c r="U460" s="41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41"/>
      <c r="O461" s="41"/>
      <c r="P461" s="41"/>
      <c r="Q461" s="41"/>
      <c r="R461" s="41"/>
      <c r="S461" s="41"/>
      <c r="T461" s="41"/>
      <c r="U461" s="41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41"/>
      <c r="O462" s="41"/>
      <c r="P462" s="41"/>
      <c r="Q462" s="41"/>
      <c r="R462" s="41"/>
      <c r="S462" s="41"/>
      <c r="T462" s="41"/>
      <c r="U462" s="41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41"/>
      <c r="O463" s="41"/>
      <c r="P463" s="41"/>
      <c r="Q463" s="41"/>
      <c r="R463" s="41"/>
      <c r="S463" s="41"/>
      <c r="T463" s="41"/>
      <c r="U463" s="41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41"/>
      <c r="O464" s="41"/>
      <c r="P464" s="41"/>
      <c r="Q464" s="41"/>
      <c r="R464" s="41"/>
      <c r="S464" s="41"/>
      <c r="T464" s="41"/>
      <c r="U464" s="41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41"/>
      <c r="O465" s="41"/>
      <c r="P465" s="41"/>
      <c r="Q465" s="41"/>
      <c r="R465" s="41"/>
      <c r="S465" s="41"/>
      <c r="T465" s="41"/>
      <c r="U465" s="41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41"/>
      <c r="O466" s="41"/>
      <c r="P466" s="41"/>
      <c r="Q466" s="41"/>
      <c r="R466" s="41"/>
      <c r="S466" s="41"/>
      <c r="T466" s="41"/>
      <c r="U466" s="41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41"/>
      <c r="O467" s="41"/>
      <c r="P467" s="41"/>
      <c r="Q467" s="41"/>
      <c r="R467" s="41"/>
      <c r="S467" s="41"/>
      <c r="T467" s="41"/>
      <c r="U467" s="41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41"/>
      <c r="O468" s="41"/>
      <c r="P468" s="41"/>
      <c r="Q468" s="41"/>
      <c r="R468" s="41"/>
      <c r="S468" s="41"/>
      <c r="T468" s="41"/>
      <c r="U468" s="41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41"/>
      <c r="O469" s="41"/>
      <c r="P469" s="41"/>
      <c r="Q469" s="41"/>
      <c r="R469" s="41"/>
      <c r="S469" s="41"/>
      <c r="T469" s="41"/>
      <c r="U469" s="41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41"/>
      <c r="O470" s="41"/>
      <c r="P470" s="41"/>
      <c r="Q470" s="41"/>
      <c r="R470" s="41"/>
      <c r="S470" s="41"/>
      <c r="T470" s="41"/>
      <c r="U470" s="41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41"/>
      <c r="O471" s="41"/>
      <c r="P471" s="41"/>
      <c r="Q471" s="41"/>
      <c r="R471" s="41"/>
      <c r="S471" s="41"/>
      <c r="T471" s="41"/>
      <c r="U471" s="41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41"/>
      <c r="O472" s="41"/>
      <c r="P472" s="41"/>
      <c r="Q472" s="41"/>
      <c r="R472" s="41"/>
      <c r="S472" s="41"/>
      <c r="T472" s="41"/>
      <c r="U472" s="41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41"/>
      <c r="O473" s="41"/>
      <c r="P473" s="41"/>
      <c r="Q473" s="41"/>
      <c r="R473" s="41"/>
      <c r="S473" s="41"/>
      <c r="T473" s="41"/>
      <c r="U473" s="41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41"/>
      <c r="O474" s="41"/>
      <c r="P474" s="41"/>
      <c r="Q474" s="41"/>
      <c r="R474" s="41"/>
      <c r="S474" s="41"/>
      <c r="T474" s="41"/>
      <c r="U474" s="41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41"/>
      <c r="O475" s="41"/>
      <c r="P475" s="41"/>
      <c r="Q475" s="41"/>
      <c r="R475" s="41"/>
      <c r="S475" s="41"/>
      <c r="T475" s="41"/>
      <c r="U475" s="41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41"/>
      <c r="O476" s="41"/>
      <c r="P476" s="41"/>
      <c r="Q476" s="41"/>
      <c r="R476" s="41"/>
      <c r="S476" s="41"/>
      <c r="T476" s="41"/>
      <c r="U476" s="41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41"/>
      <c r="O477" s="41"/>
      <c r="P477" s="41"/>
      <c r="Q477" s="41"/>
      <c r="R477" s="41"/>
      <c r="S477" s="41"/>
      <c r="T477" s="41"/>
      <c r="U477" s="41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41"/>
      <c r="O478" s="41"/>
      <c r="P478" s="41"/>
      <c r="Q478" s="41"/>
      <c r="R478" s="41"/>
      <c r="S478" s="41"/>
      <c r="T478" s="41"/>
      <c r="U478" s="41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41"/>
      <c r="O479" s="41"/>
      <c r="P479" s="41"/>
      <c r="Q479" s="41"/>
      <c r="R479" s="41"/>
      <c r="S479" s="41"/>
      <c r="T479" s="41"/>
      <c r="U479" s="41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41"/>
      <c r="O480" s="41"/>
      <c r="P480" s="41"/>
      <c r="Q480" s="41"/>
      <c r="R480" s="41"/>
      <c r="S480" s="41"/>
      <c r="T480" s="41"/>
      <c r="U480" s="41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41"/>
      <c r="O481" s="41"/>
      <c r="P481" s="41"/>
      <c r="Q481" s="41"/>
      <c r="R481" s="41"/>
      <c r="S481" s="41"/>
      <c r="T481" s="41"/>
      <c r="U481" s="41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41"/>
      <c r="O482" s="41"/>
      <c r="P482" s="41"/>
      <c r="Q482" s="41"/>
      <c r="R482" s="41"/>
      <c r="S482" s="41"/>
      <c r="T482" s="41"/>
      <c r="U482" s="41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41"/>
      <c r="O483" s="41"/>
      <c r="P483" s="41"/>
      <c r="Q483" s="41"/>
      <c r="R483" s="41"/>
      <c r="S483" s="41"/>
      <c r="T483" s="41"/>
      <c r="U483" s="41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41"/>
      <c r="O484" s="41"/>
      <c r="P484" s="41"/>
      <c r="Q484" s="41"/>
      <c r="R484" s="41"/>
      <c r="S484" s="41"/>
      <c r="T484" s="41"/>
      <c r="U484" s="41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41"/>
      <c r="O485" s="41"/>
      <c r="P485" s="41"/>
      <c r="Q485" s="41"/>
      <c r="R485" s="41"/>
      <c r="S485" s="41"/>
      <c r="T485" s="41"/>
      <c r="U485" s="41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41"/>
      <c r="O486" s="41"/>
      <c r="P486" s="41"/>
      <c r="Q486" s="41"/>
      <c r="R486" s="41"/>
      <c r="S486" s="41"/>
      <c r="T486" s="41"/>
      <c r="U486" s="41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41"/>
      <c r="O487" s="41"/>
      <c r="P487" s="41"/>
      <c r="Q487" s="41"/>
      <c r="R487" s="41"/>
      <c r="S487" s="41"/>
      <c r="T487" s="41"/>
      <c r="U487" s="41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41"/>
      <c r="O488" s="41"/>
      <c r="P488" s="41"/>
      <c r="Q488" s="41"/>
      <c r="R488" s="41"/>
      <c r="S488" s="41"/>
      <c r="T488" s="41"/>
      <c r="U488" s="41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41"/>
      <c r="O489" s="41"/>
      <c r="P489" s="41"/>
      <c r="Q489" s="41"/>
      <c r="R489" s="41"/>
      <c r="S489" s="41"/>
      <c r="T489" s="41"/>
      <c r="U489" s="41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41"/>
      <c r="O490" s="41"/>
      <c r="P490" s="41"/>
      <c r="Q490" s="41"/>
      <c r="R490" s="41"/>
      <c r="S490" s="41"/>
      <c r="T490" s="41"/>
      <c r="U490" s="41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41"/>
      <c r="O491" s="41"/>
      <c r="P491" s="41"/>
      <c r="Q491" s="41"/>
      <c r="R491" s="41"/>
      <c r="S491" s="41"/>
      <c r="T491" s="41"/>
      <c r="U491" s="41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41"/>
      <c r="O492" s="41"/>
      <c r="P492" s="41"/>
      <c r="Q492" s="41"/>
      <c r="R492" s="41"/>
      <c r="S492" s="41"/>
      <c r="T492" s="41"/>
      <c r="U492" s="41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41"/>
      <c r="O493" s="41"/>
      <c r="P493" s="41"/>
      <c r="Q493" s="41"/>
      <c r="R493" s="41"/>
      <c r="S493" s="41"/>
      <c r="T493" s="41"/>
      <c r="U493" s="41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41"/>
      <c r="O494" s="41"/>
      <c r="P494" s="41"/>
      <c r="Q494" s="41"/>
      <c r="R494" s="41"/>
      <c r="S494" s="41"/>
      <c r="T494" s="41"/>
      <c r="U494" s="41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41"/>
      <c r="O495" s="41"/>
      <c r="P495" s="41"/>
      <c r="Q495" s="41"/>
      <c r="R495" s="41"/>
      <c r="S495" s="41"/>
      <c r="T495" s="41"/>
      <c r="U495" s="41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41"/>
      <c r="O496" s="41"/>
      <c r="P496" s="41"/>
      <c r="Q496" s="41"/>
      <c r="R496" s="41"/>
      <c r="S496" s="41"/>
      <c r="T496" s="41"/>
      <c r="U496" s="41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41"/>
      <c r="O497" s="41"/>
      <c r="P497" s="41"/>
      <c r="Q497" s="41"/>
      <c r="R497" s="41"/>
      <c r="S497" s="41"/>
      <c r="T497" s="41"/>
      <c r="U497" s="41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41"/>
      <c r="O498" s="41"/>
      <c r="P498" s="41"/>
      <c r="Q498" s="41"/>
      <c r="R498" s="41"/>
      <c r="S498" s="41"/>
      <c r="T498" s="41"/>
      <c r="U498" s="41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41"/>
      <c r="O499" s="41"/>
      <c r="P499" s="41"/>
      <c r="Q499" s="41"/>
      <c r="R499" s="41"/>
      <c r="S499" s="41"/>
      <c r="T499" s="41"/>
      <c r="U499" s="41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41"/>
      <c r="O500" s="41"/>
      <c r="P500" s="41"/>
      <c r="Q500" s="41"/>
      <c r="R500" s="41"/>
      <c r="S500" s="41"/>
      <c r="T500" s="41"/>
      <c r="U500" s="41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41"/>
      <c r="O501" s="41"/>
      <c r="P501" s="41"/>
      <c r="Q501" s="41"/>
      <c r="R501" s="41"/>
      <c r="S501" s="41"/>
      <c r="T501" s="41"/>
      <c r="U501" s="41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41"/>
      <c r="O502" s="41"/>
      <c r="P502" s="41"/>
      <c r="Q502" s="41"/>
      <c r="R502" s="41"/>
      <c r="S502" s="41"/>
      <c r="T502" s="41"/>
      <c r="U502" s="41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41"/>
      <c r="O503" s="41"/>
      <c r="P503" s="41"/>
      <c r="Q503" s="41"/>
      <c r="R503" s="41"/>
      <c r="S503" s="41"/>
      <c r="T503" s="41"/>
      <c r="U503" s="41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41"/>
      <c r="O504" s="41"/>
      <c r="P504" s="41"/>
      <c r="Q504" s="41"/>
      <c r="R504" s="41"/>
      <c r="S504" s="41"/>
      <c r="T504" s="41"/>
      <c r="U504" s="41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41"/>
      <c r="O505" s="41"/>
      <c r="P505" s="41"/>
      <c r="Q505" s="41"/>
      <c r="R505" s="41"/>
      <c r="S505" s="41"/>
      <c r="T505" s="41"/>
      <c r="U505" s="41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41"/>
      <c r="O506" s="41"/>
      <c r="P506" s="41"/>
      <c r="Q506" s="41"/>
      <c r="R506" s="41"/>
      <c r="S506" s="41"/>
      <c r="T506" s="41"/>
      <c r="U506" s="41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41"/>
      <c r="O507" s="41"/>
      <c r="P507" s="41"/>
      <c r="Q507" s="41"/>
      <c r="R507" s="41"/>
      <c r="S507" s="41"/>
      <c r="T507" s="41"/>
      <c r="U507" s="41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41"/>
      <c r="O508" s="41"/>
      <c r="P508" s="41"/>
      <c r="Q508" s="41"/>
      <c r="R508" s="41"/>
      <c r="S508" s="41"/>
      <c r="T508" s="41"/>
      <c r="U508" s="41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41"/>
      <c r="O509" s="41"/>
      <c r="P509" s="41"/>
      <c r="Q509" s="41"/>
      <c r="R509" s="41"/>
      <c r="S509" s="41"/>
      <c r="T509" s="41"/>
      <c r="U509" s="41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41"/>
      <c r="O510" s="41"/>
      <c r="P510" s="41"/>
      <c r="Q510" s="41"/>
      <c r="R510" s="41"/>
      <c r="S510" s="41"/>
      <c r="T510" s="41"/>
      <c r="U510" s="41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41"/>
      <c r="O511" s="41"/>
      <c r="P511" s="41"/>
      <c r="Q511" s="41"/>
      <c r="R511" s="41"/>
      <c r="S511" s="41"/>
      <c r="T511" s="41"/>
      <c r="U511" s="41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41"/>
      <c r="O512" s="41"/>
      <c r="P512" s="41"/>
      <c r="Q512" s="41"/>
      <c r="R512" s="41"/>
      <c r="S512" s="41"/>
      <c r="T512" s="41"/>
      <c r="U512" s="41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41"/>
      <c r="O513" s="41"/>
      <c r="P513" s="41"/>
      <c r="Q513" s="41"/>
      <c r="R513" s="41"/>
      <c r="S513" s="41"/>
      <c r="T513" s="41"/>
      <c r="U513" s="41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41"/>
      <c r="O514" s="41"/>
      <c r="P514" s="41"/>
      <c r="Q514" s="41"/>
      <c r="R514" s="41"/>
      <c r="S514" s="41"/>
      <c r="T514" s="41"/>
      <c r="U514" s="41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41"/>
      <c r="O515" s="41"/>
      <c r="P515" s="41"/>
      <c r="Q515" s="41"/>
      <c r="R515" s="41"/>
      <c r="S515" s="41"/>
      <c r="T515" s="41"/>
      <c r="U515" s="41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41"/>
      <c r="O516" s="41"/>
      <c r="P516" s="41"/>
      <c r="Q516" s="41"/>
      <c r="R516" s="41"/>
      <c r="S516" s="41"/>
      <c r="T516" s="41"/>
      <c r="U516" s="41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41"/>
      <c r="O517" s="41"/>
      <c r="P517" s="41"/>
      <c r="Q517" s="41"/>
      <c r="R517" s="41"/>
      <c r="S517" s="41"/>
      <c r="T517" s="41"/>
      <c r="U517" s="41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41"/>
      <c r="O518" s="41"/>
      <c r="P518" s="41"/>
      <c r="Q518" s="41"/>
      <c r="R518" s="41"/>
      <c r="S518" s="41"/>
      <c r="T518" s="41"/>
      <c r="U518" s="41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41"/>
      <c r="O519" s="41"/>
      <c r="P519" s="41"/>
      <c r="Q519" s="41"/>
      <c r="R519" s="41"/>
      <c r="S519" s="41"/>
      <c r="T519" s="41"/>
      <c r="U519" s="41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41"/>
      <c r="O520" s="41"/>
      <c r="P520" s="41"/>
      <c r="Q520" s="41"/>
      <c r="R520" s="41"/>
      <c r="S520" s="41"/>
      <c r="T520" s="41"/>
      <c r="U520" s="41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41"/>
      <c r="O521" s="41"/>
      <c r="P521" s="41"/>
      <c r="Q521" s="41"/>
      <c r="R521" s="41"/>
      <c r="S521" s="41"/>
      <c r="T521" s="41"/>
      <c r="U521" s="41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41"/>
      <c r="O522" s="41"/>
      <c r="P522" s="41"/>
      <c r="Q522" s="41"/>
      <c r="R522" s="41"/>
      <c r="S522" s="41"/>
      <c r="T522" s="41"/>
      <c r="U522" s="41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41"/>
      <c r="O523" s="41"/>
      <c r="P523" s="41"/>
      <c r="Q523" s="41"/>
      <c r="R523" s="41"/>
      <c r="S523" s="41"/>
      <c r="T523" s="41"/>
      <c r="U523" s="41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41"/>
      <c r="O524" s="41"/>
      <c r="P524" s="41"/>
      <c r="Q524" s="41"/>
      <c r="R524" s="41"/>
      <c r="S524" s="41"/>
      <c r="T524" s="41"/>
      <c r="U524" s="41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41"/>
      <c r="O525" s="41"/>
      <c r="P525" s="41"/>
      <c r="Q525" s="41"/>
      <c r="R525" s="41"/>
      <c r="S525" s="41"/>
      <c r="T525" s="41"/>
      <c r="U525" s="41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41"/>
      <c r="O526" s="41"/>
      <c r="P526" s="41"/>
      <c r="Q526" s="41"/>
      <c r="R526" s="41"/>
      <c r="S526" s="41"/>
      <c r="T526" s="41"/>
      <c r="U526" s="41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41"/>
      <c r="O527" s="41"/>
      <c r="P527" s="41"/>
      <c r="Q527" s="41"/>
      <c r="R527" s="41"/>
      <c r="S527" s="41"/>
      <c r="T527" s="41"/>
      <c r="U527" s="41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41"/>
      <c r="O528" s="41"/>
      <c r="P528" s="41"/>
      <c r="Q528" s="41"/>
      <c r="R528" s="41"/>
      <c r="S528" s="41"/>
      <c r="T528" s="41"/>
      <c r="U528" s="41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41"/>
      <c r="O529" s="41"/>
      <c r="P529" s="41"/>
      <c r="Q529" s="41"/>
      <c r="R529" s="41"/>
      <c r="S529" s="41"/>
      <c r="T529" s="41"/>
      <c r="U529" s="41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41"/>
      <c r="O530" s="41"/>
      <c r="P530" s="41"/>
      <c r="Q530" s="41"/>
      <c r="R530" s="41"/>
      <c r="S530" s="41"/>
      <c r="T530" s="41"/>
      <c r="U530" s="41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41"/>
      <c r="O531" s="41"/>
      <c r="P531" s="41"/>
      <c r="Q531" s="41"/>
      <c r="R531" s="41"/>
      <c r="S531" s="41"/>
      <c r="T531" s="41"/>
      <c r="U531" s="41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41"/>
      <c r="O532" s="41"/>
      <c r="P532" s="41"/>
      <c r="Q532" s="41"/>
      <c r="R532" s="41"/>
      <c r="S532" s="41"/>
      <c r="T532" s="41"/>
      <c r="U532" s="41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41"/>
      <c r="O533" s="41"/>
      <c r="P533" s="41"/>
      <c r="Q533" s="41"/>
      <c r="R533" s="41"/>
      <c r="S533" s="41"/>
      <c r="T533" s="41"/>
      <c r="U533" s="41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41"/>
      <c r="O534" s="41"/>
      <c r="P534" s="41"/>
      <c r="Q534" s="41"/>
      <c r="R534" s="41"/>
      <c r="S534" s="41"/>
      <c r="T534" s="41"/>
      <c r="U534" s="41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41"/>
      <c r="O535" s="41"/>
      <c r="P535" s="41"/>
      <c r="Q535" s="41"/>
      <c r="R535" s="41"/>
      <c r="S535" s="41"/>
      <c r="T535" s="41"/>
      <c r="U535" s="41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41"/>
      <c r="O536" s="41"/>
      <c r="P536" s="41"/>
      <c r="Q536" s="41"/>
      <c r="R536" s="41"/>
      <c r="S536" s="41"/>
      <c r="T536" s="41"/>
      <c r="U536" s="41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41"/>
      <c r="O537" s="41"/>
      <c r="P537" s="41"/>
      <c r="Q537" s="41"/>
      <c r="R537" s="41"/>
      <c r="S537" s="41"/>
      <c r="T537" s="41"/>
      <c r="U537" s="41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41"/>
      <c r="O538" s="41"/>
      <c r="P538" s="41"/>
      <c r="Q538" s="41"/>
      <c r="R538" s="41"/>
      <c r="S538" s="41"/>
      <c r="T538" s="41"/>
      <c r="U538" s="41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41"/>
      <c r="O539" s="41"/>
      <c r="P539" s="41"/>
      <c r="Q539" s="41"/>
      <c r="R539" s="41"/>
      <c r="S539" s="41"/>
      <c r="T539" s="41"/>
      <c r="U539" s="41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41"/>
      <c r="O540" s="41"/>
      <c r="P540" s="41"/>
      <c r="Q540" s="41"/>
      <c r="R540" s="41"/>
      <c r="S540" s="41"/>
      <c r="T540" s="41"/>
      <c r="U540" s="41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41"/>
      <c r="O541" s="41"/>
      <c r="P541" s="41"/>
      <c r="Q541" s="41"/>
      <c r="R541" s="41"/>
      <c r="S541" s="41"/>
      <c r="T541" s="41"/>
      <c r="U541" s="41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41"/>
      <c r="O542" s="41"/>
      <c r="P542" s="41"/>
      <c r="Q542" s="41"/>
      <c r="R542" s="41"/>
      <c r="S542" s="41"/>
      <c r="T542" s="41"/>
      <c r="U542" s="41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41"/>
      <c r="O543" s="41"/>
      <c r="P543" s="41"/>
      <c r="Q543" s="41"/>
      <c r="R543" s="41"/>
      <c r="S543" s="41"/>
      <c r="T543" s="41"/>
      <c r="U543" s="41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41"/>
      <c r="O544" s="41"/>
      <c r="P544" s="41"/>
      <c r="Q544" s="41"/>
      <c r="R544" s="41"/>
      <c r="S544" s="41"/>
      <c r="T544" s="41"/>
      <c r="U544" s="41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41"/>
      <c r="O545" s="41"/>
      <c r="P545" s="41"/>
      <c r="Q545" s="41"/>
      <c r="R545" s="41"/>
      <c r="S545" s="41"/>
      <c r="T545" s="41"/>
      <c r="U545" s="41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41"/>
      <c r="O546" s="41"/>
      <c r="P546" s="41"/>
      <c r="Q546" s="41"/>
      <c r="R546" s="41"/>
      <c r="S546" s="41"/>
      <c r="T546" s="41"/>
      <c r="U546" s="41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41"/>
      <c r="O547" s="41"/>
      <c r="P547" s="41"/>
      <c r="Q547" s="41"/>
      <c r="R547" s="41"/>
      <c r="S547" s="41"/>
      <c r="T547" s="41"/>
      <c r="U547" s="41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41"/>
      <c r="O548" s="41"/>
      <c r="P548" s="41"/>
      <c r="Q548" s="41"/>
      <c r="R548" s="41"/>
      <c r="S548" s="41"/>
      <c r="T548" s="41"/>
      <c r="U548" s="41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41"/>
      <c r="O549" s="41"/>
      <c r="P549" s="41"/>
      <c r="Q549" s="41"/>
      <c r="R549" s="41"/>
      <c r="S549" s="41"/>
      <c r="T549" s="41"/>
      <c r="U549" s="41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41"/>
      <c r="O550" s="41"/>
      <c r="P550" s="41"/>
      <c r="Q550" s="41"/>
      <c r="R550" s="41"/>
      <c r="S550" s="41"/>
      <c r="T550" s="41"/>
      <c r="U550" s="41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41"/>
      <c r="O551" s="41"/>
      <c r="P551" s="41"/>
      <c r="Q551" s="41"/>
      <c r="R551" s="41"/>
      <c r="S551" s="41"/>
      <c r="T551" s="41"/>
      <c r="U551" s="41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41"/>
      <c r="O552" s="41"/>
      <c r="P552" s="41"/>
      <c r="Q552" s="41"/>
      <c r="R552" s="41"/>
      <c r="S552" s="41"/>
      <c r="T552" s="41"/>
      <c r="U552" s="41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41"/>
      <c r="O553" s="41"/>
      <c r="P553" s="41"/>
      <c r="Q553" s="41"/>
      <c r="R553" s="41"/>
      <c r="S553" s="41"/>
      <c r="T553" s="41"/>
      <c r="U553" s="41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41"/>
      <c r="O554" s="41"/>
      <c r="P554" s="41"/>
      <c r="Q554" s="41"/>
      <c r="R554" s="41"/>
      <c r="S554" s="41"/>
      <c r="T554" s="41"/>
      <c r="U554" s="41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41"/>
      <c r="O555" s="41"/>
      <c r="P555" s="41"/>
      <c r="Q555" s="41"/>
      <c r="R555" s="41"/>
      <c r="S555" s="41"/>
      <c r="T555" s="41"/>
      <c r="U555" s="41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41"/>
      <c r="O556" s="41"/>
      <c r="P556" s="41"/>
      <c r="Q556" s="41"/>
      <c r="R556" s="41"/>
      <c r="S556" s="41"/>
      <c r="T556" s="41"/>
      <c r="U556" s="41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41"/>
      <c r="O557" s="41"/>
      <c r="P557" s="41"/>
      <c r="Q557" s="41"/>
      <c r="R557" s="41"/>
      <c r="S557" s="41"/>
      <c r="T557" s="41"/>
      <c r="U557" s="41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41"/>
      <c r="O558" s="41"/>
      <c r="P558" s="41"/>
      <c r="Q558" s="41"/>
      <c r="R558" s="41"/>
      <c r="S558" s="41"/>
      <c r="T558" s="41"/>
      <c r="U558" s="41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41"/>
      <c r="O559" s="41"/>
      <c r="P559" s="41"/>
      <c r="Q559" s="41"/>
      <c r="R559" s="41"/>
      <c r="S559" s="41"/>
      <c r="T559" s="41"/>
      <c r="U559" s="41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41"/>
      <c r="O560" s="41"/>
      <c r="P560" s="41"/>
      <c r="Q560" s="41"/>
      <c r="R560" s="41"/>
      <c r="S560" s="41"/>
      <c r="T560" s="41"/>
      <c r="U560" s="41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41"/>
      <c r="O561" s="41"/>
      <c r="P561" s="41"/>
      <c r="Q561" s="41"/>
      <c r="R561" s="41"/>
      <c r="S561" s="41"/>
      <c r="T561" s="41"/>
      <c r="U561" s="41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41"/>
      <c r="O562" s="41"/>
      <c r="P562" s="41"/>
      <c r="Q562" s="41"/>
      <c r="R562" s="41"/>
      <c r="S562" s="41"/>
      <c r="T562" s="41"/>
      <c r="U562" s="41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41"/>
      <c r="O563" s="41"/>
      <c r="P563" s="41"/>
      <c r="Q563" s="41"/>
      <c r="R563" s="41"/>
      <c r="S563" s="41"/>
      <c r="T563" s="41"/>
      <c r="U563" s="41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41"/>
      <c r="O564" s="41"/>
      <c r="P564" s="41"/>
      <c r="Q564" s="41"/>
      <c r="R564" s="41"/>
      <c r="S564" s="41"/>
      <c r="T564" s="41"/>
      <c r="U564" s="41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41"/>
      <c r="O565" s="41"/>
      <c r="P565" s="41"/>
      <c r="Q565" s="41"/>
      <c r="R565" s="41"/>
      <c r="S565" s="41"/>
      <c r="T565" s="41"/>
      <c r="U565" s="41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41"/>
      <c r="O566" s="41"/>
      <c r="P566" s="41"/>
      <c r="Q566" s="41"/>
      <c r="R566" s="41"/>
      <c r="S566" s="41"/>
      <c r="T566" s="41"/>
      <c r="U566" s="41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41"/>
      <c r="O567" s="41"/>
      <c r="P567" s="41"/>
      <c r="Q567" s="41"/>
      <c r="R567" s="41"/>
      <c r="S567" s="41"/>
      <c r="T567" s="41"/>
      <c r="U567" s="41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41"/>
      <c r="O568" s="41"/>
      <c r="P568" s="41"/>
      <c r="Q568" s="41"/>
      <c r="R568" s="41"/>
      <c r="S568" s="41"/>
      <c r="T568" s="41"/>
      <c r="U568" s="41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41"/>
      <c r="O569" s="41"/>
      <c r="P569" s="41"/>
      <c r="Q569" s="41"/>
      <c r="R569" s="41"/>
      <c r="S569" s="41"/>
      <c r="T569" s="41"/>
      <c r="U569" s="41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41"/>
      <c r="O570" s="41"/>
      <c r="P570" s="41"/>
      <c r="Q570" s="41"/>
      <c r="R570" s="41"/>
      <c r="S570" s="41"/>
      <c r="T570" s="41"/>
      <c r="U570" s="41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41"/>
      <c r="O571" s="41"/>
      <c r="P571" s="41"/>
      <c r="Q571" s="41"/>
      <c r="R571" s="41"/>
      <c r="S571" s="41"/>
      <c r="T571" s="41"/>
      <c r="U571" s="41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41"/>
      <c r="O572" s="41"/>
      <c r="P572" s="41"/>
      <c r="Q572" s="41"/>
      <c r="R572" s="41"/>
      <c r="S572" s="41"/>
      <c r="T572" s="41"/>
      <c r="U572" s="41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41"/>
      <c r="O573" s="41"/>
      <c r="P573" s="41"/>
      <c r="Q573" s="41"/>
      <c r="R573" s="41"/>
      <c r="S573" s="41"/>
      <c r="T573" s="41"/>
      <c r="U573" s="41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41"/>
      <c r="O574" s="41"/>
      <c r="P574" s="41"/>
      <c r="Q574" s="41"/>
      <c r="R574" s="41"/>
      <c r="S574" s="41"/>
      <c r="T574" s="41"/>
      <c r="U574" s="41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41"/>
      <c r="O575" s="41"/>
      <c r="P575" s="41"/>
      <c r="Q575" s="41"/>
      <c r="R575" s="41"/>
      <c r="S575" s="41"/>
      <c r="T575" s="41"/>
      <c r="U575" s="41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41"/>
      <c r="O576" s="41"/>
      <c r="P576" s="41"/>
      <c r="Q576" s="41"/>
      <c r="R576" s="41"/>
      <c r="S576" s="41"/>
      <c r="T576" s="41"/>
      <c r="U576" s="41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41"/>
      <c r="O577" s="41"/>
      <c r="P577" s="41"/>
      <c r="Q577" s="41"/>
      <c r="R577" s="41"/>
      <c r="S577" s="41"/>
      <c r="T577" s="41"/>
      <c r="U577" s="41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41"/>
      <c r="O578" s="41"/>
      <c r="P578" s="41"/>
      <c r="Q578" s="41"/>
      <c r="R578" s="41"/>
      <c r="S578" s="41"/>
      <c r="T578" s="41"/>
      <c r="U578" s="41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41"/>
      <c r="O579" s="41"/>
      <c r="P579" s="41"/>
      <c r="Q579" s="41"/>
      <c r="R579" s="41"/>
      <c r="S579" s="41"/>
      <c r="T579" s="41"/>
      <c r="U579" s="41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41"/>
      <c r="O580" s="41"/>
      <c r="P580" s="41"/>
      <c r="Q580" s="41"/>
      <c r="R580" s="41"/>
      <c r="S580" s="41"/>
      <c r="T580" s="41"/>
      <c r="U580" s="41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41"/>
      <c r="O581" s="41"/>
      <c r="P581" s="41"/>
      <c r="Q581" s="41"/>
      <c r="R581" s="41"/>
      <c r="S581" s="41"/>
      <c r="T581" s="41"/>
      <c r="U581" s="41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41"/>
      <c r="O582" s="41"/>
      <c r="P582" s="41"/>
      <c r="Q582" s="41"/>
      <c r="R582" s="41"/>
      <c r="S582" s="41"/>
      <c r="T582" s="41"/>
      <c r="U582" s="41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41"/>
      <c r="O583" s="41"/>
      <c r="P583" s="41"/>
      <c r="Q583" s="41"/>
      <c r="R583" s="41"/>
      <c r="S583" s="41"/>
      <c r="T583" s="41"/>
      <c r="U583" s="41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41"/>
      <c r="O584" s="41"/>
      <c r="P584" s="41"/>
      <c r="Q584" s="41"/>
      <c r="R584" s="41"/>
      <c r="S584" s="41"/>
      <c r="T584" s="41"/>
      <c r="U584" s="41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41"/>
      <c r="O585" s="41"/>
      <c r="P585" s="41"/>
      <c r="Q585" s="41"/>
      <c r="R585" s="41"/>
      <c r="S585" s="41"/>
      <c r="T585" s="41"/>
      <c r="U585" s="41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41"/>
      <c r="O586" s="41"/>
      <c r="P586" s="41"/>
      <c r="Q586" s="41"/>
      <c r="R586" s="41"/>
      <c r="S586" s="41"/>
      <c r="T586" s="41"/>
      <c r="U586" s="41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41"/>
      <c r="O587" s="41"/>
      <c r="P587" s="41"/>
      <c r="Q587" s="41"/>
      <c r="R587" s="41"/>
      <c r="S587" s="41"/>
      <c r="T587" s="41"/>
      <c r="U587" s="41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41"/>
      <c r="O588" s="41"/>
      <c r="P588" s="41"/>
      <c r="Q588" s="41"/>
      <c r="R588" s="41"/>
      <c r="S588" s="41"/>
      <c r="T588" s="41"/>
      <c r="U588" s="41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41"/>
      <c r="O589" s="41"/>
      <c r="P589" s="41"/>
      <c r="Q589" s="41"/>
      <c r="R589" s="41"/>
      <c r="S589" s="41"/>
      <c r="T589" s="41"/>
      <c r="U589" s="41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41"/>
      <c r="O590" s="41"/>
      <c r="P590" s="41"/>
      <c r="Q590" s="41"/>
      <c r="R590" s="41"/>
      <c r="S590" s="41"/>
      <c r="T590" s="41"/>
      <c r="U590" s="41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41"/>
      <c r="O591" s="41"/>
      <c r="P591" s="41"/>
      <c r="Q591" s="41"/>
      <c r="R591" s="41"/>
      <c r="S591" s="41"/>
      <c r="T591" s="41"/>
      <c r="U591" s="41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41"/>
      <c r="O592" s="41"/>
      <c r="P592" s="41"/>
      <c r="Q592" s="41"/>
      <c r="R592" s="41"/>
      <c r="S592" s="41"/>
      <c r="T592" s="41"/>
      <c r="U592" s="41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41"/>
      <c r="O593" s="41"/>
      <c r="P593" s="41"/>
      <c r="Q593" s="41"/>
      <c r="R593" s="41"/>
      <c r="S593" s="41"/>
      <c r="T593" s="41"/>
      <c r="U593" s="41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41"/>
      <c r="O594" s="41"/>
      <c r="P594" s="41"/>
      <c r="Q594" s="41"/>
      <c r="R594" s="41"/>
      <c r="S594" s="41"/>
      <c r="T594" s="41"/>
      <c r="U594" s="41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41"/>
      <c r="O595" s="41"/>
      <c r="P595" s="41"/>
      <c r="Q595" s="41"/>
      <c r="R595" s="41"/>
      <c r="S595" s="41"/>
      <c r="T595" s="41"/>
      <c r="U595" s="41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41"/>
      <c r="O596" s="41"/>
      <c r="P596" s="41"/>
      <c r="Q596" s="41"/>
      <c r="R596" s="41"/>
      <c r="S596" s="41"/>
      <c r="T596" s="41"/>
      <c r="U596" s="41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41"/>
      <c r="O597" s="41"/>
      <c r="P597" s="41"/>
      <c r="Q597" s="41"/>
      <c r="R597" s="41"/>
      <c r="S597" s="41"/>
      <c r="T597" s="41"/>
      <c r="U597" s="41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41"/>
      <c r="O598" s="41"/>
      <c r="P598" s="41"/>
      <c r="Q598" s="41"/>
      <c r="R598" s="41"/>
      <c r="S598" s="41"/>
      <c r="T598" s="41"/>
      <c r="U598" s="41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41"/>
      <c r="O599" s="41"/>
      <c r="P599" s="41"/>
      <c r="Q599" s="41"/>
      <c r="R599" s="41"/>
      <c r="S599" s="41"/>
      <c r="T599" s="41"/>
      <c r="U599" s="41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41"/>
      <c r="O600" s="41"/>
      <c r="P600" s="41"/>
      <c r="Q600" s="41"/>
      <c r="R600" s="41"/>
      <c r="S600" s="41"/>
      <c r="T600" s="41"/>
      <c r="U600" s="41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41"/>
      <c r="O601" s="41"/>
      <c r="P601" s="41"/>
      <c r="Q601" s="41"/>
      <c r="R601" s="41"/>
      <c r="S601" s="41"/>
      <c r="T601" s="41"/>
      <c r="U601" s="41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41"/>
      <c r="O602" s="41"/>
      <c r="P602" s="41"/>
      <c r="Q602" s="41"/>
      <c r="R602" s="41"/>
      <c r="S602" s="41"/>
      <c r="T602" s="41"/>
      <c r="U602" s="41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41"/>
      <c r="O603" s="41"/>
      <c r="P603" s="41"/>
      <c r="Q603" s="41"/>
      <c r="R603" s="41"/>
      <c r="S603" s="41"/>
      <c r="T603" s="41"/>
      <c r="U603" s="41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41"/>
      <c r="O604" s="41"/>
      <c r="P604" s="41"/>
      <c r="Q604" s="41"/>
      <c r="R604" s="41"/>
      <c r="S604" s="41"/>
      <c r="T604" s="41"/>
      <c r="U604" s="41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41"/>
      <c r="O605" s="41"/>
      <c r="P605" s="41"/>
      <c r="Q605" s="41"/>
      <c r="R605" s="41"/>
      <c r="S605" s="41"/>
      <c r="T605" s="41"/>
      <c r="U605" s="41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41"/>
      <c r="O606" s="41"/>
      <c r="P606" s="41"/>
      <c r="Q606" s="41"/>
      <c r="R606" s="41"/>
      <c r="S606" s="41"/>
      <c r="T606" s="41"/>
      <c r="U606" s="41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41"/>
      <c r="O607" s="41"/>
      <c r="P607" s="41"/>
      <c r="Q607" s="41"/>
      <c r="R607" s="41"/>
      <c r="S607" s="41"/>
      <c r="T607" s="41"/>
      <c r="U607" s="41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41"/>
      <c r="O608" s="41"/>
      <c r="P608" s="41"/>
      <c r="Q608" s="41"/>
      <c r="R608" s="41"/>
      <c r="S608" s="41"/>
      <c r="T608" s="41"/>
      <c r="U608" s="41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41"/>
      <c r="O609" s="41"/>
      <c r="P609" s="41"/>
      <c r="Q609" s="41"/>
      <c r="R609" s="41"/>
      <c r="S609" s="41"/>
      <c r="T609" s="41"/>
      <c r="U609" s="41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41"/>
      <c r="O610" s="41"/>
      <c r="P610" s="41"/>
      <c r="Q610" s="41"/>
      <c r="R610" s="41"/>
      <c r="S610" s="41"/>
      <c r="T610" s="41"/>
      <c r="U610" s="41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41"/>
      <c r="O611" s="41"/>
      <c r="P611" s="41"/>
      <c r="Q611" s="41"/>
      <c r="R611" s="41"/>
      <c r="S611" s="41"/>
      <c r="T611" s="41"/>
      <c r="U611" s="41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41"/>
      <c r="O612" s="41"/>
      <c r="P612" s="41"/>
      <c r="Q612" s="41"/>
      <c r="R612" s="41"/>
      <c r="S612" s="41"/>
      <c r="T612" s="41"/>
      <c r="U612" s="41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41"/>
      <c r="O613" s="41"/>
      <c r="P613" s="41"/>
      <c r="Q613" s="41"/>
      <c r="R613" s="41"/>
      <c r="S613" s="41"/>
      <c r="T613" s="41"/>
      <c r="U613" s="41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41"/>
      <c r="O614" s="41"/>
      <c r="P614" s="41"/>
      <c r="Q614" s="41"/>
      <c r="R614" s="41"/>
      <c r="S614" s="41"/>
      <c r="T614" s="41"/>
      <c r="U614" s="41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41"/>
      <c r="O615" s="41"/>
      <c r="P615" s="41"/>
      <c r="Q615" s="41"/>
      <c r="R615" s="41"/>
      <c r="S615" s="41"/>
      <c r="T615" s="41"/>
      <c r="U615" s="41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41"/>
      <c r="O616" s="41"/>
      <c r="P616" s="41"/>
      <c r="Q616" s="41"/>
      <c r="R616" s="41"/>
      <c r="S616" s="41"/>
      <c r="T616" s="41"/>
      <c r="U616" s="41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41"/>
      <c r="O617" s="41"/>
      <c r="P617" s="41"/>
      <c r="Q617" s="41"/>
      <c r="R617" s="41"/>
      <c r="S617" s="41"/>
      <c r="T617" s="41"/>
      <c r="U617" s="41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41"/>
      <c r="O618" s="41"/>
      <c r="P618" s="41"/>
      <c r="Q618" s="41"/>
      <c r="R618" s="41"/>
      <c r="S618" s="41"/>
      <c r="T618" s="41"/>
      <c r="U618" s="41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41"/>
      <c r="O619" s="41"/>
      <c r="P619" s="41"/>
      <c r="Q619" s="41"/>
      <c r="R619" s="41"/>
      <c r="S619" s="41"/>
      <c r="T619" s="41"/>
      <c r="U619" s="41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41"/>
      <c r="O620" s="41"/>
      <c r="P620" s="41"/>
      <c r="Q620" s="41"/>
      <c r="R620" s="41"/>
      <c r="S620" s="41"/>
      <c r="T620" s="41"/>
      <c r="U620" s="41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41"/>
      <c r="O621" s="41"/>
      <c r="P621" s="41"/>
      <c r="Q621" s="41"/>
      <c r="R621" s="41"/>
      <c r="S621" s="41"/>
      <c r="T621" s="41"/>
      <c r="U621" s="41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41"/>
      <c r="O622" s="41"/>
      <c r="P622" s="41"/>
      <c r="Q622" s="41"/>
      <c r="R622" s="41"/>
      <c r="S622" s="41"/>
      <c r="T622" s="41"/>
      <c r="U622" s="41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41"/>
      <c r="O623" s="41"/>
      <c r="P623" s="41"/>
      <c r="Q623" s="41"/>
      <c r="R623" s="41"/>
      <c r="S623" s="41"/>
      <c r="T623" s="41"/>
      <c r="U623" s="41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41"/>
      <c r="O624" s="41"/>
      <c r="P624" s="41"/>
      <c r="Q624" s="41"/>
      <c r="R624" s="41"/>
      <c r="S624" s="41"/>
      <c r="T624" s="41"/>
      <c r="U624" s="41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41"/>
      <c r="O625" s="41"/>
      <c r="P625" s="41"/>
      <c r="Q625" s="41"/>
      <c r="R625" s="41"/>
      <c r="S625" s="41"/>
      <c r="T625" s="41"/>
      <c r="U625" s="41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41"/>
      <c r="O626" s="41"/>
      <c r="P626" s="41"/>
      <c r="Q626" s="41"/>
      <c r="R626" s="41"/>
      <c r="S626" s="41"/>
      <c r="T626" s="41"/>
      <c r="U626" s="41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41"/>
      <c r="O627" s="41"/>
      <c r="P627" s="41"/>
      <c r="Q627" s="41"/>
      <c r="R627" s="41"/>
      <c r="S627" s="41"/>
      <c r="T627" s="41"/>
      <c r="U627" s="41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41"/>
      <c r="O628" s="41"/>
      <c r="P628" s="41"/>
      <c r="Q628" s="41"/>
      <c r="R628" s="41"/>
      <c r="S628" s="41"/>
      <c r="T628" s="41"/>
      <c r="U628" s="41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41"/>
      <c r="O629" s="41"/>
      <c r="P629" s="41"/>
      <c r="Q629" s="41"/>
      <c r="R629" s="41"/>
      <c r="S629" s="41"/>
      <c r="T629" s="41"/>
      <c r="U629" s="41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41"/>
      <c r="O630" s="41"/>
      <c r="P630" s="41"/>
      <c r="Q630" s="41"/>
      <c r="R630" s="41"/>
      <c r="S630" s="41"/>
      <c r="T630" s="41"/>
      <c r="U630" s="41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41"/>
      <c r="O631" s="41"/>
      <c r="P631" s="41"/>
      <c r="Q631" s="41"/>
      <c r="R631" s="41"/>
      <c r="S631" s="41"/>
      <c r="T631" s="41"/>
      <c r="U631" s="41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41"/>
      <c r="O632" s="41"/>
      <c r="P632" s="41"/>
      <c r="Q632" s="41"/>
      <c r="R632" s="41"/>
      <c r="S632" s="41"/>
      <c r="T632" s="41"/>
      <c r="U632" s="41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41"/>
      <c r="O633" s="41"/>
      <c r="P633" s="41"/>
      <c r="Q633" s="41"/>
      <c r="R633" s="41"/>
      <c r="S633" s="41"/>
      <c r="T633" s="41"/>
      <c r="U633" s="41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41"/>
      <c r="O634" s="41"/>
      <c r="P634" s="41"/>
      <c r="Q634" s="41"/>
      <c r="R634" s="41"/>
      <c r="S634" s="41"/>
      <c r="T634" s="41"/>
      <c r="U634" s="41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41"/>
      <c r="O635" s="41"/>
      <c r="P635" s="41"/>
      <c r="Q635" s="41"/>
      <c r="R635" s="41"/>
      <c r="S635" s="41"/>
      <c r="T635" s="41"/>
      <c r="U635" s="41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41"/>
      <c r="O636" s="41"/>
      <c r="P636" s="41"/>
      <c r="Q636" s="41"/>
      <c r="R636" s="41"/>
      <c r="S636" s="41"/>
      <c r="T636" s="41"/>
      <c r="U636" s="41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41"/>
      <c r="O637" s="41"/>
      <c r="P637" s="41"/>
      <c r="Q637" s="41"/>
      <c r="R637" s="41"/>
      <c r="S637" s="41"/>
      <c r="T637" s="41"/>
      <c r="U637" s="41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41"/>
      <c r="O638" s="41"/>
      <c r="P638" s="41"/>
      <c r="Q638" s="41"/>
      <c r="R638" s="41"/>
      <c r="S638" s="41"/>
      <c r="T638" s="41"/>
      <c r="U638" s="41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41"/>
      <c r="O639" s="41"/>
      <c r="P639" s="41"/>
      <c r="Q639" s="41"/>
      <c r="R639" s="41"/>
      <c r="S639" s="41"/>
      <c r="T639" s="41"/>
      <c r="U639" s="41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41"/>
      <c r="O640" s="41"/>
      <c r="P640" s="41"/>
      <c r="Q640" s="41"/>
      <c r="R640" s="41"/>
      <c r="S640" s="41"/>
      <c r="T640" s="41"/>
      <c r="U640" s="41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41"/>
      <c r="O641" s="41"/>
      <c r="P641" s="41"/>
      <c r="Q641" s="41"/>
      <c r="R641" s="41"/>
      <c r="S641" s="41"/>
      <c r="T641" s="41"/>
      <c r="U641" s="41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41"/>
      <c r="O642" s="41"/>
      <c r="P642" s="41"/>
      <c r="Q642" s="41"/>
      <c r="R642" s="41"/>
      <c r="S642" s="41"/>
      <c r="T642" s="41"/>
      <c r="U642" s="41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41"/>
      <c r="O643" s="41"/>
      <c r="P643" s="41"/>
      <c r="Q643" s="41"/>
      <c r="R643" s="41"/>
      <c r="S643" s="41"/>
      <c r="T643" s="41"/>
      <c r="U643" s="41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41"/>
      <c r="O644" s="41"/>
      <c r="P644" s="41"/>
      <c r="Q644" s="41"/>
      <c r="R644" s="41"/>
      <c r="S644" s="41"/>
      <c r="T644" s="41"/>
      <c r="U644" s="41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41"/>
      <c r="O645" s="41"/>
      <c r="P645" s="41"/>
      <c r="Q645" s="41"/>
      <c r="R645" s="41"/>
      <c r="S645" s="41"/>
      <c r="T645" s="41"/>
      <c r="U645" s="41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41"/>
      <c r="O646" s="41"/>
      <c r="P646" s="41"/>
      <c r="Q646" s="41"/>
      <c r="R646" s="41"/>
      <c r="S646" s="41"/>
      <c r="T646" s="41"/>
      <c r="U646" s="41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41"/>
      <c r="O647" s="41"/>
      <c r="P647" s="41"/>
      <c r="Q647" s="41"/>
      <c r="R647" s="41"/>
      <c r="S647" s="41"/>
      <c r="T647" s="41"/>
      <c r="U647" s="41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41"/>
      <c r="O648" s="41"/>
      <c r="P648" s="41"/>
      <c r="Q648" s="41"/>
      <c r="R648" s="41"/>
      <c r="S648" s="41"/>
      <c r="T648" s="41"/>
      <c r="U648" s="41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41"/>
      <c r="O649" s="41"/>
      <c r="P649" s="41"/>
      <c r="Q649" s="41"/>
      <c r="R649" s="41"/>
      <c r="S649" s="41"/>
      <c r="T649" s="41"/>
      <c r="U649" s="41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41"/>
      <c r="O650" s="41"/>
      <c r="P650" s="41"/>
      <c r="Q650" s="41"/>
      <c r="R650" s="41"/>
      <c r="S650" s="41"/>
      <c r="T650" s="41"/>
      <c r="U650" s="41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41"/>
      <c r="O651" s="41"/>
      <c r="P651" s="41"/>
      <c r="Q651" s="41"/>
      <c r="R651" s="41"/>
      <c r="S651" s="41"/>
      <c r="T651" s="41"/>
      <c r="U651" s="41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41"/>
      <c r="O652" s="41"/>
      <c r="P652" s="41"/>
      <c r="Q652" s="41"/>
      <c r="R652" s="41"/>
      <c r="S652" s="41"/>
      <c r="T652" s="41"/>
      <c r="U652" s="41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41"/>
      <c r="O653" s="41"/>
      <c r="P653" s="41"/>
      <c r="Q653" s="41"/>
      <c r="R653" s="41"/>
      <c r="S653" s="41"/>
      <c r="T653" s="41"/>
      <c r="U653" s="41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41"/>
      <c r="O654" s="41"/>
      <c r="P654" s="41"/>
      <c r="Q654" s="41"/>
      <c r="R654" s="41"/>
      <c r="S654" s="41"/>
      <c r="T654" s="41"/>
      <c r="U654" s="41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41"/>
      <c r="O655" s="41"/>
      <c r="P655" s="41"/>
      <c r="Q655" s="41"/>
      <c r="R655" s="41"/>
      <c r="S655" s="41"/>
      <c r="T655" s="41"/>
      <c r="U655" s="41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41"/>
      <c r="O656" s="41"/>
      <c r="P656" s="41"/>
      <c r="Q656" s="41"/>
      <c r="R656" s="41"/>
      <c r="S656" s="41"/>
      <c r="T656" s="41"/>
      <c r="U656" s="41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41"/>
      <c r="O657" s="41"/>
      <c r="P657" s="41"/>
      <c r="Q657" s="41"/>
      <c r="R657" s="41"/>
      <c r="S657" s="41"/>
      <c r="T657" s="41"/>
      <c r="U657" s="41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41"/>
      <c r="O658" s="41"/>
      <c r="P658" s="41"/>
      <c r="Q658" s="41"/>
      <c r="R658" s="41"/>
      <c r="S658" s="41"/>
      <c r="T658" s="41"/>
      <c r="U658" s="41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41"/>
      <c r="O659" s="41"/>
      <c r="P659" s="41"/>
      <c r="Q659" s="41"/>
      <c r="R659" s="41"/>
      <c r="S659" s="41"/>
      <c r="T659" s="41"/>
      <c r="U659" s="41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41"/>
      <c r="O660" s="41"/>
      <c r="P660" s="41"/>
      <c r="Q660" s="41"/>
      <c r="R660" s="41"/>
      <c r="S660" s="41"/>
      <c r="T660" s="41"/>
      <c r="U660" s="41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41"/>
      <c r="O661" s="41"/>
      <c r="P661" s="41"/>
      <c r="Q661" s="41"/>
      <c r="R661" s="41"/>
      <c r="S661" s="41"/>
      <c r="T661" s="41"/>
      <c r="U661" s="41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41"/>
      <c r="O662" s="41"/>
      <c r="P662" s="41"/>
      <c r="Q662" s="41"/>
      <c r="R662" s="41"/>
      <c r="S662" s="41"/>
      <c r="T662" s="41"/>
      <c r="U662" s="41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41"/>
      <c r="O663" s="41"/>
      <c r="P663" s="41"/>
      <c r="Q663" s="41"/>
      <c r="R663" s="41"/>
      <c r="S663" s="41"/>
      <c r="T663" s="41"/>
      <c r="U663" s="41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41"/>
      <c r="O664" s="41"/>
      <c r="P664" s="41"/>
      <c r="Q664" s="41"/>
      <c r="R664" s="41"/>
      <c r="S664" s="41"/>
      <c r="T664" s="41"/>
      <c r="U664" s="41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41"/>
      <c r="O665" s="41"/>
      <c r="P665" s="41"/>
      <c r="Q665" s="41"/>
      <c r="R665" s="41"/>
      <c r="S665" s="41"/>
      <c r="T665" s="41"/>
      <c r="U665" s="41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41"/>
      <c r="O666" s="41"/>
      <c r="P666" s="41"/>
      <c r="Q666" s="41"/>
      <c r="R666" s="41"/>
      <c r="S666" s="41"/>
      <c r="T666" s="41"/>
      <c r="U666" s="41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41"/>
      <c r="O667" s="41"/>
      <c r="P667" s="41"/>
      <c r="Q667" s="41"/>
      <c r="R667" s="41"/>
      <c r="S667" s="41"/>
      <c r="T667" s="41"/>
      <c r="U667" s="41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41"/>
      <c r="O668" s="41"/>
      <c r="P668" s="41"/>
      <c r="Q668" s="41"/>
      <c r="R668" s="41"/>
      <c r="S668" s="41"/>
      <c r="T668" s="41"/>
      <c r="U668" s="41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41"/>
      <c r="O669" s="41"/>
      <c r="P669" s="41"/>
      <c r="Q669" s="41"/>
      <c r="R669" s="41"/>
      <c r="S669" s="41"/>
      <c r="T669" s="41"/>
      <c r="U669" s="41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41"/>
      <c r="O670" s="41"/>
      <c r="P670" s="41"/>
      <c r="Q670" s="41"/>
      <c r="R670" s="41"/>
      <c r="S670" s="41"/>
      <c r="T670" s="41"/>
      <c r="U670" s="41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41"/>
      <c r="O671" s="41"/>
      <c r="P671" s="41"/>
      <c r="Q671" s="41"/>
      <c r="R671" s="41"/>
      <c r="S671" s="41"/>
      <c r="T671" s="41"/>
      <c r="U671" s="41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41"/>
      <c r="O672" s="41"/>
      <c r="P672" s="41"/>
      <c r="Q672" s="41"/>
      <c r="R672" s="41"/>
      <c r="S672" s="41"/>
      <c r="T672" s="41"/>
      <c r="U672" s="41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41"/>
      <c r="O673" s="41"/>
      <c r="P673" s="41"/>
      <c r="Q673" s="41"/>
      <c r="R673" s="41"/>
      <c r="S673" s="41"/>
      <c r="T673" s="41"/>
      <c r="U673" s="41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41"/>
      <c r="O674" s="41"/>
      <c r="P674" s="41"/>
      <c r="Q674" s="41"/>
      <c r="R674" s="41"/>
      <c r="S674" s="41"/>
      <c r="T674" s="41"/>
      <c r="U674" s="41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41"/>
      <c r="O675" s="41"/>
      <c r="P675" s="41"/>
      <c r="Q675" s="41"/>
      <c r="R675" s="41"/>
      <c r="S675" s="41"/>
      <c r="T675" s="41"/>
      <c r="U675" s="41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41"/>
      <c r="O676" s="41"/>
      <c r="P676" s="41"/>
      <c r="Q676" s="41"/>
      <c r="R676" s="41"/>
      <c r="S676" s="41"/>
      <c r="T676" s="41"/>
      <c r="U676" s="41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41"/>
      <c r="O677" s="41"/>
      <c r="P677" s="41"/>
      <c r="Q677" s="41"/>
      <c r="R677" s="41"/>
      <c r="S677" s="41"/>
      <c r="T677" s="41"/>
      <c r="U677" s="41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41"/>
      <c r="O678" s="41"/>
      <c r="P678" s="41"/>
      <c r="Q678" s="41"/>
      <c r="R678" s="41"/>
      <c r="S678" s="41"/>
      <c r="T678" s="41"/>
      <c r="U678" s="41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41"/>
      <c r="O679" s="41"/>
      <c r="P679" s="41"/>
      <c r="Q679" s="41"/>
      <c r="R679" s="41"/>
      <c r="S679" s="41"/>
      <c r="T679" s="41"/>
      <c r="U679" s="41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41"/>
      <c r="O680" s="41"/>
      <c r="P680" s="41"/>
      <c r="Q680" s="41"/>
      <c r="R680" s="41"/>
      <c r="S680" s="41"/>
      <c r="T680" s="41"/>
      <c r="U680" s="41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41"/>
      <c r="O681" s="41"/>
      <c r="P681" s="41"/>
      <c r="Q681" s="41"/>
      <c r="R681" s="41"/>
      <c r="S681" s="41"/>
      <c r="T681" s="41"/>
      <c r="U681" s="41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41"/>
      <c r="O682" s="41"/>
      <c r="P682" s="41"/>
      <c r="Q682" s="41"/>
      <c r="R682" s="41"/>
      <c r="S682" s="41"/>
      <c r="T682" s="41"/>
      <c r="U682" s="41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41"/>
      <c r="O683" s="41"/>
      <c r="P683" s="41"/>
      <c r="Q683" s="41"/>
      <c r="R683" s="41"/>
      <c r="S683" s="41"/>
      <c r="T683" s="41"/>
      <c r="U683" s="41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41"/>
      <c r="O684" s="41"/>
      <c r="P684" s="41"/>
      <c r="Q684" s="41"/>
      <c r="R684" s="41"/>
      <c r="S684" s="41"/>
      <c r="T684" s="41"/>
      <c r="U684" s="41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41"/>
      <c r="O685" s="41"/>
      <c r="P685" s="41"/>
      <c r="Q685" s="41"/>
      <c r="R685" s="41"/>
      <c r="S685" s="41"/>
      <c r="T685" s="41"/>
      <c r="U685" s="41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41"/>
      <c r="O686" s="41"/>
      <c r="P686" s="41"/>
      <c r="Q686" s="41"/>
      <c r="R686" s="41"/>
      <c r="S686" s="41"/>
      <c r="T686" s="41"/>
      <c r="U686" s="41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41"/>
      <c r="O687" s="41"/>
      <c r="P687" s="41"/>
      <c r="Q687" s="41"/>
      <c r="R687" s="41"/>
      <c r="S687" s="41"/>
      <c r="T687" s="41"/>
      <c r="U687" s="41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41"/>
      <c r="O688" s="41"/>
      <c r="P688" s="41"/>
      <c r="Q688" s="41"/>
      <c r="R688" s="41"/>
      <c r="S688" s="41"/>
      <c r="T688" s="41"/>
      <c r="U688" s="41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41"/>
      <c r="O689" s="41"/>
      <c r="P689" s="41"/>
      <c r="Q689" s="41"/>
      <c r="R689" s="41"/>
      <c r="S689" s="41"/>
      <c r="T689" s="41"/>
      <c r="U689" s="41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41"/>
      <c r="O690" s="41"/>
      <c r="P690" s="41"/>
      <c r="Q690" s="41"/>
      <c r="R690" s="41"/>
      <c r="S690" s="41"/>
      <c r="T690" s="41"/>
      <c r="U690" s="41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41"/>
      <c r="O691" s="41"/>
      <c r="P691" s="41"/>
      <c r="Q691" s="41"/>
      <c r="R691" s="41"/>
      <c r="S691" s="41"/>
      <c r="T691" s="41"/>
      <c r="U691" s="41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41"/>
      <c r="O692" s="41"/>
      <c r="P692" s="41"/>
      <c r="Q692" s="41"/>
      <c r="R692" s="41"/>
      <c r="S692" s="41"/>
      <c r="T692" s="41"/>
      <c r="U692" s="41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41"/>
      <c r="O693" s="41"/>
      <c r="P693" s="41"/>
      <c r="Q693" s="41"/>
      <c r="R693" s="41"/>
      <c r="S693" s="41"/>
      <c r="T693" s="41"/>
      <c r="U693" s="41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41"/>
      <c r="O694" s="41"/>
      <c r="P694" s="41"/>
      <c r="Q694" s="41"/>
      <c r="R694" s="41"/>
      <c r="S694" s="41"/>
      <c r="T694" s="41"/>
      <c r="U694" s="41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41"/>
      <c r="O695" s="41"/>
      <c r="P695" s="41"/>
      <c r="Q695" s="41"/>
      <c r="R695" s="41"/>
      <c r="S695" s="41"/>
      <c r="T695" s="41"/>
      <c r="U695" s="41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41"/>
      <c r="O696" s="41"/>
      <c r="P696" s="41"/>
      <c r="Q696" s="41"/>
      <c r="R696" s="41"/>
      <c r="S696" s="41"/>
      <c r="T696" s="41"/>
      <c r="U696" s="41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41"/>
      <c r="O697" s="41"/>
      <c r="P697" s="41"/>
      <c r="Q697" s="41"/>
      <c r="R697" s="41"/>
      <c r="S697" s="41"/>
      <c r="T697" s="41"/>
      <c r="U697" s="41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41"/>
      <c r="O698" s="41"/>
      <c r="P698" s="41"/>
      <c r="Q698" s="41"/>
      <c r="R698" s="41"/>
      <c r="S698" s="41"/>
      <c r="T698" s="41"/>
      <c r="U698" s="41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41"/>
      <c r="O699" s="41"/>
      <c r="P699" s="41"/>
      <c r="Q699" s="41"/>
      <c r="R699" s="41"/>
      <c r="S699" s="41"/>
      <c r="T699" s="41"/>
      <c r="U699" s="41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41"/>
      <c r="O700" s="41"/>
      <c r="P700" s="41"/>
      <c r="Q700" s="41"/>
      <c r="R700" s="41"/>
      <c r="S700" s="41"/>
      <c r="T700" s="41"/>
      <c r="U700" s="41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41"/>
      <c r="O701" s="41"/>
      <c r="P701" s="41"/>
      <c r="Q701" s="41"/>
      <c r="R701" s="41"/>
      <c r="S701" s="41"/>
      <c r="T701" s="41"/>
      <c r="U701" s="41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41"/>
      <c r="O702" s="41"/>
      <c r="P702" s="41"/>
      <c r="Q702" s="41"/>
      <c r="R702" s="41"/>
      <c r="S702" s="41"/>
      <c r="T702" s="41"/>
      <c r="U702" s="41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41"/>
      <c r="O703" s="41"/>
      <c r="P703" s="41"/>
      <c r="Q703" s="41"/>
      <c r="R703" s="41"/>
      <c r="S703" s="41"/>
      <c r="T703" s="41"/>
      <c r="U703" s="41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41"/>
      <c r="O704" s="41"/>
      <c r="P704" s="41"/>
      <c r="Q704" s="41"/>
      <c r="R704" s="41"/>
      <c r="S704" s="41"/>
      <c r="T704" s="41"/>
      <c r="U704" s="41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41"/>
      <c r="O705" s="41"/>
      <c r="P705" s="41"/>
      <c r="Q705" s="41"/>
      <c r="R705" s="41"/>
      <c r="S705" s="41"/>
      <c r="T705" s="41"/>
      <c r="U705" s="41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41"/>
      <c r="O706" s="41"/>
      <c r="P706" s="41"/>
      <c r="Q706" s="41"/>
      <c r="R706" s="41"/>
      <c r="S706" s="41"/>
      <c r="T706" s="41"/>
      <c r="U706" s="41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41"/>
      <c r="O707" s="41"/>
      <c r="P707" s="41"/>
      <c r="Q707" s="41"/>
      <c r="R707" s="41"/>
      <c r="S707" s="41"/>
      <c r="T707" s="41"/>
      <c r="U707" s="41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41"/>
      <c r="O708" s="41"/>
      <c r="P708" s="41"/>
      <c r="Q708" s="41"/>
      <c r="R708" s="41"/>
      <c r="S708" s="41"/>
      <c r="T708" s="41"/>
      <c r="U708" s="41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41"/>
      <c r="O709" s="41"/>
      <c r="P709" s="41"/>
      <c r="Q709" s="41"/>
      <c r="R709" s="41"/>
      <c r="S709" s="41"/>
      <c r="T709" s="41"/>
      <c r="U709" s="41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41"/>
      <c r="O710" s="41"/>
      <c r="P710" s="41"/>
      <c r="Q710" s="41"/>
      <c r="R710" s="41"/>
      <c r="S710" s="41"/>
      <c r="T710" s="41"/>
      <c r="U710" s="41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41"/>
      <c r="O711" s="41"/>
      <c r="P711" s="41"/>
      <c r="Q711" s="41"/>
      <c r="R711" s="41"/>
      <c r="S711" s="41"/>
      <c r="T711" s="41"/>
      <c r="U711" s="41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41"/>
      <c r="O712" s="41"/>
      <c r="P712" s="41"/>
      <c r="Q712" s="41"/>
      <c r="R712" s="41"/>
      <c r="S712" s="41"/>
      <c r="T712" s="41"/>
      <c r="U712" s="41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41"/>
      <c r="O713" s="41"/>
      <c r="P713" s="41"/>
      <c r="Q713" s="41"/>
      <c r="R713" s="41"/>
      <c r="S713" s="41"/>
      <c r="T713" s="41"/>
      <c r="U713" s="41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41"/>
      <c r="O714" s="41"/>
      <c r="P714" s="41"/>
      <c r="Q714" s="41"/>
      <c r="R714" s="41"/>
      <c r="S714" s="41"/>
      <c r="T714" s="41"/>
      <c r="U714" s="41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41"/>
      <c r="O715" s="41"/>
      <c r="P715" s="41"/>
      <c r="Q715" s="41"/>
      <c r="R715" s="41"/>
      <c r="S715" s="41"/>
      <c r="T715" s="41"/>
      <c r="U715" s="41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41"/>
      <c r="O716" s="41"/>
      <c r="P716" s="41"/>
      <c r="Q716" s="41"/>
      <c r="R716" s="41"/>
      <c r="S716" s="41"/>
      <c r="T716" s="41"/>
      <c r="U716" s="41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41"/>
      <c r="O717" s="41"/>
      <c r="P717" s="41"/>
      <c r="Q717" s="41"/>
      <c r="R717" s="41"/>
      <c r="S717" s="41"/>
      <c r="T717" s="41"/>
      <c r="U717" s="41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41"/>
      <c r="O718" s="41"/>
      <c r="P718" s="41"/>
      <c r="Q718" s="41"/>
      <c r="R718" s="41"/>
      <c r="S718" s="41"/>
      <c r="T718" s="41"/>
      <c r="U718" s="41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41"/>
      <c r="O719" s="41"/>
      <c r="P719" s="41"/>
      <c r="Q719" s="41"/>
      <c r="R719" s="41"/>
      <c r="S719" s="41"/>
      <c r="T719" s="41"/>
      <c r="U719" s="41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41"/>
      <c r="O720" s="41"/>
      <c r="P720" s="41"/>
      <c r="Q720" s="41"/>
      <c r="R720" s="41"/>
      <c r="S720" s="41"/>
      <c r="T720" s="41"/>
      <c r="U720" s="41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41"/>
      <c r="O721" s="41"/>
      <c r="P721" s="41"/>
      <c r="Q721" s="41"/>
      <c r="R721" s="41"/>
      <c r="S721" s="41"/>
      <c r="T721" s="41"/>
      <c r="U721" s="41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41"/>
      <c r="O722" s="41"/>
      <c r="P722" s="41"/>
      <c r="Q722" s="41"/>
      <c r="R722" s="41"/>
      <c r="S722" s="41"/>
      <c r="T722" s="41"/>
      <c r="U722" s="41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41"/>
      <c r="O723" s="41"/>
      <c r="P723" s="41"/>
      <c r="Q723" s="41"/>
      <c r="R723" s="41"/>
      <c r="S723" s="41"/>
      <c r="T723" s="41"/>
      <c r="U723" s="41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41"/>
      <c r="O724" s="41"/>
      <c r="P724" s="41"/>
      <c r="Q724" s="41"/>
      <c r="R724" s="41"/>
      <c r="S724" s="41"/>
      <c r="T724" s="41"/>
      <c r="U724" s="41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41"/>
      <c r="O725" s="41"/>
      <c r="P725" s="41"/>
      <c r="Q725" s="41"/>
      <c r="R725" s="41"/>
      <c r="S725" s="41"/>
      <c r="T725" s="41"/>
      <c r="U725" s="41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41"/>
      <c r="O726" s="41"/>
      <c r="P726" s="41"/>
      <c r="Q726" s="41"/>
      <c r="R726" s="41"/>
      <c r="S726" s="41"/>
      <c r="T726" s="41"/>
      <c r="U726" s="41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41"/>
      <c r="O727" s="41"/>
      <c r="P727" s="41"/>
      <c r="Q727" s="41"/>
      <c r="R727" s="41"/>
      <c r="S727" s="41"/>
      <c r="T727" s="41"/>
      <c r="U727" s="41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41"/>
      <c r="O728" s="41"/>
      <c r="P728" s="41"/>
      <c r="Q728" s="41"/>
      <c r="R728" s="41"/>
      <c r="S728" s="41"/>
      <c r="T728" s="41"/>
      <c r="U728" s="41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41"/>
      <c r="O729" s="41"/>
      <c r="P729" s="41"/>
      <c r="Q729" s="41"/>
      <c r="R729" s="41"/>
      <c r="S729" s="41"/>
      <c r="T729" s="41"/>
      <c r="U729" s="41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41"/>
      <c r="O730" s="41"/>
      <c r="P730" s="41"/>
      <c r="Q730" s="41"/>
      <c r="R730" s="41"/>
      <c r="S730" s="41"/>
      <c r="T730" s="41"/>
      <c r="U730" s="41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41"/>
      <c r="O731" s="41"/>
      <c r="P731" s="41"/>
      <c r="Q731" s="41"/>
      <c r="R731" s="41"/>
      <c r="S731" s="41"/>
      <c r="T731" s="41"/>
      <c r="U731" s="41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41"/>
      <c r="O732" s="41"/>
      <c r="P732" s="41"/>
      <c r="Q732" s="41"/>
      <c r="R732" s="41"/>
      <c r="S732" s="41"/>
      <c r="T732" s="41"/>
      <c r="U732" s="41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41"/>
      <c r="O733" s="41"/>
      <c r="P733" s="41"/>
      <c r="Q733" s="41"/>
      <c r="R733" s="41"/>
      <c r="S733" s="41"/>
      <c r="T733" s="41"/>
      <c r="U733" s="41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41"/>
      <c r="O734" s="41"/>
      <c r="P734" s="41"/>
      <c r="Q734" s="41"/>
      <c r="R734" s="41"/>
      <c r="S734" s="41"/>
      <c r="T734" s="41"/>
      <c r="U734" s="41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41"/>
      <c r="O735" s="41"/>
      <c r="P735" s="41"/>
      <c r="Q735" s="41"/>
      <c r="R735" s="41"/>
      <c r="S735" s="41"/>
      <c r="T735" s="41"/>
      <c r="U735" s="41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41"/>
      <c r="O736" s="41"/>
      <c r="P736" s="41"/>
      <c r="Q736" s="41"/>
      <c r="R736" s="41"/>
      <c r="S736" s="41"/>
      <c r="T736" s="41"/>
      <c r="U736" s="41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41"/>
      <c r="O737" s="41"/>
      <c r="P737" s="41"/>
      <c r="Q737" s="41"/>
      <c r="R737" s="41"/>
      <c r="S737" s="41"/>
      <c r="T737" s="41"/>
      <c r="U737" s="41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41"/>
      <c r="O738" s="41"/>
      <c r="P738" s="41"/>
      <c r="Q738" s="41"/>
      <c r="R738" s="41"/>
      <c r="S738" s="41"/>
      <c r="T738" s="41"/>
      <c r="U738" s="41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41"/>
      <c r="O739" s="41"/>
      <c r="P739" s="41"/>
      <c r="Q739" s="41"/>
      <c r="R739" s="41"/>
      <c r="S739" s="41"/>
      <c r="T739" s="41"/>
      <c r="U739" s="41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41"/>
      <c r="O740" s="41"/>
      <c r="P740" s="41"/>
      <c r="Q740" s="41"/>
      <c r="R740" s="41"/>
      <c r="S740" s="41"/>
      <c r="T740" s="41"/>
      <c r="U740" s="41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41"/>
      <c r="O741" s="41"/>
      <c r="P741" s="41"/>
      <c r="Q741" s="41"/>
      <c r="R741" s="41"/>
      <c r="S741" s="41"/>
      <c r="T741" s="41"/>
      <c r="U741" s="41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41"/>
      <c r="O742" s="41"/>
      <c r="P742" s="41"/>
      <c r="Q742" s="41"/>
      <c r="R742" s="41"/>
      <c r="S742" s="41"/>
      <c r="T742" s="41"/>
      <c r="U742" s="41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41"/>
      <c r="O743" s="41"/>
      <c r="P743" s="41"/>
      <c r="Q743" s="41"/>
      <c r="R743" s="41"/>
      <c r="S743" s="41"/>
      <c r="T743" s="41"/>
      <c r="U743" s="41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41"/>
      <c r="O744" s="41"/>
      <c r="P744" s="41"/>
      <c r="Q744" s="41"/>
      <c r="R744" s="41"/>
      <c r="S744" s="41"/>
      <c r="T744" s="41"/>
      <c r="U744" s="41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41"/>
      <c r="O745" s="41"/>
      <c r="P745" s="41"/>
      <c r="Q745" s="41"/>
      <c r="R745" s="41"/>
      <c r="S745" s="41"/>
      <c r="T745" s="41"/>
      <c r="U745" s="41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41"/>
      <c r="O746" s="41"/>
      <c r="P746" s="41"/>
      <c r="Q746" s="41"/>
      <c r="R746" s="41"/>
      <c r="S746" s="41"/>
      <c r="T746" s="41"/>
      <c r="U746" s="41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41"/>
      <c r="O747" s="41"/>
      <c r="P747" s="41"/>
      <c r="Q747" s="41"/>
      <c r="R747" s="41"/>
      <c r="S747" s="41"/>
      <c r="T747" s="41"/>
      <c r="U747" s="41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41"/>
      <c r="O748" s="41"/>
      <c r="P748" s="41"/>
      <c r="Q748" s="41"/>
      <c r="R748" s="41"/>
      <c r="S748" s="41"/>
      <c r="T748" s="41"/>
      <c r="U748" s="41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41"/>
      <c r="O749" s="41"/>
      <c r="P749" s="41"/>
      <c r="Q749" s="41"/>
      <c r="R749" s="41"/>
      <c r="S749" s="41"/>
      <c r="T749" s="41"/>
      <c r="U749" s="41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41"/>
      <c r="O750" s="41"/>
      <c r="P750" s="41"/>
      <c r="Q750" s="41"/>
      <c r="R750" s="41"/>
      <c r="S750" s="41"/>
      <c r="T750" s="41"/>
      <c r="U750" s="41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41"/>
      <c r="O751" s="41"/>
      <c r="P751" s="41"/>
      <c r="Q751" s="41"/>
      <c r="R751" s="41"/>
      <c r="S751" s="41"/>
      <c r="T751" s="41"/>
      <c r="U751" s="41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41"/>
      <c r="O752" s="41"/>
      <c r="P752" s="41"/>
      <c r="Q752" s="41"/>
      <c r="R752" s="41"/>
      <c r="S752" s="41"/>
      <c r="T752" s="41"/>
      <c r="U752" s="41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41"/>
      <c r="O753" s="41"/>
      <c r="P753" s="41"/>
      <c r="Q753" s="41"/>
      <c r="R753" s="41"/>
      <c r="S753" s="41"/>
      <c r="T753" s="41"/>
      <c r="U753" s="41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41"/>
      <c r="O754" s="41"/>
      <c r="P754" s="41"/>
      <c r="Q754" s="41"/>
      <c r="R754" s="41"/>
      <c r="S754" s="41"/>
      <c r="T754" s="41"/>
      <c r="U754" s="41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41"/>
      <c r="O755" s="41"/>
      <c r="P755" s="41"/>
      <c r="Q755" s="41"/>
      <c r="R755" s="41"/>
      <c r="S755" s="41"/>
      <c r="T755" s="41"/>
      <c r="U755" s="41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41"/>
      <c r="O756" s="41"/>
      <c r="P756" s="41"/>
      <c r="Q756" s="41"/>
      <c r="R756" s="41"/>
      <c r="S756" s="41"/>
      <c r="T756" s="41"/>
      <c r="U756" s="41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41"/>
      <c r="O757" s="41"/>
      <c r="P757" s="41"/>
      <c r="Q757" s="41"/>
      <c r="R757" s="41"/>
      <c r="S757" s="41"/>
      <c r="T757" s="41"/>
      <c r="U757" s="41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41"/>
      <c r="O758" s="41"/>
      <c r="P758" s="41"/>
      <c r="Q758" s="41"/>
      <c r="R758" s="41"/>
      <c r="S758" s="41"/>
      <c r="T758" s="41"/>
      <c r="U758" s="41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41"/>
      <c r="O759" s="41"/>
      <c r="P759" s="41"/>
      <c r="Q759" s="41"/>
      <c r="R759" s="41"/>
      <c r="S759" s="41"/>
      <c r="T759" s="41"/>
      <c r="U759" s="41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41"/>
      <c r="O760" s="41"/>
      <c r="P760" s="41"/>
      <c r="Q760" s="41"/>
      <c r="R760" s="41"/>
      <c r="S760" s="41"/>
      <c r="T760" s="41"/>
      <c r="U760" s="41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41"/>
      <c r="O761" s="41"/>
      <c r="P761" s="41"/>
      <c r="Q761" s="41"/>
      <c r="R761" s="41"/>
      <c r="S761" s="41"/>
      <c r="T761" s="41"/>
      <c r="U761" s="41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41"/>
      <c r="O762" s="41"/>
      <c r="P762" s="41"/>
      <c r="Q762" s="41"/>
      <c r="R762" s="41"/>
      <c r="S762" s="41"/>
      <c r="T762" s="41"/>
      <c r="U762" s="41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41"/>
      <c r="O763" s="41"/>
      <c r="P763" s="41"/>
      <c r="Q763" s="41"/>
      <c r="R763" s="41"/>
      <c r="S763" s="41"/>
      <c r="T763" s="41"/>
      <c r="U763" s="41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41"/>
      <c r="O764" s="41"/>
      <c r="P764" s="41"/>
      <c r="Q764" s="41"/>
      <c r="R764" s="41"/>
      <c r="S764" s="41"/>
      <c r="T764" s="41"/>
      <c r="U764" s="41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41"/>
      <c r="O765" s="41"/>
      <c r="P765" s="41"/>
      <c r="Q765" s="41"/>
      <c r="R765" s="41"/>
      <c r="S765" s="41"/>
      <c r="T765" s="41"/>
      <c r="U765" s="41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41"/>
      <c r="O766" s="41"/>
      <c r="P766" s="41"/>
      <c r="Q766" s="41"/>
      <c r="R766" s="41"/>
      <c r="S766" s="41"/>
      <c r="T766" s="41"/>
      <c r="U766" s="41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41"/>
      <c r="O767" s="41"/>
      <c r="P767" s="41"/>
      <c r="Q767" s="41"/>
      <c r="R767" s="41"/>
      <c r="S767" s="41"/>
      <c r="T767" s="41"/>
      <c r="U767" s="41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41"/>
      <c r="O768" s="41"/>
      <c r="P768" s="41"/>
      <c r="Q768" s="41"/>
      <c r="R768" s="41"/>
      <c r="S768" s="41"/>
      <c r="T768" s="41"/>
      <c r="U768" s="41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41"/>
      <c r="O769" s="41"/>
      <c r="P769" s="41"/>
      <c r="Q769" s="41"/>
      <c r="R769" s="41"/>
      <c r="S769" s="41"/>
      <c r="T769" s="41"/>
      <c r="U769" s="41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41"/>
      <c r="O770" s="41"/>
      <c r="P770" s="41"/>
      <c r="Q770" s="41"/>
      <c r="R770" s="41"/>
      <c r="S770" s="41"/>
      <c r="T770" s="41"/>
      <c r="U770" s="41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41"/>
      <c r="O771" s="41"/>
      <c r="P771" s="41"/>
      <c r="Q771" s="41"/>
      <c r="R771" s="41"/>
      <c r="S771" s="41"/>
      <c r="T771" s="41"/>
      <c r="U771" s="41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41"/>
      <c r="O772" s="41"/>
      <c r="P772" s="41"/>
      <c r="Q772" s="41"/>
      <c r="R772" s="41"/>
      <c r="S772" s="41"/>
      <c r="T772" s="41"/>
      <c r="U772" s="41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41"/>
      <c r="O773" s="41"/>
      <c r="P773" s="41"/>
      <c r="Q773" s="41"/>
      <c r="R773" s="41"/>
      <c r="S773" s="41"/>
      <c r="T773" s="41"/>
      <c r="U773" s="41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41"/>
      <c r="O774" s="41"/>
      <c r="P774" s="41"/>
      <c r="Q774" s="41"/>
      <c r="R774" s="41"/>
      <c r="S774" s="41"/>
      <c r="T774" s="41"/>
      <c r="U774" s="41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41"/>
      <c r="O775" s="41"/>
      <c r="P775" s="41"/>
      <c r="Q775" s="41"/>
      <c r="R775" s="41"/>
      <c r="S775" s="41"/>
      <c r="T775" s="41"/>
      <c r="U775" s="41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41"/>
      <c r="O776" s="41"/>
      <c r="P776" s="41"/>
      <c r="Q776" s="41"/>
      <c r="R776" s="41"/>
      <c r="S776" s="41"/>
      <c r="T776" s="41"/>
      <c r="U776" s="41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41"/>
      <c r="O777" s="41"/>
      <c r="P777" s="41"/>
      <c r="Q777" s="41"/>
      <c r="R777" s="41"/>
      <c r="S777" s="41"/>
      <c r="T777" s="41"/>
      <c r="U777" s="41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41"/>
      <c r="O778" s="41"/>
      <c r="P778" s="41"/>
      <c r="Q778" s="41"/>
      <c r="R778" s="41"/>
      <c r="S778" s="41"/>
      <c r="T778" s="41"/>
      <c r="U778" s="41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41"/>
      <c r="O779" s="41"/>
      <c r="P779" s="41"/>
      <c r="Q779" s="41"/>
      <c r="R779" s="41"/>
      <c r="S779" s="41"/>
      <c r="T779" s="41"/>
      <c r="U779" s="41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41"/>
      <c r="O780" s="41"/>
      <c r="P780" s="41"/>
      <c r="Q780" s="41"/>
      <c r="R780" s="41"/>
      <c r="S780" s="41"/>
      <c r="T780" s="41"/>
      <c r="U780" s="41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41"/>
      <c r="O781" s="41"/>
      <c r="P781" s="41"/>
      <c r="Q781" s="41"/>
      <c r="R781" s="41"/>
      <c r="S781" s="41"/>
      <c r="T781" s="41"/>
      <c r="U781" s="41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41"/>
      <c r="O782" s="41"/>
      <c r="P782" s="41"/>
      <c r="Q782" s="41"/>
      <c r="R782" s="41"/>
      <c r="S782" s="41"/>
      <c r="T782" s="41"/>
      <c r="U782" s="41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41"/>
      <c r="O783" s="41"/>
      <c r="P783" s="41"/>
      <c r="Q783" s="41"/>
      <c r="R783" s="41"/>
      <c r="S783" s="41"/>
      <c r="T783" s="41"/>
      <c r="U783" s="41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41"/>
      <c r="O784" s="41"/>
      <c r="P784" s="41"/>
      <c r="Q784" s="41"/>
      <c r="R784" s="41"/>
      <c r="S784" s="41"/>
      <c r="T784" s="41"/>
      <c r="U784" s="41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41"/>
      <c r="O785" s="41"/>
      <c r="P785" s="41"/>
      <c r="Q785" s="41"/>
      <c r="R785" s="41"/>
      <c r="S785" s="41"/>
      <c r="T785" s="41"/>
      <c r="U785" s="41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41"/>
      <c r="O786" s="41"/>
      <c r="P786" s="41"/>
      <c r="Q786" s="41"/>
      <c r="R786" s="41"/>
      <c r="S786" s="41"/>
      <c r="T786" s="41"/>
      <c r="U786" s="41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41"/>
      <c r="O787" s="41"/>
      <c r="P787" s="41"/>
      <c r="Q787" s="41"/>
      <c r="R787" s="41"/>
      <c r="S787" s="41"/>
      <c r="T787" s="41"/>
      <c r="U787" s="41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41"/>
      <c r="O788" s="41"/>
      <c r="P788" s="41"/>
      <c r="Q788" s="41"/>
      <c r="R788" s="41"/>
      <c r="S788" s="41"/>
      <c r="T788" s="41"/>
      <c r="U788" s="41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41"/>
      <c r="O789" s="41"/>
      <c r="P789" s="41"/>
      <c r="Q789" s="41"/>
      <c r="R789" s="41"/>
      <c r="S789" s="41"/>
      <c r="T789" s="41"/>
      <c r="U789" s="41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41"/>
      <c r="O790" s="41"/>
      <c r="P790" s="41"/>
      <c r="Q790" s="41"/>
      <c r="R790" s="41"/>
      <c r="S790" s="41"/>
      <c r="T790" s="41"/>
      <c r="U790" s="41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41"/>
      <c r="O791" s="41"/>
      <c r="P791" s="41"/>
      <c r="Q791" s="41"/>
      <c r="R791" s="41"/>
      <c r="S791" s="41"/>
      <c r="T791" s="41"/>
      <c r="U791" s="41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41"/>
      <c r="O792" s="41"/>
      <c r="P792" s="41"/>
      <c r="Q792" s="41"/>
      <c r="R792" s="41"/>
      <c r="S792" s="41"/>
      <c r="T792" s="41"/>
      <c r="U792" s="41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41"/>
      <c r="O793" s="41"/>
      <c r="P793" s="41"/>
      <c r="Q793" s="41"/>
      <c r="R793" s="41"/>
      <c r="S793" s="41"/>
      <c r="T793" s="41"/>
      <c r="U793" s="41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41"/>
      <c r="O794" s="41"/>
      <c r="P794" s="41"/>
      <c r="Q794" s="41"/>
      <c r="R794" s="41"/>
      <c r="S794" s="41"/>
      <c r="T794" s="41"/>
      <c r="U794" s="41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41"/>
      <c r="O795" s="41"/>
      <c r="P795" s="41"/>
      <c r="Q795" s="41"/>
      <c r="R795" s="41"/>
      <c r="S795" s="41"/>
      <c r="T795" s="41"/>
      <c r="U795" s="41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41"/>
      <c r="O796" s="41"/>
      <c r="P796" s="41"/>
      <c r="Q796" s="41"/>
      <c r="R796" s="41"/>
      <c r="S796" s="41"/>
      <c r="T796" s="41"/>
      <c r="U796" s="41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41"/>
      <c r="O797" s="41"/>
      <c r="P797" s="41"/>
      <c r="Q797" s="41"/>
      <c r="R797" s="41"/>
      <c r="S797" s="41"/>
      <c r="T797" s="41"/>
      <c r="U797" s="41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41"/>
      <c r="O798" s="41"/>
      <c r="P798" s="41"/>
      <c r="Q798" s="41"/>
      <c r="R798" s="41"/>
      <c r="S798" s="41"/>
      <c r="T798" s="41"/>
      <c r="U798" s="41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41"/>
      <c r="O799" s="41"/>
      <c r="P799" s="41"/>
      <c r="Q799" s="41"/>
      <c r="R799" s="41"/>
      <c r="S799" s="41"/>
      <c r="T799" s="41"/>
      <c r="U799" s="41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41"/>
      <c r="O800" s="41"/>
      <c r="P800" s="41"/>
      <c r="Q800" s="41"/>
      <c r="R800" s="41"/>
      <c r="S800" s="41"/>
      <c r="T800" s="41"/>
      <c r="U800" s="41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41"/>
      <c r="O801" s="41"/>
      <c r="P801" s="41"/>
      <c r="Q801" s="41"/>
      <c r="R801" s="41"/>
      <c r="S801" s="41"/>
      <c r="T801" s="41"/>
      <c r="U801" s="41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41"/>
      <c r="O802" s="41"/>
      <c r="P802" s="41"/>
      <c r="Q802" s="41"/>
      <c r="R802" s="41"/>
      <c r="S802" s="41"/>
      <c r="T802" s="41"/>
      <c r="U802" s="41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41"/>
      <c r="O803" s="41"/>
      <c r="P803" s="41"/>
      <c r="Q803" s="41"/>
      <c r="R803" s="41"/>
      <c r="S803" s="41"/>
      <c r="T803" s="41"/>
      <c r="U803" s="41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41"/>
      <c r="O804" s="41"/>
      <c r="P804" s="41"/>
      <c r="Q804" s="41"/>
      <c r="R804" s="41"/>
      <c r="S804" s="41"/>
      <c r="T804" s="41"/>
      <c r="U804" s="41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41"/>
      <c r="O805" s="41"/>
      <c r="P805" s="41"/>
      <c r="Q805" s="41"/>
      <c r="R805" s="41"/>
      <c r="S805" s="41"/>
      <c r="T805" s="41"/>
      <c r="U805" s="41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41"/>
      <c r="O806" s="41"/>
      <c r="P806" s="41"/>
      <c r="Q806" s="41"/>
      <c r="R806" s="41"/>
      <c r="S806" s="41"/>
      <c r="T806" s="41"/>
      <c r="U806" s="41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41"/>
      <c r="O807" s="41"/>
      <c r="P807" s="41"/>
      <c r="Q807" s="41"/>
      <c r="R807" s="41"/>
      <c r="S807" s="41"/>
      <c r="T807" s="41"/>
      <c r="U807" s="41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41"/>
      <c r="O808" s="41"/>
      <c r="P808" s="41"/>
      <c r="Q808" s="41"/>
      <c r="R808" s="41"/>
      <c r="S808" s="41"/>
      <c r="T808" s="41"/>
      <c r="U808" s="41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41"/>
      <c r="O809" s="41"/>
      <c r="P809" s="41"/>
      <c r="Q809" s="41"/>
      <c r="R809" s="41"/>
      <c r="S809" s="41"/>
      <c r="T809" s="41"/>
      <c r="U809" s="41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41"/>
      <c r="O810" s="41"/>
      <c r="P810" s="41"/>
      <c r="Q810" s="41"/>
      <c r="R810" s="41"/>
      <c r="S810" s="41"/>
      <c r="T810" s="41"/>
      <c r="U810" s="41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41"/>
      <c r="O811" s="41"/>
      <c r="P811" s="41"/>
      <c r="Q811" s="41"/>
      <c r="R811" s="41"/>
      <c r="S811" s="41"/>
      <c r="T811" s="41"/>
      <c r="U811" s="41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41"/>
      <c r="O812" s="41"/>
      <c r="P812" s="41"/>
      <c r="Q812" s="41"/>
      <c r="R812" s="41"/>
      <c r="S812" s="41"/>
      <c r="T812" s="41"/>
      <c r="U812" s="41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41"/>
      <c r="O813" s="41"/>
      <c r="P813" s="41"/>
      <c r="Q813" s="41"/>
      <c r="R813" s="41"/>
      <c r="S813" s="41"/>
      <c r="T813" s="41"/>
      <c r="U813" s="41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41"/>
      <c r="O814" s="41"/>
      <c r="P814" s="41"/>
      <c r="Q814" s="41"/>
      <c r="R814" s="41"/>
      <c r="S814" s="41"/>
      <c r="T814" s="41"/>
      <c r="U814" s="41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41"/>
      <c r="O815" s="41"/>
      <c r="P815" s="41"/>
      <c r="Q815" s="41"/>
      <c r="R815" s="41"/>
      <c r="S815" s="41"/>
      <c r="T815" s="41"/>
      <c r="U815" s="41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41"/>
      <c r="O816" s="41"/>
      <c r="P816" s="41"/>
      <c r="Q816" s="41"/>
      <c r="R816" s="41"/>
      <c r="S816" s="41"/>
      <c r="T816" s="41"/>
      <c r="U816" s="41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41"/>
      <c r="O817" s="41"/>
      <c r="P817" s="41"/>
      <c r="Q817" s="41"/>
      <c r="R817" s="41"/>
      <c r="S817" s="41"/>
      <c r="T817" s="41"/>
      <c r="U817" s="41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41"/>
      <c r="O818" s="41"/>
      <c r="P818" s="41"/>
      <c r="Q818" s="41"/>
      <c r="R818" s="41"/>
      <c r="S818" s="41"/>
      <c r="T818" s="41"/>
      <c r="U818" s="41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41"/>
      <c r="O819" s="41"/>
      <c r="P819" s="41"/>
      <c r="Q819" s="41"/>
      <c r="R819" s="41"/>
      <c r="S819" s="41"/>
      <c r="T819" s="41"/>
      <c r="U819" s="41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41"/>
      <c r="O820" s="41"/>
      <c r="P820" s="41"/>
      <c r="Q820" s="41"/>
      <c r="R820" s="41"/>
      <c r="S820" s="41"/>
      <c r="T820" s="41"/>
      <c r="U820" s="41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41"/>
      <c r="O821" s="41"/>
      <c r="P821" s="41"/>
      <c r="Q821" s="41"/>
      <c r="R821" s="41"/>
      <c r="S821" s="41"/>
      <c r="T821" s="41"/>
      <c r="U821" s="41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41"/>
      <c r="O822" s="41"/>
      <c r="P822" s="41"/>
      <c r="Q822" s="41"/>
      <c r="R822" s="41"/>
      <c r="S822" s="41"/>
      <c r="T822" s="41"/>
      <c r="U822" s="41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41"/>
      <c r="O823" s="41"/>
      <c r="P823" s="41"/>
      <c r="Q823" s="41"/>
      <c r="R823" s="41"/>
      <c r="S823" s="41"/>
      <c r="T823" s="41"/>
      <c r="U823" s="41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41"/>
      <c r="O824" s="41"/>
      <c r="P824" s="41"/>
      <c r="Q824" s="41"/>
      <c r="R824" s="41"/>
      <c r="S824" s="41"/>
      <c r="T824" s="41"/>
      <c r="U824" s="41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41"/>
      <c r="O825" s="41"/>
      <c r="P825" s="41"/>
      <c r="Q825" s="41"/>
      <c r="R825" s="41"/>
      <c r="S825" s="41"/>
      <c r="T825" s="41"/>
      <c r="U825" s="41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41"/>
      <c r="O826" s="41"/>
      <c r="P826" s="41"/>
      <c r="Q826" s="41"/>
      <c r="R826" s="41"/>
      <c r="S826" s="41"/>
      <c r="T826" s="41"/>
      <c r="U826" s="41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41"/>
      <c r="O827" s="41"/>
      <c r="P827" s="41"/>
      <c r="Q827" s="41"/>
      <c r="R827" s="41"/>
      <c r="S827" s="41"/>
      <c r="T827" s="41"/>
      <c r="U827" s="41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41"/>
      <c r="O828" s="41"/>
      <c r="P828" s="41"/>
      <c r="Q828" s="41"/>
      <c r="R828" s="41"/>
      <c r="S828" s="41"/>
      <c r="T828" s="41"/>
      <c r="U828" s="41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41"/>
      <c r="O829" s="41"/>
      <c r="P829" s="41"/>
      <c r="Q829" s="41"/>
      <c r="R829" s="41"/>
      <c r="S829" s="41"/>
      <c r="T829" s="41"/>
      <c r="U829" s="41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41"/>
      <c r="O830" s="41"/>
      <c r="P830" s="41"/>
      <c r="Q830" s="41"/>
      <c r="R830" s="41"/>
      <c r="S830" s="41"/>
      <c r="T830" s="41"/>
      <c r="U830" s="41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41"/>
      <c r="O831" s="41"/>
      <c r="P831" s="41"/>
      <c r="Q831" s="41"/>
      <c r="R831" s="41"/>
      <c r="S831" s="41"/>
      <c r="T831" s="41"/>
      <c r="U831" s="41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41"/>
      <c r="O832" s="41"/>
      <c r="P832" s="41"/>
      <c r="Q832" s="41"/>
      <c r="R832" s="41"/>
      <c r="S832" s="41"/>
      <c r="T832" s="41"/>
      <c r="U832" s="41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41"/>
      <c r="O833" s="41"/>
      <c r="P833" s="41"/>
      <c r="Q833" s="41"/>
      <c r="R833" s="41"/>
      <c r="S833" s="41"/>
      <c r="T833" s="41"/>
      <c r="U833" s="41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41"/>
      <c r="O834" s="41"/>
      <c r="P834" s="41"/>
      <c r="Q834" s="41"/>
      <c r="R834" s="41"/>
      <c r="S834" s="41"/>
      <c r="T834" s="41"/>
      <c r="U834" s="41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41"/>
      <c r="O835" s="41"/>
      <c r="P835" s="41"/>
      <c r="Q835" s="41"/>
      <c r="R835" s="41"/>
      <c r="S835" s="41"/>
      <c r="T835" s="41"/>
      <c r="U835" s="41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41"/>
      <c r="O836" s="41"/>
      <c r="P836" s="41"/>
      <c r="Q836" s="41"/>
      <c r="R836" s="41"/>
      <c r="S836" s="41"/>
      <c r="T836" s="41"/>
      <c r="U836" s="41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41"/>
      <c r="O837" s="41"/>
      <c r="P837" s="41"/>
      <c r="Q837" s="41"/>
      <c r="R837" s="41"/>
      <c r="S837" s="41"/>
      <c r="T837" s="41"/>
      <c r="U837" s="41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41"/>
      <c r="O838" s="41"/>
      <c r="P838" s="41"/>
      <c r="Q838" s="41"/>
      <c r="R838" s="41"/>
      <c r="S838" s="41"/>
      <c r="T838" s="41"/>
      <c r="U838" s="41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41"/>
      <c r="O839" s="41"/>
      <c r="P839" s="41"/>
      <c r="Q839" s="41"/>
      <c r="R839" s="41"/>
      <c r="S839" s="41"/>
      <c r="T839" s="41"/>
      <c r="U839" s="41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41"/>
      <c r="O840" s="41"/>
      <c r="P840" s="41"/>
      <c r="Q840" s="41"/>
      <c r="R840" s="41"/>
      <c r="S840" s="41"/>
      <c r="T840" s="41"/>
      <c r="U840" s="41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41"/>
      <c r="O841" s="41"/>
      <c r="P841" s="41"/>
      <c r="Q841" s="41"/>
      <c r="R841" s="41"/>
      <c r="S841" s="41"/>
      <c r="T841" s="41"/>
      <c r="U841" s="41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41"/>
      <c r="O842" s="41"/>
      <c r="P842" s="41"/>
      <c r="Q842" s="41"/>
      <c r="R842" s="41"/>
      <c r="S842" s="41"/>
      <c r="T842" s="41"/>
      <c r="U842" s="41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41"/>
      <c r="O843" s="41"/>
      <c r="P843" s="41"/>
      <c r="Q843" s="41"/>
      <c r="R843" s="41"/>
      <c r="S843" s="41"/>
      <c r="T843" s="41"/>
      <c r="U843" s="41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41"/>
      <c r="O844" s="41"/>
      <c r="P844" s="41"/>
      <c r="Q844" s="41"/>
      <c r="R844" s="41"/>
      <c r="S844" s="41"/>
      <c r="T844" s="41"/>
      <c r="U844" s="41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41"/>
      <c r="O845" s="41"/>
      <c r="P845" s="41"/>
      <c r="Q845" s="41"/>
      <c r="R845" s="41"/>
      <c r="S845" s="41"/>
      <c r="T845" s="41"/>
      <c r="U845" s="41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41"/>
      <c r="O846" s="41"/>
      <c r="P846" s="41"/>
      <c r="Q846" s="41"/>
      <c r="R846" s="41"/>
      <c r="S846" s="41"/>
      <c r="T846" s="41"/>
      <c r="U846" s="41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41"/>
      <c r="O847" s="41"/>
      <c r="P847" s="41"/>
      <c r="Q847" s="41"/>
      <c r="R847" s="41"/>
      <c r="S847" s="41"/>
      <c r="T847" s="41"/>
      <c r="U847" s="41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41"/>
      <c r="O848" s="41"/>
      <c r="P848" s="41"/>
      <c r="Q848" s="41"/>
      <c r="R848" s="41"/>
      <c r="S848" s="41"/>
      <c r="T848" s="41"/>
      <c r="U848" s="41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41"/>
      <c r="O849" s="41"/>
      <c r="P849" s="41"/>
      <c r="Q849" s="41"/>
      <c r="R849" s="41"/>
      <c r="S849" s="41"/>
      <c r="T849" s="41"/>
      <c r="U849" s="41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41"/>
      <c r="O850" s="41"/>
      <c r="P850" s="41"/>
      <c r="Q850" s="41"/>
      <c r="R850" s="41"/>
      <c r="S850" s="41"/>
      <c r="T850" s="41"/>
      <c r="U850" s="41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41"/>
      <c r="O851" s="41"/>
      <c r="P851" s="41"/>
      <c r="Q851" s="41"/>
      <c r="R851" s="41"/>
      <c r="S851" s="41"/>
      <c r="T851" s="41"/>
      <c r="U851" s="41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41"/>
      <c r="O852" s="41"/>
      <c r="P852" s="41"/>
      <c r="Q852" s="41"/>
      <c r="R852" s="41"/>
      <c r="S852" s="41"/>
      <c r="T852" s="41"/>
      <c r="U852" s="41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41"/>
      <c r="O853" s="41"/>
      <c r="P853" s="41"/>
      <c r="Q853" s="41"/>
      <c r="R853" s="41"/>
      <c r="S853" s="41"/>
      <c r="T853" s="41"/>
      <c r="U853" s="41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41"/>
      <c r="O854" s="41"/>
      <c r="P854" s="41"/>
      <c r="Q854" s="41"/>
      <c r="R854" s="41"/>
      <c r="S854" s="41"/>
      <c r="T854" s="41"/>
      <c r="U854" s="41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41"/>
      <c r="O855" s="41"/>
      <c r="P855" s="41"/>
      <c r="Q855" s="41"/>
      <c r="R855" s="41"/>
      <c r="S855" s="41"/>
      <c r="T855" s="41"/>
      <c r="U855" s="41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41"/>
      <c r="O856" s="41"/>
      <c r="P856" s="41"/>
      <c r="Q856" s="41"/>
      <c r="R856" s="41"/>
      <c r="S856" s="41"/>
      <c r="T856" s="41"/>
      <c r="U856" s="41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41"/>
      <c r="O857" s="41"/>
      <c r="P857" s="41"/>
      <c r="Q857" s="41"/>
      <c r="R857" s="41"/>
      <c r="S857" s="41"/>
      <c r="T857" s="41"/>
      <c r="U857" s="41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41"/>
      <c r="O858" s="41"/>
      <c r="P858" s="41"/>
      <c r="Q858" s="41"/>
      <c r="R858" s="41"/>
      <c r="S858" s="41"/>
      <c r="T858" s="41"/>
      <c r="U858" s="41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41"/>
      <c r="O859" s="41"/>
      <c r="P859" s="41"/>
      <c r="Q859" s="41"/>
      <c r="R859" s="41"/>
      <c r="S859" s="41"/>
      <c r="T859" s="41"/>
      <c r="U859" s="41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41"/>
      <c r="O860" s="41"/>
      <c r="P860" s="41"/>
      <c r="Q860" s="41"/>
      <c r="R860" s="41"/>
      <c r="S860" s="41"/>
      <c r="T860" s="41"/>
      <c r="U860" s="41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41"/>
      <c r="O861" s="41"/>
      <c r="P861" s="41"/>
      <c r="Q861" s="41"/>
      <c r="R861" s="41"/>
      <c r="S861" s="41"/>
      <c r="T861" s="41"/>
      <c r="U861" s="41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41"/>
      <c r="O862" s="41"/>
      <c r="P862" s="41"/>
      <c r="Q862" s="41"/>
      <c r="R862" s="41"/>
      <c r="S862" s="41"/>
      <c r="T862" s="41"/>
      <c r="U862" s="41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41"/>
      <c r="O863" s="41"/>
      <c r="P863" s="41"/>
      <c r="Q863" s="41"/>
      <c r="R863" s="41"/>
      <c r="S863" s="41"/>
      <c r="T863" s="41"/>
      <c r="U863" s="41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41"/>
      <c r="O864" s="41"/>
      <c r="P864" s="41"/>
      <c r="Q864" s="41"/>
      <c r="R864" s="41"/>
      <c r="S864" s="41"/>
      <c r="T864" s="41"/>
      <c r="U864" s="41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41"/>
      <c r="O865" s="41"/>
      <c r="P865" s="41"/>
      <c r="Q865" s="41"/>
      <c r="R865" s="41"/>
      <c r="S865" s="41"/>
      <c r="T865" s="41"/>
      <c r="U865" s="41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41"/>
      <c r="O866" s="41"/>
      <c r="P866" s="41"/>
      <c r="Q866" s="41"/>
      <c r="R866" s="41"/>
      <c r="S866" s="41"/>
      <c r="T866" s="41"/>
      <c r="U866" s="41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41"/>
      <c r="O867" s="41"/>
      <c r="P867" s="41"/>
      <c r="Q867" s="41"/>
      <c r="R867" s="41"/>
      <c r="S867" s="41"/>
      <c r="T867" s="41"/>
      <c r="U867" s="41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41"/>
      <c r="O868" s="41"/>
      <c r="P868" s="41"/>
      <c r="Q868" s="41"/>
      <c r="R868" s="41"/>
      <c r="S868" s="41"/>
      <c r="T868" s="41"/>
      <c r="U868" s="41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41"/>
      <c r="O869" s="41"/>
      <c r="P869" s="41"/>
      <c r="Q869" s="41"/>
      <c r="R869" s="41"/>
      <c r="S869" s="41"/>
      <c r="T869" s="41"/>
      <c r="U869" s="41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41"/>
      <c r="O870" s="41"/>
      <c r="P870" s="41"/>
      <c r="Q870" s="41"/>
      <c r="R870" s="41"/>
      <c r="S870" s="41"/>
      <c r="T870" s="41"/>
      <c r="U870" s="41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41"/>
      <c r="O871" s="41"/>
      <c r="P871" s="41"/>
      <c r="Q871" s="41"/>
      <c r="R871" s="41"/>
      <c r="S871" s="41"/>
      <c r="T871" s="41"/>
      <c r="U871" s="41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41"/>
      <c r="O872" s="41"/>
      <c r="P872" s="41"/>
      <c r="Q872" s="41"/>
      <c r="R872" s="41"/>
      <c r="S872" s="41"/>
      <c r="T872" s="41"/>
      <c r="U872" s="41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41"/>
      <c r="O873" s="41"/>
      <c r="P873" s="41"/>
      <c r="Q873" s="41"/>
      <c r="R873" s="41"/>
      <c r="S873" s="41"/>
      <c r="T873" s="41"/>
      <c r="U873" s="41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41"/>
      <c r="O874" s="41"/>
      <c r="P874" s="41"/>
      <c r="Q874" s="41"/>
      <c r="R874" s="41"/>
      <c r="S874" s="41"/>
      <c r="T874" s="41"/>
      <c r="U874" s="41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41"/>
      <c r="O875" s="41"/>
      <c r="P875" s="41"/>
      <c r="Q875" s="41"/>
      <c r="R875" s="41"/>
      <c r="S875" s="41"/>
      <c r="T875" s="41"/>
      <c r="U875" s="41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41"/>
      <c r="O876" s="41"/>
      <c r="P876" s="41"/>
      <c r="Q876" s="41"/>
      <c r="R876" s="41"/>
      <c r="S876" s="41"/>
      <c r="T876" s="41"/>
      <c r="U876" s="41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41"/>
      <c r="O877" s="41"/>
      <c r="P877" s="41"/>
      <c r="Q877" s="41"/>
      <c r="R877" s="41"/>
      <c r="S877" s="41"/>
      <c r="T877" s="41"/>
      <c r="U877" s="41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41"/>
      <c r="O878" s="41"/>
      <c r="P878" s="41"/>
      <c r="Q878" s="41"/>
      <c r="R878" s="41"/>
      <c r="S878" s="41"/>
      <c r="T878" s="41"/>
      <c r="U878" s="41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41"/>
      <c r="O879" s="41"/>
      <c r="P879" s="41"/>
      <c r="Q879" s="41"/>
      <c r="R879" s="41"/>
      <c r="S879" s="41"/>
      <c r="T879" s="41"/>
      <c r="U879" s="41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41"/>
      <c r="O880" s="41"/>
      <c r="P880" s="41"/>
      <c r="Q880" s="41"/>
      <c r="R880" s="41"/>
      <c r="S880" s="41"/>
      <c r="T880" s="41"/>
      <c r="U880" s="41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41"/>
      <c r="O881" s="41"/>
      <c r="P881" s="41"/>
      <c r="Q881" s="41"/>
      <c r="R881" s="41"/>
      <c r="S881" s="41"/>
      <c r="T881" s="41"/>
      <c r="U881" s="41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41"/>
      <c r="O882" s="41"/>
      <c r="P882" s="41"/>
      <c r="Q882" s="41"/>
      <c r="R882" s="41"/>
      <c r="S882" s="41"/>
      <c r="T882" s="41"/>
      <c r="U882" s="41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41"/>
      <c r="O883" s="41"/>
      <c r="P883" s="41"/>
      <c r="Q883" s="41"/>
      <c r="R883" s="41"/>
      <c r="S883" s="41"/>
      <c r="T883" s="41"/>
      <c r="U883" s="41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41"/>
      <c r="O884" s="41"/>
      <c r="P884" s="41"/>
      <c r="Q884" s="41"/>
      <c r="R884" s="41"/>
      <c r="S884" s="41"/>
      <c r="T884" s="41"/>
      <c r="U884" s="41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41"/>
      <c r="O885" s="41"/>
      <c r="P885" s="41"/>
      <c r="Q885" s="41"/>
      <c r="R885" s="41"/>
      <c r="S885" s="41"/>
      <c r="T885" s="41"/>
      <c r="U885" s="41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41"/>
      <c r="O886" s="41"/>
      <c r="P886" s="41"/>
      <c r="Q886" s="41"/>
      <c r="R886" s="41"/>
      <c r="S886" s="41"/>
      <c r="T886" s="41"/>
      <c r="U886" s="41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41"/>
      <c r="O887" s="41"/>
      <c r="P887" s="41"/>
      <c r="Q887" s="41"/>
      <c r="R887" s="41"/>
      <c r="S887" s="41"/>
      <c r="T887" s="41"/>
      <c r="U887" s="41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41"/>
      <c r="O888" s="41"/>
      <c r="P888" s="41"/>
      <c r="Q888" s="41"/>
      <c r="R888" s="41"/>
      <c r="S888" s="41"/>
      <c r="T888" s="41"/>
      <c r="U888" s="41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41"/>
      <c r="O889" s="41"/>
      <c r="P889" s="41"/>
      <c r="Q889" s="41"/>
      <c r="R889" s="41"/>
      <c r="S889" s="41"/>
      <c r="T889" s="41"/>
      <c r="U889" s="41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41"/>
      <c r="O890" s="41"/>
      <c r="P890" s="41"/>
      <c r="Q890" s="41"/>
      <c r="R890" s="41"/>
      <c r="S890" s="41"/>
      <c r="T890" s="41"/>
      <c r="U890" s="41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41"/>
      <c r="O891" s="41"/>
      <c r="P891" s="41"/>
      <c r="Q891" s="41"/>
      <c r="R891" s="41"/>
      <c r="S891" s="41"/>
      <c r="T891" s="41"/>
      <c r="U891" s="41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41"/>
      <c r="O892" s="41"/>
      <c r="P892" s="41"/>
      <c r="Q892" s="41"/>
      <c r="R892" s="41"/>
      <c r="S892" s="41"/>
      <c r="T892" s="41"/>
      <c r="U892" s="41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41"/>
      <c r="O893" s="41"/>
      <c r="P893" s="41"/>
      <c r="Q893" s="41"/>
      <c r="R893" s="41"/>
      <c r="S893" s="41"/>
      <c r="T893" s="41"/>
      <c r="U893" s="41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41"/>
      <c r="O894" s="41"/>
      <c r="P894" s="41"/>
      <c r="Q894" s="41"/>
      <c r="R894" s="41"/>
      <c r="S894" s="41"/>
      <c r="T894" s="41"/>
      <c r="U894" s="41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41"/>
      <c r="O895" s="41"/>
      <c r="P895" s="41"/>
      <c r="Q895" s="41"/>
      <c r="R895" s="41"/>
      <c r="S895" s="41"/>
      <c r="T895" s="41"/>
      <c r="U895" s="41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41"/>
      <c r="O896" s="41"/>
      <c r="P896" s="41"/>
      <c r="Q896" s="41"/>
      <c r="R896" s="41"/>
      <c r="S896" s="41"/>
      <c r="T896" s="41"/>
      <c r="U896" s="41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41"/>
      <c r="O897" s="41"/>
      <c r="P897" s="41"/>
      <c r="Q897" s="41"/>
      <c r="R897" s="41"/>
      <c r="S897" s="41"/>
      <c r="T897" s="41"/>
      <c r="U897" s="41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41"/>
      <c r="O898" s="41"/>
      <c r="P898" s="41"/>
      <c r="Q898" s="41"/>
      <c r="R898" s="41"/>
      <c r="S898" s="41"/>
      <c r="T898" s="41"/>
      <c r="U898" s="41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41"/>
      <c r="O899" s="41"/>
      <c r="P899" s="41"/>
      <c r="Q899" s="41"/>
      <c r="R899" s="41"/>
      <c r="S899" s="41"/>
      <c r="T899" s="41"/>
      <c r="U899" s="41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41"/>
      <c r="O900" s="41"/>
      <c r="P900" s="41"/>
      <c r="Q900" s="41"/>
      <c r="R900" s="41"/>
      <c r="S900" s="41"/>
      <c r="T900" s="41"/>
      <c r="U900" s="41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41"/>
      <c r="O901" s="41"/>
      <c r="P901" s="41"/>
      <c r="Q901" s="41"/>
      <c r="R901" s="41"/>
      <c r="S901" s="41"/>
      <c r="T901" s="41"/>
      <c r="U901" s="41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41"/>
      <c r="O902" s="41"/>
      <c r="P902" s="41"/>
      <c r="Q902" s="41"/>
      <c r="R902" s="41"/>
      <c r="S902" s="41"/>
      <c r="T902" s="41"/>
      <c r="U902" s="41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41"/>
      <c r="O903" s="41"/>
      <c r="P903" s="41"/>
      <c r="Q903" s="41"/>
      <c r="R903" s="41"/>
      <c r="S903" s="41"/>
      <c r="T903" s="41"/>
      <c r="U903" s="41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41"/>
      <c r="O904" s="41"/>
      <c r="P904" s="41"/>
      <c r="Q904" s="41"/>
      <c r="R904" s="41"/>
      <c r="S904" s="41"/>
      <c r="T904" s="41"/>
      <c r="U904" s="41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41"/>
      <c r="O905" s="41"/>
      <c r="P905" s="41"/>
      <c r="Q905" s="41"/>
      <c r="R905" s="41"/>
      <c r="S905" s="41"/>
      <c r="T905" s="41"/>
      <c r="U905" s="41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41"/>
      <c r="O906" s="41"/>
      <c r="P906" s="41"/>
      <c r="Q906" s="41"/>
      <c r="R906" s="41"/>
      <c r="S906" s="41"/>
      <c r="T906" s="41"/>
      <c r="U906" s="41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41"/>
      <c r="O907" s="41"/>
      <c r="P907" s="41"/>
      <c r="Q907" s="41"/>
      <c r="R907" s="41"/>
      <c r="S907" s="41"/>
      <c r="T907" s="41"/>
      <c r="U907" s="41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41"/>
      <c r="O908" s="41"/>
      <c r="P908" s="41"/>
      <c r="Q908" s="41"/>
      <c r="R908" s="41"/>
      <c r="S908" s="41"/>
      <c r="T908" s="41"/>
      <c r="U908" s="41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41"/>
      <c r="O909" s="41"/>
      <c r="P909" s="41"/>
      <c r="Q909" s="41"/>
      <c r="R909" s="41"/>
      <c r="S909" s="41"/>
      <c r="T909" s="41"/>
      <c r="U909" s="41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41"/>
      <c r="O910" s="41"/>
      <c r="P910" s="41"/>
      <c r="Q910" s="41"/>
      <c r="R910" s="41"/>
      <c r="S910" s="41"/>
      <c r="T910" s="41"/>
      <c r="U910" s="41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41"/>
      <c r="O911" s="41"/>
      <c r="P911" s="41"/>
      <c r="Q911" s="41"/>
      <c r="R911" s="41"/>
      <c r="S911" s="41"/>
      <c r="T911" s="41"/>
      <c r="U911" s="41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41"/>
      <c r="O912" s="41"/>
      <c r="P912" s="41"/>
      <c r="Q912" s="41"/>
      <c r="R912" s="41"/>
      <c r="S912" s="41"/>
      <c r="T912" s="41"/>
      <c r="U912" s="41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41"/>
      <c r="O913" s="41"/>
      <c r="P913" s="41"/>
      <c r="Q913" s="41"/>
      <c r="R913" s="41"/>
      <c r="S913" s="41"/>
      <c r="T913" s="41"/>
      <c r="U913" s="41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41"/>
      <c r="O914" s="41"/>
      <c r="P914" s="41"/>
      <c r="Q914" s="41"/>
      <c r="R914" s="41"/>
      <c r="S914" s="41"/>
      <c r="T914" s="41"/>
      <c r="U914" s="41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41"/>
      <c r="O915" s="41"/>
      <c r="P915" s="41"/>
      <c r="Q915" s="41"/>
      <c r="R915" s="41"/>
      <c r="S915" s="41"/>
      <c r="T915" s="41"/>
      <c r="U915" s="41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41"/>
      <c r="O916" s="41"/>
      <c r="P916" s="41"/>
      <c r="Q916" s="41"/>
      <c r="R916" s="41"/>
      <c r="S916" s="41"/>
      <c r="T916" s="41"/>
      <c r="U916" s="41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41"/>
      <c r="O917" s="41"/>
      <c r="P917" s="41"/>
      <c r="Q917" s="41"/>
      <c r="R917" s="41"/>
      <c r="S917" s="41"/>
      <c r="T917" s="41"/>
      <c r="U917" s="41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41"/>
      <c r="O918" s="41"/>
      <c r="P918" s="41"/>
      <c r="Q918" s="41"/>
      <c r="R918" s="41"/>
      <c r="S918" s="41"/>
      <c r="T918" s="41"/>
      <c r="U918" s="41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41"/>
      <c r="O919" s="41"/>
      <c r="P919" s="41"/>
      <c r="Q919" s="41"/>
      <c r="R919" s="41"/>
      <c r="S919" s="41"/>
      <c r="T919" s="41"/>
      <c r="U919" s="41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41"/>
      <c r="O920" s="41"/>
      <c r="P920" s="41"/>
      <c r="Q920" s="41"/>
      <c r="R920" s="41"/>
      <c r="S920" s="41"/>
      <c r="T920" s="41"/>
      <c r="U920" s="41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41"/>
      <c r="O921" s="41"/>
      <c r="P921" s="41"/>
      <c r="Q921" s="41"/>
      <c r="R921" s="41"/>
      <c r="S921" s="41"/>
      <c r="T921" s="41"/>
      <c r="U921" s="41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41"/>
      <c r="O922" s="41"/>
      <c r="P922" s="41"/>
      <c r="Q922" s="41"/>
      <c r="R922" s="41"/>
      <c r="S922" s="41"/>
      <c r="T922" s="41"/>
      <c r="U922" s="41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41"/>
      <c r="O923" s="41"/>
      <c r="P923" s="41"/>
      <c r="Q923" s="41"/>
      <c r="R923" s="41"/>
      <c r="S923" s="41"/>
      <c r="T923" s="41"/>
      <c r="U923" s="41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41"/>
      <c r="O924" s="41"/>
      <c r="P924" s="41"/>
      <c r="Q924" s="41"/>
      <c r="R924" s="41"/>
      <c r="S924" s="41"/>
      <c r="T924" s="41"/>
      <c r="U924" s="41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41"/>
      <c r="O925" s="41"/>
      <c r="P925" s="41"/>
      <c r="Q925" s="41"/>
      <c r="R925" s="41"/>
      <c r="S925" s="41"/>
      <c r="T925" s="41"/>
      <c r="U925" s="41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41"/>
      <c r="O926" s="41"/>
      <c r="P926" s="41"/>
      <c r="Q926" s="41"/>
      <c r="R926" s="41"/>
      <c r="S926" s="41"/>
      <c r="T926" s="41"/>
      <c r="U926" s="41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41"/>
      <c r="O927" s="41"/>
      <c r="P927" s="41"/>
      <c r="Q927" s="41"/>
      <c r="R927" s="41"/>
      <c r="S927" s="41"/>
      <c r="T927" s="41"/>
      <c r="U927" s="41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41"/>
      <c r="O928" s="41"/>
      <c r="P928" s="41"/>
      <c r="Q928" s="41"/>
      <c r="R928" s="41"/>
      <c r="S928" s="41"/>
      <c r="T928" s="41"/>
      <c r="U928" s="41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41"/>
      <c r="O929" s="41"/>
      <c r="P929" s="41"/>
      <c r="Q929" s="41"/>
      <c r="R929" s="41"/>
      <c r="S929" s="41"/>
      <c r="T929" s="41"/>
      <c r="U929" s="41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41"/>
      <c r="O930" s="41"/>
      <c r="P930" s="41"/>
      <c r="Q930" s="41"/>
      <c r="R930" s="41"/>
      <c r="S930" s="41"/>
      <c r="T930" s="41"/>
      <c r="U930" s="41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41"/>
      <c r="O931" s="41"/>
      <c r="P931" s="41"/>
      <c r="Q931" s="41"/>
      <c r="R931" s="41"/>
      <c r="S931" s="41"/>
      <c r="T931" s="41"/>
      <c r="U931" s="41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41"/>
      <c r="O932" s="41"/>
      <c r="P932" s="41"/>
      <c r="Q932" s="41"/>
      <c r="R932" s="41"/>
      <c r="S932" s="41"/>
      <c r="T932" s="41"/>
      <c r="U932" s="41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41"/>
      <c r="O933" s="41"/>
      <c r="P933" s="41"/>
      <c r="Q933" s="41"/>
      <c r="R933" s="41"/>
      <c r="S933" s="41"/>
      <c r="T933" s="41"/>
      <c r="U933" s="41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41"/>
      <c r="O934" s="41"/>
      <c r="P934" s="41"/>
      <c r="Q934" s="41"/>
      <c r="R934" s="41"/>
      <c r="S934" s="41"/>
      <c r="T934" s="41"/>
      <c r="U934" s="41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41"/>
      <c r="O935" s="41"/>
      <c r="P935" s="41"/>
      <c r="Q935" s="41"/>
      <c r="R935" s="41"/>
      <c r="S935" s="41"/>
      <c r="T935" s="41"/>
      <c r="U935" s="41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41"/>
      <c r="O936" s="41"/>
      <c r="P936" s="41"/>
      <c r="Q936" s="41"/>
      <c r="R936" s="41"/>
      <c r="S936" s="41"/>
      <c r="T936" s="41"/>
      <c r="U936" s="41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41"/>
      <c r="O937" s="41"/>
      <c r="P937" s="41"/>
      <c r="Q937" s="41"/>
      <c r="R937" s="41"/>
      <c r="S937" s="41"/>
      <c r="T937" s="41"/>
      <c r="U937" s="41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41"/>
      <c r="O938" s="41"/>
      <c r="P938" s="41"/>
      <c r="Q938" s="41"/>
      <c r="R938" s="41"/>
      <c r="S938" s="41"/>
      <c r="T938" s="41"/>
      <c r="U938" s="41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41"/>
      <c r="O939" s="41"/>
      <c r="P939" s="41"/>
      <c r="Q939" s="41"/>
      <c r="R939" s="41"/>
      <c r="S939" s="41"/>
      <c r="T939" s="41"/>
      <c r="U939" s="41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41"/>
      <c r="O940" s="41"/>
      <c r="P940" s="41"/>
      <c r="Q940" s="41"/>
      <c r="R940" s="41"/>
      <c r="S940" s="41"/>
      <c r="T940" s="41"/>
      <c r="U940" s="41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41"/>
      <c r="O941" s="41"/>
      <c r="P941" s="41"/>
      <c r="Q941" s="41"/>
      <c r="R941" s="41"/>
      <c r="S941" s="41"/>
      <c r="T941" s="41"/>
      <c r="U941" s="41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41"/>
      <c r="O942" s="41"/>
      <c r="P942" s="41"/>
      <c r="Q942" s="41"/>
      <c r="R942" s="41"/>
      <c r="S942" s="41"/>
      <c r="T942" s="41"/>
      <c r="U942" s="41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41"/>
      <c r="O943" s="41"/>
      <c r="P943" s="41"/>
      <c r="Q943" s="41"/>
      <c r="R943" s="41"/>
      <c r="S943" s="41"/>
      <c r="T943" s="41"/>
      <c r="U943" s="41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41"/>
      <c r="O944" s="41"/>
      <c r="P944" s="41"/>
      <c r="Q944" s="41"/>
      <c r="R944" s="41"/>
      <c r="S944" s="41"/>
      <c r="T944" s="41"/>
      <c r="U944" s="41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41"/>
      <c r="O945" s="41"/>
      <c r="P945" s="41"/>
      <c r="Q945" s="41"/>
      <c r="R945" s="41"/>
      <c r="S945" s="41"/>
      <c r="T945" s="41"/>
      <c r="U945" s="41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41"/>
      <c r="O946" s="41"/>
      <c r="P946" s="41"/>
      <c r="Q946" s="41"/>
      <c r="R946" s="41"/>
      <c r="S946" s="41"/>
      <c r="T946" s="41"/>
      <c r="U946" s="41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41"/>
      <c r="O947" s="41"/>
      <c r="P947" s="41"/>
      <c r="Q947" s="41"/>
      <c r="R947" s="41"/>
      <c r="S947" s="41"/>
      <c r="T947" s="41"/>
      <c r="U947" s="41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41"/>
      <c r="O948" s="41"/>
      <c r="P948" s="41"/>
      <c r="Q948" s="41"/>
      <c r="R948" s="41"/>
      <c r="S948" s="41"/>
      <c r="T948" s="41"/>
      <c r="U948" s="41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41"/>
      <c r="O949" s="41"/>
      <c r="P949" s="41"/>
      <c r="Q949" s="41"/>
      <c r="R949" s="41"/>
      <c r="S949" s="41"/>
      <c r="T949" s="41"/>
      <c r="U949" s="41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41"/>
      <c r="O950" s="41"/>
      <c r="P950" s="41"/>
      <c r="Q950" s="41"/>
      <c r="R950" s="41"/>
      <c r="S950" s="41"/>
      <c r="T950" s="41"/>
      <c r="U950" s="41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41"/>
      <c r="O951" s="41"/>
      <c r="P951" s="41"/>
      <c r="Q951" s="41"/>
      <c r="R951" s="41"/>
      <c r="S951" s="41"/>
      <c r="T951" s="41"/>
      <c r="U951" s="41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41"/>
      <c r="O952" s="41"/>
      <c r="P952" s="41"/>
      <c r="Q952" s="41"/>
      <c r="R952" s="41"/>
      <c r="S952" s="41"/>
      <c r="T952" s="41"/>
      <c r="U952" s="41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41"/>
      <c r="O953" s="41"/>
      <c r="P953" s="41"/>
      <c r="Q953" s="41"/>
      <c r="R953" s="41"/>
      <c r="S953" s="41"/>
      <c r="T953" s="41"/>
      <c r="U953" s="41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41"/>
      <c r="O954" s="41"/>
      <c r="P954" s="41"/>
      <c r="Q954" s="41"/>
      <c r="R954" s="41"/>
      <c r="S954" s="41"/>
      <c r="T954" s="41"/>
      <c r="U954" s="41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41"/>
      <c r="O955" s="41"/>
      <c r="P955" s="41"/>
      <c r="Q955" s="41"/>
      <c r="R955" s="41"/>
      <c r="S955" s="41"/>
      <c r="T955" s="41"/>
      <c r="U955" s="41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41"/>
      <c r="O956" s="41"/>
      <c r="P956" s="41"/>
      <c r="Q956" s="41"/>
      <c r="R956" s="41"/>
      <c r="S956" s="41"/>
      <c r="T956" s="41"/>
      <c r="U956" s="41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41"/>
      <c r="O957" s="41"/>
      <c r="P957" s="41"/>
      <c r="Q957" s="41"/>
      <c r="R957" s="41"/>
      <c r="S957" s="41"/>
      <c r="T957" s="41"/>
      <c r="U957" s="41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41"/>
      <c r="O958" s="41"/>
      <c r="P958" s="41"/>
      <c r="Q958" s="41"/>
      <c r="R958" s="41"/>
      <c r="S958" s="41"/>
      <c r="T958" s="41"/>
      <c r="U958" s="41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41"/>
      <c r="O959" s="41"/>
      <c r="P959" s="41"/>
      <c r="Q959" s="41"/>
      <c r="R959" s="41"/>
      <c r="S959" s="41"/>
      <c r="T959" s="41"/>
      <c r="U959" s="41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41"/>
      <c r="O960" s="41"/>
      <c r="P960" s="41"/>
      <c r="Q960" s="41"/>
      <c r="R960" s="41"/>
      <c r="S960" s="41"/>
      <c r="T960" s="41"/>
      <c r="U960" s="41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41"/>
      <c r="O961" s="41"/>
      <c r="P961" s="41"/>
      <c r="Q961" s="41"/>
      <c r="R961" s="41"/>
      <c r="S961" s="41"/>
      <c r="T961" s="41"/>
      <c r="U961" s="41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41"/>
      <c r="O962" s="41"/>
      <c r="P962" s="41"/>
      <c r="Q962" s="41"/>
      <c r="R962" s="41"/>
      <c r="S962" s="41"/>
      <c r="T962" s="41"/>
      <c r="U962" s="41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41"/>
      <c r="O963" s="41"/>
      <c r="P963" s="41"/>
      <c r="Q963" s="41"/>
      <c r="R963" s="41"/>
      <c r="S963" s="41"/>
      <c r="T963" s="41"/>
      <c r="U963" s="41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41"/>
      <c r="O964" s="41"/>
      <c r="P964" s="41"/>
      <c r="Q964" s="41"/>
      <c r="R964" s="41"/>
      <c r="S964" s="41"/>
      <c r="T964" s="41"/>
      <c r="U964" s="41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41"/>
      <c r="O965" s="41"/>
      <c r="P965" s="41"/>
      <c r="Q965" s="41"/>
      <c r="R965" s="41"/>
      <c r="S965" s="41"/>
      <c r="T965" s="41"/>
      <c r="U965" s="41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41"/>
      <c r="O966" s="41"/>
      <c r="P966" s="41"/>
      <c r="Q966" s="41"/>
      <c r="R966" s="41"/>
      <c r="S966" s="41"/>
      <c r="T966" s="41"/>
      <c r="U966" s="41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41"/>
      <c r="O967" s="41"/>
      <c r="P967" s="41"/>
      <c r="Q967" s="41"/>
      <c r="R967" s="41"/>
      <c r="S967" s="41"/>
      <c r="T967" s="41"/>
      <c r="U967" s="41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41"/>
      <c r="O968" s="41"/>
      <c r="P968" s="41"/>
      <c r="Q968" s="41"/>
      <c r="R968" s="41"/>
      <c r="S968" s="41"/>
      <c r="T968" s="41"/>
      <c r="U968" s="41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41"/>
      <c r="O969" s="41"/>
      <c r="P969" s="41"/>
      <c r="Q969" s="41"/>
      <c r="R969" s="41"/>
      <c r="S969" s="41"/>
      <c r="T969" s="41"/>
      <c r="U969" s="41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41"/>
      <c r="O970" s="41"/>
      <c r="P970" s="41"/>
      <c r="Q970" s="41"/>
      <c r="R970" s="41"/>
      <c r="S970" s="41"/>
      <c r="T970" s="41"/>
      <c r="U970" s="41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41"/>
      <c r="O971" s="41"/>
      <c r="P971" s="41"/>
      <c r="Q971" s="41"/>
      <c r="R971" s="41"/>
      <c r="S971" s="41"/>
      <c r="T971" s="41"/>
      <c r="U971" s="41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41"/>
      <c r="O972" s="41"/>
      <c r="P972" s="41"/>
      <c r="Q972" s="41"/>
      <c r="R972" s="41"/>
      <c r="S972" s="41"/>
      <c r="T972" s="41"/>
      <c r="U972" s="41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41"/>
      <c r="O973" s="41"/>
      <c r="P973" s="41"/>
      <c r="Q973" s="41"/>
      <c r="R973" s="41"/>
      <c r="S973" s="41"/>
      <c r="T973" s="41"/>
      <c r="U973" s="41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41"/>
      <c r="O974" s="41"/>
      <c r="P974" s="41"/>
      <c r="Q974" s="41"/>
      <c r="R974" s="41"/>
      <c r="S974" s="41"/>
      <c r="T974" s="41"/>
      <c r="U974" s="41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41"/>
      <c r="O975" s="41"/>
      <c r="P975" s="41"/>
      <c r="Q975" s="41"/>
      <c r="R975" s="41"/>
      <c r="S975" s="41"/>
      <c r="T975" s="41"/>
      <c r="U975" s="41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41"/>
      <c r="O976" s="41"/>
      <c r="P976" s="41"/>
      <c r="Q976" s="41"/>
      <c r="R976" s="41"/>
      <c r="S976" s="41"/>
      <c r="T976" s="41"/>
      <c r="U976" s="41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41"/>
      <c r="O977" s="41"/>
      <c r="P977" s="41"/>
      <c r="Q977" s="41"/>
      <c r="R977" s="41"/>
      <c r="S977" s="41"/>
      <c r="T977" s="41"/>
      <c r="U977" s="41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41"/>
      <c r="O978" s="41"/>
      <c r="P978" s="41"/>
      <c r="Q978" s="41"/>
      <c r="R978" s="41"/>
      <c r="S978" s="41"/>
      <c r="T978" s="41"/>
      <c r="U978" s="41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41"/>
      <c r="O979" s="41"/>
      <c r="P979" s="41"/>
      <c r="Q979" s="41"/>
      <c r="R979" s="41"/>
      <c r="S979" s="41"/>
      <c r="T979" s="41"/>
      <c r="U979" s="41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41"/>
      <c r="O980" s="41"/>
      <c r="P980" s="41"/>
      <c r="Q980" s="41"/>
      <c r="R980" s="41"/>
      <c r="S980" s="41"/>
      <c r="T980" s="41"/>
      <c r="U980" s="41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41"/>
      <c r="O981" s="41"/>
      <c r="P981" s="41"/>
      <c r="Q981" s="41"/>
      <c r="R981" s="41"/>
      <c r="S981" s="41"/>
      <c r="T981" s="41"/>
      <c r="U981" s="41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41"/>
      <c r="O982" s="41"/>
      <c r="P982" s="41"/>
      <c r="Q982" s="41"/>
      <c r="R982" s="41"/>
      <c r="S982" s="41"/>
      <c r="T982" s="41"/>
      <c r="U982" s="41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41"/>
      <c r="O983" s="41"/>
      <c r="P983" s="41"/>
      <c r="Q983" s="41"/>
      <c r="R983" s="41"/>
      <c r="S983" s="41"/>
      <c r="T983" s="41"/>
      <c r="U983" s="41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41"/>
      <c r="O984" s="41"/>
      <c r="P984" s="41"/>
      <c r="Q984" s="41"/>
      <c r="R984" s="41"/>
      <c r="S984" s="41"/>
      <c r="T984" s="41"/>
      <c r="U984" s="41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41"/>
      <c r="O985" s="41"/>
      <c r="P985" s="41"/>
      <c r="Q985" s="41"/>
      <c r="R985" s="41"/>
      <c r="S985" s="41"/>
      <c r="T985" s="41"/>
      <c r="U985" s="41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41"/>
      <c r="O986" s="41"/>
      <c r="P986" s="41"/>
      <c r="Q986" s="41"/>
      <c r="R986" s="41"/>
      <c r="S986" s="41"/>
      <c r="T986" s="41"/>
      <c r="U986" s="41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41"/>
      <c r="O987" s="41"/>
      <c r="P987" s="41"/>
      <c r="Q987" s="41"/>
      <c r="R987" s="41"/>
      <c r="S987" s="41"/>
      <c r="T987" s="41"/>
      <c r="U987" s="41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41"/>
      <c r="O988" s="41"/>
      <c r="P988" s="41"/>
      <c r="Q988" s="41"/>
      <c r="R988" s="41"/>
      <c r="S988" s="41"/>
      <c r="T988" s="41"/>
      <c r="U988" s="41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41"/>
      <c r="O989" s="41"/>
      <c r="P989" s="41"/>
      <c r="Q989" s="41"/>
      <c r="R989" s="41"/>
      <c r="S989" s="41"/>
      <c r="T989" s="41"/>
      <c r="U989" s="41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41"/>
      <c r="O990" s="41"/>
      <c r="P990" s="41"/>
      <c r="Q990" s="41"/>
      <c r="R990" s="41"/>
      <c r="S990" s="41"/>
      <c r="T990" s="41"/>
      <c r="U990" s="41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41"/>
      <c r="O991" s="41"/>
      <c r="P991" s="41"/>
      <c r="Q991" s="41"/>
      <c r="R991" s="41"/>
      <c r="S991" s="41"/>
      <c r="T991" s="41"/>
      <c r="U991" s="41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41"/>
      <c r="O992" s="41"/>
      <c r="P992" s="41"/>
      <c r="Q992" s="41"/>
      <c r="R992" s="41"/>
      <c r="S992" s="41"/>
      <c r="T992" s="41"/>
      <c r="U992" s="41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41"/>
      <c r="O993" s="41"/>
      <c r="P993" s="41"/>
      <c r="Q993" s="41"/>
      <c r="R993" s="41"/>
      <c r="S993" s="41"/>
      <c r="T993" s="41"/>
      <c r="U993" s="41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41"/>
      <c r="O994" s="41"/>
      <c r="P994" s="41"/>
      <c r="Q994" s="41"/>
      <c r="R994" s="41"/>
      <c r="S994" s="41"/>
      <c r="T994" s="41"/>
      <c r="U994" s="41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41"/>
      <c r="O995" s="41"/>
      <c r="P995" s="41"/>
      <c r="Q995" s="41"/>
      <c r="R995" s="41"/>
      <c r="S995" s="41"/>
      <c r="T995" s="41"/>
      <c r="U995" s="41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41"/>
      <c r="O996" s="41"/>
      <c r="P996" s="41"/>
      <c r="Q996" s="41"/>
      <c r="R996" s="41"/>
      <c r="S996" s="41"/>
      <c r="T996" s="41"/>
      <c r="U996" s="41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41"/>
      <c r="O997" s="41"/>
      <c r="P997" s="41"/>
      <c r="Q997" s="41"/>
      <c r="R997" s="41"/>
      <c r="S997" s="41"/>
      <c r="T997" s="41"/>
      <c r="U997" s="41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41"/>
      <c r="O998" s="41"/>
      <c r="P998" s="41"/>
      <c r="Q998" s="41"/>
      <c r="R998" s="41"/>
      <c r="S998" s="41"/>
      <c r="T998" s="41"/>
      <c r="U998" s="41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41"/>
      <c r="O999" s="41"/>
      <c r="P999" s="41"/>
      <c r="Q999" s="41"/>
      <c r="R999" s="41"/>
      <c r="S999" s="41"/>
      <c r="T999" s="41"/>
      <c r="U999" s="41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41"/>
      <c r="O1000" s="41"/>
      <c r="P1000" s="41"/>
      <c r="Q1000" s="41"/>
      <c r="R1000" s="41"/>
      <c r="S1000" s="41"/>
      <c r="T1000" s="41"/>
      <c r="U1000" s="41"/>
    </row>
  </sheetData>
  <mergeCells count="13">
    <mergeCell ref="J15:M15"/>
    <mergeCell ref="N15:Q15"/>
    <mergeCell ref="R15:U15"/>
    <mergeCell ref="A26:A27"/>
    <mergeCell ref="B26:E26"/>
    <mergeCell ref="F26:I26"/>
    <mergeCell ref="A4:A5"/>
    <mergeCell ref="B4:E4"/>
    <mergeCell ref="F4:I4"/>
    <mergeCell ref="J4:M4"/>
    <mergeCell ref="A15:A16"/>
    <mergeCell ref="B15:E15"/>
    <mergeCell ref="F15:I15"/>
  </mergeCells>
  <conditionalFormatting sqref="F28:I40">
    <cfRule type="cellIs" dxfId="0" priority="1" operator="lessThan">
      <formula>-0.0001</formula>
    </cfRule>
  </conditionalFormatting>
  <conditionalFormatting sqref="F28:I40">
    <cfRule type="cellIs" dxfId="1" priority="2" operator="greaterThan">
      <formula>0.1</formula>
    </cfRule>
  </conditionalFormatting>
  <conditionalFormatting sqref="F6:M10">
    <cfRule type="cellIs" dxfId="0" priority="3" operator="lessThan">
      <formula>-0.0001</formula>
    </cfRule>
  </conditionalFormatting>
  <conditionalFormatting sqref="F6:M10">
    <cfRule type="cellIs" dxfId="1" priority="4" operator="greaterThan">
      <formula>0.1</formula>
    </cfRule>
  </conditionalFormatting>
  <conditionalFormatting sqref="F17:M20">
    <cfRule type="cellIs" dxfId="0" priority="5" operator="lessThan">
      <formula>-0.0001</formula>
    </cfRule>
  </conditionalFormatting>
  <conditionalFormatting sqref="F17:M20">
    <cfRule type="cellIs" dxfId="1" priority="6" operator="greaterThan">
      <formula>0.1</formula>
    </cfRule>
  </conditionalFormatting>
  <conditionalFormatting sqref="P5:P10">
    <cfRule type="cellIs" dxfId="0" priority="7" operator="lessThan">
      <formula>-0.0001</formula>
    </cfRule>
  </conditionalFormatting>
  <conditionalFormatting sqref="P5:P10">
    <cfRule type="cellIs" dxfId="1" priority="8" operator="greaterThan">
      <formula>0.1</formula>
    </cfRule>
  </conditionalFormatting>
  <conditionalFormatting sqref="S27:S31">
    <cfRule type="cellIs" dxfId="0" priority="9" operator="lessThan">
      <formula>-0.0001</formula>
    </cfRule>
  </conditionalFormatting>
  <conditionalFormatting sqref="S27:S31">
    <cfRule type="cellIs" dxfId="1" priority="10" operator="greaterThan">
      <formula>0.1</formula>
    </cfRule>
  </conditionalFormatting>
  <conditionalFormatting sqref="S38:S42">
    <cfRule type="cellIs" dxfId="0" priority="11" operator="lessThan">
      <formula>-0.0001</formula>
    </cfRule>
  </conditionalFormatting>
  <conditionalFormatting sqref="S38:S42">
    <cfRule type="cellIs" dxfId="1" priority="12" operator="greaterThan">
      <formula>0.1</formula>
    </cfRule>
  </conditionalFormatting>
  <conditionalFormatting sqref="U8:U13">
    <cfRule type="cellIs" dxfId="0" priority="13" operator="lessThan">
      <formula>-0.0001</formula>
    </cfRule>
  </conditionalFormatting>
  <conditionalFormatting sqref="U8:U13">
    <cfRule type="cellIs" dxfId="1" priority="14" operator="greaterThan">
      <formula>0.1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4.43" defaultRowHeight="15.0"/>
  <cols>
    <col customWidth="1" min="1" max="1" width="27.57"/>
    <col customWidth="1" min="2" max="2" width="10.14"/>
    <col customWidth="1" min="3" max="3" width="10.43"/>
    <col customWidth="1" min="4" max="4" width="10.71"/>
    <col customWidth="1" min="5" max="5" width="11.0"/>
    <col customWidth="1" min="6" max="6" width="11.71"/>
    <col customWidth="1" min="7" max="7" width="13.57"/>
    <col customWidth="1" min="8" max="8" width="14.71"/>
    <col customWidth="1" min="9" max="9" width="13.57"/>
    <col customWidth="1" min="10" max="10" width="15.0"/>
    <col customWidth="1" min="11" max="11" width="16.14"/>
    <col customWidth="1" min="12" max="12" width="15.0"/>
    <col customWidth="1" min="13" max="13" width="13.57"/>
    <col customWidth="1" min="14" max="15" width="16.43"/>
    <col customWidth="1" min="16" max="26" width="27.71"/>
  </cols>
  <sheetData>
    <row r="1" ht="15.75" customHeight="1">
      <c r="A1" s="1"/>
      <c r="B1" s="1"/>
      <c r="C1" s="1"/>
      <c r="D1" s="2" t="s">
        <v>0</v>
      </c>
      <c r="E1" s="3"/>
      <c r="F1" s="4"/>
      <c r="G1" s="5"/>
      <c r="H1" s="6" t="s">
        <v>129</v>
      </c>
      <c r="I1" s="3"/>
      <c r="J1" s="3"/>
      <c r="K1" s="4"/>
      <c r="L1" s="7" t="s">
        <v>130</v>
      </c>
      <c r="M1" s="8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3</v>
      </c>
      <c r="B2" s="12" t="s">
        <v>4</v>
      </c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" t="s">
        <v>6</v>
      </c>
      <c r="I2" s="14" t="s">
        <v>7</v>
      </c>
      <c r="J2" s="14" t="s">
        <v>10</v>
      </c>
      <c r="K2" s="14" t="s">
        <v>9</v>
      </c>
      <c r="L2" s="15" t="s">
        <v>6</v>
      </c>
      <c r="M2" s="15" t="s">
        <v>11</v>
      </c>
      <c r="N2" s="15" t="s">
        <v>10</v>
      </c>
      <c r="O2" s="15" t="s">
        <v>12</v>
      </c>
      <c r="P2" s="16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" t="s">
        <v>13</v>
      </c>
      <c r="B3" s="1" t="s">
        <v>14</v>
      </c>
      <c r="C3" s="1" t="s">
        <v>15</v>
      </c>
      <c r="D3" s="17">
        <f t="shared" ref="D3:E3" si="1">IF(H3=0,0%,IF(L3=0,100%,H3/L3-1))</f>
        <v>4.346463393</v>
      </c>
      <c r="E3" s="17">
        <f t="shared" si="1"/>
        <v>-0.6326345572</v>
      </c>
      <c r="F3" s="17">
        <f t="shared" ref="F3:G3" si="2">IF(J3=0,0%,IF(N3=G29,100%,J3/N3-1))</f>
        <v>-2.20946046</v>
      </c>
      <c r="G3" s="17">
        <f t="shared" si="2"/>
        <v>0.9890069309</v>
      </c>
      <c r="H3" s="18">
        <v>1186448.9887262546</v>
      </c>
      <c r="I3" s="18">
        <v>39420.64323137776</v>
      </c>
      <c r="J3" s="18">
        <v>1251596.6083392054</v>
      </c>
      <c r="K3" s="18">
        <v>6815587.089999996</v>
      </c>
      <c r="L3" s="19">
        <v>221912.8611624837</v>
      </c>
      <c r="M3" s="19">
        <v>107306.345782271</v>
      </c>
      <c r="N3" s="19">
        <v>-1034838.7974489881</v>
      </c>
      <c r="O3" s="19">
        <v>3426628.124954</v>
      </c>
      <c r="P3" s="2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" t="s">
        <v>16</v>
      </c>
      <c r="B4" s="1" t="s">
        <v>14</v>
      </c>
      <c r="C4" s="1" t="s">
        <v>15</v>
      </c>
      <c r="D4" s="17">
        <f t="shared" ref="D4:F4" si="3">IF(H4=0,0%,IF(L4=0,100%,H4/L4-1))</f>
        <v>-0.9681798322</v>
      </c>
      <c r="E4" s="17">
        <f t="shared" si="3"/>
        <v>-0.147383327</v>
      </c>
      <c r="F4" s="17">
        <f t="shared" si="3"/>
        <v>-0.8568182769</v>
      </c>
      <c r="G4" s="17">
        <f t="shared" ref="G4:G5" si="5">IF(K4=0,0%,IF(O4=H30,100%,K4/O4-1))</f>
        <v>-4.436718934</v>
      </c>
      <c r="H4" s="18">
        <v>11066.68497027387</v>
      </c>
      <c r="I4" s="18">
        <v>15.19703957968386</v>
      </c>
      <c r="J4" s="18">
        <v>384174.7042064802</v>
      </c>
      <c r="K4" s="18">
        <v>-448608.3600000001</v>
      </c>
      <c r="L4" s="19">
        <v>347788.39120158716</v>
      </c>
      <c r="M4" s="19">
        <v>17.824000000001433</v>
      </c>
      <c r="N4" s="19">
        <v>2683126.6999999993</v>
      </c>
      <c r="O4" s="19">
        <v>130533.91000000015</v>
      </c>
      <c r="P4" s="2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" t="s">
        <v>17</v>
      </c>
      <c r="B5" s="1" t="s">
        <v>14</v>
      </c>
      <c r="C5" s="1" t="s">
        <v>15</v>
      </c>
      <c r="D5" s="17">
        <f t="shared" ref="D5:F5" si="4">IF(H5=0,0%,IF(L5=0,100%,H5/L5-1))</f>
        <v>0</v>
      </c>
      <c r="E5" s="17">
        <f t="shared" si="4"/>
        <v>1</v>
      </c>
      <c r="F5" s="17">
        <f t="shared" si="4"/>
        <v>0</v>
      </c>
      <c r="G5" s="17">
        <f t="shared" si="5"/>
        <v>0</v>
      </c>
      <c r="H5" s="18">
        <v>0.0</v>
      </c>
      <c r="I5" s="18">
        <v>5243.032383689613</v>
      </c>
      <c r="J5" s="18">
        <v>0.0</v>
      </c>
      <c r="K5" s="18">
        <v>0.0</v>
      </c>
      <c r="L5" s="19"/>
      <c r="M5" s="19"/>
      <c r="N5" s="19"/>
      <c r="O5" s="19"/>
      <c r="P5" s="2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1" t="s">
        <v>18</v>
      </c>
      <c r="B6" s="1" t="s">
        <v>14</v>
      </c>
      <c r="C6" s="21" t="s">
        <v>15</v>
      </c>
      <c r="D6" s="22">
        <f t="shared" ref="D6:F6" si="6">IF(H6=0,0%,IF(L6=0,100%,H6/L6-1))</f>
        <v>1</v>
      </c>
      <c r="E6" s="22">
        <f t="shared" si="6"/>
        <v>1</v>
      </c>
      <c r="F6" s="22">
        <f t="shared" si="6"/>
        <v>1</v>
      </c>
      <c r="G6" s="17">
        <v>-1.0</v>
      </c>
      <c r="H6" s="18">
        <v>85112.75427298303</v>
      </c>
      <c r="I6" s="18">
        <v>6868.009536323647</v>
      </c>
      <c r="J6" s="18">
        <v>270680.3347</v>
      </c>
      <c r="K6" s="18">
        <v>1043513.6499999999</v>
      </c>
      <c r="L6" s="19"/>
      <c r="M6" s="19"/>
      <c r="N6" s="19"/>
      <c r="O6" s="19"/>
      <c r="P6" s="2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" t="s">
        <v>19</v>
      </c>
      <c r="B7" s="1" t="s">
        <v>14</v>
      </c>
      <c r="C7" s="23" t="s">
        <v>15</v>
      </c>
      <c r="D7" s="17">
        <f t="shared" ref="D7:F7" si="7">IF(H7=0,0%,IF(L7=0,100%,H7/L7-1))</f>
        <v>-0.891555634</v>
      </c>
      <c r="E7" s="17">
        <f t="shared" si="7"/>
        <v>36.90006699</v>
      </c>
      <c r="F7" s="17">
        <f t="shared" si="7"/>
        <v>-0.7239226435</v>
      </c>
      <c r="G7" s="17">
        <f t="shared" ref="G7:G8" si="9">IF(K7=0,0%,IF(O7=H74,100%,K7/O7-1))</f>
        <v>-0.7353202922</v>
      </c>
      <c r="H7" s="18">
        <v>24.57999999999811</v>
      </c>
      <c r="I7" s="18">
        <v>525.22</v>
      </c>
      <c r="J7" s="18">
        <v>36.26000000000022</v>
      </c>
      <c r="K7" s="18">
        <v>157.62999999999738</v>
      </c>
      <c r="L7" s="19">
        <v>226.6600000000035</v>
      </c>
      <c r="M7" s="19">
        <v>13.858023000000685</v>
      </c>
      <c r="N7" s="19">
        <v>131.34000000000015</v>
      </c>
      <c r="O7" s="19">
        <v>595.5500000000029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6.25" customHeight="1">
      <c r="A8" s="24" t="s">
        <v>20</v>
      </c>
      <c r="B8" s="25"/>
      <c r="C8" s="25"/>
      <c r="D8" s="26">
        <f t="shared" ref="D8:F8" si="8">IF(H8=0,0%,IF(L8=0,100%,H8/L8-1))</f>
        <v>1.250553061</v>
      </c>
      <c r="E8" s="26">
        <f t="shared" si="8"/>
        <v>-0.5148774087</v>
      </c>
      <c r="F8" s="26">
        <f t="shared" si="8"/>
        <v>0.1565552367</v>
      </c>
      <c r="G8" s="17">
        <f t="shared" si="9"/>
        <v>1.082955298</v>
      </c>
      <c r="H8" s="27">
        <f t="shared" ref="H8:O8" si="10">SUM(H3:H7)</f>
        <v>1282653.008</v>
      </c>
      <c r="I8" s="27">
        <f t="shared" si="10"/>
        <v>52072.10219</v>
      </c>
      <c r="J8" s="27">
        <f t="shared" si="10"/>
        <v>1906487.907</v>
      </c>
      <c r="K8" s="27">
        <f t="shared" si="10"/>
        <v>7410650.01</v>
      </c>
      <c r="L8" s="27">
        <f t="shared" si="10"/>
        <v>569927.9124</v>
      </c>
      <c r="M8" s="27">
        <f t="shared" si="10"/>
        <v>107338.0278</v>
      </c>
      <c r="N8" s="27">
        <f t="shared" si="10"/>
        <v>1648419.243</v>
      </c>
      <c r="O8" s="27">
        <f t="shared" si="10"/>
        <v>3557757.585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23" t="s">
        <v>21</v>
      </c>
      <c r="B9" s="1" t="s">
        <v>14</v>
      </c>
      <c r="C9" s="23" t="s">
        <v>22</v>
      </c>
      <c r="D9" s="28">
        <f t="shared" ref="D9:F9" si="11">IF(H9=0,0%,IF(L9=0,100%,H9/L9-1))</f>
        <v>1</v>
      </c>
      <c r="E9" s="28">
        <f t="shared" si="11"/>
        <v>6.748888889</v>
      </c>
      <c r="F9" s="28">
        <f t="shared" si="11"/>
        <v>0</v>
      </c>
      <c r="G9" s="28">
        <f t="shared" ref="G9:G11" si="13">IF(K9=0,0%,IF(O9=H33,100%,K9/O9-1))</f>
        <v>-0.9299218668</v>
      </c>
      <c r="H9" s="18">
        <v>-4439.454720440655</v>
      </c>
      <c r="I9" s="18">
        <v>3.48700000000008</v>
      </c>
      <c r="J9" s="18">
        <v>0.0</v>
      </c>
      <c r="K9" s="18">
        <v>-8803.690000000002</v>
      </c>
      <c r="L9" s="19">
        <v>0.0</v>
      </c>
      <c r="M9" s="19">
        <v>0.4500000000000455</v>
      </c>
      <c r="N9" s="19">
        <v>0.0</v>
      </c>
      <c r="O9" s="19">
        <v>-125626.77690599987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" t="s">
        <v>23</v>
      </c>
      <c r="B10" s="1" t="s">
        <v>14</v>
      </c>
      <c r="C10" s="1" t="s">
        <v>22</v>
      </c>
      <c r="D10" s="17">
        <f t="shared" ref="D10:F10" si="12">IF(H10=0,0%,IF(L10=0,100%,H10/L10-1))</f>
        <v>0.5210168173</v>
      </c>
      <c r="E10" s="17">
        <f t="shared" si="12"/>
        <v>4.630382866</v>
      </c>
      <c r="F10" s="17">
        <f t="shared" si="12"/>
        <v>-0.9724235543</v>
      </c>
      <c r="G10" s="17">
        <f t="shared" si="13"/>
        <v>-3.105362453</v>
      </c>
      <c r="H10" s="18">
        <v>130266.0614535322</v>
      </c>
      <c r="I10" s="18">
        <v>221071.45581691503</v>
      </c>
      <c r="J10" s="18">
        <v>12734.931289667264</v>
      </c>
      <c r="K10" s="18">
        <v>250362.65000000014</v>
      </c>
      <c r="L10" s="19">
        <v>85644.06387101859</v>
      </c>
      <c r="M10" s="19">
        <v>39264.01828913344</v>
      </c>
      <c r="N10" s="19">
        <v>461804.66534805903</v>
      </c>
      <c r="O10" s="19">
        <v>-118916.6499999999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" t="s">
        <v>24</v>
      </c>
      <c r="B11" s="1" t="s">
        <v>14</v>
      </c>
      <c r="C11" s="1" t="s">
        <v>22</v>
      </c>
      <c r="D11" s="17">
        <f t="shared" ref="D11:F11" si="14">IF(H11=0,0%,IF(L11=0,100%,H11/L11-1))</f>
        <v>-1.603637705</v>
      </c>
      <c r="E11" s="17">
        <f t="shared" si="14"/>
        <v>-0.9876638878</v>
      </c>
      <c r="F11" s="17">
        <f t="shared" si="14"/>
        <v>7.462804978</v>
      </c>
      <c r="G11" s="17">
        <f t="shared" si="13"/>
        <v>-0.5345731085</v>
      </c>
      <c r="H11" s="18">
        <v>736.0694244436745</v>
      </c>
      <c r="I11" s="18">
        <v>139.28992091802502</v>
      </c>
      <c r="J11" s="18">
        <v>230307.3271645765</v>
      </c>
      <c r="K11" s="18">
        <v>85265.1499999999</v>
      </c>
      <c r="L11" s="19">
        <v>-1219.3894086870132</v>
      </c>
      <c r="M11" s="19">
        <v>11291.23334799998</v>
      </c>
      <c r="N11" s="19">
        <v>27214.0652845155</v>
      </c>
      <c r="O11" s="19">
        <v>183197.7300000001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" t="s">
        <v>25</v>
      </c>
      <c r="B12" s="1" t="s">
        <v>14</v>
      </c>
      <c r="C12" s="1" t="s">
        <v>22</v>
      </c>
      <c r="D12" s="17">
        <f t="shared" ref="D12:F12" si="15">IF(H12=0,0%,IF(L12=0,100%,H12/L12-1))</f>
        <v>82102.34704</v>
      </c>
      <c r="E12" s="17">
        <f t="shared" si="15"/>
        <v>67.32485404</v>
      </c>
      <c r="F12" s="17">
        <f t="shared" si="15"/>
        <v>1</v>
      </c>
      <c r="G12" s="17">
        <v>1.0</v>
      </c>
      <c r="H12" s="18">
        <v>63219.57721854307</v>
      </c>
      <c r="I12" s="18">
        <v>9426.780112</v>
      </c>
      <c r="J12" s="18">
        <v>1192833.06</v>
      </c>
      <c r="K12" s="18">
        <v>416166.46</v>
      </c>
      <c r="L12" s="19">
        <v>0.7700000000000102</v>
      </c>
      <c r="M12" s="19">
        <v>137.96999999999997</v>
      </c>
      <c r="N12" s="19">
        <v>0.0</v>
      </c>
      <c r="O12" s="19">
        <v>0.0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" t="s">
        <v>26</v>
      </c>
      <c r="B13" s="1" t="s">
        <v>14</v>
      </c>
      <c r="C13" s="1" t="s">
        <v>22</v>
      </c>
      <c r="D13" s="17">
        <f t="shared" ref="D13:F13" si="16">IF(H13=0,0%,IF(L13=0,100%,H13/L13-1))</f>
        <v>-237.6745272</v>
      </c>
      <c r="E13" s="17">
        <f t="shared" si="16"/>
        <v>-0.8265817969</v>
      </c>
      <c r="F13" s="17">
        <f t="shared" si="16"/>
        <v>-0.4773626031</v>
      </c>
      <c r="G13" s="17">
        <f t="shared" ref="G13:G14" si="18">IF(K13=0,0%,IF(O13=H37,100%,K13/O13-1))</f>
        <v>-8.183756806</v>
      </c>
      <c r="H13" s="18">
        <v>34081.179187</v>
      </c>
      <c r="I13" s="18">
        <v>4085.4385467828542</v>
      </c>
      <c r="J13" s="18">
        <v>2349.83</v>
      </c>
      <c r="K13" s="18">
        <v>-4433.24</v>
      </c>
      <c r="L13" s="19">
        <v>-144.000199735644</v>
      </c>
      <c r="M13" s="19">
        <v>23558.30284029845</v>
      </c>
      <c r="N13" s="19">
        <v>4496.099999999977</v>
      </c>
      <c r="O13" s="19">
        <v>617.1199999999953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" t="s">
        <v>27</v>
      </c>
      <c r="B14" s="1" t="s">
        <v>14</v>
      </c>
      <c r="C14" s="1" t="s">
        <v>22</v>
      </c>
      <c r="D14" s="17">
        <f t="shared" ref="D14:F14" si="17">IF(H14=0,0%,IF(L14=0,100%,H14/L14-1))</f>
        <v>-0.9542369515</v>
      </c>
      <c r="E14" s="17">
        <f t="shared" si="17"/>
        <v>2.058839793</v>
      </c>
      <c r="F14" s="17">
        <f t="shared" si="17"/>
        <v>-0.9731084623</v>
      </c>
      <c r="G14" s="17">
        <f t="shared" si="18"/>
        <v>-3.46341293</v>
      </c>
      <c r="H14" s="18">
        <v>6989.088319830917</v>
      </c>
      <c r="I14" s="18">
        <v>15639.567000000003</v>
      </c>
      <c r="J14" s="18">
        <v>974.2399999999907</v>
      </c>
      <c r="K14" s="18">
        <v>-579566.48</v>
      </c>
      <c r="L14" s="19">
        <v>152723.399015725</v>
      </c>
      <c r="M14" s="19">
        <v>5112.908179739963</v>
      </c>
      <c r="N14" s="19">
        <v>36228.49726500001</v>
      </c>
      <c r="O14" s="19">
        <v>235269.7239780007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" t="s">
        <v>28</v>
      </c>
      <c r="B15" s="1" t="s">
        <v>14</v>
      </c>
      <c r="C15" s="1" t="s">
        <v>22</v>
      </c>
      <c r="D15" s="17">
        <f t="shared" ref="D15:F15" si="19">IF(H15=0,0%,IF(L15=0,100%,H15/L15-1))</f>
        <v>-4.146985008</v>
      </c>
      <c r="E15" s="17">
        <f t="shared" si="19"/>
        <v>0</v>
      </c>
      <c r="F15" s="17">
        <f t="shared" si="19"/>
        <v>1</v>
      </c>
      <c r="G15" s="17">
        <v>1.0</v>
      </c>
      <c r="H15" s="18">
        <v>-8037.619999999995</v>
      </c>
      <c r="I15" s="18">
        <v>0.0</v>
      </c>
      <c r="J15" s="18">
        <v>-6369.299999999988</v>
      </c>
      <c r="K15" s="18">
        <v>338.00999999999476</v>
      </c>
      <c r="L15" s="19">
        <v>2554.0699999999997</v>
      </c>
      <c r="M15" s="19">
        <v>595.2055065009288</v>
      </c>
      <c r="N15" s="19">
        <v>0.0</v>
      </c>
      <c r="O15" s="19">
        <v>0.0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" t="s">
        <v>29</v>
      </c>
      <c r="B16" s="1" t="s">
        <v>14</v>
      </c>
      <c r="C16" s="1" t="s">
        <v>22</v>
      </c>
      <c r="D16" s="17">
        <f t="shared" ref="D16:F16" si="20">IF(H16=0,0%,IF(L16=0,100%,H16/L16-1))</f>
        <v>-1.40446939</v>
      </c>
      <c r="E16" s="17">
        <f t="shared" si="20"/>
        <v>0.1131973864</v>
      </c>
      <c r="F16" s="17">
        <f t="shared" si="20"/>
        <v>25.33580087</v>
      </c>
      <c r="G16" s="17">
        <f t="shared" ref="G16:G20" si="22">IF(K16=0,0%,IF(O16=H40,100%,K16/O16-1))</f>
        <v>4.295134189</v>
      </c>
      <c r="H16" s="18">
        <v>16437.59091</v>
      </c>
      <c r="I16" s="18">
        <v>2060.928</v>
      </c>
      <c r="J16" s="18">
        <v>19275.24</v>
      </c>
      <c r="K16" s="18">
        <v>15176.229999999996</v>
      </c>
      <c r="L16" s="19">
        <v>-40639.888542999994</v>
      </c>
      <c r="M16" s="19">
        <v>1851.3590000000004</v>
      </c>
      <c r="N16" s="19">
        <v>731.9025569999976</v>
      </c>
      <c r="O16" s="19">
        <v>2866.070898000001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" t="s">
        <v>30</v>
      </c>
      <c r="B17" s="1" t="s">
        <v>14</v>
      </c>
      <c r="C17" s="1" t="s">
        <v>22</v>
      </c>
      <c r="D17" s="17">
        <f t="shared" ref="D17:F17" si="21">IF(H17=0,0%,IF(L17=0,100%,H17/L17-1))</f>
        <v>-0.3778572046</v>
      </c>
      <c r="E17" s="17">
        <f t="shared" si="21"/>
        <v>-5.831672865</v>
      </c>
      <c r="F17" s="17">
        <f t="shared" si="21"/>
        <v>-0.8885537455</v>
      </c>
      <c r="G17" s="17">
        <f t="shared" si="22"/>
        <v>-0.3485826766</v>
      </c>
      <c r="H17" s="18">
        <v>49946.76922548434</v>
      </c>
      <c r="I17" s="18">
        <v>23101.80534358992</v>
      </c>
      <c r="J17" s="18">
        <v>474863.5325619988</v>
      </c>
      <c r="K17" s="18">
        <v>-264825.29000000004</v>
      </c>
      <c r="L17" s="19">
        <v>80281.84140100027</v>
      </c>
      <c r="M17" s="19">
        <v>-4781.32646610809</v>
      </c>
      <c r="N17" s="19">
        <v>4260919.621022</v>
      </c>
      <c r="O17" s="19">
        <v>-406537.0700000003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" t="s">
        <v>31</v>
      </c>
      <c r="B18" s="1" t="s">
        <v>14</v>
      </c>
      <c r="C18" s="1" t="s">
        <v>22</v>
      </c>
      <c r="D18" s="17">
        <f t="shared" ref="D18:F18" si="23">IF(H18=0,0%,IF(L18=0,100%,H18/L18-1))</f>
        <v>-0.8567652566</v>
      </c>
      <c r="E18" s="17">
        <f t="shared" si="23"/>
        <v>-0.4168347822</v>
      </c>
      <c r="F18" s="17">
        <f t="shared" si="23"/>
        <v>-0.6117972589</v>
      </c>
      <c r="G18" s="17">
        <f t="shared" si="22"/>
        <v>-0.6714166088</v>
      </c>
      <c r="H18" s="18">
        <v>73811.3833949368</v>
      </c>
      <c r="I18" s="18">
        <v>27746.315029305682</v>
      </c>
      <c r="J18" s="18">
        <v>1543853.7834328422</v>
      </c>
      <c r="K18" s="18">
        <v>1403133.0850000004</v>
      </c>
      <c r="L18" s="19">
        <v>515317.5942999837</v>
      </c>
      <c r="M18" s="19">
        <v>47578.823600221396</v>
      </c>
      <c r="N18" s="19">
        <v>3976926.539078446</v>
      </c>
      <c r="O18" s="19">
        <v>4270249.57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" t="s">
        <v>32</v>
      </c>
      <c r="B19" s="1" t="s">
        <v>14</v>
      </c>
      <c r="C19" s="1" t="s">
        <v>22</v>
      </c>
      <c r="D19" s="17">
        <f t="shared" ref="D19:F19" si="24">IF(H19=0,0%,IF(L19=0,100%,H19/L19-1))</f>
        <v>-9.227572964</v>
      </c>
      <c r="E19" s="17">
        <f t="shared" si="24"/>
        <v>-33.2370321</v>
      </c>
      <c r="F19" s="17">
        <f t="shared" si="24"/>
        <v>0</v>
      </c>
      <c r="G19" s="17">
        <f t="shared" si="22"/>
        <v>0</v>
      </c>
      <c r="H19" s="18">
        <v>-1198445.6162213662</v>
      </c>
      <c r="I19" s="18">
        <v>-51743.43243488489</v>
      </c>
      <c r="J19" s="18">
        <v>0.0</v>
      </c>
      <c r="K19" s="18">
        <v>0.0</v>
      </c>
      <c r="L19" s="19">
        <v>145662.1073455867</v>
      </c>
      <c r="M19" s="19">
        <v>1605.0929338368514</v>
      </c>
      <c r="N19" s="19">
        <v>81383.21945000002</v>
      </c>
      <c r="O19" s="19">
        <v>901557.295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1" t="s">
        <v>33</v>
      </c>
      <c r="B20" s="1" t="s">
        <v>14</v>
      </c>
      <c r="C20" s="1" t="s">
        <v>22</v>
      </c>
      <c r="D20" s="17">
        <f t="shared" ref="D20:F20" si="25">IF(H20=0,0%,IF(L20=0,100%,H20/L20-1))</f>
        <v>0</v>
      </c>
      <c r="E20" s="17">
        <f t="shared" si="25"/>
        <v>0</v>
      </c>
      <c r="F20" s="17">
        <f t="shared" si="25"/>
        <v>0</v>
      </c>
      <c r="G20" s="17">
        <f t="shared" si="22"/>
        <v>0</v>
      </c>
      <c r="H20" s="18"/>
      <c r="I20" s="18"/>
      <c r="J20" s="18"/>
      <c r="K20" s="18"/>
      <c r="L20" s="19"/>
      <c r="M20" s="19"/>
      <c r="N20" s="19"/>
      <c r="O20" s="1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1" t="s">
        <v>34</v>
      </c>
      <c r="B21" s="1" t="s">
        <v>14</v>
      </c>
      <c r="C21" s="21" t="s">
        <v>22</v>
      </c>
      <c r="D21" s="22">
        <f t="shared" ref="D21:F21" si="26">IF(H21=0,0%,IF(L21=0,100%,H21/L21-1))</f>
        <v>0</v>
      </c>
      <c r="E21" s="22">
        <f t="shared" si="26"/>
        <v>0</v>
      </c>
      <c r="F21" s="22">
        <f t="shared" si="26"/>
        <v>0</v>
      </c>
      <c r="G21" s="17">
        <f t="shared" ref="G21:G30" si="28">IF(K21=0,0%,IF(O21=H44,100%,K21/O21-1))</f>
        <v>0</v>
      </c>
      <c r="H21" s="18">
        <v>0.0</v>
      </c>
      <c r="I21" s="18">
        <v>0.0</v>
      </c>
      <c r="J21" s="18">
        <v>0.0</v>
      </c>
      <c r="K21" s="18">
        <v>0.0</v>
      </c>
      <c r="L21" s="19">
        <v>0.0</v>
      </c>
      <c r="M21" s="19">
        <v>-572.4311955000003</v>
      </c>
      <c r="N21" s="19">
        <v>-18934.438986000023</v>
      </c>
      <c r="O21" s="19">
        <v>0.0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24" t="s">
        <v>35</v>
      </c>
      <c r="B22" s="25"/>
      <c r="C22" s="25"/>
      <c r="D22" s="26">
        <f t="shared" ref="D22:F22" si="27">IF(H22=0,0%,IF(L22=0,100%,H22/L22-1))</f>
        <v>-1.888589916</v>
      </c>
      <c r="E22" s="26">
        <f t="shared" si="27"/>
        <v>1.001977229</v>
      </c>
      <c r="F22" s="26">
        <f t="shared" si="27"/>
        <v>-0.6069626344</v>
      </c>
      <c r="G22" s="17">
        <f t="shared" si="28"/>
        <v>-0.7343923381</v>
      </c>
      <c r="H22" s="27">
        <f t="shared" ref="H22:O22" si="29">SUM(H9:H21)</f>
        <v>-835434.9718</v>
      </c>
      <c r="I22" s="27">
        <f t="shared" si="29"/>
        <v>251531.6343</v>
      </c>
      <c r="J22" s="27">
        <f t="shared" si="29"/>
        <v>3470822.644</v>
      </c>
      <c r="K22" s="27">
        <f t="shared" si="29"/>
        <v>1312812.885</v>
      </c>
      <c r="L22" s="27">
        <f t="shared" si="29"/>
        <v>940180.5678</v>
      </c>
      <c r="M22" s="27">
        <f t="shared" si="29"/>
        <v>125641.606</v>
      </c>
      <c r="N22" s="27">
        <f t="shared" si="29"/>
        <v>8830770.171</v>
      </c>
      <c r="O22" s="27">
        <f t="shared" si="29"/>
        <v>4942677.013</v>
      </c>
      <c r="P22" s="29"/>
      <c r="Q22" s="29"/>
      <c r="R22" s="29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3" t="s">
        <v>36</v>
      </c>
      <c r="B23" s="23" t="s">
        <v>37</v>
      </c>
      <c r="C23" s="23" t="s">
        <v>38</v>
      </c>
      <c r="D23" s="28">
        <f t="shared" ref="D23:F23" si="30">IF(H23=0,0%,IF(L23=0,100%,H23/L23-1))</f>
        <v>2.907326778</v>
      </c>
      <c r="E23" s="28">
        <f t="shared" si="30"/>
        <v>-17.16889352</v>
      </c>
      <c r="F23" s="28">
        <f t="shared" si="30"/>
        <v>-0.9114610032</v>
      </c>
      <c r="G23" s="17">
        <f t="shared" si="28"/>
        <v>-0.3842415603</v>
      </c>
      <c r="H23" s="18">
        <v>240171.58927999984</v>
      </c>
      <c r="I23" s="18">
        <v>84039.147</v>
      </c>
      <c r="J23" s="18">
        <v>-2505.0</v>
      </c>
      <c r="K23" s="18">
        <v>246693.56000000052</v>
      </c>
      <c r="L23" s="19">
        <v>61466.98315899982</v>
      </c>
      <c r="M23" s="19">
        <v>-5197.581821</v>
      </c>
      <c r="N23" s="19">
        <v>-28292.61784600001</v>
      </c>
      <c r="O23" s="19">
        <v>400633.6642640005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0" t="s">
        <v>39</v>
      </c>
      <c r="B24" s="1" t="s">
        <v>37</v>
      </c>
      <c r="C24" s="23" t="s">
        <v>38</v>
      </c>
      <c r="D24" s="17">
        <f t="shared" ref="D24:F24" si="31">IF(H24=0,0%,IF(L24=0,100%,H24/L24-1))</f>
        <v>0</v>
      </c>
      <c r="E24" s="17">
        <f t="shared" si="31"/>
        <v>-1.000871044</v>
      </c>
      <c r="F24" s="17">
        <f t="shared" si="31"/>
        <v>0</v>
      </c>
      <c r="G24" s="17">
        <f t="shared" si="28"/>
        <v>0</v>
      </c>
      <c r="H24" s="18">
        <v>0.0</v>
      </c>
      <c r="I24" s="18">
        <v>11.864060699732818</v>
      </c>
      <c r="J24" s="18">
        <v>0.0</v>
      </c>
      <c r="K24" s="18">
        <v>0.0</v>
      </c>
      <c r="L24" s="19">
        <v>-32151.940754999996</v>
      </c>
      <c r="M24" s="19">
        <v>-13620.508735999998</v>
      </c>
      <c r="N24" s="19">
        <v>-237911.17755900003</v>
      </c>
      <c r="O24" s="19">
        <v>485518.60698499996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0" t="s">
        <v>40</v>
      </c>
      <c r="B25" s="1" t="s">
        <v>37</v>
      </c>
      <c r="C25" s="23" t="s">
        <v>38</v>
      </c>
      <c r="D25" s="17">
        <f t="shared" ref="D25:F25" si="32">IF(H25=0,0%,IF(L25=0,100%,H25/L25-1))</f>
        <v>0.6933645997</v>
      </c>
      <c r="E25" s="17">
        <f t="shared" si="32"/>
        <v>-0.4085979396</v>
      </c>
      <c r="F25" s="17">
        <f t="shared" si="32"/>
        <v>-0.6868706667</v>
      </c>
      <c r="G25" s="17" t="str">
        <f t="shared" si="28"/>
        <v>#DIV/0!</v>
      </c>
      <c r="H25" s="18">
        <v>15150.66338876385</v>
      </c>
      <c r="I25" s="18">
        <v>979.4240340319575</v>
      </c>
      <c r="J25" s="18">
        <v>15.299008008993042</v>
      </c>
      <c r="K25" s="18">
        <v>-14017.99</v>
      </c>
      <c r="L25" s="19">
        <v>8947.076956619308</v>
      </c>
      <c r="M25" s="19">
        <v>1656.1052110000019</v>
      </c>
      <c r="N25" s="19">
        <v>48.85843126069085</v>
      </c>
      <c r="O25" s="19">
        <v>0.0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0" t="s">
        <v>41</v>
      </c>
      <c r="B26" s="1" t="s">
        <v>37</v>
      </c>
      <c r="C26" s="23" t="s">
        <v>38</v>
      </c>
      <c r="D26" s="17">
        <f t="shared" ref="D26:F26" si="33">IF(H26=0,0%,IF(L26=0,100%,H26/L26-1))</f>
        <v>-0.505673234</v>
      </c>
      <c r="E26" s="17">
        <f t="shared" si="33"/>
        <v>-0.1803775681</v>
      </c>
      <c r="F26" s="17">
        <f t="shared" si="33"/>
        <v>-0.3254620557</v>
      </c>
      <c r="G26" s="17">
        <f t="shared" si="28"/>
        <v>0.1366118227</v>
      </c>
      <c r="H26" s="18">
        <v>125116.90885019803</v>
      </c>
      <c r="I26" s="18">
        <v>19999.567070000005</v>
      </c>
      <c r="J26" s="18">
        <v>231741.55799999996</v>
      </c>
      <c r="K26" s="18">
        <v>603057.4200000002</v>
      </c>
      <c r="L26" s="19">
        <v>253105.6731169992</v>
      </c>
      <c r="M26" s="19">
        <v>24400.95132999998</v>
      </c>
      <c r="N26" s="19">
        <v>343555.99999999965</v>
      </c>
      <c r="O26" s="19">
        <v>530574.6500000003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0" t="s">
        <v>42</v>
      </c>
      <c r="B27" s="1" t="s">
        <v>37</v>
      </c>
      <c r="C27" s="23" t="s">
        <v>38</v>
      </c>
      <c r="D27" s="17">
        <f t="shared" ref="D27:F27" si="34">IF(H27=0,0%,IF(L27=0,100%,H27/L27-1))</f>
        <v>0.1170263146</v>
      </c>
      <c r="E27" s="17">
        <f t="shared" si="34"/>
        <v>-1.013173125</v>
      </c>
      <c r="F27" s="17">
        <f t="shared" si="34"/>
        <v>24.13744424</v>
      </c>
      <c r="G27" s="17">
        <f t="shared" si="28"/>
        <v>-1.000005311</v>
      </c>
      <c r="H27" s="18">
        <v>36143.84119534257</v>
      </c>
      <c r="I27" s="18">
        <v>-204.54729185462202</v>
      </c>
      <c r="J27" s="18">
        <v>100002.27867359843</v>
      </c>
      <c r="K27" s="18">
        <v>0.35000000000582077</v>
      </c>
      <c r="L27" s="19">
        <v>32357.19760699998</v>
      </c>
      <c r="M27" s="19">
        <v>15527.620526891333</v>
      </c>
      <c r="N27" s="19">
        <v>3978.219810999999</v>
      </c>
      <c r="O27" s="19">
        <v>-65903.93140799995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0" t="s">
        <v>43</v>
      </c>
      <c r="B28" s="1" t="s">
        <v>37</v>
      </c>
      <c r="C28" s="23" t="s">
        <v>38</v>
      </c>
      <c r="D28" s="17">
        <f t="shared" ref="D28:F28" si="35">IF(H28=0,0%,IF(L28=0,100%,H28/L28-1))</f>
        <v>-1.013792864</v>
      </c>
      <c r="E28" s="17">
        <f t="shared" si="35"/>
        <v>-1.073840119</v>
      </c>
      <c r="F28" s="17">
        <f t="shared" si="35"/>
        <v>-0.05960876775</v>
      </c>
      <c r="G28" s="17">
        <f t="shared" si="28"/>
        <v>-0.8821448983</v>
      </c>
      <c r="H28" s="18">
        <v>531.5799999999981</v>
      </c>
      <c r="I28" s="18">
        <v>-2589.1353400000007</v>
      </c>
      <c r="J28" s="18">
        <v>51027.129999999976</v>
      </c>
      <c r="K28" s="18">
        <v>175.27999999999884</v>
      </c>
      <c r="L28" s="19">
        <v>-38540.21999999999</v>
      </c>
      <c r="M28" s="19">
        <v>35064.07326399998</v>
      </c>
      <c r="N28" s="19">
        <v>54261.59692899998</v>
      </c>
      <c r="O28" s="19">
        <v>1487.2499999999418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" t="s">
        <v>44</v>
      </c>
      <c r="B29" s="1" t="s">
        <v>37</v>
      </c>
      <c r="C29" s="23" t="s">
        <v>38</v>
      </c>
      <c r="D29" s="17">
        <f t="shared" ref="D29:F29" si="36">IF(H29=0,0%,IF(L29=0,100%,H29/L29-1))</f>
        <v>0.6681313904</v>
      </c>
      <c r="E29" s="17">
        <f t="shared" si="36"/>
        <v>-3.200786287</v>
      </c>
      <c r="F29" s="17">
        <f t="shared" si="36"/>
        <v>-0.1575077644</v>
      </c>
      <c r="G29" s="17">
        <f t="shared" si="28"/>
        <v>-1.485353653</v>
      </c>
      <c r="H29" s="18">
        <v>37310.32746845728</v>
      </c>
      <c r="I29" s="18">
        <v>10631.160000000003</v>
      </c>
      <c r="J29" s="18">
        <v>311243.59999999986</v>
      </c>
      <c r="K29" s="18">
        <v>-169441.60999999987</v>
      </c>
      <c r="L29" s="19">
        <v>22366.54000000027</v>
      </c>
      <c r="M29" s="19">
        <v>-4830.618974999947</v>
      </c>
      <c r="N29" s="19">
        <v>369432.0100000001</v>
      </c>
      <c r="O29" s="19">
        <v>349109.5800000024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" t="s">
        <v>45</v>
      </c>
      <c r="B30" s="1" t="s">
        <v>37</v>
      </c>
      <c r="C30" s="23" t="s">
        <v>38</v>
      </c>
      <c r="D30" s="17">
        <f t="shared" ref="D30:F30" si="37">IF(H30=0,0%,IF(L30=0,100%,H30/L30-1))</f>
        <v>58.85681356</v>
      </c>
      <c r="E30" s="17">
        <f t="shared" si="37"/>
        <v>0.1512599559</v>
      </c>
      <c r="F30" s="17">
        <f t="shared" si="37"/>
        <v>-0.7172176705</v>
      </c>
      <c r="G30" s="17">
        <f t="shared" si="28"/>
        <v>-2.521076891</v>
      </c>
      <c r="H30" s="18">
        <v>100073.27513177006</v>
      </c>
      <c r="I30" s="18">
        <v>9751.073236245124</v>
      </c>
      <c r="J30" s="18">
        <v>98895.0</v>
      </c>
      <c r="K30" s="18">
        <v>-1961518.1399999994</v>
      </c>
      <c r="L30" s="19">
        <v>1671.8777560001472</v>
      </c>
      <c r="M30" s="19">
        <v>8469.914363000018</v>
      </c>
      <c r="N30" s="19">
        <v>349721.28620500024</v>
      </c>
      <c r="O30" s="19">
        <v>1289558.8327089995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" t="s">
        <v>46</v>
      </c>
      <c r="B31" s="1" t="s">
        <v>37</v>
      </c>
      <c r="C31" s="23" t="s">
        <v>38</v>
      </c>
      <c r="D31" s="17">
        <f t="shared" ref="D31:F31" si="38">IF(H31=0,0%,IF(L31=0,100%,H31/L31-1))</f>
        <v>0</v>
      </c>
      <c r="E31" s="17">
        <f t="shared" si="38"/>
        <v>-0.25</v>
      </c>
      <c r="F31" s="17">
        <f t="shared" si="38"/>
        <v>0</v>
      </c>
      <c r="G31" s="17">
        <f t="shared" ref="G31:G38" si="40">IF(K31=0,0%,IF(O31=H55,100%,K31/O31-1))</f>
        <v>0</v>
      </c>
      <c r="H31" s="18">
        <v>0.0</v>
      </c>
      <c r="I31" s="18">
        <v>0.02999999999999936</v>
      </c>
      <c r="J31" s="18">
        <v>0.0</v>
      </c>
      <c r="K31" s="18">
        <v>0.0</v>
      </c>
      <c r="L31" s="19">
        <v>0.0</v>
      </c>
      <c r="M31" s="19">
        <v>0.03999999999996362</v>
      </c>
      <c r="N31" s="19">
        <v>0.0</v>
      </c>
      <c r="O31" s="19">
        <v>0.0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" t="s">
        <v>47</v>
      </c>
      <c r="B32" s="1" t="s">
        <v>37</v>
      </c>
      <c r="C32" s="23" t="s">
        <v>38</v>
      </c>
      <c r="D32" s="17">
        <f t="shared" ref="D32:F32" si="39">IF(H32=0,0%,IF(L32=0,100%,H32/L32-1))</f>
        <v>-7.396389379</v>
      </c>
      <c r="E32" s="17">
        <f t="shared" si="39"/>
        <v>-0.9940460917</v>
      </c>
      <c r="F32" s="17">
        <f t="shared" si="39"/>
        <v>1</v>
      </c>
      <c r="G32" s="17" t="str">
        <f t="shared" si="40"/>
        <v>#DIV/0!</v>
      </c>
      <c r="H32" s="18">
        <v>667.1004815035049</v>
      </c>
      <c r="I32" s="18">
        <v>12.364324851865604</v>
      </c>
      <c r="J32" s="18">
        <v>-1854.5027451142378</v>
      </c>
      <c r="K32" s="18">
        <v>14254.46</v>
      </c>
      <c r="L32" s="19">
        <v>-104.29328829491715</v>
      </c>
      <c r="M32" s="19">
        <v>2076.6737101944864</v>
      </c>
      <c r="N32" s="19">
        <v>0.0</v>
      </c>
      <c r="O32" s="19">
        <v>0.0</v>
      </c>
      <c r="P32" s="16"/>
      <c r="Q32" s="31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" t="s">
        <v>48</v>
      </c>
      <c r="B33" s="1" t="s">
        <v>37</v>
      </c>
      <c r="C33" s="23" t="s">
        <v>38</v>
      </c>
      <c r="D33" s="17">
        <f t="shared" ref="D33:F33" si="41">IF(H33=0,0%,IF(L33=0,100%,H33/L33-1))</f>
        <v>0</v>
      </c>
      <c r="E33" s="17">
        <f t="shared" si="41"/>
        <v>0</v>
      </c>
      <c r="F33" s="17">
        <f t="shared" si="41"/>
        <v>0</v>
      </c>
      <c r="G33" s="17">
        <f t="shared" si="40"/>
        <v>0</v>
      </c>
      <c r="H33" s="18">
        <v>0.0</v>
      </c>
      <c r="I33" s="18">
        <v>0.0</v>
      </c>
      <c r="J33" s="18">
        <v>0.0</v>
      </c>
      <c r="K33" s="18">
        <v>0.0</v>
      </c>
      <c r="L33" s="19">
        <v>10195.8</v>
      </c>
      <c r="M33" s="19">
        <v>0.040000000000000036</v>
      </c>
      <c r="N33" s="19">
        <v>0.0</v>
      </c>
      <c r="O33" s="19">
        <v>0.0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" t="s">
        <v>49</v>
      </c>
      <c r="B34" s="1" t="s">
        <v>37</v>
      </c>
      <c r="C34" s="23" t="s">
        <v>38</v>
      </c>
      <c r="D34" s="17">
        <f t="shared" ref="D34:F34" si="42">IF(H34=0,0%,IF(L34=0,100%,H34/L34-1))</f>
        <v>0</v>
      </c>
      <c r="E34" s="17">
        <f t="shared" si="42"/>
        <v>4.251648642</v>
      </c>
      <c r="F34" s="17">
        <f t="shared" si="42"/>
        <v>0</v>
      </c>
      <c r="G34" s="17">
        <f t="shared" si="40"/>
        <v>0</v>
      </c>
      <c r="H34" s="18">
        <v>0.0</v>
      </c>
      <c r="I34" s="18">
        <v>19.90899999999965</v>
      </c>
      <c r="J34" s="18">
        <v>0.0</v>
      </c>
      <c r="K34" s="18">
        <v>0.0</v>
      </c>
      <c r="L34" s="19">
        <v>0.0</v>
      </c>
      <c r="M34" s="19">
        <v>3.7910000000000537</v>
      </c>
      <c r="N34" s="19">
        <v>0.0</v>
      </c>
      <c r="O34" s="19">
        <v>0.0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0" t="s">
        <v>50</v>
      </c>
      <c r="B35" s="1" t="s">
        <v>37</v>
      </c>
      <c r="C35" s="23" t="s">
        <v>38</v>
      </c>
      <c r="D35" s="17">
        <f t="shared" ref="D35:F35" si="43">IF(H35=0,0%,IF(L35=0,100%,H35/L35-1))</f>
        <v>3.749820568</v>
      </c>
      <c r="E35" s="17">
        <f t="shared" si="43"/>
        <v>0.7381613638</v>
      </c>
      <c r="F35" s="17">
        <f t="shared" si="43"/>
        <v>-9.691240789</v>
      </c>
      <c r="G35" s="17">
        <f t="shared" si="40"/>
        <v>-1.079032062</v>
      </c>
      <c r="H35" s="18">
        <v>279106.611274156</v>
      </c>
      <c r="I35" s="18">
        <v>78074.27775901894</v>
      </c>
      <c r="J35" s="18">
        <v>941425.0270931451</v>
      </c>
      <c r="K35" s="18">
        <v>363591.66000000015</v>
      </c>
      <c r="L35" s="19">
        <v>58761.5063152255</v>
      </c>
      <c r="M35" s="19">
        <v>44917.738585241896</v>
      </c>
      <c r="N35" s="19">
        <v>-108318.82926130667</v>
      </c>
      <c r="O35" s="19">
        <v>-4600558.97000001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" t="s">
        <v>51</v>
      </c>
      <c r="B36" s="1" t="s">
        <v>37</v>
      </c>
      <c r="C36" s="23" t="s">
        <v>38</v>
      </c>
      <c r="D36" s="17">
        <f t="shared" ref="D36:F36" si="44">IF(H36=0,0%,IF(L36=0,100%,H36/L36-1))</f>
        <v>0</v>
      </c>
      <c r="E36" s="17">
        <f t="shared" si="44"/>
        <v>0</v>
      </c>
      <c r="F36" s="17">
        <f t="shared" si="44"/>
        <v>0</v>
      </c>
      <c r="G36" s="17">
        <f t="shared" si="40"/>
        <v>0</v>
      </c>
      <c r="H36" s="18">
        <v>0.0</v>
      </c>
      <c r="I36" s="18">
        <v>0.0</v>
      </c>
      <c r="J36" s="18">
        <v>0.0</v>
      </c>
      <c r="K36" s="18">
        <v>0.0</v>
      </c>
      <c r="L36" s="19">
        <v>-527.6400000000012</v>
      </c>
      <c r="M36" s="19">
        <v>13.509999999999764</v>
      </c>
      <c r="N36" s="19">
        <v>-0.030000000000086402</v>
      </c>
      <c r="O36" s="19">
        <v>0.0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" t="s">
        <v>52</v>
      </c>
      <c r="B37" s="1" t="s">
        <v>37</v>
      </c>
      <c r="C37" s="23" t="s">
        <v>38</v>
      </c>
      <c r="D37" s="17">
        <f t="shared" ref="D37:F37" si="45">IF(H37=0,0%,IF(L37=0,100%,H37/L37-1))</f>
        <v>0</v>
      </c>
      <c r="E37" s="17">
        <f t="shared" si="45"/>
        <v>-1.694968985</v>
      </c>
      <c r="F37" s="17">
        <f t="shared" si="45"/>
        <v>1</v>
      </c>
      <c r="G37" s="17">
        <f t="shared" si="40"/>
        <v>0</v>
      </c>
      <c r="H37" s="18">
        <v>0.0</v>
      </c>
      <c r="I37" s="18">
        <v>-10.233999999999924</v>
      </c>
      <c r="J37" s="18">
        <v>1000.0</v>
      </c>
      <c r="K37" s="18">
        <v>0.0</v>
      </c>
      <c r="L37" s="19">
        <v>60869.12836200001</v>
      </c>
      <c r="M37" s="19">
        <v>14.725836999999956</v>
      </c>
      <c r="N37" s="19">
        <v>0.0</v>
      </c>
      <c r="O37" s="19">
        <v>2918.1312340000586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" t="s">
        <v>53</v>
      </c>
      <c r="B38" s="1" t="s">
        <v>37</v>
      </c>
      <c r="C38" s="23" t="s">
        <v>38</v>
      </c>
      <c r="D38" s="17">
        <f t="shared" ref="D38:F38" si="46">IF(H38=0,0%,IF(L38=0,100%,H38/L38-1))</f>
        <v>1</v>
      </c>
      <c r="E38" s="17">
        <f t="shared" si="46"/>
        <v>0</v>
      </c>
      <c r="F38" s="17">
        <f t="shared" si="46"/>
        <v>0</v>
      </c>
      <c r="G38" s="17">
        <f t="shared" si="40"/>
        <v>0</v>
      </c>
      <c r="H38" s="18">
        <v>25839.297965907223</v>
      </c>
      <c r="I38" s="18">
        <v>0.0</v>
      </c>
      <c r="J38" s="18">
        <v>0.0</v>
      </c>
      <c r="K38" s="18">
        <v>0.0</v>
      </c>
      <c r="L38" s="19">
        <v>0.0</v>
      </c>
      <c r="M38" s="19">
        <v>0.0</v>
      </c>
      <c r="N38" s="19">
        <v>0.0</v>
      </c>
      <c r="O38" s="19">
        <v>0.0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" t="s">
        <v>54</v>
      </c>
      <c r="B39" s="1" t="s">
        <v>37</v>
      </c>
      <c r="C39" s="23" t="s">
        <v>38</v>
      </c>
      <c r="D39" s="17">
        <f t="shared" ref="D39:F39" si="47">IF(H39=0,0%,IF(L39=0,100%,H39/L39-1))</f>
        <v>-24.72497063</v>
      </c>
      <c r="E39" s="17">
        <f t="shared" si="47"/>
        <v>0.8107476636</v>
      </c>
      <c r="F39" s="17">
        <f t="shared" si="47"/>
        <v>1</v>
      </c>
      <c r="G39" s="17">
        <f t="shared" ref="G39:G45" si="49">IF(K39=0,0%,IF(O39=H65,100%,K39/O39-1))</f>
        <v>1</v>
      </c>
      <c r="H39" s="18">
        <v>-1817.5699999999997</v>
      </c>
      <c r="I39" s="18">
        <v>7.75</v>
      </c>
      <c r="J39" s="18">
        <v>338.5599999999977</v>
      </c>
      <c r="K39" s="18">
        <v>682.1199999999953</v>
      </c>
      <c r="L39" s="19">
        <v>76.61000000000058</v>
      </c>
      <c r="M39" s="19">
        <v>4.279999999999973</v>
      </c>
      <c r="N39" s="19">
        <v>0.0</v>
      </c>
      <c r="O39" s="19">
        <v>0.0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0" t="s">
        <v>55</v>
      </c>
      <c r="B40" s="1" t="s">
        <v>37</v>
      </c>
      <c r="C40" s="23" t="s">
        <v>38</v>
      </c>
      <c r="D40" s="17">
        <f t="shared" ref="D40:F40" si="48">IF(H40=0,0%,IF(L40=0,100%,H40/L40-1))</f>
        <v>-0.3049867788</v>
      </c>
      <c r="E40" s="17">
        <f t="shared" si="48"/>
        <v>0.6673857689</v>
      </c>
      <c r="F40" s="17">
        <f t="shared" si="48"/>
        <v>-9.810903159</v>
      </c>
      <c r="G40" s="17">
        <f t="shared" si="49"/>
        <v>-10.70941402</v>
      </c>
      <c r="H40" s="18">
        <v>121611.49398763978</v>
      </c>
      <c r="I40" s="18">
        <v>13295.036248526492</v>
      </c>
      <c r="J40" s="18">
        <v>330144.1018934495</v>
      </c>
      <c r="K40" s="18">
        <v>757967.2999999999</v>
      </c>
      <c r="L40" s="19">
        <v>174977.23823793512</v>
      </c>
      <c r="M40" s="19">
        <v>7973.581456955479</v>
      </c>
      <c r="N40" s="19">
        <v>-37469.95012184046</v>
      </c>
      <c r="O40" s="19">
        <v>-78065.19511200022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" t="s">
        <v>56</v>
      </c>
      <c r="B41" s="1" t="s">
        <v>37</v>
      </c>
      <c r="C41" s="23" t="s">
        <v>38</v>
      </c>
      <c r="D41" s="17">
        <f t="shared" ref="D41:F41" si="50">IF(H41=0,0%,IF(L41=0,100%,H41/L41-1))</f>
        <v>0</v>
      </c>
      <c r="E41" s="17">
        <f t="shared" si="50"/>
        <v>-0.9207048399</v>
      </c>
      <c r="F41" s="17">
        <f t="shared" si="50"/>
        <v>0</v>
      </c>
      <c r="G41" s="17">
        <f t="shared" si="49"/>
        <v>0</v>
      </c>
      <c r="H41" s="18">
        <v>0.0</v>
      </c>
      <c r="I41" s="18">
        <v>71.16390250742188</v>
      </c>
      <c r="J41" s="18">
        <v>0.0</v>
      </c>
      <c r="K41" s="18">
        <v>0.0</v>
      </c>
      <c r="L41" s="19">
        <v>679.2182990000292</v>
      </c>
      <c r="M41" s="19">
        <v>897.4558150000084</v>
      </c>
      <c r="N41" s="19">
        <v>13139.900580000001</v>
      </c>
      <c r="O41" s="19">
        <v>-40331.16809200002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" t="s">
        <v>57</v>
      </c>
      <c r="B42" s="1" t="s">
        <v>37</v>
      </c>
      <c r="C42" s="23" t="s">
        <v>38</v>
      </c>
      <c r="D42" s="17">
        <f t="shared" ref="D42:F42" si="51">IF(H42=0,0%,IF(L42=0,100%,H42/L42-1))</f>
        <v>-0.997401915</v>
      </c>
      <c r="E42" s="17">
        <f t="shared" si="51"/>
        <v>-0.2105214072</v>
      </c>
      <c r="F42" s="17">
        <f t="shared" si="51"/>
        <v>179.7524917</v>
      </c>
      <c r="G42" s="17">
        <f t="shared" si="49"/>
        <v>-0.9398365477</v>
      </c>
      <c r="H42" s="18">
        <v>50.478545008756555</v>
      </c>
      <c r="I42" s="18">
        <v>6595.264295271452</v>
      </c>
      <c r="J42" s="18">
        <v>108813.0</v>
      </c>
      <c r="K42" s="18">
        <v>47178.06999999995</v>
      </c>
      <c r="L42" s="19">
        <v>19429.13550076369</v>
      </c>
      <c r="M42" s="19">
        <v>8353.949499999997</v>
      </c>
      <c r="N42" s="19">
        <v>602.0</v>
      </c>
      <c r="O42" s="19">
        <v>784164.9400000004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1" t="s">
        <v>58</v>
      </c>
      <c r="B43" s="1" t="s">
        <v>37</v>
      </c>
      <c r="C43" s="23" t="s">
        <v>38</v>
      </c>
      <c r="D43" s="17">
        <f t="shared" ref="D43:F43" si="52">IF(H43=0,0%,IF(L43=0,100%,H43/L43-1))</f>
        <v>0</v>
      </c>
      <c r="E43" s="17">
        <f t="shared" si="52"/>
        <v>1</v>
      </c>
      <c r="F43" s="17">
        <f t="shared" si="52"/>
        <v>0</v>
      </c>
      <c r="G43" s="17">
        <f t="shared" si="49"/>
        <v>0</v>
      </c>
      <c r="H43" s="18">
        <v>0.0</v>
      </c>
      <c r="I43" s="18">
        <v>16.639000000000124</v>
      </c>
      <c r="J43" s="18">
        <v>0.0</v>
      </c>
      <c r="K43" s="18">
        <v>0.0</v>
      </c>
      <c r="L43" s="19">
        <v>0.0</v>
      </c>
      <c r="M43" s="19">
        <v>0.0</v>
      </c>
      <c r="N43" s="19">
        <v>0.0</v>
      </c>
      <c r="O43" s="19">
        <v>0.0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1" t="s">
        <v>59</v>
      </c>
      <c r="B44" s="1" t="s">
        <v>37</v>
      </c>
      <c r="C44" s="23" t="s">
        <v>38</v>
      </c>
      <c r="D44" s="17">
        <f t="shared" ref="D44:F44" si="53">IF(H44=0,0%,IF(L44=0,100%,H44/L44-1))</f>
        <v>142.9686491</v>
      </c>
      <c r="E44" s="17">
        <f t="shared" si="53"/>
        <v>-1.029846253</v>
      </c>
      <c r="F44" s="17">
        <f t="shared" si="53"/>
        <v>1.81699741</v>
      </c>
      <c r="G44" s="17">
        <f t="shared" si="49"/>
        <v>0</v>
      </c>
      <c r="H44" s="18">
        <v>7044.3859999999995</v>
      </c>
      <c r="I44" s="18">
        <v>-11.996999999999844</v>
      </c>
      <c r="J44" s="18">
        <v>36398.169999999925</v>
      </c>
      <c r="K44" s="18">
        <v>0.0</v>
      </c>
      <c r="L44" s="19">
        <v>48.93000000000029</v>
      </c>
      <c r="M44" s="19">
        <v>401.96000000000004</v>
      </c>
      <c r="N44" s="19">
        <v>12920.909999999916</v>
      </c>
      <c r="O44" s="19">
        <v>0.0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" t="s">
        <v>60</v>
      </c>
      <c r="B45" s="1" t="s">
        <v>37</v>
      </c>
      <c r="C45" s="1" t="s">
        <v>38</v>
      </c>
      <c r="D45" s="17">
        <f t="shared" ref="D45:F45" si="54">IF(H45=0,0%,IF(L45=0,100%,H45/L45-1))</f>
        <v>-1.01109258</v>
      </c>
      <c r="E45" s="17">
        <f t="shared" si="54"/>
        <v>78.14648829</v>
      </c>
      <c r="F45" s="17">
        <f t="shared" si="54"/>
        <v>-0.9158493051</v>
      </c>
      <c r="G45" s="17">
        <f t="shared" si="49"/>
        <v>-0.8703079034</v>
      </c>
      <c r="H45" s="18">
        <v>-1064.1012800000026</v>
      </c>
      <c r="I45" s="18">
        <v>2366.4799999999996</v>
      </c>
      <c r="J45" s="18">
        <v>7336.850000000093</v>
      </c>
      <c r="K45" s="18">
        <v>21832.090000000026</v>
      </c>
      <c r="L45" s="19">
        <v>95929.10775400001</v>
      </c>
      <c r="M45" s="19">
        <v>29.90000000000009</v>
      </c>
      <c r="N45" s="19">
        <v>87187.04000000001</v>
      </c>
      <c r="O45" s="19">
        <v>168337.85999999987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" t="s">
        <v>61</v>
      </c>
      <c r="B46" s="1" t="s">
        <v>37</v>
      </c>
      <c r="C46" s="1" t="s">
        <v>38</v>
      </c>
      <c r="D46" s="17">
        <f t="shared" ref="D46:F46" si="55">IF(H46=0,0%,IF(L46=0,100%,H46/L46-1))</f>
        <v>-0.7131863139</v>
      </c>
      <c r="E46" s="17">
        <f t="shared" si="55"/>
        <v>1.46423216</v>
      </c>
      <c r="F46" s="17">
        <f t="shared" si="55"/>
        <v>0</v>
      </c>
      <c r="G46" s="17">
        <v>-1.0</v>
      </c>
      <c r="H46" s="18">
        <v>-1641.3199999999997</v>
      </c>
      <c r="I46" s="18">
        <v>2234.959999999999</v>
      </c>
      <c r="J46" s="18">
        <v>0.0</v>
      </c>
      <c r="K46" s="18">
        <v>417.5699999999779</v>
      </c>
      <c r="L46" s="19">
        <v>-5722.599999999991</v>
      </c>
      <c r="M46" s="19">
        <v>906.9599999999998</v>
      </c>
      <c r="N46" s="19">
        <v>3799.5200000000004</v>
      </c>
      <c r="O46" s="19">
        <v>0.0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" t="s">
        <v>62</v>
      </c>
      <c r="B47" s="1" t="s">
        <v>37</v>
      </c>
      <c r="C47" s="1" t="s">
        <v>38</v>
      </c>
      <c r="D47" s="17">
        <f t="shared" ref="D47:F47" si="56">IF(H47=0,0%,IF(L47=0,100%,H47/L47-1))</f>
        <v>-0.4281106643</v>
      </c>
      <c r="E47" s="17">
        <f t="shared" si="56"/>
        <v>-0.5906956394</v>
      </c>
      <c r="F47" s="17">
        <f t="shared" si="56"/>
        <v>-1.129115274</v>
      </c>
      <c r="G47" s="17">
        <f t="shared" ref="G47:G54" si="58">IF(K47=0,0%,IF(O47=H73,100%,K47/O47-1))</f>
        <v>-0.9784584617</v>
      </c>
      <c r="H47" s="18">
        <v>1701.8616000000038</v>
      </c>
      <c r="I47" s="18">
        <v>6864.485</v>
      </c>
      <c r="J47" s="18">
        <v>8807.24000000002</v>
      </c>
      <c r="K47" s="18">
        <v>367.6099999998696</v>
      </c>
      <c r="L47" s="19">
        <v>2975.85825400005</v>
      </c>
      <c r="M47" s="19">
        <v>16771.10156</v>
      </c>
      <c r="N47" s="19">
        <v>-68212.22425199999</v>
      </c>
      <c r="O47" s="19">
        <v>17065.169358000392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" t="s">
        <v>63</v>
      </c>
      <c r="B48" s="1" t="s">
        <v>37</v>
      </c>
      <c r="C48" s="1" t="s">
        <v>38</v>
      </c>
      <c r="D48" s="17">
        <f t="shared" ref="D48:F48" si="57">IF(H48=0,0%,IF(L48=0,100%,H48/L48-1))</f>
        <v>1</v>
      </c>
      <c r="E48" s="17">
        <f t="shared" si="57"/>
        <v>-0.5604770017</v>
      </c>
      <c r="F48" s="17">
        <f t="shared" si="57"/>
        <v>0</v>
      </c>
      <c r="G48" s="17">
        <f t="shared" si="58"/>
        <v>0</v>
      </c>
      <c r="H48" s="18">
        <v>-6112.0</v>
      </c>
      <c r="I48" s="18">
        <v>2.580000000000041</v>
      </c>
      <c r="J48" s="18">
        <v>0.0</v>
      </c>
      <c r="K48" s="18">
        <v>0.0</v>
      </c>
      <c r="L48" s="19">
        <v>0.0</v>
      </c>
      <c r="M48" s="19">
        <v>5.869999999998981</v>
      </c>
      <c r="N48" s="19">
        <v>0.0</v>
      </c>
      <c r="O48" s="19">
        <v>0.0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1" t="s">
        <v>64</v>
      </c>
      <c r="B49" s="21" t="s">
        <v>37</v>
      </c>
      <c r="C49" s="1" t="s">
        <v>38</v>
      </c>
      <c r="D49" s="22">
        <f t="shared" ref="D49:F49" si="59">IF(H49=0,0%,IF(L49=0,100%,H49/L49-1))</f>
        <v>2637.463031</v>
      </c>
      <c r="E49" s="22">
        <f t="shared" si="59"/>
        <v>1</v>
      </c>
      <c r="F49" s="22">
        <f t="shared" si="59"/>
        <v>1964.932285</v>
      </c>
      <c r="G49" s="17">
        <f t="shared" si="58"/>
        <v>5872.362333</v>
      </c>
      <c r="H49" s="18">
        <v>135960.0</v>
      </c>
      <c r="I49" s="18">
        <v>5.25</v>
      </c>
      <c r="J49" s="18">
        <v>4501.0</v>
      </c>
      <c r="K49" s="18">
        <v>158635.0</v>
      </c>
      <c r="L49" s="19">
        <v>51.530000000002474</v>
      </c>
      <c r="M49" s="19">
        <v>0.0</v>
      </c>
      <c r="N49" s="19">
        <v>2.289499000000035</v>
      </c>
      <c r="O49" s="19">
        <v>27.009231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" t="s">
        <v>65</v>
      </c>
      <c r="B50" s="1" t="s">
        <v>66</v>
      </c>
      <c r="C50" s="1" t="s">
        <v>38</v>
      </c>
      <c r="D50" s="17">
        <f t="shared" ref="D50:F50" si="60">IF(H50=0,0%,IF(L50=0,100%,H50/L50-1))</f>
        <v>0</v>
      </c>
      <c r="E50" s="17">
        <f t="shared" si="60"/>
        <v>0</v>
      </c>
      <c r="F50" s="17">
        <f t="shared" si="60"/>
        <v>0</v>
      </c>
      <c r="G50" s="17">
        <f t="shared" si="58"/>
        <v>0</v>
      </c>
      <c r="H50" s="18">
        <v>0.0</v>
      </c>
      <c r="I50" s="18">
        <v>0.0</v>
      </c>
      <c r="J50" s="18">
        <v>0.0</v>
      </c>
      <c r="K50" s="18">
        <v>0.0</v>
      </c>
      <c r="L50" s="19">
        <v>0.0</v>
      </c>
      <c r="M50" s="19">
        <v>0.0</v>
      </c>
      <c r="N50" s="19">
        <v>0.0</v>
      </c>
      <c r="O50" s="19">
        <v>0.0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" t="s">
        <v>67</v>
      </c>
      <c r="B51" s="1" t="s">
        <v>66</v>
      </c>
      <c r="C51" s="1" t="s">
        <v>38</v>
      </c>
      <c r="D51" s="17">
        <f t="shared" ref="D51:F51" si="61">IF(H51=0,0%,IF(L51=0,100%,H51/L51-1))</f>
        <v>0</v>
      </c>
      <c r="E51" s="17">
        <f t="shared" si="61"/>
        <v>0</v>
      </c>
      <c r="F51" s="17">
        <f t="shared" si="61"/>
        <v>0</v>
      </c>
      <c r="G51" s="17">
        <f t="shared" si="58"/>
        <v>0</v>
      </c>
      <c r="H51" s="18">
        <v>0.0</v>
      </c>
      <c r="I51" s="18">
        <v>0.0</v>
      </c>
      <c r="J51" s="18">
        <v>0.0</v>
      </c>
      <c r="K51" s="18">
        <v>0.0</v>
      </c>
      <c r="L51" s="19">
        <v>-10129.702791</v>
      </c>
      <c r="M51" s="19">
        <v>-1133.4596760000002</v>
      </c>
      <c r="N51" s="19">
        <v>0.0</v>
      </c>
      <c r="O51" s="19">
        <v>0.0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" t="s">
        <v>68</v>
      </c>
      <c r="B52" s="1" t="s">
        <v>66</v>
      </c>
      <c r="C52" s="1" t="s">
        <v>38</v>
      </c>
      <c r="D52" s="17">
        <f t="shared" ref="D52:F52" si="62">IF(H52=0,0%,IF(L52=0,100%,H52/L52-1))</f>
        <v>0</v>
      </c>
      <c r="E52" s="17">
        <f t="shared" si="62"/>
        <v>0.03750061895</v>
      </c>
      <c r="F52" s="17">
        <f t="shared" si="62"/>
        <v>0</v>
      </c>
      <c r="G52" s="17">
        <f t="shared" si="58"/>
        <v>0</v>
      </c>
      <c r="H52" s="18">
        <v>0.0</v>
      </c>
      <c r="I52" s="18">
        <v>2305.5</v>
      </c>
      <c r="J52" s="18">
        <v>0.0</v>
      </c>
      <c r="K52" s="18">
        <v>0.0</v>
      </c>
      <c r="L52" s="19">
        <v>35.90912499999999</v>
      </c>
      <c r="M52" s="19">
        <v>2222.1673489999994</v>
      </c>
      <c r="N52" s="19">
        <v>0.0</v>
      </c>
      <c r="O52" s="19">
        <v>0.0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" t="s">
        <v>69</v>
      </c>
      <c r="B53" s="1" t="s">
        <v>66</v>
      </c>
      <c r="C53" s="23" t="s">
        <v>38</v>
      </c>
      <c r="D53" s="17">
        <f t="shared" ref="D53:F53" si="63">IF(H53=0,0%,IF(L53=0,100%,H53/L53-1))</f>
        <v>1</v>
      </c>
      <c r="E53" s="17">
        <f t="shared" si="63"/>
        <v>1</v>
      </c>
      <c r="F53" s="17">
        <f t="shared" si="63"/>
        <v>0</v>
      </c>
      <c r="G53" s="17">
        <f t="shared" si="58"/>
        <v>0</v>
      </c>
      <c r="H53" s="18">
        <v>103.06000000000131</v>
      </c>
      <c r="I53" s="18">
        <v>-6964.51</v>
      </c>
      <c r="J53" s="18">
        <v>0.0</v>
      </c>
      <c r="K53" s="18">
        <v>0.0</v>
      </c>
      <c r="L53" s="19">
        <v>0.0</v>
      </c>
      <c r="M53" s="19">
        <v>0.0</v>
      </c>
      <c r="N53" s="19">
        <v>14481.04</v>
      </c>
      <c r="O53" s="19">
        <v>0.0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" t="s">
        <v>70</v>
      </c>
      <c r="B54" s="1" t="s">
        <v>14</v>
      </c>
      <c r="C54" s="23" t="s">
        <v>38</v>
      </c>
      <c r="D54" s="17">
        <f t="shared" ref="D54:F54" si="64">IF(H54=0,0%,IF(L54=0,100%,H54/L54-1))</f>
        <v>0</v>
      </c>
      <c r="E54" s="17">
        <f t="shared" si="64"/>
        <v>0</v>
      </c>
      <c r="F54" s="17">
        <f t="shared" si="64"/>
        <v>0</v>
      </c>
      <c r="G54" s="17">
        <f t="shared" si="58"/>
        <v>0</v>
      </c>
      <c r="H54" s="18"/>
      <c r="I54" s="18"/>
      <c r="J54" s="18"/>
      <c r="K54" s="18"/>
      <c r="L54" s="19"/>
      <c r="M54" s="19"/>
      <c r="N54" s="19"/>
      <c r="O54" s="19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" t="s">
        <v>71</v>
      </c>
      <c r="B55" s="1" t="s">
        <v>66</v>
      </c>
      <c r="C55" s="23" t="s">
        <v>38</v>
      </c>
      <c r="D55" s="17">
        <f t="shared" ref="D55:F55" si="65">IF(H55=0,0%,IF(L55=0,100%,H55/L55-1))</f>
        <v>0</v>
      </c>
      <c r="E55" s="17">
        <f t="shared" si="65"/>
        <v>0</v>
      </c>
      <c r="F55" s="17">
        <f t="shared" si="65"/>
        <v>0</v>
      </c>
      <c r="G55" s="17">
        <f t="shared" ref="G55:G64" si="67">IF(K55=0,0%,IF(O55=H80,100%,K55/O55-1))</f>
        <v>0</v>
      </c>
      <c r="H55" s="18">
        <v>0.0</v>
      </c>
      <c r="I55" s="18">
        <v>0.0</v>
      </c>
      <c r="J55" s="18">
        <v>0.0</v>
      </c>
      <c r="K55" s="18">
        <v>0.0</v>
      </c>
      <c r="L55" s="19">
        <v>0.7200000000000131</v>
      </c>
      <c r="M55" s="19">
        <v>30.0</v>
      </c>
      <c r="N55" s="19">
        <v>0.0</v>
      </c>
      <c r="O55" s="19">
        <v>0.0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7.0" customHeight="1">
      <c r="A56" s="32" t="s">
        <v>72</v>
      </c>
      <c r="B56" s="25"/>
      <c r="C56" s="25"/>
      <c r="D56" s="17">
        <f t="shared" ref="D56:F56" si="66">IF(H56=0,0%,IF(L56=0,100%,H56/L56-1))</f>
        <v>0.5569123132</v>
      </c>
      <c r="E56" s="17">
        <f t="shared" si="66"/>
        <v>0.5694200067</v>
      </c>
      <c r="F56" s="17">
        <f t="shared" si="66"/>
        <v>1.881685654</v>
      </c>
      <c r="G56" s="17">
        <f t="shared" si="67"/>
        <v>-1.092492547</v>
      </c>
      <c r="H56" s="33">
        <f t="shared" ref="H56:O56" si="68">SUM(H23:H55)</f>
        <v>1115947.484</v>
      </c>
      <c r="I56" s="33">
        <f t="shared" si="68"/>
        <v>227503.5013</v>
      </c>
      <c r="J56" s="33">
        <f t="shared" si="68"/>
        <v>2227329.312</v>
      </c>
      <c r="K56" s="33">
        <f t="shared" si="68"/>
        <v>69874.75</v>
      </c>
      <c r="L56" s="33">
        <f t="shared" si="68"/>
        <v>716769.6436</v>
      </c>
      <c r="M56" s="33">
        <f t="shared" si="68"/>
        <v>144960.2403</v>
      </c>
      <c r="N56" s="33">
        <f t="shared" si="68"/>
        <v>772925.8424</v>
      </c>
      <c r="O56" s="33">
        <f t="shared" si="68"/>
        <v>-755463.5708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" t="s">
        <v>73</v>
      </c>
      <c r="B57" s="1" t="s">
        <v>74</v>
      </c>
      <c r="C57" s="23" t="s">
        <v>38</v>
      </c>
      <c r="D57" s="17">
        <f t="shared" ref="D57:F57" si="69">IF(H57=0,0%,IF(L57=0,100%,H57/L57-1))</f>
        <v>-2.465425533</v>
      </c>
      <c r="E57" s="17">
        <f t="shared" si="69"/>
        <v>0</v>
      </c>
      <c r="F57" s="17">
        <f t="shared" si="69"/>
        <v>-0.9977892504</v>
      </c>
      <c r="G57" s="17">
        <f t="shared" si="67"/>
        <v>0</v>
      </c>
      <c r="H57" s="18">
        <v>51361.89</v>
      </c>
      <c r="I57" s="18">
        <v>0.0</v>
      </c>
      <c r="J57" s="18">
        <v>1.7300000000000182</v>
      </c>
      <c r="K57" s="18">
        <v>0.0</v>
      </c>
      <c r="L57" s="19">
        <v>-35049.12999999999</v>
      </c>
      <c r="M57" s="19">
        <v>13.909999999999854</v>
      </c>
      <c r="N57" s="19">
        <v>782.5400000000081</v>
      </c>
      <c r="O57" s="19">
        <v>0.0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3" t="s">
        <v>75</v>
      </c>
      <c r="B58" s="23" t="s">
        <v>74</v>
      </c>
      <c r="C58" s="23" t="s">
        <v>38</v>
      </c>
      <c r="D58" s="17">
        <f t="shared" ref="D58:F58" si="70">IF(H58=0,0%,IF(L58=0,100%,H58/L58-1))</f>
        <v>-0.9147334449</v>
      </c>
      <c r="E58" s="17">
        <f t="shared" si="70"/>
        <v>-0.994849625</v>
      </c>
      <c r="F58" s="17">
        <f t="shared" si="70"/>
        <v>0.1195464996</v>
      </c>
      <c r="G58" s="17">
        <f t="shared" si="67"/>
        <v>-0.9834468105</v>
      </c>
      <c r="H58" s="18">
        <v>17337.190000000002</v>
      </c>
      <c r="I58" s="18">
        <v>86.70000000000073</v>
      </c>
      <c r="J58" s="18">
        <v>4996.100000000093</v>
      </c>
      <c r="K58" s="18">
        <v>12845.080000000075</v>
      </c>
      <c r="L58" s="19">
        <v>203329.31210728805</v>
      </c>
      <c r="M58" s="19">
        <v>16833.725720862712</v>
      </c>
      <c r="N58" s="19">
        <v>4462.610532000195</v>
      </c>
      <c r="O58" s="19">
        <v>775988.216945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" t="s">
        <v>76</v>
      </c>
      <c r="B59" s="1" t="s">
        <v>74</v>
      </c>
      <c r="C59" s="23" t="s">
        <v>38</v>
      </c>
      <c r="D59" s="17">
        <f t="shared" ref="D59:F59" si="71">IF(H59=0,0%,IF(L59=0,100%,H59/L59-1))</f>
        <v>5.855217764</v>
      </c>
      <c r="E59" s="17">
        <f t="shared" si="71"/>
        <v>1.451225233</v>
      </c>
      <c r="F59" s="17">
        <f t="shared" si="71"/>
        <v>1.461905735</v>
      </c>
      <c r="G59" s="17">
        <f t="shared" si="67"/>
        <v>-2.970791111</v>
      </c>
      <c r="H59" s="18">
        <v>1283110.00999</v>
      </c>
      <c r="I59" s="18">
        <v>95466.545</v>
      </c>
      <c r="J59" s="18">
        <v>160226.0</v>
      </c>
      <c r="K59" s="18">
        <v>-134288.39</v>
      </c>
      <c r="L59" s="19">
        <v>187172.75719600008</v>
      </c>
      <c r="M59" s="19">
        <v>38946.45980499996</v>
      </c>
      <c r="N59" s="19">
        <v>65082.10192799964</v>
      </c>
      <c r="O59" s="19">
        <v>68139.33208600024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0" t="s">
        <v>77</v>
      </c>
      <c r="B60" s="1" t="s">
        <v>74</v>
      </c>
      <c r="C60" s="1" t="s">
        <v>38</v>
      </c>
      <c r="D60" s="17">
        <f t="shared" ref="D60:F60" si="72">IF(H60=0,0%,IF(L60=0,100%,H60/L60-1))</f>
        <v>63.01977218</v>
      </c>
      <c r="E60" s="17">
        <f t="shared" si="72"/>
        <v>43.39272766</v>
      </c>
      <c r="F60" s="17">
        <f t="shared" si="72"/>
        <v>-0.963132631</v>
      </c>
      <c r="G60" s="17">
        <f t="shared" si="67"/>
        <v>1.120441277</v>
      </c>
      <c r="H60" s="18">
        <v>16804.550000000003</v>
      </c>
      <c r="I60" s="18">
        <v>4932.685088736775</v>
      </c>
      <c r="J60" s="18">
        <v>16262.795951106818</v>
      </c>
      <c r="K60" s="18">
        <v>-1041558.49</v>
      </c>
      <c r="L60" s="19">
        <v>262.4899999999907</v>
      </c>
      <c r="M60" s="19">
        <v>111.11471065623664</v>
      </c>
      <c r="N60" s="19">
        <v>441116.26</v>
      </c>
      <c r="O60" s="19">
        <v>-491198.931649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" t="s">
        <v>78</v>
      </c>
      <c r="B61" s="1" t="s">
        <v>74</v>
      </c>
      <c r="C61" s="1" t="s">
        <v>38</v>
      </c>
      <c r="D61" s="17">
        <f t="shared" ref="D61:F61" si="73">IF(H61=0,0%,IF(L61=0,100%,H61/L61-1))</f>
        <v>-0.1218985362</v>
      </c>
      <c r="E61" s="17">
        <f t="shared" si="73"/>
        <v>-3.622086199</v>
      </c>
      <c r="F61" s="17">
        <f t="shared" si="73"/>
        <v>-1.517541121</v>
      </c>
      <c r="G61" s="17">
        <f t="shared" si="67"/>
        <v>-0.2972190542</v>
      </c>
      <c r="H61" s="18">
        <v>117930.36130103376</v>
      </c>
      <c r="I61" s="18">
        <v>-6656.503969214053</v>
      </c>
      <c r="J61" s="18">
        <v>-119163.87000000011</v>
      </c>
      <c r="K61" s="18">
        <v>655748.56</v>
      </c>
      <c r="L61" s="19">
        <v>134301.52000000002</v>
      </c>
      <c r="M61" s="19">
        <v>2538.6289629999956</v>
      </c>
      <c r="N61" s="19">
        <v>230250.05200200016</v>
      </c>
      <c r="O61" s="19">
        <v>933076.7487620008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 t="s">
        <v>79</v>
      </c>
      <c r="B62" s="1" t="s">
        <v>74</v>
      </c>
      <c r="C62" s="23" t="s">
        <v>38</v>
      </c>
      <c r="D62" s="17">
        <f t="shared" ref="D62:F62" si="74">IF(H62=0,0%,IF(L62=0,100%,H62/L62-1))</f>
        <v>1</v>
      </c>
      <c r="E62" s="17">
        <f t="shared" si="74"/>
        <v>1</v>
      </c>
      <c r="F62" s="17">
        <f t="shared" si="74"/>
        <v>1</v>
      </c>
      <c r="G62" s="17">
        <f t="shared" si="67"/>
        <v>1</v>
      </c>
      <c r="H62" s="18">
        <v>-45652.53999999998</v>
      </c>
      <c r="I62" s="18">
        <v>-598.3787379999994</v>
      </c>
      <c r="J62" s="18">
        <v>84948.10000000003</v>
      </c>
      <c r="K62" s="18">
        <v>-748537.3899999999</v>
      </c>
      <c r="L62" s="19"/>
      <c r="M62" s="19"/>
      <c r="N62" s="19"/>
      <c r="O62" s="19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5" t="s">
        <v>80</v>
      </c>
      <c r="B63" s="1" t="s">
        <v>74</v>
      </c>
      <c r="C63" s="23" t="s">
        <v>38</v>
      </c>
      <c r="D63" s="17">
        <f t="shared" ref="D63:F63" si="75">IF(H63=0,0%,IF(L63=0,100%,H63/L63-1))</f>
        <v>0</v>
      </c>
      <c r="E63" s="17">
        <f t="shared" si="75"/>
        <v>0</v>
      </c>
      <c r="F63" s="17">
        <f t="shared" si="75"/>
        <v>0</v>
      </c>
      <c r="G63" s="17">
        <f t="shared" si="67"/>
        <v>0</v>
      </c>
      <c r="H63" s="18"/>
      <c r="I63" s="18"/>
      <c r="J63" s="18"/>
      <c r="K63" s="18"/>
      <c r="L63" s="19"/>
      <c r="M63" s="19"/>
      <c r="N63" s="19"/>
      <c r="O63" s="19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6" t="s">
        <v>81</v>
      </c>
      <c r="B64" s="1" t="s">
        <v>74</v>
      </c>
      <c r="C64" s="23" t="s">
        <v>38</v>
      </c>
      <c r="D64" s="17">
        <f t="shared" ref="D64:F64" si="76">IF(H64=0,0%,IF(L64=0,100%,H64/L64-1))</f>
        <v>0</v>
      </c>
      <c r="E64" s="17">
        <f t="shared" si="76"/>
        <v>0</v>
      </c>
      <c r="F64" s="17">
        <f t="shared" si="76"/>
        <v>0</v>
      </c>
      <c r="G64" s="17">
        <f t="shared" si="67"/>
        <v>0</v>
      </c>
      <c r="H64" s="18"/>
      <c r="I64" s="18"/>
      <c r="J64" s="18"/>
      <c r="K64" s="18"/>
      <c r="L64" s="19"/>
      <c r="M64" s="19"/>
      <c r="N64" s="19"/>
      <c r="O64" s="19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0" t="s">
        <v>82</v>
      </c>
      <c r="B65" s="1" t="s">
        <v>74</v>
      </c>
      <c r="C65" s="23" t="s">
        <v>38</v>
      </c>
      <c r="D65" s="17">
        <f t="shared" ref="D65:F65" si="77">IF(H65=0,0%,IF(L65=0,100%,H65/L65-1))</f>
        <v>0</v>
      </c>
      <c r="E65" s="17">
        <f t="shared" si="77"/>
        <v>0</v>
      </c>
      <c r="F65" s="17">
        <f t="shared" si="77"/>
        <v>0</v>
      </c>
      <c r="G65" s="17">
        <f t="shared" ref="G65:G76" si="79">IF(K65=0,0%,IF(O65=H88,100%,K65/O65-1))</f>
        <v>0</v>
      </c>
      <c r="H65" s="18">
        <v>0.0</v>
      </c>
      <c r="I65" s="18">
        <v>0.0</v>
      </c>
      <c r="J65" s="18">
        <v>0.0</v>
      </c>
      <c r="K65" s="18">
        <v>0.0</v>
      </c>
      <c r="L65" s="19">
        <v>0.0</v>
      </c>
      <c r="M65" s="19">
        <v>0.0</v>
      </c>
      <c r="N65" s="19">
        <v>0.0</v>
      </c>
      <c r="O65" s="19">
        <v>0.0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4.0" customHeight="1">
      <c r="A66" s="32" t="s">
        <v>83</v>
      </c>
      <c r="B66" s="25"/>
      <c r="C66" s="25"/>
      <c r="D66" s="26">
        <f t="shared" ref="D66:F66" si="78">IF(H66=0,0%,IF(L66=0,100%,H66/L66-1))</f>
        <v>1.940493106</v>
      </c>
      <c r="E66" s="26">
        <f t="shared" si="78"/>
        <v>0.595224555</v>
      </c>
      <c r="F66" s="26">
        <f t="shared" si="78"/>
        <v>-0.8014397549</v>
      </c>
      <c r="G66" s="17">
        <f t="shared" si="79"/>
        <v>-1.976504969</v>
      </c>
      <c r="H66" s="33">
        <f t="shared" ref="H66:O66" si="80">SUM(H57:H65)</f>
        <v>1440891.461</v>
      </c>
      <c r="I66" s="33">
        <f t="shared" si="80"/>
        <v>93231.04738</v>
      </c>
      <c r="J66" s="33">
        <f t="shared" si="80"/>
        <v>147270.856</v>
      </c>
      <c r="K66" s="33">
        <f t="shared" si="80"/>
        <v>-1255790.63</v>
      </c>
      <c r="L66" s="33">
        <f t="shared" si="80"/>
        <v>490016.9493</v>
      </c>
      <c r="M66" s="33">
        <f t="shared" si="80"/>
        <v>58443.8392</v>
      </c>
      <c r="N66" s="33">
        <f t="shared" si="80"/>
        <v>741693.5645</v>
      </c>
      <c r="O66" s="33">
        <f t="shared" si="80"/>
        <v>1286005.366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" t="s">
        <v>84</v>
      </c>
      <c r="B67" s="1" t="s">
        <v>14</v>
      </c>
      <c r="C67" s="23" t="s">
        <v>85</v>
      </c>
      <c r="D67" s="28">
        <f t="shared" ref="D67:F67" si="81">IF(H67=0,0%,IF(L67=0,100%,H67/L67-1))</f>
        <v>1.624601617</v>
      </c>
      <c r="E67" s="28">
        <f t="shared" si="81"/>
        <v>1.174947002</v>
      </c>
      <c r="F67" s="28">
        <f t="shared" si="81"/>
        <v>43.66950049</v>
      </c>
      <c r="G67" s="17">
        <f t="shared" si="79"/>
        <v>1.472883808</v>
      </c>
      <c r="H67" s="18">
        <v>163760.73305451218</v>
      </c>
      <c r="I67" s="18">
        <v>18944.666839662284</v>
      </c>
      <c r="J67" s="18">
        <v>970665.7453589998</v>
      </c>
      <c r="K67" s="18">
        <v>619527.0299999993</v>
      </c>
      <c r="L67" s="19">
        <v>62394.51045200002</v>
      </c>
      <c r="M67" s="19">
        <v>8710.403894999998</v>
      </c>
      <c r="N67" s="19">
        <v>21729.944028999656</v>
      </c>
      <c r="O67" s="19">
        <v>250528.15983000002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0" t="s">
        <v>86</v>
      </c>
      <c r="B68" s="1" t="s">
        <v>37</v>
      </c>
      <c r="C68" s="1" t="s">
        <v>87</v>
      </c>
      <c r="D68" s="17">
        <f t="shared" ref="D68:F68" si="82">IF(H68=0,0%,IF(L68=0,100%,H68/L68-1))</f>
        <v>-0.3180653509</v>
      </c>
      <c r="E68" s="17">
        <f t="shared" si="82"/>
        <v>0.4811996485</v>
      </c>
      <c r="F68" s="17">
        <f t="shared" si="82"/>
        <v>-0.3779820147</v>
      </c>
      <c r="G68" s="17">
        <f t="shared" si="79"/>
        <v>-0.7491762061</v>
      </c>
      <c r="H68" s="18">
        <v>342917.1909355202</v>
      </c>
      <c r="I68" s="18">
        <v>60232.22499999986</v>
      </c>
      <c r="J68" s="18">
        <v>857531.3599999994</v>
      </c>
      <c r="K68" s="18">
        <v>371573.2800000012</v>
      </c>
      <c r="L68" s="19">
        <v>502859.31559799984</v>
      </c>
      <c r="M68" s="19">
        <v>40664.487775000045</v>
      </c>
      <c r="N68" s="19">
        <v>1378627.9180009984</v>
      </c>
      <c r="O68" s="19">
        <v>1481411.6085950024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" t="s">
        <v>88</v>
      </c>
      <c r="B69" s="1" t="s">
        <v>14</v>
      </c>
      <c r="C69" s="1" t="s">
        <v>87</v>
      </c>
      <c r="D69" s="17">
        <f t="shared" ref="D69:F69" si="83">IF(H69=0,0%,IF(L69=0,100%,H69/L69-1))</f>
        <v>0.05631792458</v>
      </c>
      <c r="E69" s="17">
        <f t="shared" si="83"/>
        <v>21.71881474</v>
      </c>
      <c r="F69" s="17">
        <f t="shared" si="83"/>
        <v>1</v>
      </c>
      <c r="G69" s="17">
        <f t="shared" si="79"/>
        <v>0</v>
      </c>
      <c r="H69" s="18">
        <v>1265.49</v>
      </c>
      <c r="I69" s="18">
        <v>1526.6532333143168</v>
      </c>
      <c r="J69" s="18">
        <v>17331.18</v>
      </c>
      <c r="K69" s="18">
        <v>0.0</v>
      </c>
      <c r="L69" s="19">
        <v>1198.0200000000186</v>
      </c>
      <c r="M69" s="19">
        <v>67.197750000003</v>
      </c>
      <c r="N69" s="19">
        <v>0.0</v>
      </c>
      <c r="O69" s="19">
        <v>4452.269999999902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" t="s">
        <v>89</v>
      </c>
      <c r="B70" s="1" t="s">
        <v>37</v>
      </c>
      <c r="C70" s="1" t="s">
        <v>87</v>
      </c>
      <c r="D70" s="17">
        <f t="shared" ref="D70:F70" si="84">IF(H70=0,0%,IF(L70=0,100%,H70/L70-1))</f>
        <v>5.507719219</v>
      </c>
      <c r="E70" s="17">
        <f t="shared" si="84"/>
        <v>-1.000218717</v>
      </c>
      <c r="F70" s="17">
        <f t="shared" si="84"/>
        <v>-8.027354502</v>
      </c>
      <c r="G70" s="17">
        <f t="shared" si="79"/>
        <v>0.9524080943</v>
      </c>
      <c r="H70" s="18">
        <v>79316.15737999999</v>
      </c>
      <c r="I70" s="18">
        <v>-1.306545930613538</v>
      </c>
      <c r="J70" s="18">
        <v>32604.629999999997</v>
      </c>
      <c r="K70" s="18">
        <v>672703.02</v>
      </c>
      <c r="L70" s="19">
        <v>12188.011607</v>
      </c>
      <c r="M70" s="19">
        <v>5973.691752953488</v>
      </c>
      <c r="N70" s="19">
        <v>-4639.673435000001</v>
      </c>
      <c r="O70" s="19">
        <v>344550.41544799996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" t="s">
        <v>90</v>
      </c>
      <c r="B71" s="1" t="s">
        <v>37</v>
      </c>
      <c r="C71" s="1" t="s">
        <v>87</v>
      </c>
      <c r="D71" s="17">
        <f t="shared" ref="D71:F71" si="85">IF(H71=0,0%,IF(L71=0,100%,H71/L71-1))</f>
        <v>0</v>
      </c>
      <c r="E71" s="17">
        <f t="shared" si="85"/>
        <v>-0.8546188749</v>
      </c>
      <c r="F71" s="17">
        <f t="shared" si="85"/>
        <v>0</v>
      </c>
      <c r="G71" s="17">
        <f t="shared" si="79"/>
        <v>0</v>
      </c>
      <c r="H71" s="18">
        <v>0.0</v>
      </c>
      <c r="I71" s="18">
        <v>2543.0620000000054</v>
      </c>
      <c r="J71" s="18">
        <v>0.0</v>
      </c>
      <c r="K71" s="18">
        <v>0.0</v>
      </c>
      <c r="L71" s="19">
        <v>45.129195000003165</v>
      </c>
      <c r="M71" s="19">
        <v>17492.38079199998</v>
      </c>
      <c r="N71" s="19">
        <v>0.0</v>
      </c>
      <c r="O71" s="19">
        <v>-90372.0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" t="s">
        <v>91</v>
      </c>
      <c r="B72" s="1" t="s">
        <v>37</v>
      </c>
      <c r="C72" s="1" t="s">
        <v>87</v>
      </c>
      <c r="D72" s="17">
        <f t="shared" ref="D72:F72" si="86">IF(H72=0,0%,IF(L72=0,100%,H72/L72-1))</f>
        <v>0.4942388374</v>
      </c>
      <c r="E72" s="17">
        <f t="shared" si="86"/>
        <v>-0.2016428416</v>
      </c>
      <c r="F72" s="17">
        <f t="shared" si="86"/>
        <v>0.5672198162</v>
      </c>
      <c r="G72" s="17">
        <f t="shared" si="79"/>
        <v>3.833462435</v>
      </c>
      <c r="H72" s="18">
        <v>158394.3928418588</v>
      </c>
      <c r="I72" s="18">
        <v>12867.711093999998</v>
      </c>
      <c r="J72" s="18">
        <v>622006.1299999999</v>
      </c>
      <c r="K72" s="18">
        <v>3345638.7400000007</v>
      </c>
      <c r="L72" s="19">
        <v>106003.39710200008</v>
      </c>
      <c r="M72" s="19">
        <v>16117.737480103402</v>
      </c>
      <c r="N72" s="19">
        <v>396885.0594980018</v>
      </c>
      <c r="O72" s="19">
        <v>692182.6299999999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7" t="s">
        <v>92</v>
      </c>
      <c r="B73" s="1" t="s">
        <v>37</v>
      </c>
      <c r="C73" s="1" t="s">
        <v>87</v>
      </c>
      <c r="D73" s="17">
        <f t="shared" ref="D73:F73" si="87">IF(H73=0,0%,IF(L73=0,100%,H73/L73-1))</f>
        <v>0.8231262358</v>
      </c>
      <c r="E73" s="17">
        <f t="shared" si="87"/>
        <v>1.523442135</v>
      </c>
      <c r="F73" s="17">
        <f t="shared" si="87"/>
        <v>-5.207651962</v>
      </c>
      <c r="G73" s="17">
        <f t="shared" si="79"/>
        <v>-7.018752731</v>
      </c>
      <c r="H73" s="18">
        <v>301349.4046183303</v>
      </c>
      <c r="I73" s="18">
        <v>17611.37576903688</v>
      </c>
      <c r="J73" s="18">
        <v>2595869.3006493896</v>
      </c>
      <c r="K73" s="18">
        <v>2303849.459999997</v>
      </c>
      <c r="L73" s="19">
        <v>165292.67074100045</v>
      </c>
      <c r="M73" s="19">
        <v>6979.108229168181</v>
      </c>
      <c r="N73" s="19">
        <v>-616940.1186489984</v>
      </c>
      <c r="O73" s="19">
        <v>-382778.5527680032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" t="s">
        <v>93</v>
      </c>
      <c r="B74" s="1" t="s">
        <v>37</v>
      </c>
      <c r="C74" s="21" t="s">
        <v>87</v>
      </c>
      <c r="D74" s="22">
        <f t="shared" ref="D74:F74" si="88">IF(H74=0,0%,IF(L74=0,100%,H74/L74-1))</f>
        <v>1</v>
      </c>
      <c r="E74" s="22">
        <f t="shared" si="88"/>
        <v>-0.4204314971</v>
      </c>
      <c r="F74" s="22">
        <f t="shared" si="88"/>
        <v>0</v>
      </c>
      <c r="G74" s="17">
        <f t="shared" si="79"/>
        <v>0</v>
      </c>
      <c r="H74" s="18">
        <v>-20779.369999999995</v>
      </c>
      <c r="I74" s="18">
        <v>2275.9799999999996</v>
      </c>
      <c r="J74" s="18">
        <v>0.0</v>
      </c>
      <c r="K74" s="18">
        <v>0.0</v>
      </c>
      <c r="L74" s="19">
        <v>0.0</v>
      </c>
      <c r="M74" s="19">
        <v>3927.024999999994</v>
      </c>
      <c r="N74" s="19">
        <v>0.0</v>
      </c>
      <c r="O74" s="19">
        <v>0.0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7.75" customHeight="1">
      <c r="A75" s="24" t="s">
        <v>94</v>
      </c>
      <c r="B75" s="25"/>
      <c r="C75" s="25"/>
      <c r="D75" s="26">
        <f t="shared" ref="D75:F75" si="89">IF(H75=0,0%,IF(L75=0,100%,H75/L75-1))</f>
        <v>0.2073492617</v>
      </c>
      <c r="E75" s="26">
        <f t="shared" si="89"/>
        <v>0.1607926336</v>
      </c>
      <c r="F75" s="26">
        <f t="shared" si="89"/>
        <v>3.334582091</v>
      </c>
      <c r="G75" s="17">
        <f t="shared" si="79"/>
        <v>2.17972718</v>
      </c>
      <c r="H75" s="27">
        <f t="shared" ref="H75:O75" si="90">SUM(H67:H74)</f>
        <v>1026223.999</v>
      </c>
      <c r="I75" s="27">
        <f t="shared" si="90"/>
        <v>116000.3674</v>
      </c>
      <c r="J75" s="27">
        <f t="shared" si="90"/>
        <v>5096008.346</v>
      </c>
      <c r="K75" s="27">
        <f t="shared" si="90"/>
        <v>7313291.53</v>
      </c>
      <c r="L75" s="27">
        <f t="shared" si="90"/>
        <v>849981.0547</v>
      </c>
      <c r="M75" s="27">
        <f t="shared" si="90"/>
        <v>99932.03267</v>
      </c>
      <c r="N75" s="27">
        <f t="shared" si="90"/>
        <v>1175663.129</v>
      </c>
      <c r="O75" s="27">
        <f t="shared" si="90"/>
        <v>2299974.531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0.0" customHeight="1">
      <c r="A76" s="24" t="s">
        <v>95</v>
      </c>
      <c r="B76" s="25"/>
      <c r="C76" s="25"/>
      <c r="D76" s="26">
        <f t="shared" ref="D76:F76" si="91">IF(H76=0,0%,IF(L76=0,100%,H76/L76-1))</f>
        <v>0.1299189643</v>
      </c>
      <c r="E76" s="26">
        <f t="shared" si="91"/>
        <v>0.3804156564</v>
      </c>
      <c r="F76" s="26">
        <f t="shared" si="91"/>
        <v>-0.02441653587</v>
      </c>
      <c r="G76" s="17">
        <f t="shared" si="79"/>
        <v>0.3106436207</v>
      </c>
      <c r="H76" s="27">
        <f t="shared" ref="H76:O76" si="92">H75+H66+H56+H22+H8</f>
        <v>4030280.98</v>
      </c>
      <c r="I76" s="27">
        <f t="shared" si="92"/>
        <v>740338.6526</v>
      </c>
      <c r="J76" s="27">
        <f t="shared" si="92"/>
        <v>12847919.07</v>
      </c>
      <c r="K76" s="27">
        <f t="shared" si="92"/>
        <v>14850838.55</v>
      </c>
      <c r="L76" s="27">
        <f t="shared" si="92"/>
        <v>3566876.128</v>
      </c>
      <c r="M76" s="27">
        <f t="shared" si="92"/>
        <v>536315.746</v>
      </c>
      <c r="N76" s="27">
        <f t="shared" si="92"/>
        <v>13169471.95</v>
      </c>
      <c r="O76" s="27">
        <f t="shared" si="92"/>
        <v>11330950.92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8"/>
      <c r="B77" s="39"/>
      <c r="C77" s="3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0"/>
      <c r="B78" s="39"/>
      <c r="C78" s="3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0"/>
      <c r="B79" s="39"/>
      <c r="C79" s="39"/>
      <c r="D79" s="10"/>
      <c r="E79" s="10"/>
      <c r="F79" s="10"/>
      <c r="G79" s="10"/>
      <c r="H79" s="41"/>
      <c r="I79" s="41"/>
      <c r="J79" s="41"/>
      <c r="K79" s="41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0"/>
      <c r="B80" s="39"/>
      <c r="C80" s="3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0"/>
      <c r="B81" s="39"/>
      <c r="C81" s="39"/>
      <c r="D81" s="10"/>
      <c r="E81" s="10"/>
      <c r="F81" s="10"/>
      <c r="G81" s="10"/>
      <c r="H81" s="41"/>
      <c r="I81" s="41"/>
      <c r="J81" s="41"/>
      <c r="K81" s="41"/>
      <c r="L81" s="10"/>
      <c r="M81" s="10"/>
      <c r="N81" s="4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8"/>
      <c r="B82" s="39"/>
      <c r="C82" s="39"/>
      <c r="D82" s="10"/>
      <c r="E82" s="10"/>
      <c r="F82" s="10"/>
      <c r="G82" s="10"/>
      <c r="H82" s="16"/>
      <c r="I82" s="16"/>
      <c r="J82" s="16"/>
      <c r="K82" s="16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1.0" customHeight="1">
      <c r="A83" s="38"/>
      <c r="B83" s="39"/>
      <c r="C83" s="3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1.0" customHeight="1">
      <c r="A84" s="38"/>
      <c r="B84" s="39"/>
      <c r="C84" s="3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1.0" customHeight="1">
      <c r="A85" s="38"/>
      <c r="B85" s="39"/>
      <c r="C85" s="3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1.0" customHeight="1">
      <c r="A86" s="38"/>
      <c r="B86" s="39"/>
      <c r="C86" s="3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1.0" customHeight="1">
      <c r="A87" s="38"/>
      <c r="B87" s="39"/>
      <c r="C87" s="3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1.0" customHeight="1">
      <c r="A88" s="38"/>
      <c r="B88" s="39"/>
      <c r="C88" s="3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1.0" customHeight="1">
      <c r="A89" s="38"/>
      <c r="B89" s="39"/>
      <c r="C89" s="3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1.0" customHeight="1">
      <c r="A90" s="38"/>
      <c r="B90" s="39"/>
      <c r="C90" s="3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1.0" customHeight="1">
      <c r="A91" s="38"/>
      <c r="B91" s="39"/>
      <c r="C91" s="3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1.0" customHeight="1">
      <c r="A92" s="38"/>
      <c r="B92" s="39"/>
      <c r="C92" s="3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1.0" customHeight="1">
      <c r="A93" s="38"/>
      <c r="B93" s="39"/>
      <c r="C93" s="3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1.0" customHeight="1">
      <c r="A94" s="38"/>
      <c r="B94" s="39"/>
      <c r="C94" s="3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1.0" customHeight="1">
      <c r="A95" s="38"/>
      <c r="B95" s="39"/>
      <c r="C95" s="3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1.0" customHeight="1">
      <c r="A96" s="38"/>
      <c r="B96" s="39"/>
      <c r="C96" s="3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1.0" customHeight="1">
      <c r="A97" s="38"/>
      <c r="B97" s="39"/>
      <c r="C97" s="3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1.0" customHeight="1">
      <c r="A98" s="38"/>
      <c r="B98" s="39"/>
      <c r="C98" s="3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1.0" customHeight="1">
      <c r="A99" s="38"/>
      <c r="B99" s="39"/>
      <c r="C99" s="3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1.0" customHeight="1">
      <c r="A100" s="38"/>
      <c r="B100" s="39"/>
      <c r="C100" s="3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1.0" customHeight="1">
      <c r="A101" s="38"/>
      <c r="B101" s="39"/>
      <c r="C101" s="3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1.0" customHeight="1">
      <c r="A102" s="38"/>
      <c r="B102" s="39"/>
      <c r="C102" s="3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1.0" customHeight="1">
      <c r="A103" s="38"/>
      <c r="B103" s="39"/>
      <c r="C103" s="3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1.0" customHeight="1">
      <c r="A104" s="38"/>
      <c r="B104" s="39"/>
      <c r="C104" s="3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1.0" customHeight="1">
      <c r="A105" s="38"/>
      <c r="B105" s="39"/>
      <c r="C105" s="3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1.0" customHeight="1">
      <c r="A106" s="38"/>
      <c r="B106" s="39"/>
      <c r="C106" s="3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1.0" customHeight="1">
      <c r="A107" s="38"/>
      <c r="B107" s="39"/>
      <c r="C107" s="3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1.0" customHeight="1">
      <c r="A108" s="38"/>
      <c r="B108" s="39"/>
      <c r="C108" s="3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1.0" customHeight="1">
      <c r="A109" s="38"/>
      <c r="B109" s="39"/>
      <c r="C109" s="3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1.0" customHeight="1">
      <c r="A110" s="38"/>
      <c r="B110" s="39"/>
      <c r="C110" s="3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1.0" customHeight="1">
      <c r="A111" s="38"/>
      <c r="B111" s="39"/>
      <c r="C111" s="3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1.0" customHeight="1">
      <c r="A112" s="38"/>
      <c r="B112" s="39"/>
      <c r="C112" s="3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1.0" customHeight="1">
      <c r="A113" s="38"/>
      <c r="B113" s="39"/>
      <c r="C113" s="3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1.0" customHeight="1">
      <c r="A114" s="38"/>
      <c r="B114" s="39"/>
      <c r="C114" s="3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1.0" customHeight="1">
      <c r="A115" s="38"/>
      <c r="B115" s="39"/>
      <c r="C115" s="3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1.0" customHeight="1">
      <c r="A116" s="38"/>
      <c r="B116" s="39"/>
      <c r="C116" s="3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1.0" customHeight="1">
      <c r="A117" s="38"/>
      <c r="B117" s="39"/>
      <c r="C117" s="3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1.0" customHeight="1">
      <c r="A118" s="38"/>
      <c r="B118" s="39"/>
      <c r="C118" s="3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1.0" customHeight="1">
      <c r="A119" s="38"/>
      <c r="B119" s="39"/>
      <c r="C119" s="3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1.0" customHeight="1">
      <c r="A120" s="38"/>
      <c r="B120" s="39"/>
      <c r="C120" s="3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1.0" customHeight="1">
      <c r="A121" s="38"/>
      <c r="B121" s="39"/>
      <c r="C121" s="3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1.0" customHeight="1">
      <c r="A122" s="38"/>
      <c r="B122" s="39"/>
      <c r="C122" s="3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1.0" customHeight="1">
      <c r="A123" s="38"/>
      <c r="B123" s="39"/>
      <c r="C123" s="3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1.0" customHeight="1">
      <c r="A124" s="38"/>
      <c r="B124" s="39"/>
      <c r="C124" s="3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1.0" customHeight="1">
      <c r="A125" s="38"/>
      <c r="B125" s="39"/>
      <c r="C125" s="3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1.0" customHeight="1">
      <c r="A126" s="38"/>
      <c r="B126" s="39"/>
      <c r="C126" s="3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1.0" customHeight="1">
      <c r="A127" s="38"/>
      <c r="B127" s="39"/>
      <c r="C127" s="3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1.0" customHeight="1">
      <c r="A128" s="38"/>
      <c r="B128" s="39"/>
      <c r="C128" s="3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1.0" customHeight="1">
      <c r="A129" s="38"/>
      <c r="B129" s="39"/>
      <c r="C129" s="3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1.0" customHeight="1">
      <c r="A130" s="38"/>
      <c r="B130" s="39"/>
      <c r="C130" s="3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1.0" customHeight="1">
      <c r="A131" s="38"/>
      <c r="B131" s="39"/>
      <c r="C131" s="3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1.0" customHeight="1">
      <c r="A132" s="38"/>
      <c r="B132" s="39"/>
      <c r="C132" s="3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1.0" customHeight="1">
      <c r="A133" s="38"/>
      <c r="B133" s="39"/>
      <c r="C133" s="3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1.0" customHeight="1">
      <c r="A134" s="38"/>
      <c r="B134" s="39"/>
      <c r="C134" s="3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1.0" customHeight="1">
      <c r="A135" s="38"/>
      <c r="B135" s="39"/>
      <c r="C135" s="3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1.0" customHeight="1">
      <c r="A136" s="38"/>
      <c r="B136" s="39"/>
      <c r="C136" s="3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1.0" customHeight="1">
      <c r="A137" s="38"/>
      <c r="B137" s="39"/>
      <c r="C137" s="3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1.0" customHeight="1">
      <c r="A138" s="38"/>
      <c r="B138" s="39"/>
      <c r="C138" s="3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1.0" customHeight="1">
      <c r="A139" s="38"/>
      <c r="B139" s="39"/>
      <c r="C139" s="3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1.0" customHeight="1">
      <c r="A140" s="38"/>
      <c r="B140" s="39"/>
      <c r="C140" s="3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1.0" customHeight="1">
      <c r="A141" s="38"/>
      <c r="B141" s="39"/>
      <c r="C141" s="3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1.0" customHeight="1">
      <c r="A142" s="38"/>
      <c r="B142" s="39"/>
      <c r="C142" s="3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1.0" customHeight="1">
      <c r="A143" s="38"/>
      <c r="B143" s="39"/>
      <c r="C143" s="3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1.0" customHeight="1">
      <c r="A144" s="38"/>
      <c r="B144" s="39"/>
      <c r="C144" s="3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1.0" customHeight="1">
      <c r="A145" s="38"/>
      <c r="B145" s="39"/>
      <c r="C145" s="3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1.0" customHeight="1">
      <c r="A146" s="38"/>
      <c r="B146" s="39"/>
      <c r="C146" s="3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1.0" customHeight="1">
      <c r="A147" s="38"/>
      <c r="B147" s="39"/>
      <c r="C147" s="3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1.0" customHeight="1">
      <c r="A148" s="38"/>
      <c r="B148" s="39"/>
      <c r="C148" s="3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1.0" customHeight="1">
      <c r="A149" s="38"/>
      <c r="B149" s="39"/>
      <c r="C149" s="3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1.0" customHeight="1">
      <c r="A150" s="38"/>
      <c r="B150" s="39"/>
      <c r="C150" s="3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1.0" customHeight="1">
      <c r="A151" s="38"/>
      <c r="B151" s="39"/>
      <c r="C151" s="3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1.0" customHeight="1">
      <c r="A152" s="38"/>
      <c r="B152" s="39"/>
      <c r="C152" s="3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1.0" customHeight="1">
      <c r="A153" s="38"/>
      <c r="B153" s="39"/>
      <c r="C153" s="3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1.0" customHeight="1">
      <c r="A154" s="38"/>
      <c r="B154" s="39"/>
      <c r="C154" s="3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1.0" customHeight="1">
      <c r="A155" s="38"/>
      <c r="B155" s="39"/>
      <c r="C155" s="3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1.0" customHeight="1">
      <c r="A156" s="38"/>
      <c r="B156" s="39"/>
      <c r="C156" s="3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1.0" customHeight="1">
      <c r="A157" s="38"/>
      <c r="B157" s="39"/>
      <c r="C157" s="3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1.0" customHeight="1">
      <c r="A158" s="38"/>
      <c r="B158" s="39"/>
      <c r="C158" s="3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1.0" customHeight="1">
      <c r="A159" s="38"/>
      <c r="B159" s="39"/>
      <c r="C159" s="3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1.0" customHeight="1">
      <c r="A160" s="38"/>
      <c r="B160" s="39"/>
      <c r="C160" s="3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1.0" customHeight="1">
      <c r="A161" s="38"/>
      <c r="B161" s="39"/>
      <c r="C161" s="3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1.0" customHeight="1">
      <c r="A162" s="38"/>
      <c r="B162" s="39"/>
      <c r="C162" s="3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1.0" customHeight="1">
      <c r="A163" s="38"/>
      <c r="B163" s="39"/>
      <c r="C163" s="3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1.0" customHeight="1">
      <c r="A164" s="38"/>
      <c r="B164" s="39"/>
      <c r="C164" s="3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1.0" customHeight="1">
      <c r="A165" s="38"/>
      <c r="B165" s="39"/>
      <c r="C165" s="3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1.0" customHeight="1">
      <c r="A166" s="38"/>
      <c r="B166" s="39"/>
      <c r="C166" s="3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1.0" customHeight="1">
      <c r="A167" s="38"/>
      <c r="B167" s="39"/>
      <c r="C167" s="3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1.0" customHeight="1">
      <c r="A168" s="38"/>
      <c r="B168" s="39"/>
      <c r="C168" s="3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1.0" customHeight="1">
      <c r="A169" s="38"/>
      <c r="B169" s="39"/>
      <c r="C169" s="3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1.0" customHeight="1">
      <c r="A170" s="38"/>
      <c r="B170" s="39"/>
      <c r="C170" s="3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1.0" customHeight="1">
      <c r="A171" s="38"/>
      <c r="B171" s="39"/>
      <c r="C171" s="3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1.0" customHeight="1">
      <c r="A172" s="38"/>
      <c r="B172" s="39"/>
      <c r="C172" s="3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1.0" customHeight="1">
      <c r="A173" s="38"/>
      <c r="B173" s="39"/>
      <c r="C173" s="3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1.0" customHeight="1">
      <c r="A174" s="38"/>
      <c r="B174" s="39"/>
      <c r="C174" s="3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1.0" customHeight="1">
      <c r="A175" s="38"/>
      <c r="B175" s="39"/>
      <c r="C175" s="3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1.0" customHeight="1">
      <c r="A176" s="38"/>
      <c r="B176" s="39"/>
      <c r="C176" s="3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1.0" customHeight="1">
      <c r="A177" s="38"/>
      <c r="B177" s="39"/>
      <c r="C177" s="3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1.0" customHeight="1">
      <c r="A178" s="38"/>
      <c r="B178" s="39"/>
      <c r="C178" s="3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1.0" customHeight="1">
      <c r="A179" s="38"/>
      <c r="B179" s="39"/>
      <c r="C179" s="3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1.0" customHeight="1">
      <c r="A180" s="38"/>
      <c r="B180" s="39"/>
      <c r="C180" s="3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1.0" customHeight="1">
      <c r="A181" s="38"/>
      <c r="B181" s="39"/>
      <c r="C181" s="3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1.0" customHeight="1">
      <c r="A182" s="38"/>
      <c r="B182" s="39"/>
      <c r="C182" s="3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1.0" customHeight="1">
      <c r="A183" s="38"/>
      <c r="B183" s="39"/>
      <c r="C183" s="3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1.0" customHeight="1">
      <c r="A184" s="38"/>
      <c r="B184" s="39"/>
      <c r="C184" s="3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1.0" customHeight="1">
      <c r="A185" s="38"/>
      <c r="B185" s="39"/>
      <c r="C185" s="3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1.0" customHeight="1">
      <c r="A186" s="38"/>
      <c r="B186" s="39"/>
      <c r="C186" s="3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1.0" customHeight="1">
      <c r="A187" s="38"/>
      <c r="B187" s="39"/>
      <c r="C187" s="3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1.0" customHeight="1">
      <c r="A188" s="38"/>
      <c r="B188" s="39"/>
      <c r="C188" s="3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1.0" customHeight="1">
      <c r="A189" s="38"/>
      <c r="B189" s="39"/>
      <c r="C189" s="3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1.0" customHeight="1">
      <c r="A190" s="38"/>
      <c r="B190" s="39"/>
      <c r="C190" s="3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1.0" customHeight="1">
      <c r="A191" s="38"/>
      <c r="B191" s="39"/>
      <c r="C191" s="3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1.0" customHeight="1">
      <c r="A192" s="38"/>
      <c r="B192" s="39"/>
      <c r="C192" s="3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1.0" customHeight="1">
      <c r="A193" s="38"/>
      <c r="B193" s="39"/>
      <c r="C193" s="3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1.0" customHeight="1">
      <c r="A194" s="38"/>
      <c r="B194" s="39"/>
      <c r="C194" s="3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1.0" customHeight="1">
      <c r="A195" s="38"/>
      <c r="B195" s="39"/>
      <c r="C195" s="3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1.0" customHeight="1">
      <c r="A196" s="38"/>
      <c r="B196" s="39"/>
      <c r="C196" s="3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1.0" customHeight="1">
      <c r="A197" s="38"/>
      <c r="B197" s="39"/>
      <c r="C197" s="3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1.0" customHeight="1">
      <c r="A198" s="38"/>
      <c r="B198" s="39"/>
      <c r="C198" s="3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1.0" customHeight="1">
      <c r="A199" s="38"/>
      <c r="B199" s="39"/>
      <c r="C199" s="3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1.0" customHeight="1">
      <c r="A200" s="38"/>
      <c r="B200" s="39"/>
      <c r="C200" s="3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1.0" customHeight="1">
      <c r="A201" s="38"/>
      <c r="B201" s="39"/>
      <c r="C201" s="3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1.0" customHeight="1">
      <c r="A202" s="38"/>
      <c r="B202" s="39"/>
      <c r="C202" s="3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1.0" customHeight="1">
      <c r="A203" s="38"/>
      <c r="B203" s="39"/>
      <c r="C203" s="3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1.0" customHeight="1">
      <c r="A204" s="38"/>
      <c r="B204" s="39"/>
      <c r="C204" s="3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1.0" customHeight="1">
      <c r="A205" s="38"/>
      <c r="B205" s="39"/>
      <c r="C205" s="3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1.0" customHeight="1">
      <c r="A206" s="38"/>
      <c r="B206" s="39"/>
      <c r="C206" s="3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1.0" customHeight="1">
      <c r="A207" s="38"/>
      <c r="B207" s="39"/>
      <c r="C207" s="3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1.0" customHeight="1">
      <c r="A208" s="38"/>
      <c r="B208" s="39"/>
      <c r="C208" s="3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1.0" customHeight="1">
      <c r="A209" s="38"/>
      <c r="B209" s="39"/>
      <c r="C209" s="3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1.0" customHeight="1">
      <c r="A210" s="38"/>
      <c r="B210" s="39"/>
      <c r="C210" s="3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1.0" customHeight="1">
      <c r="A211" s="38"/>
      <c r="B211" s="39"/>
      <c r="C211" s="3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1.0" customHeight="1">
      <c r="A212" s="38"/>
      <c r="B212" s="39"/>
      <c r="C212" s="3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1.0" customHeight="1">
      <c r="A213" s="38"/>
      <c r="B213" s="39"/>
      <c r="C213" s="3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1.0" customHeight="1">
      <c r="A214" s="38"/>
      <c r="B214" s="39"/>
      <c r="C214" s="3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1.0" customHeight="1">
      <c r="A215" s="38"/>
      <c r="B215" s="39"/>
      <c r="C215" s="3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1.0" customHeight="1">
      <c r="A216" s="38"/>
      <c r="B216" s="39"/>
      <c r="C216" s="3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1.0" customHeight="1">
      <c r="A217" s="38"/>
      <c r="B217" s="39"/>
      <c r="C217" s="3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1.0" customHeight="1">
      <c r="A218" s="38"/>
      <c r="B218" s="39"/>
      <c r="C218" s="3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1.0" customHeight="1">
      <c r="A219" s="38"/>
      <c r="B219" s="39"/>
      <c r="C219" s="3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1.0" customHeight="1">
      <c r="A220" s="38"/>
      <c r="B220" s="39"/>
      <c r="C220" s="3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1.0" customHeight="1">
      <c r="A221" s="38"/>
      <c r="B221" s="39"/>
      <c r="C221" s="3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1.0" customHeight="1">
      <c r="A222" s="38"/>
      <c r="B222" s="39"/>
      <c r="C222" s="3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1.0" customHeight="1">
      <c r="A223" s="38"/>
      <c r="B223" s="39"/>
      <c r="C223" s="3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1.0" customHeight="1">
      <c r="A224" s="38"/>
      <c r="B224" s="39"/>
      <c r="C224" s="3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1.0" customHeight="1">
      <c r="A225" s="38"/>
      <c r="B225" s="39"/>
      <c r="C225" s="3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1.0" customHeight="1">
      <c r="A226" s="38"/>
      <c r="B226" s="39"/>
      <c r="C226" s="3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1.0" customHeight="1">
      <c r="A227" s="38"/>
      <c r="B227" s="39"/>
      <c r="C227" s="3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1.0" customHeight="1">
      <c r="A228" s="38"/>
      <c r="B228" s="39"/>
      <c r="C228" s="3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1.0" customHeight="1">
      <c r="A229" s="38"/>
      <c r="B229" s="39"/>
      <c r="C229" s="3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1.0" customHeight="1">
      <c r="A230" s="38"/>
      <c r="B230" s="39"/>
      <c r="C230" s="3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1.0" customHeight="1">
      <c r="A231" s="38"/>
      <c r="B231" s="39"/>
      <c r="C231" s="3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1.0" customHeight="1">
      <c r="A232" s="38"/>
      <c r="B232" s="39"/>
      <c r="C232" s="3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1.0" customHeight="1">
      <c r="A233" s="38"/>
      <c r="B233" s="39"/>
      <c r="C233" s="3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1.0" customHeight="1">
      <c r="A234" s="38"/>
      <c r="B234" s="39"/>
      <c r="C234" s="3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1.0" customHeight="1">
      <c r="A235" s="38"/>
      <c r="B235" s="39"/>
      <c r="C235" s="3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1.0" customHeight="1">
      <c r="A236" s="38"/>
      <c r="B236" s="39"/>
      <c r="C236" s="3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1.0" customHeight="1">
      <c r="A237" s="38"/>
      <c r="B237" s="39"/>
      <c r="C237" s="3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1.0" customHeight="1">
      <c r="A238" s="38"/>
      <c r="B238" s="39"/>
      <c r="C238" s="3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1.0" customHeight="1">
      <c r="A239" s="38"/>
      <c r="B239" s="39"/>
      <c r="C239" s="3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1.0" customHeight="1">
      <c r="A240" s="38"/>
      <c r="B240" s="39"/>
      <c r="C240" s="3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1.0" customHeight="1">
      <c r="A241" s="38"/>
      <c r="B241" s="39"/>
      <c r="C241" s="3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1.0" customHeight="1">
      <c r="A242" s="38"/>
      <c r="B242" s="39"/>
      <c r="C242" s="3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1.0" customHeight="1">
      <c r="A243" s="38"/>
      <c r="B243" s="39"/>
      <c r="C243" s="3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1.0" customHeight="1">
      <c r="A244" s="38"/>
      <c r="B244" s="39"/>
      <c r="C244" s="3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1.0" customHeight="1">
      <c r="A245" s="38"/>
      <c r="B245" s="39"/>
      <c r="C245" s="3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1.0" customHeight="1">
      <c r="A246" s="38"/>
      <c r="B246" s="39"/>
      <c r="C246" s="3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1.0" customHeight="1">
      <c r="A247" s="38"/>
      <c r="B247" s="39"/>
      <c r="C247" s="3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1.0" customHeight="1">
      <c r="A248" s="38"/>
      <c r="B248" s="39"/>
      <c r="C248" s="3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1.0" customHeight="1">
      <c r="A249" s="38"/>
      <c r="B249" s="39"/>
      <c r="C249" s="3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1.0" customHeight="1">
      <c r="A250" s="38"/>
      <c r="B250" s="39"/>
      <c r="C250" s="3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1.0" customHeight="1">
      <c r="A251" s="38"/>
      <c r="B251" s="39"/>
      <c r="C251" s="3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1.0" customHeight="1">
      <c r="A252" s="38"/>
      <c r="B252" s="39"/>
      <c r="C252" s="3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1.0" customHeight="1">
      <c r="A253" s="38"/>
      <c r="B253" s="39"/>
      <c r="C253" s="3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1.0" customHeight="1">
      <c r="A254" s="38"/>
      <c r="B254" s="39"/>
      <c r="C254" s="3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1.0" customHeight="1">
      <c r="A255" s="38"/>
      <c r="B255" s="39"/>
      <c r="C255" s="3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1.0" customHeight="1">
      <c r="A256" s="38"/>
      <c r="B256" s="39"/>
      <c r="C256" s="3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1.0" customHeight="1">
      <c r="A257" s="38"/>
      <c r="B257" s="39"/>
      <c r="C257" s="3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1.0" customHeight="1">
      <c r="A258" s="38"/>
      <c r="B258" s="39"/>
      <c r="C258" s="3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1.0" customHeight="1">
      <c r="A259" s="38"/>
      <c r="B259" s="39"/>
      <c r="C259" s="3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1.0" customHeight="1">
      <c r="A260" s="38"/>
      <c r="B260" s="39"/>
      <c r="C260" s="3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1.0" customHeight="1">
      <c r="A261" s="38"/>
      <c r="B261" s="39"/>
      <c r="C261" s="3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1.0" customHeight="1">
      <c r="A262" s="38"/>
      <c r="B262" s="39"/>
      <c r="C262" s="3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1.0" customHeight="1">
      <c r="A263" s="38"/>
      <c r="B263" s="39"/>
      <c r="C263" s="3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1.0" customHeight="1">
      <c r="A264" s="38"/>
      <c r="B264" s="39"/>
      <c r="C264" s="3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1.0" customHeight="1">
      <c r="A265" s="38"/>
      <c r="B265" s="39"/>
      <c r="C265" s="3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1.0" customHeight="1">
      <c r="A266" s="38"/>
      <c r="B266" s="39"/>
      <c r="C266" s="3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1.0" customHeight="1">
      <c r="A267" s="38"/>
      <c r="B267" s="39"/>
      <c r="C267" s="3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1.0" customHeight="1">
      <c r="A268" s="38"/>
      <c r="B268" s="39"/>
      <c r="C268" s="3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1.0" customHeight="1">
      <c r="A269" s="38"/>
      <c r="B269" s="39"/>
      <c r="C269" s="3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1.0" customHeight="1">
      <c r="A270" s="38"/>
      <c r="B270" s="39"/>
      <c r="C270" s="3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1.0" customHeight="1">
      <c r="A271" s="38"/>
      <c r="B271" s="39"/>
      <c r="C271" s="3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1.0" customHeight="1">
      <c r="A272" s="38"/>
      <c r="B272" s="39"/>
      <c r="C272" s="3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1.0" customHeight="1">
      <c r="A273" s="38"/>
      <c r="B273" s="39"/>
      <c r="C273" s="3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1.0" customHeight="1">
      <c r="A274" s="38"/>
      <c r="B274" s="39"/>
      <c r="C274" s="3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1.0" customHeight="1">
      <c r="A275" s="38"/>
      <c r="B275" s="39"/>
      <c r="C275" s="3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1.0" customHeight="1">
      <c r="A276" s="38"/>
      <c r="B276" s="39"/>
      <c r="C276" s="3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1.0" customHeight="1">
      <c r="A277" s="38"/>
      <c r="B277" s="39"/>
      <c r="C277" s="3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1.0" customHeight="1">
      <c r="A278" s="38"/>
      <c r="B278" s="39"/>
      <c r="C278" s="3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1.0" customHeight="1">
      <c r="A279" s="38"/>
      <c r="B279" s="39"/>
      <c r="C279" s="3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1.0" customHeight="1">
      <c r="A280" s="38"/>
      <c r="B280" s="39"/>
      <c r="C280" s="3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1.0" customHeight="1">
      <c r="A281" s="38"/>
      <c r="B281" s="39"/>
      <c r="C281" s="3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1.0" customHeight="1">
      <c r="A282" s="38"/>
      <c r="B282" s="39"/>
      <c r="C282" s="3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1.0" customHeight="1">
      <c r="A283" s="38"/>
      <c r="B283" s="39"/>
      <c r="C283" s="3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1.0" customHeight="1">
      <c r="A284" s="38"/>
      <c r="B284" s="39"/>
      <c r="C284" s="3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1.0" customHeight="1">
      <c r="A285" s="38"/>
      <c r="B285" s="39"/>
      <c r="C285" s="3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1.0" customHeight="1">
      <c r="A286" s="38"/>
      <c r="B286" s="39"/>
      <c r="C286" s="3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1.0" customHeight="1">
      <c r="A287" s="38"/>
      <c r="B287" s="39"/>
      <c r="C287" s="3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1.0" customHeight="1">
      <c r="A288" s="38"/>
      <c r="B288" s="39"/>
      <c r="C288" s="3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1.0" customHeight="1">
      <c r="A289" s="38"/>
      <c r="B289" s="39"/>
      <c r="C289" s="3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1.0" customHeight="1">
      <c r="A290" s="38"/>
      <c r="B290" s="39"/>
      <c r="C290" s="3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1.0" customHeight="1">
      <c r="A291" s="38"/>
      <c r="B291" s="39"/>
      <c r="C291" s="3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1.0" customHeight="1">
      <c r="A292" s="38"/>
      <c r="B292" s="39"/>
      <c r="C292" s="3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1.0" customHeight="1">
      <c r="A293" s="38"/>
      <c r="B293" s="39"/>
      <c r="C293" s="3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1.0" customHeight="1">
      <c r="A294" s="38"/>
      <c r="B294" s="39"/>
      <c r="C294" s="3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1.0" customHeight="1">
      <c r="A295" s="38"/>
      <c r="B295" s="39"/>
      <c r="C295" s="3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1.0" customHeight="1">
      <c r="A296" s="38"/>
      <c r="B296" s="39"/>
      <c r="C296" s="3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1.0" customHeight="1">
      <c r="A297" s="38"/>
      <c r="B297" s="39"/>
      <c r="C297" s="3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1.0" customHeight="1">
      <c r="A298" s="38"/>
      <c r="B298" s="39"/>
      <c r="C298" s="3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1.0" customHeight="1">
      <c r="A299" s="38"/>
      <c r="B299" s="39"/>
      <c r="C299" s="3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1.0" customHeight="1">
      <c r="A300" s="38"/>
      <c r="B300" s="39"/>
      <c r="C300" s="3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1.0" customHeight="1">
      <c r="A301" s="38"/>
      <c r="B301" s="39"/>
      <c r="C301" s="3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1.0" customHeight="1">
      <c r="A302" s="38"/>
      <c r="B302" s="39"/>
      <c r="C302" s="3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1.0" customHeight="1">
      <c r="A303" s="38"/>
      <c r="B303" s="39"/>
      <c r="C303" s="3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1.0" customHeight="1">
      <c r="A304" s="38"/>
      <c r="B304" s="39"/>
      <c r="C304" s="3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1.0" customHeight="1">
      <c r="A305" s="38"/>
      <c r="B305" s="39"/>
      <c r="C305" s="3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1.0" customHeight="1">
      <c r="A306" s="38"/>
      <c r="B306" s="39"/>
      <c r="C306" s="3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1.0" customHeight="1">
      <c r="A307" s="38"/>
      <c r="B307" s="39"/>
      <c r="C307" s="3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1.0" customHeight="1">
      <c r="A308" s="38"/>
      <c r="B308" s="39"/>
      <c r="C308" s="3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1.0" customHeight="1">
      <c r="A309" s="38"/>
      <c r="B309" s="39"/>
      <c r="C309" s="3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1.0" customHeight="1">
      <c r="A310" s="38"/>
      <c r="B310" s="39"/>
      <c r="C310" s="3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1.0" customHeight="1">
      <c r="A311" s="38"/>
      <c r="B311" s="39"/>
      <c r="C311" s="3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1.0" customHeight="1">
      <c r="A312" s="38"/>
      <c r="B312" s="39"/>
      <c r="C312" s="3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1.0" customHeight="1">
      <c r="A313" s="38"/>
      <c r="B313" s="39"/>
      <c r="C313" s="3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1.0" customHeight="1">
      <c r="A314" s="38"/>
      <c r="B314" s="39"/>
      <c r="C314" s="3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1.0" customHeight="1">
      <c r="A315" s="38"/>
      <c r="B315" s="39"/>
      <c r="C315" s="3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1.0" customHeight="1">
      <c r="A316" s="38"/>
      <c r="B316" s="39"/>
      <c r="C316" s="3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1.0" customHeight="1">
      <c r="A317" s="38"/>
      <c r="B317" s="39"/>
      <c r="C317" s="3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1.0" customHeight="1">
      <c r="A318" s="38"/>
      <c r="B318" s="39"/>
      <c r="C318" s="3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1.0" customHeight="1">
      <c r="A319" s="38"/>
      <c r="B319" s="39"/>
      <c r="C319" s="3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1.0" customHeight="1">
      <c r="A320" s="38"/>
      <c r="B320" s="39"/>
      <c r="C320" s="3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1.0" customHeight="1">
      <c r="A321" s="38"/>
      <c r="B321" s="39"/>
      <c r="C321" s="3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1.0" customHeight="1">
      <c r="A322" s="38"/>
      <c r="B322" s="39"/>
      <c r="C322" s="3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1.0" customHeight="1">
      <c r="A323" s="38"/>
      <c r="B323" s="39"/>
      <c r="C323" s="3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1.0" customHeight="1">
      <c r="A324" s="38"/>
      <c r="B324" s="39"/>
      <c r="C324" s="3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1.0" customHeight="1">
      <c r="A325" s="38"/>
      <c r="B325" s="39"/>
      <c r="C325" s="3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1.0" customHeight="1">
      <c r="A326" s="38"/>
      <c r="B326" s="39"/>
      <c r="C326" s="3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1.0" customHeight="1">
      <c r="A327" s="38"/>
      <c r="B327" s="39"/>
      <c r="C327" s="3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1.0" customHeight="1">
      <c r="A328" s="38"/>
      <c r="B328" s="39"/>
      <c r="C328" s="3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1.0" customHeight="1">
      <c r="A329" s="38"/>
      <c r="B329" s="39"/>
      <c r="C329" s="3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1.0" customHeight="1">
      <c r="A330" s="38"/>
      <c r="B330" s="39"/>
      <c r="C330" s="3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1.0" customHeight="1">
      <c r="A331" s="38"/>
      <c r="B331" s="39"/>
      <c r="C331" s="3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1.0" customHeight="1">
      <c r="A332" s="38"/>
      <c r="B332" s="39"/>
      <c r="C332" s="3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1.0" customHeight="1">
      <c r="A333" s="38"/>
      <c r="B333" s="39"/>
      <c r="C333" s="3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1.0" customHeight="1">
      <c r="A334" s="38"/>
      <c r="B334" s="39"/>
      <c r="C334" s="3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1.0" customHeight="1">
      <c r="A335" s="38"/>
      <c r="B335" s="39"/>
      <c r="C335" s="3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1.0" customHeight="1">
      <c r="A336" s="38"/>
      <c r="B336" s="39"/>
      <c r="C336" s="3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1.0" customHeight="1">
      <c r="A337" s="38"/>
      <c r="B337" s="39"/>
      <c r="C337" s="3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1.0" customHeight="1">
      <c r="A338" s="38"/>
      <c r="B338" s="39"/>
      <c r="C338" s="3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1.0" customHeight="1">
      <c r="A339" s="38"/>
      <c r="B339" s="39"/>
      <c r="C339" s="3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1.0" customHeight="1">
      <c r="A340" s="38"/>
      <c r="B340" s="39"/>
      <c r="C340" s="3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1.0" customHeight="1">
      <c r="A341" s="38"/>
      <c r="B341" s="39"/>
      <c r="C341" s="3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1.0" customHeight="1">
      <c r="A342" s="38"/>
      <c r="B342" s="39"/>
      <c r="C342" s="3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1.0" customHeight="1">
      <c r="A343" s="38"/>
      <c r="B343" s="39"/>
      <c r="C343" s="3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1.0" customHeight="1">
      <c r="A344" s="38"/>
      <c r="B344" s="39"/>
      <c r="C344" s="3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1.0" customHeight="1">
      <c r="A345" s="38"/>
      <c r="B345" s="39"/>
      <c r="C345" s="3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1.0" customHeight="1">
      <c r="A346" s="38"/>
      <c r="B346" s="39"/>
      <c r="C346" s="3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1.0" customHeight="1">
      <c r="A347" s="38"/>
      <c r="B347" s="39"/>
      <c r="C347" s="3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1.0" customHeight="1">
      <c r="A348" s="38"/>
      <c r="B348" s="39"/>
      <c r="C348" s="3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1.0" customHeight="1">
      <c r="A349" s="38"/>
      <c r="B349" s="39"/>
      <c r="C349" s="3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1.0" customHeight="1">
      <c r="A350" s="38"/>
      <c r="B350" s="39"/>
      <c r="C350" s="3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1.0" customHeight="1">
      <c r="A351" s="38"/>
      <c r="B351" s="39"/>
      <c r="C351" s="3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1.0" customHeight="1">
      <c r="A352" s="38"/>
      <c r="B352" s="39"/>
      <c r="C352" s="3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1.0" customHeight="1">
      <c r="A353" s="38"/>
      <c r="B353" s="39"/>
      <c r="C353" s="3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1.0" customHeight="1">
      <c r="A354" s="38"/>
      <c r="B354" s="39"/>
      <c r="C354" s="3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1.0" customHeight="1">
      <c r="A355" s="38"/>
      <c r="B355" s="39"/>
      <c r="C355" s="3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1.0" customHeight="1">
      <c r="A356" s="38"/>
      <c r="B356" s="39"/>
      <c r="C356" s="3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1.0" customHeight="1">
      <c r="A357" s="38"/>
      <c r="B357" s="39"/>
      <c r="C357" s="3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1.0" customHeight="1">
      <c r="A358" s="38"/>
      <c r="B358" s="39"/>
      <c r="C358" s="3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1.0" customHeight="1">
      <c r="A359" s="38"/>
      <c r="B359" s="39"/>
      <c r="C359" s="3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1.0" customHeight="1">
      <c r="A360" s="38"/>
      <c r="B360" s="39"/>
      <c r="C360" s="3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1.0" customHeight="1">
      <c r="A361" s="38"/>
      <c r="B361" s="39"/>
      <c r="C361" s="3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1.0" customHeight="1">
      <c r="A362" s="38"/>
      <c r="B362" s="39"/>
      <c r="C362" s="3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1.0" customHeight="1">
      <c r="A363" s="38"/>
      <c r="B363" s="39"/>
      <c r="C363" s="3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1.0" customHeight="1">
      <c r="A364" s="38"/>
      <c r="B364" s="39"/>
      <c r="C364" s="3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1.0" customHeight="1">
      <c r="A365" s="38"/>
      <c r="B365" s="39"/>
      <c r="C365" s="3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1.0" customHeight="1">
      <c r="A366" s="38"/>
      <c r="B366" s="39"/>
      <c r="C366" s="3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1.0" customHeight="1">
      <c r="A367" s="38"/>
      <c r="B367" s="39"/>
      <c r="C367" s="3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1.0" customHeight="1">
      <c r="A368" s="38"/>
      <c r="B368" s="39"/>
      <c r="C368" s="3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1.0" customHeight="1">
      <c r="A369" s="38"/>
      <c r="B369" s="39"/>
      <c r="C369" s="3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1.0" customHeight="1">
      <c r="A370" s="38"/>
      <c r="B370" s="39"/>
      <c r="C370" s="3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1.0" customHeight="1">
      <c r="A371" s="38"/>
      <c r="B371" s="39"/>
      <c r="C371" s="3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1.0" customHeight="1">
      <c r="A372" s="38"/>
      <c r="B372" s="39"/>
      <c r="C372" s="3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1.0" customHeight="1">
      <c r="A373" s="38"/>
      <c r="B373" s="39"/>
      <c r="C373" s="3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1.0" customHeight="1">
      <c r="A374" s="38"/>
      <c r="B374" s="39"/>
      <c r="C374" s="3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1.0" customHeight="1">
      <c r="A375" s="38"/>
      <c r="B375" s="39"/>
      <c r="C375" s="3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1.0" customHeight="1">
      <c r="A376" s="38"/>
      <c r="B376" s="39"/>
      <c r="C376" s="3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1.0" customHeight="1">
      <c r="A377" s="38"/>
      <c r="B377" s="39"/>
      <c r="C377" s="3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1.0" customHeight="1">
      <c r="A378" s="38"/>
      <c r="B378" s="39"/>
      <c r="C378" s="3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1.0" customHeight="1">
      <c r="A379" s="38"/>
      <c r="B379" s="39"/>
      <c r="C379" s="3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1.0" customHeight="1">
      <c r="A380" s="38"/>
      <c r="B380" s="39"/>
      <c r="C380" s="3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1.0" customHeight="1">
      <c r="A381" s="38"/>
      <c r="B381" s="39"/>
      <c r="C381" s="3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1.0" customHeight="1">
      <c r="A382" s="38"/>
      <c r="B382" s="39"/>
      <c r="C382" s="3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1.0" customHeight="1">
      <c r="A383" s="38"/>
      <c r="B383" s="39"/>
      <c r="C383" s="3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1.0" customHeight="1">
      <c r="A384" s="38"/>
      <c r="B384" s="39"/>
      <c r="C384" s="3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1.0" customHeight="1">
      <c r="A385" s="38"/>
      <c r="B385" s="39"/>
      <c r="C385" s="3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1.0" customHeight="1">
      <c r="A386" s="38"/>
      <c r="B386" s="39"/>
      <c r="C386" s="3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1.0" customHeight="1">
      <c r="A387" s="38"/>
      <c r="B387" s="39"/>
      <c r="C387" s="3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1.0" customHeight="1">
      <c r="A388" s="38"/>
      <c r="B388" s="39"/>
      <c r="C388" s="3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1.0" customHeight="1">
      <c r="A389" s="38"/>
      <c r="B389" s="39"/>
      <c r="C389" s="3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1.0" customHeight="1">
      <c r="A390" s="38"/>
      <c r="B390" s="39"/>
      <c r="C390" s="3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1.0" customHeight="1">
      <c r="A391" s="38"/>
      <c r="B391" s="39"/>
      <c r="C391" s="3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1.0" customHeight="1">
      <c r="A392" s="38"/>
      <c r="B392" s="39"/>
      <c r="C392" s="3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1.0" customHeight="1">
      <c r="A393" s="38"/>
      <c r="B393" s="39"/>
      <c r="C393" s="3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1.0" customHeight="1">
      <c r="A394" s="38"/>
      <c r="B394" s="39"/>
      <c r="C394" s="3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1.0" customHeight="1">
      <c r="A395" s="38"/>
      <c r="B395" s="39"/>
      <c r="C395" s="3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1.0" customHeight="1">
      <c r="A396" s="38"/>
      <c r="B396" s="39"/>
      <c r="C396" s="3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1.0" customHeight="1">
      <c r="A397" s="38"/>
      <c r="B397" s="39"/>
      <c r="C397" s="3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1.0" customHeight="1">
      <c r="A398" s="38"/>
      <c r="B398" s="39"/>
      <c r="C398" s="3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1.0" customHeight="1">
      <c r="A399" s="38"/>
      <c r="B399" s="39"/>
      <c r="C399" s="3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1.0" customHeight="1">
      <c r="A400" s="38"/>
      <c r="B400" s="39"/>
      <c r="C400" s="3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1.0" customHeight="1">
      <c r="A401" s="38"/>
      <c r="B401" s="39"/>
      <c r="C401" s="3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1.0" customHeight="1">
      <c r="A402" s="38"/>
      <c r="B402" s="39"/>
      <c r="C402" s="3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1.0" customHeight="1">
      <c r="A403" s="38"/>
      <c r="B403" s="39"/>
      <c r="C403" s="3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1.0" customHeight="1">
      <c r="A404" s="38"/>
      <c r="B404" s="39"/>
      <c r="C404" s="3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1.0" customHeight="1">
      <c r="A405" s="38"/>
      <c r="B405" s="39"/>
      <c r="C405" s="3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1.0" customHeight="1">
      <c r="A406" s="38"/>
      <c r="B406" s="39"/>
      <c r="C406" s="3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1.0" customHeight="1">
      <c r="A407" s="38"/>
      <c r="B407" s="39"/>
      <c r="C407" s="3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1.0" customHeight="1">
      <c r="A408" s="38"/>
      <c r="B408" s="39"/>
      <c r="C408" s="3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1.0" customHeight="1">
      <c r="A409" s="38"/>
      <c r="B409" s="39"/>
      <c r="C409" s="3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1.0" customHeight="1">
      <c r="A410" s="38"/>
      <c r="B410" s="39"/>
      <c r="C410" s="3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1.0" customHeight="1">
      <c r="A411" s="38"/>
      <c r="B411" s="39"/>
      <c r="C411" s="3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1.0" customHeight="1">
      <c r="A412" s="38"/>
      <c r="B412" s="39"/>
      <c r="C412" s="3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1.0" customHeight="1">
      <c r="A413" s="38"/>
      <c r="B413" s="39"/>
      <c r="C413" s="3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1.0" customHeight="1">
      <c r="A414" s="38"/>
      <c r="B414" s="39"/>
      <c r="C414" s="3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1.0" customHeight="1">
      <c r="A415" s="38"/>
      <c r="B415" s="39"/>
      <c r="C415" s="3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1.0" customHeight="1">
      <c r="A416" s="38"/>
      <c r="B416" s="39"/>
      <c r="C416" s="3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1.0" customHeight="1">
      <c r="A417" s="38"/>
      <c r="B417" s="39"/>
      <c r="C417" s="3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1.0" customHeight="1">
      <c r="A418" s="38"/>
      <c r="B418" s="39"/>
      <c r="C418" s="3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1.0" customHeight="1">
      <c r="A419" s="38"/>
      <c r="B419" s="39"/>
      <c r="C419" s="3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1.0" customHeight="1">
      <c r="A420" s="38"/>
      <c r="B420" s="39"/>
      <c r="C420" s="3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1.0" customHeight="1">
      <c r="A421" s="38"/>
      <c r="B421" s="39"/>
      <c r="C421" s="3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1.0" customHeight="1">
      <c r="A422" s="38"/>
      <c r="B422" s="39"/>
      <c r="C422" s="3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1.0" customHeight="1">
      <c r="A423" s="38"/>
      <c r="B423" s="39"/>
      <c r="C423" s="3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1.0" customHeight="1">
      <c r="A424" s="38"/>
      <c r="B424" s="39"/>
      <c r="C424" s="3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1.0" customHeight="1">
      <c r="A425" s="38"/>
      <c r="B425" s="39"/>
      <c r="C425" s="3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1.0" customHeight="1">
      <c r="A426" s="38"/>
      <c r="B426" s="39"/>
      <c r="C426" s="3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1.0" customHeight="1">
      <c r="A427" s="38"/>
      <c r="B427" s="39"/>
      <c r="C427" s="3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1.0" customHeight="1">
      <c r="A428" s="38"/>
      <c r="B428" s="39"/>
      <c r="C428" s="3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1.0" customHeight="1">
      <c r="A429" s="38"/>
      <c r="B429" s="39"/>
      <c r="C429" s="3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1.0" customHeight="1">
      <c r="A430" s="38"/>
      <c r="B430" s="39"/>
      <c r="C430" s="3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1.0" customHeight="1">
      <c r="A431" s="38"/>
      <c r="B431" s="39"/>
      <c r="C431" s="3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1.0" customHeight="1">
      <c r="A432" s="38"/>
      <c r="B432" s="39"/>
      <c r="C432" s="3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1.0" customHeight="1">
      <c r="A433" s="38"/>
      <c r="B433" s="39"/>
      <c r="C433" s="3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1.0" customHeight="1">
      <c r="A434" s="38"/>
      <c r="B434" s="39"/>
      <c r="C434" s="3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1.0" customHeight="1">
      <c r="A435" s="38"/>
      <c r="B435" s="39"/>
      <c r="C435" s="3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1.0" customHeight="1">
      <c r="A436" s="38"/>
      <c r="B436" s="39"/>
      <c r="C436" s="3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1.0" customHeight="1">
      <c r="A437" s="38"/>
      <c r="B437" s="39"/>
      <c r="C437" s="3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1.0" customHeight="1">
      <c r="A438" s="38"/>
      <c r="B438" s="39"/>
      <c r="C438" s="3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1.0" customHeight="1">
      <c r="A439" s="38"/>
      <c r="B439" s="39"/>
      <c r="C439" s="3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1.0" customHeight="1">
      <c r="A440" s="38"/>
      <c r="B440" s="39"/>
      <c r="C440" s="3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1.0" customHeight="1">
      <c r="A441" s="38"/>
      <c r="B441" s="39"/>
      <c r="C441" s="3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1.0" customHeight="1">
      <c r="A442" s="38"/>
      <c r="B442" s="39"/>
      <c r="C442" s="3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1.0" customHeight="1">
      <c r="A443" s="38"/>
      <c r="B443" s="39"/>
      <c r="C443" s="3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1.0" customHeight="1">
      <c r="A444" s="38"/>
      <c r="B444" s="39"/>
      <c r="C444" s="3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1.0" customHeight="1">
      <c r="A445" s="38"/>
      <c r="B445" s="39"/>
      <c r="C445" s="3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1.0" customHeight="1">
      <c r="A446" s="38"/>
      <c r="B446" s="39"/>
      <c r="C446" s="3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1.0" customHeight="1">
      <c r="A447" s="38"/>
      <c r="B447" s="39"/>
      <c r="C447" s="3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1.0" customHeight="1">
      <c r="A448" s="38"/>
      <c r="B448" s="39"/>
      <c r="C448" s="3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1.0" customHeight="1">
      <c r="A449" s="38"/>
      <c r="B449" s="39"/>
      <c r="C449" s="3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1.0" customHeight="1">
      <c r="A450" s="38"/>
      <c r="B450" s="39"/>
      <c r="C450" s="3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1.0" customHeight="1">
      <c r="A451" s="38"/>
      <c r="B451" s="39"/>
      <c r="C451" s="3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1.0" customHeight="1">
      <c r="A452" s="38"/>
      <c r="B452" s="39"/>
      <c r="C452" s="3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1.0" customHeight="1">
      <c r="A453" s="38"/>
      <c r="B453" s="39"/>
      <c r="C453" s="3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1.0" customHeight="1">
      <c r="A454" s="38"/>
      <c r="B454" s="39"/>
      <c r="C454" s="3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1.0" customHeight="1">
      <c r="A455" s="38"/>
      <c r="B455" s="39"/>
      <c r="C455" s="3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1.0" customHeight="1">
      <c r="A456" s="38"/>
      <c r="B456" s="39"/>
      <c r="C456" s="3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1.0" customHeight="1">
      <c r="A457" s="38"/>
      <c r="B457" s="39"/>
      <c r="C457" s="3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1.0" customHeight="1">
      <c r="A458" s="38"/>
      <c r="B458" s="39"/>
      <c r="C458" s="3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1.0" customHeight="1">
      <c r="A459" s="38"/>
      <c r="B459" s="39"/>
      <c r="C459" s="3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1.0" customHeight="1">
      <c r="A460" s="38"/>
      <c r="B460" s="39"/>
      <c r="C460" s="3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1.0" customHeight="1">
      <c r="A461" s="38"/>
      <c r="B461" s="39"/>
      <c r="C461" s="3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1.0" customHeight="1">
      <c r="A462" s="38"/>
      <c r="B462" s="39"/>
      <c r="C462" s="3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1.0" customHeight="1">
      <c r="A463" s="38"/>
      <c r="B463" s="39"/>
      <c r="C463" s="3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1.0" customHeight="1">
      <c r="A464" s="38"/>
      <c r="B464" s="39"/>
      <c r="C464" s="3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1.0" customHeight="1">
      <c r="A465" s="38"/>
      <c r="B465" s="39"/>
      <c r="C465" s="3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1.0" customHeight="1">
      <c r="A466" s="38"/>
      <c r="B466" s="39"/>
      <c r="C466" s="3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1.0" customHeight="1">
      <c r="A467" s="38"/>
      <c r="B467" s="39"/>
      <c r="C467" s="3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1.0" customHeight="1">
      <c r="A468" s="38"/>
      <c r="B468" s="39"/>
      <c r="C468" s="3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1.0" customHeight="1">
      <c r="A469" s="38"/>
      <c r="B469" s="39"/>
      <c r="C469" s="3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1.0" customHeight="1">
      <c r="A470" s="38"/>
      <c r="B470" s="39"/>
      <c r="C470" s="3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1.0" customHeight="1">
      <c r="A471" s="38"/>
      <c r="B471" s="39"/>
      <c r="C471" s="3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1.0" customHeight="1">
      <c r="A472" s="38"/>
      <c r="B472" s="39"/>
      <c r="C472" s="3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1.0" customHeight="1">
      <c r="A473" s="38"/>
      <c r="B473" s="39"/>
      <c r="C473" s="3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1.0" customHeight="1">
      <c r="A474" s="38"/>
      <c r="B474" s="39"/>
      <c r="C474" s="3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1.0" customHeight="1">
      <c r="A475" s="38"/>
      <c r="B475" s="39"/>
      <c r="C475" s="3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1.0" customHeight="1">
      <c r="A476" s="38"/>
      <c r="B476" s="39"/>
      <c r="C476" s="3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1.0" customHeight="1">
      <c r="A477" s="38"/>
      <c r="B477" s="39"/>
      <c r="C477" s="3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1.0" customHeight="1">
      <c r="A478" s="38"/>
      <c r="B478" s="39"/>
      <c r="C478" s="3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1.0" customHeight="1">
      <c r="A479" s="38"/>
      <c r="B479" s="39"/>
      <c r="C479" s="3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1.0" customHeight="1">
      <c r="A480" s="38"/>
      <c r="B480" s="39"/>
      <c r="C480" s="3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1.0" customHeight="1">
      <c r="A481" s="38"/>
      <c r="B481" s="39"/>
      <c r="C481" s="3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1.0" customHeight="1">
      <c r="A482" s="38"/>
      <c r="B482" s="39"/>
      <c r="C482" s="3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1.0" customHeight="1">
      <c r="A483" s="38"/>
      <c r="B483" s="39"/>
      <c r="C483" s="3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1.0" customHeight="1">
      <c r="A484" s="38"/>
      <c r="B484" s="39"/>
      <c r="C484" s="3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1.0" customHeight="1">
      <c r="A485" s="38"/>
      <c r="B485" s="39"/>
      <c r="C485" s="3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1.0" customHeight="1">
      <c r="A486" s="38"/>
      <c r="B486" s="39"/>
      <c r="C486" s="3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1.0" customHeight="1">
      <c r="A487" s="38"/>
      <c r="B487" s="39"/>
      <c r="C487" s="3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1.0" customHeight="1">
      <c r="A488" s="38"/>
      <c r="B488" s="39"/>
      <c r="C488" s="3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1.0" customHeight="1">
      <c r="A489" s="38"/>
      <c r="B489" s="39"/>
      <c r="C489" s="3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1.0" customHeight="1">
      <c r="A490" s="38"/>
      <c r="B490" s="39"/>
      <c r="C490" s="3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1.0" customHeight="1">
      <c r="A491" s="38"/>
      <c r="B491" s="39"/>
      <c r="C491" s="3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1.0" customHeight="1">
      <c r="A492" s="38"/>
      <c r="B492" s="39"/>
      <c r="C492" s="3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1.0" customHeight="1">
      <c r="A493" s="38"/>
      <c r="B493" s="39"/>
      <c r="C493" s="3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1.0" customHeight="1">
      <c r="A494" s="38"/>
      <c r="B494" s="39"/>
      <c r="C494" s="3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1.0" customHeight="1">
      <c r="A495" s="38"/>
      <c r="B495" s="39"/>
      <c r="C495" s="3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1.0" customHeight="1">
      <c r="A496" s="38"/>
      <c r="B496" s="39"/>
      <c r="C496" s="3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1.0" customHeight="1">
      <c r="A497" s="38"/>
      <c r="B497" s="39"/>
      <c r="C497" s="3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1.0" customHeight="1">
      <c r="A498" s="38"/>
      <c r="B498" s="39"/>
      <c r="C498" s="3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1.0" customHeight="1">
      <c r="A499" s="38"/>
      <c r="B499" s="39"/>
      <c r="C499" s="3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1.0" customHeight="1">
      <c r="A500" s="38"/>
      <c r="B500" s="39"/>
      <c r="C500" s="3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1.0" customHeight="1">
      <c r="A501" s="38"/>
      <c r="B501" s="39"/>
      <c r="C501" s="3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1.0" customHeight="1">
      <c r="A502" s="38"/>
      <c r="B502" s="39"/>
      <c r="C502" s="3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1.0" customHeight="1">
      <c r="A503" s="38"/>
      <c r="B503" s="39"/>
      <c r="C503" s="3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1.0" customHeight="1">
      <c r="A504" s="38"/>
      <c r="B504" s="39"/>
      <c r="C504" s="3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1.0" customHeight="1">
      <c r="A505" s="38"/>
      <c r="B505" s="39"/>
      <c r="C505" s="3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1.0" customHeight="1">
      <c r="A506" s="38"/>
      <c r="B506" s="39"/>
      <c r="C506" s="3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1.0" customHeight="1">
      <c r="A507" s="38"/>
      <c r="B507" s="39"/>
      <c r="C507" s="3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1.0" customHeight="1">
      <c r="A508" s="38"/>
      <c r="B508" s="39"/>
      <c r="C508" s="3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1.0" customHeight="1">
      <c r="A509" s="38"/>
      <c r="B509" s="39"/>
      <c r="C509" s="3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1.0" customHeight="1">
      <c r="A510" s="38"/>
      <c r="B510" s="39"/>
      <c r="C510" s="3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1.0" customHeight="1">
      <c r="A511" s="38"/>
      <c r="B511" s="39"/>
      <c r="C511" s="3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1.0" customHeight="1">
      <c r="A512" s="38"/>
      <c r="B512" s="39"/>
      <c r="C512" s="3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1.0" customHeight="1">
      <c r="A513" s="38"/>
      <c r="B513" s="39"/>
      <c r="C513" s="3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1.0" customHeight="1">
      <c r="A514" s="38"/>
      <c r="B514" s="39"/>
      <c r="C514" s="3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1.0" customHeight="1">
      <c r="A515" s="38"/>
      <c r="B515" s="39"/>
      <c r="C515" s="3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1.0" customHeight="1">
      <c r="A516" s="38"/>
      <c r="B516" s="39"/>
      <c r="C516" s="3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1.0" customHeight="1">
      <c r="A517" s="38"/>
      <c r="B517" s="39"/>
      <c r="C517" s="3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1.0" customHeight="1">
      <c r="A518" s="38"/>
      <c r="B518" s="39"/>
      <c r="C518" s="3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1.0" customHeight="1">
      <c r="A519" s="38"/>
      <c r="B519" s="39"/>
      <c r="C519" s="3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1.0" customHeight="1">
      <c r="A520" s="38"/>
      <c r="B520" s="39"/>
      <c r="C520" s="3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1.0" customHeight="1">
      <c r="A521" s="38"/>
      <c r="B521" s="39"/>
      <c r="C521" s="3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1.0" customHeight="1">
      <c r="A522" s="38"/>
      <c r="B522" s="39"/>
      <c r="C522" s="3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1.0" customHeight="1">
      <c r="A523" s="38"/>
      <c r="B523" s="39"/>
      <c r="C523" s="3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1.0" customHeight="1">
      <c r="A524" s="38"/>
      <c r="B524" s="39"/>
      <c r="C524" s="3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1.0" customHeight="1">
      <c r="A525" s="38"/>
      <c r="B525" s="39"/>
      <c r="C525" s="3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1.0" customHeight="1">
      <c r="A526" s="38"/>
      <c r="B526" s="39"/>
      <c r="C526" s="3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1.0" customHeight="1">
      <c r="A527" s="38"/>
      <c r="B527" s="39"/>
      <c r="C527" s="3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1.0" customHeight="1">
      <c r="A528" s="38"/>
      <c r="B528" s="39"/>
      <c r="C528" s="3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1.0" customHeight="1">
      <c r="A529" s="38"/>
      <c r="B529" s="39"/>
      <c r="C529" s="3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1.0" customHeight="1">
      <c r="A530" s="38"/>
      <c r="B530" s="39"/>
      <c r="C530" s="3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1.0" customHeight="1">
      <c r="A531" s="38"/>
      <c r="B531" s="39"/>
      <c r="C531" s="3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1.0" customHeight="1">
      <c r="A532" s="38"/>
      <c r="B532" s="39"/>
      <c r="C532" s="3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1.0" customHeight="1">
      <c r="A533" s="38"/>
      <c r="B533" s="39"/>
      <c r="C533" s="3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1.0" customHeight="1">
      <c r="A534" s="38"/>
      <c r="B534" s="39"/>
      <c r="C534" s="3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1.0" customHeight="1">
      <c r="A535" s="38"/>
      <c r="B535" s="39"/>
      <c r="C535" s="3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1.0" customHeight="1">
      <c r="A536" s="38"/>
      <c r="B536" s="39"/>
      <c r="C536" s="3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1.0" customHeight="1">
      <c r="A537" s="38"/>
      <c r="B537" s="39"/>
      <c r="C537" s="3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1.0" customHeight="1">
      <c r="A538" s="38"/>
      <c r="B538" s="39"/>
      <c r="C538" s="3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1.0" customHeight="1">
      <c r="A539" s="38"/>
      <c r="B539" s="39"/>
      <c r="C539" s="3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1.0" customHeight="1">
      <c r="A540" s="38"/>
      <c r="B540" s="39"/>
      <c r="C540" s="3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1.0" customHeight="1">
      <c r="A541" s="38"/>
      <c r="B541" s="39"/>
      <c r="C541" s="3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1.0" customHeight="1">
      <c r="A542" s="38"/>
      <c r="B542" s="39"/>
      <c r="C542" s="3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1.0" customHeight="1">
      <c r="A543" s="38"/>
      <c r="B543" s="39"/>
      <c r="C543" s="3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1.0" customHeight="1">
      <c r="A544" s="38"/>
      <c r="B544" s="39"/>
      <c r="C544" s="3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1.0" customHeight="1">
      <c r="A545" s="38"/>
      <c r="B545" s="39"/>
      <c r="C545" s="3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1.0" customHeight="1">
      <c r="A546" s="38"/>
      <c r="B546" s="39"/>
      <c r="C546" s="3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1.0" customHeight="1">
      <c r="A547" s="38"/>
      <c r="B547" s="39"/>
      <c r="C547" s="3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1.0" customHeight="1">
      <c r="A548" s="38"/>
      <c r="B548" s="39"/>
      <c r="C548" s="3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1.0" customHeight="1">
      <c r="A549" s="38"/>
      <c r="B549" s="39"/>
      <c r="C549" s="3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1.0" customHeight="1">
      <c r="A550" s="38"/>
      <c r="B550" s="39"/>
      <c r="C550" s="3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1.0" customHeight="1">
      <c r="A551" s="38"/>
      <c r="B551" s="39"/>
      <c r="C551" s="3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1.0" customHeight="1">
      <c r="A552" s="38"/>
      <c r="B552" s="39"/>
      <c r="C552" s="3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1.0" customHeight="1">
      <c r="A553" s="38"/>
      <c r="B553" s="39"/>
      <c r="C553" s="3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1.0" customHeight="1">
      <c r="A554" s="38"/>
      <c r="B554" s="39"/>
      <c r="C554" s="3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1.0" customHeight="1">
      <c r="A555" s="38"/>
      <c r="B555" s="39"/>
      <c r="C555" s="3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1.0" customHeight="1">
      <c r="A556" s="38"/>
      <c r="B556" s="39"/>
      <c r="C556" s="3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1.0" customHeight="1">
      <c r="A557" s="38"/>
      <c r="B557" s="39"/>
      <c r="C557" s="3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1.0" customHeight="1">
      <c r="A558" s="38"/>
      <c r="B558" s="39"/>
      <c r="C558" s="3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1.0" customHeight="1">
      <c r="A559" s="38"/>
      <c r="B559" s="39"/>
      <c r="C559" s="3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1.0" customHeight="1">
      <c r="A560" s="38"/>
      <c r="B560" s="39"/>
      <c r="C560" s="3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1.0" customHeight="1">
      <c r="A561" s="38"/>
      <c r="B561" s="39"/>
      <c r="C561" s="3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1.0" customHeight="1">
      <c r="A562" s="38"/>
      <c r="B562" s="39"/>
      <c r="C562" s="3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1.0" customHeight="1">
      <c r="A563" s="38"/>
      <c r="B563" s="39"/>
      <c r="C563" s="3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1.0" customHeight="1">
      <c r="A564" s="38"/>
      <c r="B564" s="39"/>
      <c r="C564" s="3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1.0" customHeight="1">
      <c r="A565" s="38"/>
      <c r="B565" s="39"/>
      <c r="C565" s="3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1.0" customHeight="1">
      <c r="A566" s="38"/>
      <c r="B566" s="39"/>
      <c r="C566" s="3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1.0" customHeight="1">
      <c r="A567" s="38"/>
      <c r="B567" s="39"/>
      <c r="C567" s="3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1.0" customHeight="1">
      <c r="A568" s="38"/>
      <c r="B568" s="39"/>
      <c r="C568" s="3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1.0" customHeight="1">
      <c r="A569" s="38"/>
      <c r="B569" s="39"/>
      <c r="C569" s="3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1.0" customHeight="1">
      <c r="A570" s="38"/>
      <c r="B570" s="39"/>
      <c r="C570" s="3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1.0" customHeight="1">
      <c r="A571" s="38"/>
      <c r="B571" s="39"/>
      <c r="C571" s="3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1.0" customHeight="1">
      <c r="A572" s="38"/>
      <c r="B572" s="39"/>
      <c r="C572" s="3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1.0" customHeight="1">
      <c r="A573" s="38"/>
      <c r="B573" s="39"/>
      <c r="C573" s="3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1.0" customHeight="1">
      <c r="A574" s="38"/>
      <c r="B574" s="39"/>
      <c r="C574" s="3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1.0" customHeight="1">
      <c r="A575" s="38"/>
      <c r="B575" s="39"/>
      <c r="C575" s="3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1.0" customHeight="1">
      <c r="A576" s="38"/>
      <c r="B576" s="39"/>
      <c r="C576" s="3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1.0" customHeight="1">
      <c r="A577" s="38"/>
      <c r="B577" s="39"/>
      <c r="C577" s="3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1.0" customHeight="1">
      <c r="A578" s="38"/>
      <c r="B578" s="39"/>
      <c r="C578" s="3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1.0" customHeight="1">
      <c r="A579" s="38"/>
      <c r="B579" s="39"/>
      <c r="C579" s="3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1.0" customHeight="1">
      <c r="A580" s="38"/>
      <c r="B580" s="39"/>
      <c r="C580" s="3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1.0" customHeight="1">
      <c r="A581" s="38"/>
      <c r="B581" s="39"/>
      <c r="C581" s="3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1.0" customHeight="1">
      <c r="A582" s="38"/>
      <c r="B582" s="39"/>
      <c r="C582" s="3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1.0" customHeight="1">
      <c r="A583" s="38"/>
      <c r="B583" s="39"/>
      <c r="C583" s="3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1.0" customHeight="1">
      <c r="A584" s="38"/>
      <c r="B584" s="39"/>
      <c r="C584" s="3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1.0" customHeight="1">
      <c r="A585" s="38"/>
      <c r="B585" s="39"/>
      <c r="C585" s="3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1.0" customHeight="1">
      <c r="A586" s="38"/>
      <c r="B586" s="39"/>
      <c r="C586" s="3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1.0" customHeight="1">
      <c r="A587" s="38"/>
      <c r="B587" s="39"/>
      <c r="C587" s="3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1.0" customHeight="1">
      <c r="A588" s="38"/>
      <c r="B588" s="39"/>
      <c r="C588" s="3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1.0" customHeight="1">
      <c r="A589" s="38"/>
      <c r="B589" s="39"/>
      <c r="C589" s="3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1.0" customHeight="1">
      <c r="A590" s="38"/>
      <c r="B590" s="39"/>
      <c r="C590" s="3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1.0" customHeight="1">
      <c r="A591" s="38"/>
      <c r="B591" s="39"/>
      <c r="C591" s="3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1.0" customHeight="1">
      <c r="A592" s="38"/>
      <c r="B592" s="39"/>
      <c r="C592" s="3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1.0" customHeight="1">
      <c r="A593" s="38"/>
      <c r="B593" s="39"/>
      <c r="C593" s="3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1.0" customHeight="1">
      <c r="A594" s="38"/>
      <c r="B594" s="39"/>
      <c r="C594" s="3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1.0" customHeight="1">
      <c r="A595" s="38"/>
      <c r="B595" s="39"/>
      <c r="C595" s="3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1.0" customHeight="1">
      <c r="A596" s="38"/>
      <c r="B596" s="39"/>
      <c r="C596" s="3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1.0" customHeight="1">
      <c r="A597" s="38"/>
      <c r="B597" s="39"/>
      <c r="C597" s="3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1.0" customHeight="1">
      <c r="A598" s="38"/>
      <c r="B598" s="39"/>
      <c r="C598" s="3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1.0" customHeight="1">
      <c r="A599" s="38"/>
      <c r="B599" s="39"/>
      <c r="C599" s="3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1.0" customHeight="1">
      <c r="A600" s="38"/>
      <c r="B600" s="39"/>
      <c r="C600" s="3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1.0" customHeight="1">
      <c r="A601" s="38"/>
      <c r="B601" s="39"/>
      <c r="C601" s="3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1.0" customHeight="1">
      <c r="A602" s="38"/>
      <c r="B602" s="39"/>
      <c r="C602" s="3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1.0" customHeight="1">
      <c r="A603" s="38"/>
      <c r="B603" s="39"/>
      <c r="C603" s="3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1.0" customHeight="1">
      <c r="A604" s="38"/>
      <c r="B604" s="39"/>
      <c r="C604" s="3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1.0" customHeight="1">
      <c r="A605" s="38"/>
      <c r="B605" s="39"/>
      <c r="C605" s="3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1.0" customHeight="1">
      <c r="A606" s="38"/>
      <c r="B606" s="39"/>
      <c r="C606" s="3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1.0" customHeight="1">
      <c r="A607" s="38"/>
      <c r="B607" s="39"/>
      <c r="C607" s="3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1.0" customHeight="1">
      <c r="A608" s="38"/>
      <c r="B608" s="39"/>
      <c r="C608" s="3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1.0" customHeight="1">
      <c r="A609" s="38"/>
      <c r="B609" s="39"/>
      <c r="C609" s="3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1.0" customHeight="1">
      <c r="A610" s="38"/>
      <c r="B610" s="39"/>
      <c r="C610" s="3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1.0" customHeight="1">
      <c r="A611" s="38"/>
      <c r="B611" s="39"/>
      <c r="C611" s="3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1.0" customHeight="1">
      <c r="A612" s="38"/>
      <c r="B612" s="39"/>
      <c r="C612" s="3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1.0" customHeight="1">
      <c r="A613" s="38"/>
      <c r="B613" s="39"/>
      <c r="C613" s="3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1.0" customHeight="1">
      <c r="A614" s="38"/>
      <c r="B614" s="39"/>
      <c r="C614" s="3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1.0" customHeight="1">
      <c r="A615" s="38"/>
      <c r="B615" s="39"/>
      <c r="C615" s="3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1.0" customHeight="1">
      <c r="A616" s="38"/>
      <c r="B616" s="39"/>
      <c r="C616" s="3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1.0" customHeight="1">
      <c r="A617" s="38"/>
      <c r="B617" s="39"/>
      <c r="C617" s="3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1.0" customHeight="1">
      <c r="A618" s="38"/>
      <c r="B618" s="39"/>
      <c r="C618" s="3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1.0" customHeight="1">
      <c r="A619" s="38"/>
      <c r="B619" s="39"/>
      <c r="C619" s="3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1.0" customHeight="1">
      <c r="A620" s="38"/>
      <c r="B620" s="39"/>
      <c r="C620" s="3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1.0" customHeight="1">
      <c r="A621" s="38"/>
      <c r="B621" s="39"/>
      <c r="C621" s="3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1.0" customHeight="1">
      <c r="A622" s="38"/>
      <c r="B622" s="39"/>
      <c r="C622" s="3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1.0" customHeight="1">
      <c r="A623" s="38"/>
      <c r="B623" s="39"/>
      <c r="C623" s="3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1.0" customHeight="1">
      <c r="A624" s="38"/>
      <c r="B624" s="39"/>
      <c r="C624" s="3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1.0" customHeight="1">
      <c r="A625" s="38"/>
      <c r="B625" s="39"/>
      <c r="C625" s="3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1.0" customHeight="1">
      <c r="A626" s="38"/>
      <c r="B626" s="39"/>
      <c r="C626" s="3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1.0" customHeight="1">
      <c r="A627" s="38"/>
      <c r="B627" s="39"/>
      <c r="C627" s="3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1.0" customHeight="1">
      <c r="A628" s="38"/>
      <c r="B628" s="39"/>
      <c r="C628" s="3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1.0" customHeight="1">
      <c r="A629" s="38"/>
      <c r="B629" s="39"/>
      <c r="C629" s="3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1.0" customHeight="1">
      <c r="A630" s="38"/>
      <c r="B630" s="39"/>
      <c r="C630" s="3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1.0" customHeight="1">
      <c r="A631" s="38"/>
      <c r="B631" s="39"/>
      <c r="C631" s="3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1.0" customHeight="1">
      <c r="A632" s="38"/>
      <c r="B632" s="39"/>
      <c r="C632" s="3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1.0" customHeight="1">
      <c r="A633" s="38"/>
      <c r="B633" s="39"/>
      <c r="C633" s="3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1.0" customHeight="1">
      <c r="A634" s="38"/>
      <c r="B634" s="39"/>
      <c r="C634" s="3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1.0" customHeight="1">
      <c r="A635" s="38"/>
      <c r="B635" s="39"/>
      <c r="C635" s="3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1.0" customHeight="1">
      <c r="A636" s="38"/>
      <c r="B636" s="39"/>
      <c r="C636" s="3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1.0" customHeight="1">
      <c r="A637" s="38"/>
      <c r="B637" s="39"/>
      <c r="C637" s="3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1.0" customHeight="1">
      <c r="A638" s="38"/>
      <c r="B638" s="39"/>
      <c r="C638" s="3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1.0" customHeight="1">
      <c r="A639" s="38"/>
      <c r="B639" s="39"/>
      <c r="C639" s="3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1.0" customHeight="1">
      <c r="A640" s="38"/>
      <c r="B640" s="39"/>
      <c r="C640" s="3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1.0" customHeight="1">
      <c r="A641" s="38"/>
      <c r="B641" s="39"/>
      <c r="C641" s="3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1.0" customHeight="1">
      <c r="A642" s="38"/>
      <c r="B642" s="39"/>
      <c r="C642" s="3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1.0" customHeight="1">
      <c r="A643" s="38"/>
      <c r="B643" s="39"/>
      <c r="C643" s="3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1.0" customHeight="1">
      <c r="A644" s="38"/>
      <c r="B644" s="39"/>
      <c r="C644" s="3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1.0" customHeight="1">
      <c r="A645" s="38"/>
      <c r="B645" s="39"/>
      <c r="C645" s="3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1.0" customHeight="1">
      <c r="A646" s="38"/>
      <c r="B646" s="39"/>
      <c r="C646" s="3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1.0" customHeight="1">
      <c r="A647" s="38"/>
      <c r="B647" s="39"/>
      <c r="C647" s="3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1.0" customHeight="1">
      <c r="A648" s="38"/>
      <c r="B648" s="39"/>
      <c r="C648" s="3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1.0" customHeight="1">
      <c r="A649" s="38"/>
      <c r="B649" s="39"/>
      <c r="C649" s="3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1.0" customHeight="1">
      <c r="A650" s="38"/>
      <c r="B650" s="39"/>
      <c r="C650" s="3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1.0" customHeight="1">
      <c r="A651" s="38"/>
      <c r="B651" s="39"/>
      <c r="C651" s="3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1.0" customHeight="1">
      <c r="A652" s="38"/>
      <c r="B652" s="39"/>
      <c r="C652" s="3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1.0" customHeight="1">
      <c r="A653" s="38"/>
      <c r="B653" s="39"/>
      <c r="C653" s="3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1.0" customHeight="1">
      <c r="A654" s="38"/>
      <c r="B654" s="39"/>
      <c r="C654" s="3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1.0" customHeight="1">
      <c r="A655" s="38"/>
      <c r="B655" s="39"/>
      <c r="C655" s="3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1.0" customHeight="1">
      <c r="A656" s="38"/>
      <c r="B656" s="39"/>
      <c r="C656" s="3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1.0" customHeight="1">
      <c r="A657" s="38"/>
      <c r="B657" s="39"/>
      <c r="C657" s="3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1.0" customHeight="1">
      <c r="A658" s="38"/>
      <c r="B658" s="39"/>
      <c r="C658" s="3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1.0" customHeight="1">
      <c r="A659" s="38"/>
      <c r="B659" s="39"/>
      <c r="C659" s="3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1.0" customHeight="1">
      <c r="A660" s="38"/>
      <c r="B660" s="39"/>
      <c r="C660" s="3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1.0" customHeight="1">
      <c r="A661" s="38"/>
      <c r="B661" s="39"/>
      <c r="C661" s="3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1.0" customHeight="1">
      <c r="A662" s="38"/>
      <c r="B662" s="39"/>
      <c r="C662" s="3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1.0" customHeight="1">
      <c r="A663" s="38"/>
      <c r="B663" s="39"/>
      <c r="C663" s="3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1.0" customHeight="1">
      <c r="A664" s="38"/>
      <c r="B664" s="39"/>
      <c r="C664" s="3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1.0" customHeight="1">
      <c r="A665" s="38"/>
      <c r="B665" s="39"/>
      <c r="C665" s="3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1.0" customHeight="1">
      <c r="A666" s="38"/>
      <c r="B666" s="39"/>
      <c r="C666" s="3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1.0" customHeight="1">
      <c r="A667" s="38"/>
      <c r="B667" s="39"/>
      <c r="C667" s="3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1.0" customHeight="1">
      <c r="A668" s="38"/>
      <c r="B668" s="39"/>
      <c r="C668" s="3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1.0" customHeight="1">
      <c r="A669" s="38"/>
      <c r="B669" s="39"/>
      <c r="C669" s="3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1.0" customHeight="1">
      <c r="A670" s="38"/>
      <c r="B670" s="39"/>
      <c r="C670" s="3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1.0" customHeight="1">
      <c r="A671" s="38"/>
      <c r="B671" s="39"/>
      <c r="C671" s="3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1.0" customHeight="1">
      <c r="A672" s="38"/>
      <c r="B672" s="39"/>
      <c r="C672" s="3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1.0" customHeight="1">
      <c r="A673" s="38"/>
      <c r="B673" s="39"/>
      <c r="C673" s="3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1.0" customHeight="1">
      <c r="A674" s="38"/>
      <c r="B674" s="39"/>
      <c r="C674" s="3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1.0" customHeight="1">
      <c r="A675" s="38"/>
      <c r="B675" s="39"/>
      <c r="C675" s="3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1.0" customHeight="1">
      <c r="A676" s="38"/>
      <c r="B676" s="39"/>
      <c r="C676" s="3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1.0" customHeight="1">
      <c r="A677" s="38"/>
      <c r="B677" s="39"/>
      <c r="C677" s="3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1.0" customHeight="1">
      <c r="A678" s="38"/>
      <c r="B678" s="39"/>
      <c r="C678" s="3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1.0" customHeight="1">
      <c r="A679" s="38"/>
      <c r="B679" s="39"/>
      <c r="C679" s="3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1.0" customHeight="1">
      <c r="A680" s="38"/>
      <c r="B680" s="39"/>
      <c r="C680" s="3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1.0" customHeight="1">
      <c r="A681" s="38"/>
      <c r="B681" s="39"/>
      <c r="C681" s="3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1.0" customHeight="1">
      <c r="A682" s="38"/>
      <c r="B682" s="39"/>
      <c r="C682" s="3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1.0" customHeight="1">
      <c r="A683" s="38"/>
      <c r="B683" s="39"/>
      <c r="C683" s="3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1.0" customHeight="1">
      <c r="A684" s="38"/>
      <c r="B684" s="39"/>
      <c r="C684" s="3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1.0" customHeight="1">
      <c r="A685" s="38"/>
      <c r="B685" s="39"/>
      <c r="C685" s="3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1.0" customHeight="1">
      <c r="A686" s="38"/>
      <c r="B686" s="39"/>
      <c r="C686" s="3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1.0" customHeight="1">
      <c r="A687" s="38"/>
      <c r="B687" s="39"/>
      <c r="C687" s="3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1.0" customHeight="1">
      <c r="A688" s="38"/>
      <c r="B688" s="39"/>
      <c r="C688" s="3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1.0" customHeight="1">
      <c r="A689" s="38"/>
      <c r="B689" s="39"/>
      <c r="C689" s="3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1.0" customHeight="1">
      <c r="A690" s="38"/>
      <c r="B690" s="39"/>
      <c r="C690" s="3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1.0" customHeight="1">
      <c r="A691" s="38"/>
      <c r="B691" s="39"/>
      <c r="C691" s="3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1.0" customHeight="1">
      <c r="A692" s="38"/>
      <c r="B692" s="39"/>
      <c r="C692" s="3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1.0" customHeight="1">
      <c r="A693" s="38"/>
      <c r="B693" s="39"/>
      <c r="C693" s="3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1.0" customHeight="1">
      <c r="A694" s="38"/>
      <c r="B694" s="39"/>
      <c r="C694" s="3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1.0" customHeight="1">
      <c r="A695" s="38"/>
      <c r="B695" s="39"/>
      <c r="C695" s="3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1.0" customHeight="1">
      <c r="A696" s="38"/>
      <c r="B696" s="39"/>
      <c r="C696" s="3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1.0" customHeight="1">
      <c r="A697" s="38"/>
      <c r="B697" s="39"/>
      <c r="C697" s="3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1.0" customHeight="1">
      <c r="A698" s="38"/>
      <c r="B698" s="39"/>
      <c r="C698" s="3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1.0" customHeight="1">
      <c r="A699" s="38"/>
      <c r="B699" s="39"/>
      <c r="C699" s="3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1.0" customHeight="1">
      <c r="A700" s="38"/>
      <c r="B700" s="39"/>
      <c r="C700" s="3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1.0" customHeight="1">
      <c r="A701" s="38"/>
      <c r="B701" s="39"/>
      <c r="C701" s="3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1.0" customHeight="1">
      <c r="A702" s="38"/>
      <c r="B702" s="39"/>
      <c r="C702" s="3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1.0" customHeight="1">
      <c r="A703" s="38"/>
      <c r="B703" s="39"/>
      <c r="C703" s="3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1.0" customHeight="1">
      <c r="A704" s="38"/>
      <c r="B704" s="39"/>
      <c r="C704" s="3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1.0" customHeight="1">
      <c r="A705" s="38"/>
      <c r="B705" s="39"/>
      <c r="C705" s="3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1.0" customHeight="1">
      <c r="A706" s="38"/>
      <c r="B706" s="39"/>
      <c r="C706" s="3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1.0" customHeight="1">
      <c r="A707" s="38"/>
      <c r="B707" s="39"/>
      <c r="C707" s="3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1.0" customHeight="1">
      <c r="A708" s="38"/>
      <c r="B708" s="39"/>
      <c r="C708" s="3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1.0" customHeight="1">
      <c r="A709" s="38"/>
      <c r="B709" s="39"/>
      <c r="C709" s="3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1.0" customHeight="1">
      <c r="A710" s="38"/>
      <c r="B710" s="39"/>
      <c r="C710" s="3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1.0" customHeight="1">
      <c r="A711" s="38"/>
      <c r="B711" s="39"/>
      <c r="C711" s="3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1.0" customHeight="1">
      <c r="A712" s="38"/>
      <c r="B712" s="39"/>
      <c r="C712" s="3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1.0" customHeight="1">
      <c r="A713" s="38"/>
      <c r="B713" s="39"/>
      <c r="C713" s="3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1.0" customHeight="1">
      <c r="A714" s="38"/>
      <c r="B714" s="39"/>
      <c r="C714" s="3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1.0" customHeight="1">
      <c r="A715" s="38"/>
      <c r="B715" s="39"/>
      <c r="C715" s="3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1.0" customHeight="1">
      <c r="A716" s="38"/>
      <c r="B716" s="39"/>
      <c r="C716" s="3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1.0" customHeight="1">
      <c r="A717" s="38"/>
      <c r="B717" s="39"/>
      <c r="C717" s="3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1.0" customHeight="1">
      <c r="A718" s="38"/>
      <c r="B718" s="39"/>
      <c r="C718" s="3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1.0" customHeight="1">
      <c r="A719" s="38"/>
      <c r="B719" s="39"/>
      <c r="C719" s="3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1.0" customHeight="1">
      <c r="A720" s="38"/>
      <c r="B720" s="39"/>
      <c r="C720" s="3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1.0" customHeight="1">
      <c r="A721" s="38"/>
      <c r="B721" s="39"/>
      <c r="C721" s="3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1.0" customHeight="1">
      <c r="A722" s="38"/>
      <c r="B722" s="39"/>
      <c r="C722" s="3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1.0" customHeight="1">
      <c r="A723" s="38"/>
      <c r="B723" s="39"/>
      <c r="C723" s="3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1.0" customHeight="1">
      <c r="A724" s="38"/>
      <c r="B724" s="39"/>
      <c r="C724" s="3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1.0" customHeight="1">
      <c r="A725" s="38"/>
      <c r="B725" s="39"/>
      <c r="C725" s="3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1.0" customHeight="1">
      <c r="A726" s="38"/>
      <c r="B726" s="39"/>
      <c r="C726" s="3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1.0" customHeight="1">
      <c r="A727" s="38"/>
      <c r="B727" s="39"/>
      <c r="C727" s="3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1.0" customHeight="1">
      <c r="A728" s="38"/>
      <c r="B728" s="39"/>
      <c r="C728" s="3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1.0" customHeight="1">
      <c r="A729" s="38"/>
      <c r="B729" s="39"/>
      <c r="C729" s="3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1.0" customHeight="1">
      <c r="A730" s="38"/>
      <c r="B730" s="39"/>
      <c r="C730" s="3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1.0" customHeight="1">
      <c r="A731" s="38"/>
      <c r="B731" s="39"/>
      <c r="C731" s="3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1.0" customHeight="1">
      <c r="A732" s="38"/>
      <c r="B732" s="39"/>
      <c r="C732" s="3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1.0" customHeight="1">
      <c r="A733" s="38"/>
      <c r="B733" s="39"/>
      <c r="C733" s="3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1.0" customHeight="1">
      <c r="A734" s="38"/>
      <c r="B734" s="39"/>
      <c r="C734" s="3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1.0" customHeight="1">
      <c r="A735" s="38"/>
      <c r="B735" s="39"/>
      <c r="C735" s="3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1.0" customHeight="1">
      <c r="A736" s="38"/>
      <c r="B736" s="39"/>
      <c r="C736" s="3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1.0" customHeight="1">
      <c r="A737" s="38"/>
      <c r="B737" s="39"/>
      <c r="C737" s="3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1.0" customHeight="1">
      <c r="A738" s="38"/>
      <c r="B738" s="39"/>
      <c r="C738" s="3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1.0" customHeight="1">
      <c r="A739" s="38"/>
      <c r="B739" s="39"/>
      <c r="C739" s="3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1.0" customHeight="1">
      <c r="A740" s="38"/>
      <c r="B740" s="39"/>
      <c r="C740" s="3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1.0" customHeight="1">
      <c r="A741" s="38"/>
      <c r="B741" s="39"/>
      <c r="C741" s="3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1.0" customHeight="1">
      <c r="A742" s="38"/>
      <c r="B742" s="39"/>
      <c r="C742" s="3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1.0" customHeight="1">
      <c r="A743" s="38"/>
      <c r="B743" s="39"/>
      <c r="C743" s="3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1.0" customHeight="1">
      <c r="A744" s="38"/>
      <c r="B744" s="39"/>
      <c r="C744" s="3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1.0" customHeight="1">
      <c r="A745" s="38"/>
      <c r="B745" s="39"/>
      <c r="C745" s="3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1.0" customHeight="1">
      <c r="A746" s="38"/>
      <c r="B746" s="39"/>
      <c r="C746" s="3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1.0" customHeight="1">
      <c r="A747" s="38"/>
      <c r="B747" s="39"/>
      <c r="C747" s="3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1.0" customHeight="1">
      <c r="A748" s="38"/>
      <c r="B748" s="39"/>
      <c r="C748" s="3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1.0" customHeight="1">
      <c r="A749" s="38"/>
      <c r="B749" s="39"/>
      <c r="C749" s="3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1.0" customHeight="1">
      <c r="A750" s="38"/>
      <c r="B750" s="39"/>
      <c r="C750" s="3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1.0" customHeight="1">
      <c r="A751" s="38"/>
      <c r="B751" s="39"/>
      <c r="C751" s="3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1.0" customHeight="1">
      <c r="A752" s="38"/>
      <c r="B752" s="39"/>
      <c r="C752" s="3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1.0" customHeight="1">
      <c r="A753" s="38"/>
      <c r="B753" s="39"/>
      <c r="C753" s="3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1.0" customHeight="1">
      <c r="A754" s="38"/>
      <c r="B754" s="39"/>
      <c r="C754" s="3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1.0" customHeight="1">
      <c r="A755" s="38"/>
      <c r="B755" s="39"/>
      <c r="C755" s="3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1.0" customHeight="1">
      <c r="A756" s="38"/>
      <c r="B756" s="39"/>
      <c r="C756" s="3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1.0" customHeight="1">
      <c r="A757" s="38"/>
      <c r="B757" s="39"/>
      <c r="C757" s="3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1.0" customHeight="1">
      <c r="A758" s="38"/>
      <c r="B758" s="39"/>
      <c r="C758" s="3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1.0" customHeight="1">
      <c r="A759" s="38"/>
      <c r="B759" s="39"/>
      <c r="C759" s="3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1.0" customHeight="1">
      <c r="A760" s="38"/>
      <c r="B760" s="39"/>
      <c r="C760" s="3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1.0" customHeight="1">
      <c r="A761" s="38"/>
      <c r="B761" s="39"/>
      <c r="C761" s="3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1.0" customHeight="1">
      <c r="A762" s="38"/>
      <c r="B762" s="39"/>
      <c r="C762" s="3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1.0" customHeight="1">
      <c r="A763" s="38"/>
      <c r="B763" s="39"/>
      <c r="C763" s="3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1.0" customHeight="1">
      <c r="A764" s="38"/>
      <c r="B764" s="39"/>
      <c r="C764" s="3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1.0" customHeight="1">
      <c r="A765" s="38"/>
      <c r="B765" s="39"/>
      <c r="C765" s="3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1.0" customHeight="1">
      <c r="A766" s="38"/>
      <c r="B766" s="39"/>
      <c r="C766" s="3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1.0" customHeight="1">
      <c r="A767" s="38"/>
      <c r="B767" s="39"/>
      <c r="C767" s="3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1.0" customHeight="1">
      <c r="A768" s="38"/>
      <c r="B768" s="39"/>
      <c r="C768" s="3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1.0" customHeight="1">
      <c r="A769" s="38"/>
      <c r="B769" s="39"/>
      <c r="C769" s="3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1.0" customHeight="1">
      <c r="A770" s="38"/>
      <c r="B770" s="39"/>
      <c r="C770" s="3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1.0" customHeight="1">
      <c r="A771" s="38"/>
      <c r="B771" s="39"/>
      <c r="C771" s="3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1.0" customHeight="1">
      <c r="A772" s="38"/>
      <c r="B772" s="39"/>
      <c r="C772" s="3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1.0" customHeight="1">
      <c r="A773" s="38"/>
      <c r="B773" s="39"/>
      <c r="C773" s="3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1.0" customHeight="1">
      <c r="A774" s="38"/>
      <c r="B774" s="39"/>
      <c r="C774" s="3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1.0" customHeight="1">
      <c r="A775" s="38"/>
      <c r="B775" s="39"/>
      <c r="C775" s="3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1.0" customHeight="1">
      <c r="A776" s="38"/>
      <c r="B776" s="39"/>
      <c r="C776" s="3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1.0" customHeight="1">
      <c r="A777" s="38"/>
      <c r="B777" s="39"/>
      <c r="C777" s="3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1.0" customHeight="1">
      <c r="A778" s="38"/>
      <c r="B778" s="39"/>
      <c r="C778" s="3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1.0" customHeight="1">
      <c r="A779" s="38"/>
      <c r="B779" s="39"/>
      <c r="C779" s="3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1.0" customHeight="1">
      <c r="A780" s="38"/>
      <c r="B780" s="39"/>
      <c r="C780" s="3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1.0" customHeight="1">
      <c r="A781" s="38"/>
      <c r="B781" s="39"/>
      <c r="C781" s="3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1.0" customHeight="1">
      <c r="A782" s="38"/>
      <c r="B782" s="39"/>
      <c r="C782" s="3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1.0" customHeight="1">
      <c r="A783" s="38"/>
      <c r="B783" s="39"/>
      <c r="C783" s="3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1.0" customHeight="1">
      <c r="A784" s="38"/>
      <c r="B784" s="39"/>
      <c r="C784" s="3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1.0" customHeight="1">
      <c r="A785" s="38"/>
      <c r="B785" s="39"/>
      <c r="C785" s="3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1.0" customHeight="1">
      <c r="A786" s="38"/>
      <c r="B786" s="39"/>
      <c r="C786" s="3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1.0" customHeight="1">
      <c r="A787" s="38"/>
      <c r="B787" s="39"/>
      <c r="C787" s="3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1.0" customHeight="1">
      <c r="A788" s="38"/>
      <c r="B788" s="39"/>
      <c r="C788" s="3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1.0" customHeight="1">
      <c r="A789" s="38"/>
      <c r="B789" s="39"/>
      <c r="C789" s="3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1.0" customHeight="1">
      <c r="A790" s="38"/>
      <c r="B790" s="39"/>
      <c r="C790" s="3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1.0" customHeight="1">
      <c r="A791" s="38"/>
      <c r="B791" s="39"/>
      <c r="C791" s="3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1.0" customHeight="1">
      <c r="A792" s="38"/>
      <c r="B792" s="39"/>
      <c r="C792" s="3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1.0" customHeight="1">
      <c r="A793" s="38"/>
      <c r="B793" s="39"/>
      <c r="C793" s="3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1.0" customHeight="1">
      <c r="A794" s="38"/>
      <c r="B794" s="39"/>
      <c r="C794" s="3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1.0" customHeight="1">
      <c r="A795" s="38"/>
      <c r="B795" s="39"/>
      <c r="C795" s="3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1.0" customHeight="1">
      <c r="A796" s="38"/>
      <c r="B796" s="39"/>
      <c r="C796" s="3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1.0" customHeight="1">
      <c r="A797" s="38"/>
      <c r="B797" s="39"/>
      <c r="C797" s="3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1.0" customHeight="1">
      <c r="A798" s="38"/>
      <c r="B798" s="39"/>
      <c r="C798" s="3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1.0" customHeight="1">
      <c r="A799" s="38"/>
      <c r="B799" s="39"/>
      <c r="C799" s="3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1.0" customHeight="1">
      <c r="A800" s="38"/>
      <c r="B800" s="39"/>
      <c r="C800" s="3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1.0" customHeight="1">
      <c r="A801" s="38"/>
      <c r="B801" s="39"/>
      <c r="C801" s="3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1.0" customHeight="1">
      <c r="A802" s="38"/>
      <c r="B802" s="39"/>
      <c r="C802" s="3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1.0" customHeight="1">
      <c r="A803" s="38"/>
      <c r="B803" s="39"/>
      <c r="C803" s="3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1.0" customHeight="1">
      <c r="A804" s="38"/>
      <c r="B804" s="39"/>
      <c r="C804" s="3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1.0" customHeight="1">
      <c r="A805" s="38"/>
      <c r="B805" s="39"/>
      <c r="C805" s="3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1.0" customHeight="1">
      <c r="A806" s="38"/>
      <c r="B806" s="39"/>
      <c r="C806" s="3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1.0" customHeight="1">
      <c r="A807" s="38"/>
      <c r="B807" s="39"/>
      <c r="C807" s="3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1.0" customHeight="1">
      <c r="A808" s="38"/>
      <c r="B808" s="39"/>
      <c r="C808" s="3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1.0" customHeight="1">
      <c r="A809" s="38"/>
      <c r="B809" s="39"/>
      <c r="C809" s="3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1.0" customHeight="1">
      <c r="A810" s="38"/>
      <c r="B810" s="39"/>
      <c r="C810" s="3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1.0" customHeight="1">
      <c r="A811" s="38"/>
      <c r="B811" s="39"/>
      <c r="C811" s="3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1.0" customHeight="1">
      <c r="A812" s="38"/>
      <c r="B812" s="39"/>
      <c r="C812" s="3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1.0" customHeight="1">
      <c r="A813" s="38"/>
      <c r="B813" s="39"/>
      <c r="C813" s="3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1.0" customHeight="1">
      <c r="A814" s="38"/>
      <c r="B814" s="39"/>
      <c r="C814" s="3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1.0" customHeight="1">
      <c r="A815" s="38"/>
      <c r="B815" s="39"/>
      <c r="C815" s="3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1.0" customHeight="1">
      <c r="A816" s="38"/>
      <c r="B816" s="39"/>
      <c r="C816" s="3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1.0" customHeight="1">
      <c r="A817" s="38"/>
      <c r="B817" s="39"/>
      <c r="C817" s="3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1.0" customHeight="1">
      <c r="A818" s="38"/>
      <c r="B818" s="39"/>
      <c r="C818" s="3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1.0" customHeight="1">
      <c r="A819" s="38"/>
      <c r="B819" s="39"/>
      <c r="C819" s="3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1.0" customHeight="1">
      <c r="A820" s="38"/>
      <c r="B820" s="39"/>
      <c r="C820" s="3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1.0" customHeight="1">
      <c r="A821" s="38"/>
      <c r="B821" s="39"/>
      <c r="C821" s="3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1.0" customHeight="1">
      <c r="A822" s="38"/>
      <c r="B822" s="39"/>
      <c r="C822" s="3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1.0" customHeight="1">
      <c r="A823" s="38"/>
      <c r="B823" s="39"/>
      <c r="C823" s="3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1.0" customHeight="1">
      <c r="A824" s="38"/>
      <c r="B824" s="39"/>
      <c r="C824" s="3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1.0" customHeight="1">
      <c r="A825" s="38"/>
      <c r="B825" s="39"/>
      <c r="C825" s="3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1.0" customHeight="1">
      <c r="A826" s="38"/>
      <c r="B826" s="39"/>
      <c r="C826" s="3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1.0" customHeight="1">
      <c r="A827" s="38"/>
      <c r="B827" s="39"/>
      <c r="C827" s="3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1.0" customHeight="1">
      <c r="A828" s="38"/>
      <c r="B828" s="39"/>
      <c r="C828" s="3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1.0" customHeight="1">
      <c r="A829" s="38"/>
      <c r="B829" s="39"/>
      <c r="C829" s="3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1.0" customHeight="1">
      <c r="A830" s="38"/>
      <c r="B830" s="39"/>
      <c r="C830" s="3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1.0" customHeight="1">
      <c r="A831" s="38"/>
      <c r="B831" s="39"/>
      <c r="C831" s="3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1.0" customHeight="1">
      <c r="A832" s="38"/>
      <c r="B832" s="39"/>
      <c r="C832" s="3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1.0" customHeight="1">
      <c r="A833" s="38"/>
      <c r="B833" s="39"/>
      <c r="C833" s="3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1.0" customHeight="1">
      <c r="A834" s="38"/>
      <c r="B834" s="39"/>
      <c r="C834" s="3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1.0" customHeight="1">
      <c r="A835" s="38"/>
      <c r="B835" s="39"/>
      <c r="C835" s="3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1.0" customHeight="1">
      <c r="A836" s="38"/>
      <c r="B836" s="39"/>
      <c r="C836" s="3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1.0" customHeight="1">
      <c r="A837" s="38"/>
      <c r="B837" s="39"/>
      <c r="C837" s="3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1.0" customHeight="1">
      <c r="A838" s="38"/>
      <c r="B838" s="39"/>
      <c r="C838" s="3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1.0" customHeight="1">
      <c r="A839" s="38"/>
      <c r="B839" s="39"/>
      <c r="C839" s="3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1.0" customHeight="1">
      <c r="A840" s="38"/>
      <c r="B840" s="39"/>
      <c r="C840" s="3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1.0" customHeight="1">
      <c r="A841" s="38"/>
      <c r="B841" s="39"/>
      <c r="C841" s="3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1.0" customHeight="1">
      <c r="A842" s="38"/>
      <c r="B842" s="39"/>
      <c r="C842" s="3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1.0" customHeight="1">
      <c r="A843" s="38"/>
      <c r="B843" s="39"/>
      <c r="C843" s="3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1.0" customHeight="1">
      <c r="A844" s="38"/>
      <c r="B844" s="39"/>
      <c r="C844" s="3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1.0" customHeight="1">
      <c r="A845" s="38"/>
      <c r="B845" s="39"/>
      <c r="C845" s="3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1.0" customHeight="1">
      <c r="A846" s="38"/>
      <c r="B846" s="39"/>
      <c r="C846" s="3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1.0" customHeight="1">
      <c r="A847" s="38"/>
      <c r="B847" s="39"/>
      <c r="C847" s="3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1.0" customHeight="1">
      <c r="A848" s="38"/>
      <c r="B848" s="39"/>
      <c r="C848" s="3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1.0" customHeight="1">
      <c r="A849" s="38"/>
      <c r="B849" s="39"/>
      <c r="C849" s="3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1.0" customHeight="1">
      <c r="A850" s="38"/>
      <c r="B850" s="39"/>
      <c r="C850" s="3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1.0" customHeight="1">
      <c r="A851" s="38"/>
      <c r="B851" s="39"/>
      <c r="C851" s="3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1.0" customHeight="1">
      <c r="A852" s="38"/>
      <c r="B852" s="39"/>
      <c r="C852" s="3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1.0" customHeight="1">
      <c r="A853" s="38"/>
      <c r="B853" s="39"/>
      <c r="C853" s="3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1.0" customHeight="1">
      <c r="A854" s="38"/>
      <c r="B854" s="39"/>
      <c r="C854" s="3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1.0" customHeight="1">
      <c r="A855" s="38"/>
      <c r="B855" s="39"/>
      <c r="C855" s="3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1.0" customHeight="1">
      <c r="A856" s="38"/>
      <c r="B856" s="39"/>
      <c r="C856" s="3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1.0" customHeight="1">
      <c r="A857" s="38"/>
      <c r="B857" s="39"/>
      <c r="C857" s="3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1.0" customHeight="1">
      <c r="A858" s="38"/>
      <c r="B858" s="39"/>
      <c r="C858" s="3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1.0" customHeight="1">
      <c r="A859" s="38"/>
      <c r="B859" s="39"/>
      <c r="C859" s="3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1.0" customHeight="1">
      <c r="A860" s="38"/>
      <c r="B860" s="39"/>
      <c r="C860" s="3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1.0" customHeight="1">
      <c r="A861" s="38"/>
      <c r="B861" s="39"/>
      <c r="C861" s="3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1.0" customHeight="1">
      <c r="A862" s="38"/>
      <c r="B862" s="39"/>
      <c r="C862" s="3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1.0" customHeight="1">
      <c r="A863" s="38"/>
      <c r="B863" s="39"/>
      <c r="C863" s="3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1.0" customHeight="1">
      <c r="A864" s="38"/>
      <c r="B864" s="39"/>
      <c r="C864" s="3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1.0" customHeight="1">
      <c r="A865" s="38"/>
      <c r="B865" s="39"/>
      <c r="C865" s="3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1.0" customHeight="1">
      <c r="A866" s="38"/>
      <c r="B866" s="39"/>
      <c r="C866" s="3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1.0" customHeight="1">
      <c r="A867" s="38"/>
      <c r="B867" s="39"/>
      <c r="C867" s="3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1.0" customHeight="1">
      <c r="A868" s="38"/>
      <c r="B868" s="39"/>
      <c r="C868" s="3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1.0" customHeight="1">
      <c r="A869" s="38"/>
      <c r="B869" s="39"/>
      <c r="C869" s="3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1.0" customHeight="1">
      <c r="A870" s="38"/>
      <c r="B870" s="39"/>
      <c r="C870" s="3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1.0" customHeight="1">
      <c r="A871" s="38"/>
      <c r="B871" s="39"/>
      <c r="C871" s="3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1.0" customHeight="1">
      <c r="A872" s="38"/>
      <c r="B872" s="39"/>
      <c r="C872" s="3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1.0" customHeight="1">
      <c r="A873" s="38"/>
      <c r="B873" s="39"/>
      <c r="C873" s="3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1.0" customHeight="1">
      <c r="A874" s="38"/>
      <c r="B874" s="39"/>
      <c r="C874" s="3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1.0" customHeight="1">
      <c r="A875" s="38"/>
      <c r="B875" s="39"/>
      <c r="C875" s="3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1.0" customHeight="1">
      <c r="A876" s="38"/>
      <c r="B876" s="39"/>
      <c r="C876" s="3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1.0" customHeight="1">
      <c r="A877" s="38"/>
      <c r="B877" s="39"/>
      <c r="C877" s="3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1.0" customHeight="1">
      <c r="A878" s="38"/>
      <c r="B878" s="39"/>
      <c r="C878" s="3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1.0" customHeight="1">
      <c r="A879" s="38"/>
      <c r="B879" s="39"/>
      <c r="C879" s="3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1.0" customHeight="1">
      <c r="A880" s="38"/>
      <c r="B880" s="39"/>
      <c r="C880" s="3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1.0" customHeight="1">
      <c r="A881" s="38"/>
      <c r="B881" s="39"/>
      <c r="C881" s="3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1.0" customHeight="1">
      <c r="A882" s="38"/>
      <c r="B882" s="39"/>
      <c r="C882" s="3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1.0" customHeight="1">
      <c r="A883" s="38"/>
      <c r="B883" s="39"/>
      <c r="C883" s="3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1.0" customHeight="1">
      <c r="A884" s="38"/>
      <c r="B884" s="39"/>
      <c r="C884" s="3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1.0" customHeight="1">
      <c r="A885" s="38"/>
      <c r="B885" s="39"/>
      <c r="C885" s="3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1.0" customHeight="1">
      <c r="A886" s="38"/>
      <c r="B886" s="39"/>
      <c r="C886" s="3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1.0" customHeight="1">
      <c r="A887" s="38"/>
      <c r="B887" s="39"/>
      <c r="C887" s="3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1.0" customHeight="1">
      <c r="A888" s="38"/>
      <c r="B888" s="39"/>
      <c r="C888" s="3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1.0" customHeight="1">
      <c r="A889" s="38"/>
      <c r="B889" s="39"/>
      <c r="C889" s="3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1.0" customHeight="1">
      <c r="A890" s="38"/>
      <c r="B890" s="39"/>
      <c r="C890" s="3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1.0" customHeight="1">
      <c r="A891" s="38"/>
      <c r="B891" s="39"/>
      <c r="C891" s="3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1.0" customHeight="1">
      <c r="A892" s="38"/>
      <c r="B892" s="39"/>
      <c r="C892" s="3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1.0" customHeight="1">
      <c r="A893" s="38"/>
      <c r="B893" s="39"/>
      <c r="C893" s="3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1.0" customHeight="1">
      <c r="A894" s="38"/>
      <c r="B894" s="39"/>
      <c r="C894" s="3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1.0" customHeight="1">
      <c r="A895" s="38"/>
      <c r="B895" s="39"/>
      <c r="C895" s="3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1.0" customHeight="1">
      <c r="A896" s="38"/>
      <c r="B896" s="39"/>
      <c r="C896" s="3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1.0" customHeight="1">
      <c r="A897" s="38"/>
      <c r="B897" s="39"/>
      <c r="C897" s="3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1.0" customHeight="1">
      <c r="A898" s="38"/>
      <c r="B898" s="39"/>
      <c r="C898" s="3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1.0" customHeight="1">
      <c r="A899" s="38"/>
      <c r="B899" s="39"/>
      <c r="C899" s="3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1.0" customHeight="1">
      <c r="A900" s="38"/>
      <c r="B900" s="39"/>
      <c r="C900" s="3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1.0" customHeight="1">
      <c r="A901" s="38"/>
      <c r="B901" s="39"/>
      <c r="C901" s="3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1.0" customHeight="1">
      <c r="A902" s="38"/>
      <c r="B902" s="39"/>
      <c r="C902" s="3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1.0" customHeight="1">
      <c r="A903" s="38"/>
      <c r="B903" s="39"/>
      <c r="C903" s="3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1.0" customHeight="1">
      <c r="A904" s="38"/>
      <c r="B904" s="39"/>
      <c r="C904" s="3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1.0" customHeight="1">
      <c r="A905" s="38"/>
      <c r="B905" s="39"/>
      <c r="C905" s="3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1.0" customHeight="1">
      <c r="A906" s="38"/>
      <c r="B906" s="39"/>
      <c r="C906" s="3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1.0" customHeight="1">
      <c r="A907" s="38"/>
      <c r="B907" s="39"/>
      <c r="C907" s="3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1.0" customHeight="1">
      <c r="A908" s="38"/>
      <c r="B908" s="39"/>
      <c r="C908" s="3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1.0" customHeight="1">
      <c r="A909" s="38"/>
      <c r="B909" s="39"/>
      <c r="C909" s="3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1.0" customHeight="1">
      <c r="A910" s="38"/>
      <c r="B910" s="39"/>
      <c r="C910" s="3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1.0" customHeight="1">
      <c r="A911" s="38"/>
      <c r="B911" s="39"/>
      <c r="C911" s="3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1.0" customHeight="1">
      <c r="A912" s="38"/>
      <c r="B912" s="39"/>
      <c r="C912" s="3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1.0" customHeight="1">
      <c r="A913" s="38"/>
      <c r="B913" s="39"/>
      <c r="C913" s="3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1.0" customHeight="1">
      <c r="A914" s="38"/>
      <c r="B914" s="39"/>
      <c r="C914" s="3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1.0" customHeight="1">
      <c r="A915" s="38"/>
      <c r="B915" s="39"/>
      <c r="C915" s="3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1.0" customHeight="1">
      <c r="A916" s="38"/>
      <c r="B916" s="39"/>
      <c r="C916" s="3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1.0" customHeight="1">
      <c r="A917" s="38"/>
      <c r="B917" s="39"/>
      <c r="C917" s="3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1.0" customHeight="1">
      <c r="A918" s="38"/>
      <c r="B918" s="39"/>
      <c r="C918" s="3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1.0" customHeight="1">
      <c r="A919" s="38"/>
      <c r="B919" s="39"/>
      <c r="C919" s="3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1.0" customHeight="1">
      <c r="A920" s="38"/>
      <c r="B920" s="39"/>
      <c r="C920" s="3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1.0" customHeight="1">
      <c r="A921" s="38"/>
      <c r="B921" s="39"/>
      <c r="C921" s="3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1.0" customHeight="1">
      <c r="A922" s="38"/>
      <c r="B922" s="39"/>
      <c r="C922" s="3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1.0" customHeight="1">
      <c r="A923" s="38"/>
      <c r="B923" s="39"/>
      <c r="C923" s="3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1.0" customHeight="1">
      <c r="A924" s="38"/>
      <c r="B924" s="39"/>
      <c r="C924" s="3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1.0" customHeight="1">
      <c r="A925" s="38"/>
      <c r="B925" s="39"/>
      <c r="C925" s="3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1.0" customHeight="1">
      <c r="A926" s="38"/>
      <c r="B926" s="39"/>
      <c r="C926" s="3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1.0" customHeight="1">
      <c r="A927" s="38"/>
      <c r="B927" s="39"/>
      <c r="C927" s="3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1.0" customHeight="1">
      <c r="A928" s="38"/>
      <c r="B928" s="39"/>
      <c r="C928" s="3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1.0" customHeight="1">
      <c r="A929" s="38"/>
      <c r="B929" s="39"/>
      <c r="C929" s="3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1.0" customHeight="1">
      <c r="A930" s="38"/>
      <c r="B930" s="39"/>
      <c r="C930" s="3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1.0" customHeight="1">
      <c r="A931" s="38"/>
      <c r="B931" s="39"/>
      <c r="C931" s="3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1.0" customHeight="1">
      <c r="A932" s="38"/>
      <c r="B932" s="39"/>
      <c r="C932" s="3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1.0" customHeight="1">
      <c r="A933" s="38"/>
      <c r="B933" s="39"/>
      <c r="C933" s="3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1.0" customHeight="1">
      <c r="A934" s="38"/>
      <c r="B934" s="39"/>
      <c r="C934" s="3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1.0" customHeight="1">
      <c r="A935" s="38"/>
      <c r="B935" s="39"/>
      <c r="C935" s="3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1.0" customHeight="1">
      <c r="A936" s="38"/>
      <c r="B936" s="39"/>
      <c r="C936" s="3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1.0" customHeight="1">
      <c r="A937" s="38"/>
      <c r="B937" s="39"/>
      <c r="C937" s="3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1.0" customHeight="1">
      <c r="A938" s="38"/>
      <c r="B938" s="39"/>
      <c r="C938" s="3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1.0" customHeight="1">
      <c r="A939" s="38"/>
      <c r="B939" s="39"/>
      <c r="C939" s="3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1.0" customHeight="1">
      <c r="A940" s="38"/>
      <c r="B940" s="39"/>
      <c r="C940" s="3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1.0" customHeight="1">
      <c r="A941" s="38"/>
      <c r="B941" s="39"/>
      <c r="C941" s="3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1.0" customHeight="1">
      <c r="A942" s="38"/>
      <c r="B942" s="39"/>
      <c r="C942" s="3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1.0" customHeight="1">
      <c r="A943" s="38"/>
      <c r="B943" s="39"/>
      <c r="C943" s="3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1.0" customHeight="1">
      <c r="A944" s="38"/>
      <c r="B944" s="39"/>
      <c r="C944" s="3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1.0" customHeight="1">
      <c r="A945" s="38"/>
      <c r="B945" s="39"/>
      <c r="C945" s="3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1.0" customHeight="1">
      <c r="A946" s="38"/>
      <c r="B946" s="39"/>
      <c r="C946" s="3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1.0" customHeight="1">
      <c r="A947" s="38"/>
      <c r="B947" s="39"/>
      <c r="C947" s="3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1.0" customHeight="1">
      <c r="A948" s="38"/>
      <c r="B948" s="39"/>
      <c r="C948" s="3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1.0" customHeight="1">
      <c r="A949" s="38"/>
      <c r="B949" s="39"/>
      <c r="C949" s="3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1.0" customHeight="1">
      <c r="A950" s="38"/>
      <c r="B950" s="39"/>
      <c r="C950" s="3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1.0" customHeight="1">
      <c r="A951" s="38"/>
      <c r="B951" s="39"/>
      <c r="C951" s="3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1.0" customHeight="1">
      <c r="A952" s="38"/>
      <c r="B952" s="39"/>
      <c r="C952" s="3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1.0" customHeight="1">
      <c r="A953" s="38"/>
      <c r="B953" s="39"/>
      <c r="C953" s="3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1.0" customHeight="1">
      <c r="A954" s="38"/>
      <c r="B954" s="39"/>
      <c r="C954" s="3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1.0" customHeight="1">
      <c r="A955" s="38"/>
      <c r="B955" s="39"/>
      <c r="C955" s="3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1.0" customHeight="1">
      <c r="A956" s="38"/>
      <c r="B956" s="39"/>
      <c r="C956" s="3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1.0" customHeight="1">
      <c r="A957" s="38"/>
      <c r="B957" s="39"/>
      <c r="C957" s="3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1.0" customHeight="1">
      <c r="A958" s="38"/>
      <c r="B958" s="39"/>
      <c r="C958" s="3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1.0" customHeight="1">
      <c r="A959" s="38"/>
      <c r="B959" s="39"/>
      <c r="C959" s="3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1.0" customHeight="1">
      <c r="A960" s="38"/>
      <c r="B960" s="39"/>
      <c r="C960" s="3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1.0" customHeight="1">
      <c r="A961" s="38"/>
      <c r="B961" s="39"/>
      <c r="C961" s="3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1.0" customHeight="1">
      <c r="A962" s="38"/>
      <c r="B962" s="39"/>
      <c r="C962" s="3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1.0" customHeight="1">
      <c r="A963" s="38"/>
      <c r="B963" s="39"/>
      <c r="C963" s="3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1.0" customHeight="1">
      <c r="A964" s="38"/>
      <c r="B964" s="39"/>
      <c r="C964" s="3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1.0" customHeight="1">
      <c r="A965" s="38"/>
      <c r="B965" s="39"/>
      <c r="C965" s="3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1.0" customHeight="1">
      <c r="A966" s="38"/>
      <c r="B966" s="39"/>
      <c r="C966" s="3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1.0" customHeight="1">
      <c r="A967" s="38"/>
      <c r="B967" s="39"/>
      <c r="C967" s="3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1.0" customHeight="1">
      <c r="A968" s="38"/>
      <c r="B968" s="39"/>
      <c r="C968" s="3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1.0" customHeight="1">
      <c r="A969" s="38"/>
      <c r="B969" s="39"/>
      <c r="C969" s="3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1.0" customHeight="1">
      <c r="A970" s="38"/>
      <c r="B970" s="39"/>
      <c r="C970" s="3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1.0" customHeight="1">
      <c r="A971" s="38"/>
      <c r="B971" s="39"/>
      <c r="C971" s="3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1.0" customHeight="1">
      <c r="A972" s="38"/>
      <c r="B972" s="39"/>
      <c r="C972" s="3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1.0" customHeight="1">
      <c r="A973" s="38"/>
      <c r="B973" s="39"/>
      <c r="C973" s="3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1.0" customHeight="1">
      <c r="A974" s="38"/>
      <c r="B974" s="39"/>
      <c r="C974" s="3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1.0" customHeight="1">
      <c r="A975" s="38"/>
      <c r="B975" s="39"/>
      <c r="C975" s="3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1.0" customHeight="1">
      <c r="A976" s="38"/>
      <c r="B976" s="39"/>
      <c r="C976" s="3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1.0" customHeight="1">
      <c r="A977" s="38"/>
      <c r="B977" s="39"/>
      <c r="C977" s="3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1.0" customHeight="1">
      <c r="A978" s="38"/>
      <c r="B978" s="39"/>
      <c r="C978" s="3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1.0" customHeight="1">
      <c r="A979" s="38"/>
      <c r="B979" s="39"/>
      <c r="C979" s="3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1.0" customHeight="1">
      <c r="A980" s="38"/>
      <c r="B980" s="39"/>
      <c r="C980" s="3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1.0" customHeight="1">
      <c r="A981" s="38"/>
      <c r="B981" s="39"/>
      <c r="C981" s="3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1.0" customHeight="1">
      <c r="A982" s="38"/>
      <c r="B982" s="39"/>
      <c r="C982" s="3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1.0" customHeight="1">
      <c r="A983" s="38"/>
      <c r="B983" s="39"/>
      <c r="C983" s="3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1.0" customHeight="1">
      <c r="A984" s="38"/>
      <c r="B984" s="39"/>
      <c r="C984" s="3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1.0" customHeight="1">
      <c r="A985" s="38"/>
      <c r="B985" s="39"/>
      <c r="C985" s="3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1.0" customHeight="1">
      <c r="A986" s="38"/>
      <c r="B986" s="39"/>
      <c r="C986" s="3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1.0" customHeight="1">
      <c r="A987" s="38"/>
      <c r="B987" s="39"/>
      <c r="C987" s="3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1.0" customHeight="1">
      <c r="A988" s="38"/>
      <c r="B988" s="39"/>
      <c r="C988" s="3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1.0" customHeight="1">
      <c r="A989" s="38"/>
      <c r="B989" s="39"/>
      <c r="C989" s="3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1.0" customHeight="1">
      <c r="A990" s="38"/>
      <c r="B990" s="39"/>
      <c r="C990" s="3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1.0" customHeight="1">
      <c r="A991" s="38"/>
      <c r="B991" s="39"/>
      <c r="C991" s="3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1.0" customHeight="1">
      <c r="A992" s="38"/>
      <c r="B992" s="39"/>
      <c r="C992" s="3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1.0" customHeight="1">
      <c r="A993" s="38"/>
      <c r="B993" s="39"/>
      <c r="C993" s="3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1.0" customHeight="1">
      <c r="A994" s="38"/>
      <c r="B994" s="39"/>
      <c r="C994" s="3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1.0" customHeight="1">
      <c r="A995" s="38"/>
      <c r="B995" s="39"/>
      <c r="C995" s="3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1.0" customHeight="1">
      <c r="A996" s="38"/>
      <c r="B996" s="39"/>
      <c r="C996" s="3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1.0" customHeight="1">
      <c r="A997" s="38"/>
      <c r="B997" s="39"/>
      <c r="C997" s="3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1.0" customHeight="1">
      <c r="A998" s="38"/>
      <c r="B998" s="39"/>
      <c r="C998" s="3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1.0" customHeight="1">
      <c r="A999" s="38"/>
      <c r="B999" s="39"/>
      <c r="C999" s="3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1.0" customHeight="1">
      <c r="A1000" s="38"/>
      <c r="B1000" s="39"/>
      <c r="C1000" s="3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D1:F1"/>
    <mergeCell ref="H1:K1"/>
    <mergeCell ref="L1:O1"/>
  </mergeCells>
  <conditionalFormatting sqref="D1:D25 D26:G77 D82:G1000 E2:G25">
    <cfRule type="cellIs" dxfId="0" priority="1" operator="lessThan">
      <formula>-0.0001</formula>
    </cfRule>
  </conditionalFormatting>
  <conditionalFormatting sqref="D3:G77 D82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8.71"/>
    <col customWidth="1" min="3" max="4" width="7.71"/>
    <col customWidth="1" min="5" max="5" width="8.0"/>
    <col customWidth="1" min="6" max="6" width="8.86"/>
    <col customWidth="1" min="7" max="7" width="11.0"/>
    <col customWidth="1" min="8" max="9" width="15.14"/>
    <col customWidth="1" min="10" max="11" width="16.86"/>
    <col customWidth="1" min="12" max="13" width="15.14"/>
    <col customWidth="1" min="14" max="15" width="16.86"/>
    <col customWidth="1" min="16" max="26" width="18.86"/>
  </cols>
  <sheetData>
    <row r="1" ht="15.75" customHeight="1">
      <c r="A1" s="1"/>
      <c r="B1" s="1"/>
      <c r="C1" s="1"/>
      <c r="D1" s="2" t="s">
        <v>131</v>
      </c>
      <c r="E1" s="3"/>
      <c r="F1" s="3"/>
      <c r="G1" s="4"/>
      <c r="H1" s="141" t="s">
        <v>132</v>
      </c>
      <c r="I1" s="3"/>
      <c r="J1" s="3"/>
      <c r="K1" s="4"/>
      <c r="L1" s="6" t="s">
        <v>1</v>
      </c>
      <c r="M1" s="3"/>
      <c r="N1" s="3"/>
      <c r="O1" s="4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1" t="s">
        <v>3</v>
      </c>
      <c r="B2" s="12" t="s">
        <v>4</v>
      </c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3" t="s">
        <v>6</v>
      </c>
      <c r="I2" s="143" t="s">
        <v>7</v>
      </c>
      <c r="J2" s="143" t="s">
        <v>8</v>
      </c>
      <c r="K2" s="143" t="s">
        <v>9</v>
      </c>
      <c r="L2" s="14" t="s">
        <v>6</v>
      </c>
      <c r="M2" s="14" t="s">
        <v>11</v>
      </c>
      <c r="N2" s="14" t="s">
        <v>10</v>
      </c>
      <c r="O2" s="14" t="s">
        <v>9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ht="15.75" customHeight="1">
      <c r="A3" s="1" t="s">
        <v>13</v>
      </c>
      <c r="B3" s="1" t="s">
        <v>14</v>
      </c>
      <c r="C3" s="1" t="s">
        <v>15</v>
      </c>
      <c r="D3" s="17">
        <f t="shared" ref="D3:G3" si="1">IF(L3=0,0%,IF(H3=0,100%,L3/H3-1))</f>
        <v>-0.2364875812</v>
      </c>
      <c r="E3" s="17">
        <f t="shared" si="1"/>
        <v>-0.6375190478</v>
      </c>
      <c r="F3" s="17">
        <f t="shared" si="1"/>
        <v>-0.3085341394</v>
      </c>
      <c r="G3" s="17">
        <f t="shared" si="1"/>
        <v>-0.09042140591</v>
      </c>
      <c r="H3" s="19">
        <v>1.0404E7</v>
      </c>
      <c r="I3" s="19">
        <v>783900.0</v>
      </c>
      <c r="J3" s="19">
        <v>2.7900000000000004E7</v>
      </c>
      <c r="K3" s="19">
        <v>5.580000000000001E7</v>
      </c>
      <c r="L3" s="144">
        <f>VLOOKUP(A3,'תפוקה מצטברת מול אשתקד'!A:K,8,0)</f>
        <v>7943583.205</v>
      </c>
      <c r="M3" s="18">
        <f>VLOOKUP(A3,'תפוקה מצטברת מול אשתקד'!A:K,9,0)</f>
        <v>284148.8185</v>
      </c>
      <c r="N3" s="18">
        <f>VLOOKUP(A3,'תפוקה מצטברת מול אשתקד'!A:K,10,0)</f>
        <v>19291897.51</v>
      </c>
      <c r="O3" s="18">
        <f>VLOOKUP(A3,'תפוקה מצטברת מול אשתקד'!A:K,11,0)</f>
        <v>50754485.55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ht="15.75" customHeight="1">
      <c r="A4" s="1" t="s">
        <v>16</v>
      </c>
      <c r="B4" s="1" t="s">
        <v>14</v>
      </c>
      <c r="C4" s="1" t="s">
        <v>15</v>
      </c>
      <c r="D4" s="17">
        <f t="shared" ref="D4:G4" si="2">IF(L4=0,0%,IF(H4=0,100%,L4/H4-1))</f>
        <v>-0.5036105514</v>
      </c>
      <c r="E4" s="17">
        <f t="shared" si="2"/>
        <v>1</v>
      </c>
      <c r="F4" s="17">
        <f t="shared" si="2"/>
        <v>-0.7906863816</v>
      </c>
      <c r="G4" s="17">
        <f t="shared" si="2"/>
        <v>-0.9066456828</v>
      </c>
      <c r="H4" s="19">
        <v>866999.9999999999</v>
      </c>
      <c r="I4" s="19">
        <v>0.0</v>
      </c>
      <c r="J4" s="19">
        <v>1.3950000000000002E7</v>
      </c>
      <c r="K4" s="19">
        <v>1.1160000000000002E7</v>
      </c>
      <c r="L4" s="144">
        <f>VLOOKUP(A4,'תפוקה מצטברת מול אשתקד'!A:K,8,0)</f>
        <v>430369.6519</v>
      </c>
      <c r="M4" s="18">
        <f>VLOOKUP(A4,'תפוקה מצטברת מול אשתקד'!A:K,9,0)</f>
        <v>3951.306216</v>
      </c>
      <c r="N4" s="18">
        <f>VLOOKUP(A4,'תפוקה מצטברת מול אשתקד'!A:K,10,0)</f>
        <v>2919924.977</v>
      </c>
      <c r="O4" s="18">
        <f>VLOOKUP(A4,'תפוקה מצטברת מול אשתקד'!A:K,11,0)</f>
        <v>1041834.18</v>
      </c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5.75" customHeight="1">
      <c r="A5" s="1" t="s">
        <v>17</v>
      </c>
      <c r="B5" s="1" t="s">
        <v>14</v>
      </c>
      <c r="C5" s="1" t="s">
        <v>15</v>
      </c>
      <c r="D5" s="17">
        <f t="shared" ref="D5:G5" si="3">IF(L5=0,0%,IF(H5=0,100%,L5/H5-1))</f>
        <v>0</v>
      </c>
      <c r="E5" s="17">
        <f t="shared" si="3"/>
        <v>-0.7069889654</v>
      </c>
      <c r="F5" s="17">
        <f t="shared" si="3"/>
        <v>1</v>
      </c>
      <c r="G5" s="17">
        <f t="shared" si="3"/>
        <v>0</v>
      </c>
      <c r="H5" s="19">
        <v>0.0</v>
      </c>
      <c r="I5" s="19">
        <v>180900.0</v>
      </c>
      <c r="J5" s="19">
        <v>0.0</v>
      </c>
      <c r="K5" s="19">
        <v>0.0</v>
      </c>
      <c r="L5" s="144">
        <f>VLOOKUP(A5,'תפוקה מצטברת מול אשתקד'!A:K,8,0)</f>
        <v>0</v>
      </c>
      <c r="M5" s="18">
        <f>VLOOKUP(A5,'תפוקה מצטברת מול אשתקד'!A:K,9,0)</f>
        <v>53005.69616</v>
      </c>
      <c r="N5" s="18">
        <f>VLOOKUP(A5,'תפוקה מצטברת מול אשתקד'!A:K,10,0)</f>
        <v>300000</v>
      </c>
      <c r="O5" s="18">
        <f>VLOOKUP(A5,'תפוקה מצטברת מול אשתקד'!A:K,11,0)</f>
        <v>0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ht="15.75" customHeight="1">
      <c r="A6" s="21" t="s">
        <v>18</v>
      </c>
      <c r="B6" s="21" t="s">
        <v>14</v>
      </c>
      <c r="C6" s="21" t="s">
        <v>15</v>
      </c>
      <c r="D6" s="22">
        <f t="shared" ref="D6:G6" si="4">IF(L6=0,0%,IF(H6=0,100%,L6/H6-1))</f>
        <v>-0.6739450154</v>
      </c>
      <c r="E6" s="22">
        <f t="shared" si="4"/>
        <v>-0.7280353002</v>
      </c>
      <c r="F6" s="22">
        <f t="shared" si="4"/>
        <v>-0.2959047091</v>
      </c>
      <c r="G6" s="22">
        <f t="shared" si="4"/>
        <v>0.6796821864</v>
      </c>
      <c r="H6" s="19">
        <v>289000.0</v>
      </c>
      <c r="I6" s="19">
        <v>150750.0</v>
      </c>
      <c r="J6" s="19">
        <v>1116000.0</v>
      </c>
      <c r="K6" s="19">
        <v>558000.0</v>
      </c>
      <c r="L6" s="144">
        <f>VLOOKUP(A6,'תפוקה מצטברת מול אשתקד'!A:K,8,0)</f>
        <v>94229.89054</v>
      </c>
      <c r="M6" s="18">
        <f>VLOOKUP(A6,'תפוקה מצטברת מול אשתקד'!A:K,9,0)</f>
        <v>40998.67849</v>
      </c>
      <c r="N6" s="18">
        <f>VLOOKUP(A6,'תפוקה מצטברת מול אשתקד'!A:K,10,0)</f>
        <v>785770.3447</v>
      </c>
      <c r="O6" s="18">
        <f>VLOOKUP(A6,'תפוקה מצטברת מול אשתקד'!A:K,11,0)</f>
        <v>937262.66</v>
      </c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ht="15.75" customHeight="1">
      <c r="A7" s="1" t="s">
        <v>19</v>
      </c>
      <c r="B7" s="1" t="s">
        <v>14</v>
      </c>
      <c r="C7" s="23" t="s">
        <v>15</v>
      </c>
      <c r="D7" s="17">
        <f t="shared" ref="D7:G7" si="5">IF(L7=0,0%,IF(H7=0,100%,L7/H7-1))</f>
        <v>1</v>
      </c>
      <c r="E7" s="17">
        <f t="shared" si="5"/>
        <v>1</v>
      </c>
      <c r="F7" s="17">
        <f t="shared" si="5"/>
        <v>-0.9780842832</v>
      </c>
      <c r="G7" s="17">
        <f t="shared" si="5"/>
        <v>-0.8094829032</v>
      </c>
      <c r="H7" s="19">
        <v>0.0</v>
      </c>
      <c r="I7" s="19">
        <v>0.0</v>
      </c>
      <c r="J7" s="19">
        <v>558000.0</v>
      </c>
      <c r="K7" s="19">
        <v>279000.0</v>
      </c>
      <c r="L7" s="144">
        <f>VLOOKUP(A7,'תפוקה מצטברת מול אשתקד'!A:K,8,0)</f>
        <v>19388.55</v>
      </c>
      <c r="M7" s="18">
        <f>VLOOKUP(A7,'תפוקה מצטברת מול אשתקד'!A:K,9,0)</f>
        <v>1778.28</v>
      </c>
      <c r="N7" s="18">
        <f>VLOOKUP(A7,'תפוקה מצטברת מול אשתקד'!A:K,10,0)</f>
        <v>12228.97</v>
      </c>
      <c r="O7" s="18">
        <f>VLOOKUP(A7,'תפוקה מצטברת מול אשתקד'!A:K,11,0)</f>
        <v>53154.27</v>
      </c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15.75" customHeight="1">
      <c r="A8" s="145" t="s">
        <v>20</v>
      </c>
      <c r="B8" s="146"/>
      <c r="C8" s="147"/>
      <c r="D8" s="148">
        <f t="shared" ref="D8:G8" si="6">IF(L8=0,0%,IF(H8=0,100%,L8/H8-1))</f>
        <v>-0.2657810296</v>
      </c>
      <c r="E8" s="148">
        <f t="shared" si="6"/>
        <v>-0.655880257</v>
      </c>
      <c r="F8" s="148">
        <f t="shared" si="6"/>
        <v>-0.4644375103</v>
      </c>
      <c r="G8" s="148">
        <f t="shared" si="6"/>
        <v>-0.2214001112</v>
      </c>
      <c r="H8" s="149">
        <f t="shared" ref="H8:O8" si="7">SUM(H3:H7)</f>
        <v>11560000</v>
      </c>
      <c r="I8" s="149">
        <f t="shared" si="7"/>
        <v>1115550</v>
      </c>
      <c r="J8" s="149">
        <f t="shared" si="7"/>
        <v>43524000</v>
      </c>
      <c r="K8" s="149">
        <f t="shared" si="7"/>
        <v>67797000</v>
      </c>
      <c r="L8" s="149">
        <f t="shared" si="7"/>
        <v>8487571.297</v>
      </c>
      <c r="M8" s="149">
        <f t="shared" si="7"/>
        <v>383882.7793</v>
      </c>
      <c r="N8" s="149">
        <f t="shared" si="7"/>
        <v>23309821.8</v>
      </c>
      <c r="O8" s="149">
        <f t="shared" si="7"/>
        <v>52786736.66</v>
      </c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ht="15.75" customHeight="1">
      <c r="A9" s="23" t="s">
        <v>21</v>
      </c>
      <c r="B9" s="23" t="s">
        <v>14</v>
      </c>
      <c r="C9" s="23" t="s">
        <v>22</v>
      </c>
      <c r="D9" s="28">
        <f t="shared" ref="D9:G9" si="8">IF(L9=0,0%,IF(H9=0,100%,L9/H9-1))</f>
        <v>1</v>
      </c>
      <c r="E9" s="28">
        <f t="shared" si="8"/>
        <v>1</v>
      </c>
      <c r="F9" s="28">
        <f t="shared" si="8"/>
        <v>0</v>
      </c>
      <c r="G9" s="28">
        <f t="shared" si="8"/>
        <v>1</v>
      </c>
      <c r="H9" s="19">
        <v>0.0</v>
      </c>
      <c r="I9" s="19">
        <v>0.0</v>
      </c>
      <c r="J9" s="19">
        <v>0.0</v>
      </c>
      <c r="K9" s="19">
        <v>0.0</v>
      </c>
      <c r="L9" s="144">
        <f>VLOOKUP(A9,'תפוקה מצטברת מול אשתקד'!A:K,8,0)</f>
        <v>37973.94499</v>
      </c>
      <c r="M9" s="18">
        <f>VLOOKUP(A9,'תפוקה מצטברת מול אשתקד'!A:K,9,0)</f>
        <v>1173.13</v>
      </c>
      <c r="N9" s="18">
        <f>VLOOKUP(A9,'תפוקה מצטברת מול אשתקד'!A:K,10,0)</f>
        <v>0</v>
      </c>
      <c r="O9" s="18">
        <f>VLOOKUP(A9,'תפוקה מצטברת מול אשתקד'!A:K,11,0)</f>
        <v>-321158.48</v>
      </c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ht="15.75" customHeight="1">
      <c r="A10" s="1" t="s">
        <v>23</v>
      </c>
      <c r="B10" s="1" t="s">
        <v>14</v>
      </c>
      <c r="C10" s="1" t="s">
        <v>22</v>
      </c>
      <c r="D10" s="17">
        <f t="shared" ref="D10:G10" si="9">IF(L10=0,0%,IF(H10=0,100%,L10/H10-1))</f>
        <v>-0.444546357</v>
      </c>
      <c r="E10" s="17">
        <f t="shared" si="9"/>
        <v>0.6969128197</v>
      </c>
      <c r="F10" s="17">
        <f t="shared" si="9"/>
        <v>-0.3962479566</v>
      </c>
      <c r="G10" s="17">
        <f t="shared" si="9"/>
        <v>0.06670382796</v>
      </c>
      <c r="H10" s="19">
        <v>1445000.0</v>
      </c>
      <c r="I10" s="19">
        <v>603000.0</v>
      </c>
      <c r="J10" s="19">
        <v>558000.0</v>
      </c>
      <c r="K10" s="19">
        <v>1395000.0000000002</v>
      </c>
      <c r="L10" s="144">
        <f>VLOOKUP(A10,'תפוקה מצטברת מול אשתקד'!A:K,8,0)</f>
        <v>802630.5142</v>
      </c>
      <c r="M10" s="18">
        <f>VLOOKUP(A10,'תפוקה מצטברת מול אשתקד'!A:K,9,0)</f>
        <v>1023238.43</v>
      </c>
      <c r="N10" s="18">
        <f>VLOOKUP(A10,'תפוקה מצטברת מול אשתקד'!A:K,10,0)</f>
        <v>336893.6402</v>
      </c>
      <c r="O10" s="18">
        <f>VLOOKUP(A10,'תפוקה מצטברת מול אשתקד'!A:K,11,0)</f>
        <v>1488051.84</v>
      </c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ht="15.75" customHeight="1">
      <c r="A11" s="1" t="s">
        <v>24</v>
      </c>
      <c r="B11" s="1" t="s">
        <v>14</v>
      </c>
      <c r="C11" s="1" t="s">
        <v>22</v>
      </c>
      <c r="D11" s="17">
        <f t="shared" ref="D11:G11" si="10">IF(L11=0,0%,IF(H11=0,100%,L11/H11-1))</f>
        <v>-0.5162526858</v>
      </c>
      <c r="E11" s="17">
        <f t="shared" si="10"/>
        <v>-0.6633795012</v>
      </c>
      <c r="F11" s="17">
        <f t="shared" si="10"/>
        <v>1</v>
      </c>
      <c r="G11" s="17">
        <f t="shared" si="10"/>
        <v>1</v>
      </c>
      <c r="H11" s="19">
        <v>289000.0</v>
      </c>
      <c r="I11" s="19">
        <v>120600.0</v>
      </c>
      <c r="J11" s="19">
        <v>0.0</v>
      </c>
      <c r="K11" s="19">
        <v>0.0</v>
      </c>
      <c r="L11" s="144">
        <f>VLOOKUP(A11,'תפוקה מצטברת מול אשתקד'!A:K,8,0)</f>
        <v>139802.9738</v>
      </c>
      <c r="M11" s="18">
        <f>VLOOKUP(A11,'תפוקה מצטברת מול אשתקד'!A:K,9,0)</f>
        <v>40596.43216</v>
      </c>
      <c r="N11" s="18">
        <f>VLOOKUP(A11,'תפוקה מצטברת מול אשתקד'!A:K,10,0)</f>
        <v>899639.4827</v>
      </c>
      <c r="O11" s="18">
        <f>VLOOKUP(A11,'תפוקה מצטברת מול אשתקד'!A:K,11,0)</f>
        <v>81331.63</v>
      </c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ht="15.75" customHeight="1">
      <c r="A12" s="1" t="s">
        <v>25</v>
      </c>
      <c r="B12" s="1" t="s">
        <v>14</v>
      </c>
      <c r="C12" s="1" t="s">
        <v>22</v>
      </c>
      <c r="D12" s="17">
        <f t="shared" ref="D12:G12" si="11">IF(L12=0,0%,IF(H12=0,100%,L12/H12-1))</f>
        <v>1</v>
      </c>
      <c r="E12" s="17">
        <f t="shared" si="11"/>
        <v>1</v>
      </c>
      <c r="F12" s="17">
        <f t="shared" si="11"/>
        <v>1</v>
      </c>
      <c r="G12" s="17">
        <f t="shared" si="11"/>
        <v>1</v>
      </c>
      <c r="H12" s="19">
        <v>0.0</v>
      </c>
      <c r="I12" s="19">
        <v>0.0</v>
      </c>
      <c r="J12" s="19">
        <v>0.0</v>
      </c>
      <c r="K12" s="19">
        <v>0.0</v>
      </c>
      <c r="L12" s="144">
        <f>VLOOKUP(A12,'תפוקה מצטברת מול אשתקד'!A:K,8,0)</f>
        <v>225510.267</v>
      </c>
      <c r="M12" s="18">
        <f>VLOOKUP(A12,'תפוקה מצטברת מול אשתקד'!A:K,9,0)</f>
        <v>16003.137</v>
      </c>
      <c r="N12" s="18">
        <f>VLOOKUP(A12,'תפוקה מצטברת מול אשתקד'!A:K,10,0)</f>
        <v>1814271.11</v>
      </c>
      <c r="O12" s="18">
        <f>VLOOKUP(A12,'תפוקה מצטברת מול אשתקד'!A:K,11,0)</f>
        <v>542020.65</v>
      </c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ht="15.75" customHeight="1">
      <c r="A13" s="1" t="s">
        <v>26</v>
      </c>
      <c r="B13" s="1" t="s">
        <v>14</v>
      </c>
      <c r="C13" s="1" t="s">
        <v>22</v>
      </c>
      <c r="D13" s="17">
        <f t="shared" ref="D13:G13" si="12">IF(L13=0,0%,IF(H13=0,100%,L13/H13-1))</f>
        <v>1</v>
      </c>
      <c r="E13" s="17">
        <f t="shared" si="12"/>
        <v>-0.6048120034</v>
      </c>
      <c r="F13" s="17">
        <f t="shared" si="12"/>
        <v>1</v>
      </c>
      <c r="G13" s="17">
        <f t="shared" si="12"/>
        <v>1</v>
      </c>
      <c r="H13" s="19">
        <v>0.0</v>
      </c>
      <c r="I13" s="19">
        <v>361800.0</v>
      </c>
      <c r="J13" s="19">
        <v>0.0</v>
      </c>
      <c r="K13" s="19">
        <v>0.0</v>
      </c>
      <c r="L13" s="144">
        <f>VLOOKUP(A13,'תפוקה מצטברת מול אשתקד'!A:K,8,0)</f>
        <v>66506.9825</v>
      </c>
      <c r="M13" s="18">
        <f>VLOOKUP(A13,'תפוקה מצטברת מול אשתקד'!A:K,9,0)</f>
        <v>142979.0172</v>
      </c>
      <c r="N13" s="18">
        <f>VLOOKUP(A13,'תפוקה מצטברת מול אשתקד'!A:K,10,0)</f>
        <v>2349.83</v>
      </c>
      <c r="O13" s="18">
        <f>VLOOKUP(A13,'תפוקה מצטברת מול אשתקד'!A:K,11,0)</f>
        <v>-4433.24</v>
      </c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ht="15.75" customHeight="1">
      <c r="A14" s="1" t="s">
        <v>27</v>
      </c>
      <c r="B14" s="1" t="s">
        <v>14</v>
      </c>
      <c r="C14" s="1" t="s">
        <v>22</v>
      </c>
      <c r="D14" s="17">
        <f t="shared" ref="D14:G14" si="13">IF(L14=0,0%,IF(H14=0,100%,L14/H14-1))</f>
        <v>0.01064854007</v>
      </c>
      <c r="E14" s="17">
        <f t="shared" si="13"/>
        <v>-0.5103170702</v>
      </c>
      <c r="F14" s="17">
        <f t="shared" si="13"/>
        <v>-0.5600066532</v>
      </c>
      <c r="G14" s="17">
        <f t="shared" si="13"/>
        <v>-0.957031014</v>
      </c>
      <c r="H14" s="19">
        <v>173400.0</v>
      </c>
      <c r="I14" s="19">
        <v>90450.0</v>
      </c>
      <c r="J14" s="19">
        <v>2232000.0</v>
      </c>
      <c r="K14" s="19">
        <v>6696000.000000001</v>
      </c>
      <c r="L14" s="144">
        <f>VLOOKUP(A14,'תפוקה מצטברת מול אשתקד'!A:K,8,0)</f>
        <v>175246.4568</v>
      </c>
      <c r="M14" s="18">
        <f>VLOOKUP(A14,'תפוקה מצטברת מול אשתקד'!A:K,9,0)</f>
        <v>44291.821</v>
      </c>
      <c r="N14" s="18">
        <f>VLOOKUP(A14,'תפוקה מצטברת מול אשתקד'!A:K,10,0)</f>
        <v>982065.15</v>
      </c>
      <c r="O14" s="18">
        <f>VLOOKUP(A14,'תפוקה מצטברת מול אשתקד'!A:K,11,0)</f>
        <v>287720.33</v>
      </c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ht="15.75" customHeight="1">
      <c r="A15" s="1" t="s">
        <v>28</v>
      </c>
      <c r="B15" s="1" t="s">
        <v>66</v>
      </c>
      <c r="C15" s="1" t="s">
        <v>22</v>
      </c>
      <c r="D15" s="17">
        <f t="shared" ref="D15:G15" si="14">IF(L15=0,0%,IF(H15=0,100%,L15/H15-1))</f>
        <v>1</v>
      </c>
      <c r="E15" s="17">
        <f t="shared" si="14"/>
        <v>0</v>
      </c>
      <c r="F15" s="17">
        <f t="shared" si="14"/>
        <v>1</v>
      </c>
      <c r="G15" s="17">
        <f t="shared" si="14"/>
        <v>1</v>
      </c>
      <c r="H15" s="19">
        <v>0.0</v>
      </c>
      <c r="I15" s="19">
        <v>0.0</v>
      </c>
      <c r="J15" s="19">
        <v>0.0</v>
      </c>
      <c r="K15" s="19">
        <v>0.0</v>
      </c>
      <c r="L15" s="144">
        <f>VLOOKUP(A15,'תפוקה מצטברת מול אשתקד'!A:K,8,0)</f>
        <v>122818.49</v>
      </c>
      <c r="M15" s="18">
        <f>VLOOKUP(A15,'תפוקה מצטברת מול אשתקד'!A:K,9,0)</f>
        <v>0</v>
      </c>
      <c r="N15" s="18">
        <f>VLOOKUP(A15,'תפוקה מצטברת מול אשתקד'!A:K,10,0)</f>
        <v>266565.67</v>
      </c>
      <c r="O15" s="18">
        <f>VLOOKUP(A15,'תפוקה מצטברת מול אשתקד'!A:K,11,0)</f>
        <v>113981.56</v>
      </c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ht="15.75" customHeight="1">
      <c r="A16" s="1" t="s">
        <v>29</v>
      </c>
      <c r="B16" s="1" t="s">
        <v>14</v>
      </c>
      <c r="C16" s="1" t="s">
        <v>22</v>
      </c>
      <c r="D16" s="17">
        <f t="shared" ref="D16:G16" si="15">IF(L16=0,0%,IF(H16=0,100%,L16/H16-1))</f>
        <v>1</v>
      </c>
      <c r="E16" s="17">
        <f t="shared" si="15"/>
        <v>1</v>
      </c>
      <c r="F16" s="17">
        <f t="shared" si="15"/>
        <v>1</v>
      </c>
      <c r="G16" s="17">
        <f t="shared" si="15"/>
        <v>1</v>
      </c>
      <c r="H16" s="19">
        <v>0.0</v>
      </c>
      <c r="I16" s="19">
        <v>0.0</v>
      </c>
      <c r="J16" s="19">
        <v>0.0</v>
      </c>
      <c r="K16" s="19">
        <v>0.0</v>
      </c>
      <c r="L16" s="144">
        <f>VLOOKUP(A16,'תפוקה מצטברת מול אשתקד'!A:K,8,0)</f>
        <v>130488.1085</v>
      </c>
      <c r="M16" s="18">
        <f>VLOOKUP(A16,'תפוקה מצטברת מול אשתקד'!A:K,9,0)</f>
        <v>39357.478</v>
      </c>
      <c r="N16" s="18">
        <f>VLOOKUP(A16,'תפוקה מצטברת מול אשתקד'!A:K,10,0)</f>
        <v>25369.24</v>
      </c>
      <c r="O16" s="18">
        <f>VLOOKUP(A16,'תפוקה מצטברת מול אשתקד'!A:K,11,0)</f>
        <v>118506.56</v>
      </c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ht="15.75" customHeight="1">
      <c r="A17" s="1" t="s">
        <v>30</v>
      </c>
      <c r="B17" s="1" t="s">
        <v>14</v>
      </c>
      <c r="C17" s="1" t="s">
        <v>22</v>
      </c>
      <c r="D17" s="17">
        <f t="shared" ref="D17:G17" si="16">IF(L17=0,0%,IF(H17=0,100%,L17/H17-1))</f>
        <v>-0.4359753108</v>
      </c>
      <c r="E17" s="17">
        <f t="shared" si="16"/>
        <v>-0.3397063042</v>
      </c>
      <c r="F17" s="17">
        <f t="shared" si="16"/>
        <v>-0.4869766876</v>
      </c>
      <c r="G17" s="17">
        <f t="shared" si="16"/>
        <v>-0.7491329869</v>
      </c>
      <c r="H17" s="19">
        <v>866999.9999999999</v>
      </c>
      <c r="I17" s="19">
        <v>361800.0</v>
      </c>
      <c r="J17" s="19">
        <v>6696000.000000001</v>
      </c>
      <c r="K17" s="19">
        <v>3348000.0000000005</v>
      </c>
      <c r="L17" s="144">
        <f>VLOOKUP(A17,'תפוקה מצטברת מול אשתקד'!A:K,8,0)</f>
        <v>489009.4055</v>
      </c>
      <c r="M17" s="18">
        <f>VLOOKUP(A17,'תפוקה מצטברת מול אשתקד'!A:K,9,0)</f>
        <v>238894.2591</v>
      </c>
      <c r="N17" s="18">
        <f>VLOOKUP(A17,'תפוקה מצטברת מול אשתקד'!A:K,10,0)</f>
        <v>3435204.1</v>
      </c>
      <c r="O17" s="18">
        <f>VLOOKUP(A17,'תפוקה מצטברת מול אשתקד'!A:K,11,0)</f>
        <v>839902.76</v>
      </c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ht="15.75" customHeight="1">
      <c r="A18" s="1" t="s">
        <v>31</v>
      </c>
      <c r="B18" s="1" t="s">
        <v>14</v>
      </c>
      <c r="C18" s="1" t="s">
        <v>22</v>
      </c>
      <c r="D18" s="17">
        <f t="shared" ref="D18:G18" si="17">IF(L18=0,0%,IF(H18=0,100%,L18/H18-1))</f>
        <v>-0.5243442161</v>
      </c>
      <c r="E18" s="17">
        <f t="shared" si="17"/>
        <v>-0.2868239845</v>
      </c>
      <c r="F18" s="17">
        <f t="shared" si="17"/>
        <v>-0.5664002704</v>
      </c>
      <c r="G18" s="17">
        <f t="shared" si="17"/>
        <v>-0.2473168925</v>
      </c>
      <c r="H18" s="19">
        <v>1733999.9999999998</v>
      </c>
      <c r="I18" s="19">
        <v>211050.0</v>
      </c>
      <c r="J18" s="19">
        <v>1.953E7</v>
      </c>
      <c r="K18" s="19">
        <v>5580000.000000001</v>
      </c>
      <c r="L18" s="144">
        <f>VLOOKUP(A18,'תפוקה מצטברת מול אשתקד'!A:K,8,0)</f>
        <v>824787.1294</v>
      </c>
      <c r="M18" s="18">
        <f>VLOOKUP(A18,'תפוקה מצטברת מול אשתקד'!A:K,9,0)</f>
        <v>150515.7981</v>
      </c>
      <c r="N18" s="18">
        <f>VLOOKUP(A18,'תפוקה מצטברת מול אשתקד'!A:K,10,0)</f>
        <v>8468202.718</v>
      </c>
      <c r="O18" s="18">
        <f>VLOOKUP(A18,'תפוקה מצטברת מול אשתקד'!A:K,11,0)</f>
        <v>4199971.74</v>
      </c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5.75" customHeight="1">
      <c r="A19" s="1" t="s">
        <v>32</v>
      </c>
      <c r="B19" s="1" t="s">
        <v>14</v>
      </c>
      <c r="C19" s="1" t="s">
        <v>22</v>
      </c>
      <c r="D19" s="17">
        <f t="shared" ref="D19:G19" si="18">IF(L19=0,0%,IF(H19=0,100%,L19/H19-1))</f>
        <v>1</v>
      </c>
      <c r="E19" s="17">
        <f t="shared" si="18"/>
        <v>1</v>
      </c>
      <c r="F19" s="17">
        <f t="shared" si="18"/>
        <v>0</v>
      </c>
      <c r="G19" s="17">
        <f t="shared" si="18"/>
        <v>1</v>
      </c>
      <c r="H19" s="19">
        <v>0.0</v>
      </c>
      <c r="I19" s="19">
        <v>0.0</v>
      </c>
      <c r="J19" s="19">
        <v>0.0</v>
      </c>
      <c r="K19" s="19">
        <v>0.0</v>
      </c>
      <c r="L19" s="144">
        <f>VLOOKUP(A19,'תפוקה מצטברת מול אשתקד'!A:K,8,0)</f>
        <v>8690.763604</v>
      </c>
      <c r="M19" s="18">
        <f>VLOOKUP(A19,'תפוקה מצטברת מול אשתקד'!A:K,9,0)</f>
        <v>9451.813565</v>
      </c>
      <c r="N19" s="18">
        <f>VLOOKUP(A19,'תפוקה מצטברת מול אשתקד'!A:K,10,0)</f>
        <v>0</v>
      </c>
      <c r="O19" s="18">
        <f>VLOOKUP(A19,'תפוקה מצטברת מול אשתקד'!A:K,11,0)</f>
        <v>-204933.07</v>
      </c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15.75" customHeight="1">
      <c r="A20" s="21" t="s">
        <v>33</v>
      </c>
      <c r="B20" s="1" t="s">
        <v>14</v>
      </c>
      <c r="C20" s="1" t="s">
        <v>22</v>
      </c>
      <c r="D20" s="17">
        <f t="shared" ref="D20:G20" si="19">IF(L20=0,0%,IF(H20=0,100%,L20/H20-1))</f>
        <v>1</v>
      </c>
      <c r="E20" s="17">
        <f t="shared" si="19"/>
        <v>1</v>
      </c>
      <c r="F20" s="17">
        <f t="shared" si="19"/>
        <v>1</v>
      </c>
      <c r="G20" s="17">
        <f t="shared" si="19"/>
        <v>1</v>
      </c>
      <c r="H20" s="19"/>
      <c r="I20" s="19"/>
      <c r="J20" s="19"/>
      <c r="K20" s="19"/>
      <c r="L20" s="144">
        <f>VLOOKUP(A20,'תפוקה מצטברת מול אשתקד'!A:K,8,0)</f>
        <v>65836.57775</v>
      </c>
      <c r="M20" s="18">
        <f>VLOOKUP(A20,'תפוקה מצטברת מול אשתקד'!A:K,9,0)</f>
        <v>8429.59</v>
      </c>
      <c r="N20" s="18">
        <f>VLOOKUP(A20,'תפוקה מצטברת מול אשתקד'!A:K,10,0)</f>
        <v>110647.08</v>
      </c>
      <c r="O20" s="18">
        <f>VLOOKUP(A20,'תפוקה מצטברת מול אשתקד'!A:K,11,0)</f>
        <v>43942.64</v>
      </c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5.75" customHeight="1">
      <c r="A21" s="21" t="s">
        <v>34</v>
      </c>
      <c r="B21" s="21" t="s">
        <v>14</v>
      </c>
      <c r="C21" s="21" t="s">
        <v>22</v>
      </c>
      <c r="D21" s="22">
        <f t="shared" ref="D21:G21" si="20">IF(L21=0,0%,IF(H21=0,100%,L21/H21-1))</f>
        <v>0</v>
      </c>
      <c r="E21" s="22">
        <f t="shared" si="20"/>
        <v>0</v>
      </c>
      <c r="F21" s="22">
        <f t="shared" si="20"/>
        <v>0</v>
      </c>
      <c r="G21" s="22">
        <f t="shared" si="20"/>
        <v>0</v>
      </c>
      <c r="H21" s="19">
        <v>0.0</v>
      </c>
      <c r="I21" s="19">
        <v>0.0</v>
      </c>
      <c r="J21" s="19">
        <v>0.0</v>
      </c>
      <c r="K21" s="19">
        <v>0.0</v>
      </c>
      <c r="L21" s="144">
        <f>VLOOKUP(A21,'תפוקה מצטברת מול אשתקד'!A:K,8,0)</f>
        <v>0</v>
      </c>
      <c r="M21" s="18">
        <f>VLOOKUP(A21,'תפוקה מצטברת מול אשתקד'!A:K,9,0)</f>
        <v>0</v>
      </c>
      <c r="N21" s="18">
        <f>VLOOKUP(A21,'תפוקה מצטברת מול אשתקד'!A:K,10,0)</f>
        <v>0</v>
      </c>
      <c r="O21" s="18">
        <f>VLOOKUP(A21,'תפוקה מצטברת מול אשתקד'!A:K,11,0)</f>
        <v>0</v>
      </c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5.75" customHeight="1">
      <c r="A22" s="145" t="s">
        <v>35</v>
      </c>
      <c r="B22" s="146"/>
      <c r="C22" s="147"/>
      <c r="D22" s="148">
        <f t="shared" ref="D22:G22" si="21">IF(L22=0,0%,IF(H22=0,100%,L22/H22-1))</f>
        <v>-0.3147676306</v>
      </c>
      <c r="E22" s="148">
        <f t="shared" si="21"/>
        <v>-0.01931097021</v>
      </c>
      <c r="F22" s="148">
        <f t="shared" si="21"/>
        <v>-0.4368207878</v>
      </c>
      <c r="G22" s="148">
        <f t="shared" si="21"/>
        <v>-0.5778303708</v>
      </c>
      <c r="H22" s="150">
        <f t="shared" ref="H22:O22" si="22">SUM(H9:H21)</f>
        <v>4508400</v>
      </c>
      <c r="I22" s="150">
        <f t="shared" si="22"/>
        <v>1748700</v>
      </c>
      <c r="J22" s="150">
        <f t="shared" si="22"/>
        <v>29016000</v>
      </c>
      <c r="K22" s="150">
        <f t="shared" si="22"/>
        <v>17019000</v>
      </c>
      <c r="L22" s="150">
        <f t="shared" si="22"/>
        <v>3089301.614</v>
      </c>
      <c r="M22" s="150">
        <f t="shared" si="22"/>
        <v>1714930.906</v>
      </c>
      <c r="N22" s="150">
        <f t="shared" si="22"/>
        <v>16341208.02</v>
      </c>
      <c r="O22" s="150">
        <f t="shared" si="22"/>
        <v>7184904.92</v>
      </c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5.75" customHeight="1">
      <c r="A23" s="23" t="s">
        <v>36</v>
      </c>
      <c r="B23" s="23" t="s">
        <v>37</v>
      </c>
      <c r="C23" s="23" t="s">
        <v>38</v>
      </c>
      <c r="D23" s="28">
        <f t="shared" ref="D23:G23" si="23">IF(L23=0,0%,IF(H23=0,100%,L23/H23-1))</f>
        <v>-0.1242582056</v>
      </c>
      <c r="E23" s="28">
        <f t="shared" si="23"/>
        <v>0.2252027802</v>
      </c>
      <c r="F23" s="28">
        <f t="shared" si="23"/>
        <v>-0.7628209032</v>
      </c>
      <c r="G23" s="28">
        <f t="shared" si="23"/>
        <v>0.02302598208</v>
      </c>
      <c r="H23" s="19">
        <v>924799.9999999999</v>
      </c>
      <c r="I23" s="19">
        <v>102510.0</v>
      </c>
      <c r="J23" s="19">
        <v>1395000.0000000002</v>
      </c>
      <c r="K23" s="19">
        <v>2790000.0000000005</v>
      </c>
      <c r="L23" s="144">
        <f>VLOOKUP(A23,'תפוקה מצטברת מול אשתקד'!A:K,8,0)</f>
        <v>809886.0115</v>
      </c>
      <c r="M23" s="18">
        <f>VLOOKUP(A23,'תפוקה מצטברת מול אשתקד'!A:K,9,0)</f>
        <v>125595.537</v>
      </c>
      <c r="N23" s="18">
        <f>VLOOKUP(A23,'תפוקה מצטברת מול אשתקד'!A:K,10,0)</f>
        <v>330864.84</v>
      </c>
      <c r="O23" s="18">
        <f>VLOOKUP(A23,'תפוקה מצטברת מול אשתקד'!A:K,11,0)</f>
        <v>2854242.49</v>
      </c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15.75" customHeight="1">
      <c r="A24" s="30" t="s">
        <v>39</v>
      </c>
      <c r="B24" s="1" t="s">
        <v>37</v>
      </c>
      <c r="C24" s="23" t="s">
        <v>38</v>
      </c>
      <c r="D24" s="17">
        <f t="shared" ref="D24:G24" si="24">IF(L24=0,0%,IF(H24=0,100%,L24/H24-1))</f>
        <v>0</v>
      </c>
      <c r="E24" s="17">
        <f t="shared" si="24"/>
        <v>1</v>
      </c>
      <c r="F24" s="17">
        <f t="shared" si="24"/>
        <v>0</v>
      </c>
      <c r="G24" s="17">
        <f t="shared" si="24"/>
        <v>1</v>
      </c>
      <c r="H24" s="19">
        <v>0.0</v>
      </c>
      <c r="I24" s="19">
        <v>0.0</v>
      </c>
      <c r="J24" s="19">
        <v>0.0</v>
      </c>
      <c r="K24" s="19">
        <v>0.0</v>
      </c>
      <c r="L24" s="144">
        <f>VLOOKUP(A24,'תפוקה מצטברת מול אשתקד'!A:K,8,0)</f>
        <v>0</v>
      </c>
      <c r="M24" s="18">
        <f>VLOOKUP(A24,'תפוקה מצטברת מול אשתקד'!A:K,9,0)</f>
        <v>3083.808349</v>
      </c>
      <c r="N24" s="18">
        <f>VLOOKUP(A24,'תפוקה מצטברת מול אשתקד'!A:K,10,0)</f>
        <v>0</v>
      </c>
      <c r="O24" s="18">
        <f>VLOOKUP(A24,'תפוקה מצטברת מול אשתקד'!A:K,11,0)</f>
        <v>-11711.17</v>
      </c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15.75" customHeight="1">
      <c r="A25" s="30" t="s">
        <v>40</v>
      </c>
      <c r="B25" s="1" t="s">
        <v>37</v>
      </c>
      <c r="C25" s="23" t="s">
        <v>38</v>
      </c>
      <c r="D25" s="17">
        <f t="shared" ref="D25:G25" si="25">IF(L25=0,0%,IF(H25=0,100%,L25/H25-1))</f>
        <v>-0.5122720891</v>
      </c>
      <c r="E25" s="17">
        <f t="shared" si="25"/>
        <v>-0.5753093189</v>
      </c>
      <c r="F25" s="17">
        <f t="shared" si="25"/>
        <v>-0.9762446279</v>
      </c>
      <c r="G25" s="17">
        <f t="shared" si="25"/>
        <v>-1.251218459</v>
      </c>
      <c r="H25" s="19">
        <v>57799.99999999999</v>
      </c>
      <c r="I25" s="19">
        <v>30150.0</v>
      </c>
      <c r="J25" s="19">
        <v>167400.00000000003</v>
      </c>
      <c r="K25" s="19">
        <v>55800.00000000001</v>
      </c>
      <c r="L25" s="144">
        <f>VLOOKUP(A25,'תפוקה מצטברת מול אשתקד'!A:K,8,0)</f>
        <v>28190.67325</v>
      </c>
      <c r="M25" s="18">
        <f>VLOOKUP(A25,'תפוקה מצטברת מול אשתקד'!A:K,9,0)</f>
        <v>12804.42403</v>
      </c>
      <c r="N25" s="18">
        <f>VLOOKUP(A25,'תפוקה מצטברת מול אשתקד'!A:K,10,0)</f>
        <v>3976.649296</v>
      </c>
      <c r="O25" s="18">
        <f>VLOOKUP(A25,'תפוקה מצטברת מול אשתקד'!A:K,11,0)</f>
        <v>-14017.99</v>
      </c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15.75" customHeight="1">
      <c r="A26" s="1" t="s">
        <v>65</v>
      </c>
      <c r="B26" s="1" t="s">
        <v>66</v>
      </c>
      <c r="C26" s="23" t="s">
        <v>38</v>
      </c>
      <c r="D26" s="17">
        <f t="shared" ref="D26:G26" si="26">IF(L26=0,0%,IF(H26=0,100%,L26/H26-1))</f>
        <v>0</v>
      </c>
      <c r="E26" s="17">
        <f t="shared" si="26"/>
        <v>0</v>
      </c>
      <c r="F26" s="17">
        <f t="shared" si="26"/>
        <v>0</v>
      </c>
      <c r="G26" s="17">
        <f t="shared" si="26"/>
        <v>0</v>
      </c>
      <c r="H26" s="19">
        <v>0.0</v>
      </c>
      <c r="I26" s="19">
        <v>0.0</v>
      </c>
      <c r="J26" s="19">
        <v>0.0</v>
      </c>
      <c r="K26" s="19">
        <v>0.0</v>
      </c>
      <c r="L26" s="144">
        <f>VLOOKUP(A26,'תפוקה מצטברת מול אשתקד'!A:K,8,0)</f>
        <v>0</v>
      </c>
      <c r="M26" s="18">
        <f>VLOOKUP(A26,'תפוקה מצטברת מול אשתקד'!A:K,9,0)</f>
        <v>0</v>
      </c>
      <c r="N26" s="18">
        <f>VLOOKUP(A26,'תפוקה מצטברת מול אשתקד'!A:K,10,0)</f>
        <v>0</v>
      </c>
      <c r="O26" s="18">
        <f>VLOOKUP(A26,'תפוקה מצטברת מול אשתקד'!A:K,11,0)</f>
        <v>0</v>
      </c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15.75" customHeight="1">
      <c r="A27" s="30" t="s">
        <v>41</v>
      </c>
      <c r="B27" s="1" t="s">
        <v>37</v>
      </c>
      <c r="C27" s="23" t="s">
        <v>38</v>
      </c>
      <c r="D27" s="17">
        <f t="shared" ref="D27:G27" si="27">IF(L27=0,0%,IF(H27=0,100%,L27/H27-1))</f>
        <v>-0.3051841998</v>
      </c>
      <c r="E27" s="17">
        <f t="shared" si="27"/>
        <v>-0.4152738447</v>
      </c>
      <c r="F27" s="17">
        <f t="shared" si="27"/>
        <v>-0.4960897644</v>
      </c>
      <c r="G27" s="17">
        <f t="shared" si="27"/>
        <v>-0.04678342742</v>
      </c>
      <c r="H27" s="19">
        <v>1445000.0</v>
      </c>
      <c r="I27" s="19">
        <v>180900.0</v>
      </c>
      <c r="J27" s="19">
        <v>1674000.0000000002</v>
      </c>
      <c r="K27" s="19">
        <v>2232000.0</v>
      </c>
      <c r="L27" s="144">
        <f>VLOOKUP(A27,'תפוקה מצטברת מול אשתקד'!A:K,8,0)</f>
        <v>1004008.831</v>
      </c>
      <c r="M27" s="18">
        <f>VLOOKUP(A27,'תפוקה מצטברת מול אשתקד'!A:K,9,0)</f>
        <v>105776.9615</v>
      </c>
      <c r="N27" s="18">
        <f>VLOOKUP(A27,'תפוקה מצטברת מול אשתקד'!A:K,10,0)</f>
        <v>843545.7344</v>
      </c>
      <c r="O27" s="18">
        <f>VLOOKUP(A27,'תפוקה מצטברת מול אשתקד'!A:K,11,0)</f>
        <v>2127579.39</v>
      </c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15.75" customHeight="1">
      <c r="A28" s="30" t="s">
        <v>42</v>
      </c>
      <c r="B28" s="1" t="s">
        <v>37</v>
      </c>
      <c r="C28" s="23" t="s">
        <v>38</v>
      </c>
      <c r="D28" s="17">
        <f t="shared" ref="D28:G28" si="28">IF(L28=0,0%,IF(H28=0,100%,L28/H28-1))</f>
        <v>-0.4099081491</v>
      </c>
      <c r="E28" s="17">
        <f t="shared" si="28"/>
        <v>-0.5177774915</v>
      </c>
      <c r="F28" s="17">
        <f t="shared" si="28"/>
        <v>2.594843949</v>
      </c>
      <c r="G28" s="17">
        <f t="shared" si="28"/>
        <v>0.710609319</v>
      </c>
      <c r="H28" s="19">
        <v>173400.0</v>
      </c>
      <c r="I28" s="19">
        <v>120600.0</v>
      </c>
      <c r="J28" s="19">
        <v>55800.00000000001</v>
      </c>
      <c r="K28" s="19">
        <v>111600.00000000001</v>
      </c>
      <c r="L28" s="144">
        <f>VLOOKUP(A28,'תפוקה מצטברת מול אשתקד'!A:K,8,0)</f>
        <v>102321.9269</v>
      </c>
      <c r="M28" s="18">
        <f>VLOOKUP(A28,'תפוקה מצטברת מול אשתקד'!A:K,9,0)</f>
        <v>58156.03453</v>
      </c>
      <c r="N28" s="18">
        <f>VLOOKUP(A28,'תפוקה מצטברת מול אשתקד'!A:K,10,0)</f>
        <v>200592.2924</v>
      </c>
      <c r="O28" s="18">
        <f>VLOOKUP(A28,'תפוקה מצטברת מול אשתקד'!A:K,11,0)</f>
        <v>190904</v>
      </c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15.75" customHeight="1">
      <c r="A29" s="30" t="s">
        <v>43</v>
      </c>
      <c r="B29" s="1" t="s">
        <v>37</v>
      </c>
      <c r="C29" s="23" t="s">
        <v>38</v>
      </c>
      <c r="D29" s="17">
        <f t="shared" ref="D29:G29" si="29">IF(L29=0,0%,IF(H29=0,100%,L29/H29-1))</f>
        <v>-0.841667301</v>
      </c>
      <c r="E29" s="17">
        <f t="shared" si="29"/>
        <v>-0.448379801</v>
      </c>
      <c r="F29" s="17">
        <f t="shared" si="29"/>
        <v>-0.7309629032</v>
      </c>
      <c r="G29" s="17">
        <f t="shared" si="29"/>
        <v>-0.6469318399</v>
      </c>
      <c r="H29" s="19">
        <v>173400.0</v>
      </c>
      <c r="I29" s="19">
        <v>90450.0</v>
      </c>
      <c r="J29" s="19">
        <v>837000.0000000001</v>
      </c>
      <c r="K29" s="19">
        <v>167400.00000000003</v>
      </c>
      <c r="L29" s="144">
        <f>VLOOKUP(A29,'תפוקה מצטברת מול אשתקד'!A:K,8,0)</f>
        <v>27454.89</v>
      </c>
      <c r="M29" s="18">
        <f>VLOOKUP(A29,'תפוקה מצטברת מול אשתקד'!A:K,9,0)</f>
        <v>49894.047</v>
      </c>
      <c r="N29" s="18">
        <f>VLOOKUP(A29,'תפוקה מצטברת מול אשתקד'!A:K,10,0)</f>
        <v>225184.05</v>
      </c>
      <c r="O29" s="18">
        <f>VLOOKUP(A29,'תפוקה מצטברת מול אשתקד'!A:K,11,0)</f>
        <v>59103.61</v>
      </c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15.75" customHeight="1">
      <c r="A30" s="1" t="s">
        <v>44</v>
      </c>
      <c r="B30" s="1" t="s">
        <v>37</v>
      </c>
      <c r="C30" s="23" t="s">
        <v>38</v>
      </c>
      <c r="D30" s="17">
        <f t="shared" ref="D30:G30" si="30">IF(L30=0,0%,IF(H30=0,100%,L30/H30-1))</f>
        <v>-0.5237083273</v>
      </c>
      <c r="E30" s="17">
        <f t="shared" si="30"/>
        <v>-0.2001590934</v>
      </c>
      <c r="F30" s="17">
        <f t="shared" si="30"/>
        <v>-0.3338099403</v>
      </c>
      <c r="G30" s="17">
        <f t="shared" si="30"/>
        <v>-0.673475871</v>
      </c>
      <c r="H30" s="19">
        <v>1011499.9999999999</v>
      </c>
      <c r="I30" s="19">
        <v>90450.0</v>
      </c>
      <c r="J30" s="19">
        <v>1674000.0000000002</v>
      </c>
      <c r="K30" s="19">
        <v>2790000.0000000005</v>
      </c>
      <c r="L30" s="144">
        <f>VLOOKUP(A30,'תפוקה מצטברת מול אשתקד'!A:K,8,0)</f>
        <v>481769.027</v>
      </c>
      <c r="M30" s="18">
        <f>VLOOKUP(A30,'תפוקה מצטברת מול אשתקד'!A:K,9,0)</f>
        <v>72345.61</v>
      </c>
      <c r="N30" s="18">
        <f>VLOOKUP(A30,'תפוקה מצטברת מול אשתקד'!A:K,10,0)</f>
        <v>1115202.16</v>
      </c>
      <c r="O30" s="18">
        <f>VLOOKUP(A30,'תפוקה מצטברת מול אשתקד'!A:K,11,0)</f>
        <v>911002.32</v>
      </c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15.75" customHeight="1">
      <c r="A31" s="1" t="s">
        <v>45</v>
      </c>
      <c r="B31" s="1" t="s">
        <v>37</v>
      </c>
      <c r="C31" s="23" t="s">
        <v>38</v>
      </c>
      <c r="D31" s="17">
        <f t="shared" ref="D31:G31" si="31">IF(L31=0,0%,IF(H31=0,100%,L31/H31-1))</f>
        <v>0.5267704933</v>
      </c>
      <c r="E31" s="17">
        <f t="shared" si="31"/>
        <v>-0.1882129701</v>
      </c>
      <c r="F31" s="17">
        <f t="shared" si="31"/>
        <v>0.07648298835</v>
      </c>
      <c r="G31" s="17">
        <f t="shared" si="31"/>
        <v>-1.272897706</v>
      </c>
      <c r="H31" s="19">
        <v>578000.0</v>
      </c>
      <c r="I31" s="19">
        <v>120600.0</v>
      </c>
      <c r="J31" s="19">
        <v>2232000.0</v>
      </c>
      <c r="K31" s="19">
        <v>1395000.0000000002</v>
      </c>
      <c r="L31" s="144">
        <f>VLOOKUP(A31,'תפוקה מצטברת מול אשתקד'!A:K,8,0)</f>
        <v>882473.3451</v>
      </c>
      <c r="M31" s="18">
        <f>VLOOKUP(A31,'תפוקה מצטברת מול אשתקד'!A:K,9,0)</f>
        <v>97901.51581</v>
      </c>
      <c r="N31" s="18">
        <f>VLOOKUP(A31,'תפוקה מצטברת מול אשתקד'!A:K,10,0)</f>
        <v>2402710.03</v>
      </c>
      <c r="O31" s="18">
        <f>VLOOKUP(A31,'תפוקה מצטברת מול אשתקד'!A:K,11,0)</f>
        <v>-380692.3</v>
      </c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15.75" customHeight="1">
      <c r="A32" s="1" t="s">
        <v>46</v>
      </c>
      <c r="B32" s="1" t="s">
        <v>37</v>
      </c>
      <c r="C32" s="23" t="s">
        <v>38</v>
      </c>
      <c r="D32" s="17">
        <f t="shared" ref="D32:G32" si="32">IF(L32=0,0%,IF(H32=0,100%,L32/H32-1))</f>
        <v>0</v>
      </c>
      <c r="E32" s="17">
        <f t="shared" si="32"/>
        <v>1</v>
      </c>
      <c r="F32" s="17">
        <f t="shared" si="32"/>
        <v>0</v>
      </c>
      <c r="G32" s="17">
        <f t="shared" si="32"/>
        <v>0</v>
      </c>
      <c r="H32" s="19">
        <v>0.0</v>
      </c>
      <c r="I32" s="19">
        <v>0.0</v>
      </c>
      <c r="J32" s="19">
        <v>0.0</v>
      </c>
      <c r="K32" s="19">
        <v>0.0</v>
      </c>
      <c r="L32" s="144">
        <f>VLOOKUP(A32,'תפוקה מצטברת מול אשתקד'!A:K,8,0)</f>
        <v>0</v>
      </c>
      <c r="M32" s="18">
        <f>VLOOKUP(A32,'תפוקה מצטברת מול אשתקד'!A:K,9,0)</f>
        <v>9.77</v>
      </c>
      <c r="N32" s="18">
        <f>VLOOKUP(A32,'תפוקה מצטברת מול אשתקד'!A:K,10,0)</f>
        <v>0</v>
      </c>
      <c r="O32" s="18">
        <f>VLOOKUP(A32,'תפוקה מצטברת מול אשתקד'!A:K,11,0)</f>
        <v>0</v>
      </c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15.75" customHeight="1">
      <c r="A33" s="1" t="s">
        <v>47</v>
      </c>
      <c r="B33" s="1" t="s">
        <v>37</v>
      </c>
      <c r="C33" s="23" t="s">
        <v>38</v>
      </c>
      <c r="D33" s="17">
        <f t="shared" ref="D33:G33" si="33">IF(L33=0,0%,IF(H33=0,100%,L33/H33-1))</f>
        <v>1</v>
      </c>
      <c r="E33" s="17">
        <f t="shared" si="33"/>
        <v>1</v>
      </c>
      <c r="F33" s="17">
        <f t="shared" si="33"/>
        <v>1</v>
      </c>
      <c r="G33" s="17">
        <f t="shared" si="33"/>
        <v>1</v>
      </c>
      <c r="H33" s="19">
        <v>0.0</v>
      </c>
      <c r="I33" s="19">
        <v>0.0</v>
      </c>
      <c r="J33" s="19">
        <v>0.0</v>
      </c>
      <c r="K33" s="19">
        <v>0.0</v>
      </c>
      <c r="L33" s="144">
        <f>VLOOKUP(A33,'תפוקה מצטברת מול אשתקד'!A:K,8,0)</f>
        <v>41053.82692</v>
      </c>
      <c r="M33" s="18">
        <f>VLOOKUP(A33,'תפוקה מצטברת מול אשתקד'!A:K,9,0)</f>
        <v>4875.229867</v>
      </c>
      <c r="N33" s="18">
        <f>VLOOKUP(A33,'תפוקה מצטברת מול אשתקד'!A:K,10,0)</f>
        <v>45585.68361</v>
      </c>
      <c r="O33" s="18">
        <f>VLOOKUP(A33,'תפוקה מצטברת מול אשתקד'!A:K,11,0)</f>
        <v>14254.46</v>
      </c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15.75" customHeight="1">
      <c r="A34" s="1" t="s">
        <v>48</v>
      </c>
      <c r="B34" s="1" t="s">
        <v>37</v>
      </c>
      <c r="C34" s="23" t="s">
        <v>38</v>
      </c>
      <c r="D34" s="17">
        <f t="shared" ref="D34:G34" si="34">IF(L34=0,0%,IF(H34=0,100%,L34/H34-1))</f>
        <v>0</v>
      </c>
      <c r="E34" s="17">
        <f t="shared" si="34"/>
        <v>0</v>
      </c>
      <c r="F34" s="17">
        <f t="shared" si="34"/>
        <v>0</v>
      </c>
      <c r="G34" s="17">
        <f t="shared" si="34"/>
        <v>0</v>
      </c>
      <c r="H34" s="19">
        <v>0.0</v>
      </c>
      <c r="I34" s="19">
        <v>0.0</v>
      </c>
      <c r="J34" s="19">
        <v>0.0</v>
      </c>
      <c r="K34" s="19">
        <v>0.0</v>
      </c>
      <c r="L34" s="144">
        <f>VLOOKUP(A34,'תפוקה מצטברת מול אשתקד'!A:K,8,0)</f>
        <v>0</v>
      </c>
      <c r="M34" s="18">
        <f>VLOOKUP(A34,'תפוקה מצטברת מול אשתקד'!A:K,9,0)</f>
        <v>0</v>
      </c>
      <c r="N34" s="18">
        <f>VLOOKUP(A34,'תפוקה מצטברת מול אשתקד'!A:K,10,0)</f>
        <v>0</v>
      </c>
      <c r="O34" s="18">
        <f>VLOOKUP(A34,'תפוקה מצטברת מול אשתקד'!A:K,11,0)</f>
        <v>0</v>
      </c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15.75" customHeight="1">
      <c r="A35" s="1" t="s">
        <v>49</v>
      </c>
      <c r="B35" s="1" t="s">
        <v>37</v>
      </c>
      <c r="C35" s="23" t="s">
        <v>38</v>
      </c>
      <c r="D35" s="17">
        <f t="shared" ref="D35:G35" si="35">IF(L35=0,0%,IF(H35=0,100%,L35/H35-1))</f>
        <v>0</v>
      </c>
      <c r="E35" s="17">
        <f t="shared" si="35"/>
        <v>1</v>
      </c>
      <c r="F35" s="17">
        <f t="shared" si="35"/>
        <v>0</v>
      </c>
      <c r="G35" s="17">
        <f t="shared" si="35"/>
        <v>0</v>
      </c>
      <c r="H35" s="19">
        <v>0.0</v>
      </c>
      <c r="I35" s="19">
        <v>0.0</v>
      </c>
      <c r="J35" s="19">
        <v>0.0</v>
      </c>
      <c r="K35" s="19">
        <v>0.0</v>
      </c>
      <c r="L35" s="144">
        <f>VLOOKUP(A35,'תפוקה מצטברת מול אשתקד'!A:K,8,0)</f>
        <v>0</v>
      </c>
      <c r="M35" s="18">
        <f>VLOOKUP(A35,'תפוקה מצטברת מול אשתקד'!A:K,9,0)</f>
        <v>6634.078</v>
      </c>
      <c r="N35" s="18">
        <f>VLOOKUP(A35,'תפוקה מצטברת מול אשתקד'!A:K,10,0)</f>
        <v>0</v>
      </c>
      <c r="O35" s="18">
        <f>VLOOKUP(A35,'תפוקה מצטברת מול אשתקד'!A:K,11,0)</f>
        <v>0</v>
      </c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5.75" customHeight="1">
      <c r="A36" s="30" t="s">
        <v>50</v>
      </c>
      <c r="B36" s="1" t="s">
        <v>37</v>
      </c>
      <c r="C36" s="23" t="s">
        <v>38</v>
      </c>
      <c r="D36" s="17">
        <f t="shared" ref="D36:G36" si="36">IF(L36=0,0%,IF(H36=0,100%,L36/H36-1))</f>
        <v>0.3523934457</v>
      </c>
      <c r="E36" s="17">
        <f t="shared" si="36"/>
        <v>-0.00479810989</v>
      </c>
      <c r="F36" s="17">
        <f t="shared" si="36"/>
        <v>-0.1731620739</v>
      </c>
      <c r="G36" s="17">
        <f t="shared" si="36"/>
        <v>0.276707379</v>
      </c>
      <c r="H36" s="19">
        <v>1445000.0</v>
      </c>
      <c r="I36" s="19">
        <v>271350.0</v>
      </c>
      <c r="J36" s="19">
        <v>3348000.0000000005</v>
      </c>
      <c r="K36" s="19">
        <v>2232000.0</v>
      </c>
      <c r="L36" s="144">
        <f>VLOOKUP(A36,'תפוקה מצטברת מול אשתקד'!A:K,8,0)</f>
        <v>1954208.529</v>
      </c>
      <c r="M36" s="18">
        <f>VLOOKUP(A36,'תפוקה מצטברת מול אשתקד'!A:K,9,0)</f>
        <v>270048.0329</v>
      </c>
      <c r="N36" s="18">
        <f>VLOOKUP(A36,'תפוקה מצטברת מול אשתקד'!A:K,10,0)</f>
        <v>2768253.376</v>
      </c>
      <c r="O36" s="18">
        <f>VLOOKUP(A36,'תפוקה מצטברת מול אשתקד'!A:K,11,0)</f>
        <v>2849610.87</v>
      </c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15.75" customHeight="1">
      <c r="A37" s="1" t="s">
        <v>51</v>
      </c>
      <c r="B37" s="1" t="s">
        <v>37</v>
      </c>
      <c r="C37" s="23" t="s">
        <v>38</v>
      </c>
      <c r="D37" s="17">
        <f t="shared" ref="D37:G37" si="37">IF(L37=0,0%,IF(H37=0,100%,L37/H37-1))</f>
        <v>1</v>
      </c>
      <c r="E37" s="17">
        <f t="shared" si="37"/>
        <v>0</v>
      </c>
      <c r="F37" s="17">
        <f t="shared" si="37"/>
        <v>0</v>
      </c>
      <c r="G37" s="17">
        <f t="shared" si="37"/>
        <v>0</v>
      </c>
      <c r="H37" s="19">
        <v>0.0</v>
      </c>
      <c r="I37" s="19">
        <v>0.0</v>
      </c>
      <c r="J37" s="19">
        <v>0.0</v>
      </c>
      <c r="K37" s="19">
        <v>0.0</v>
      </c>
      <c r="L37" s="144">
        <f>VLOOKUP(A37,'תפוקה מצטברת מול אשתקד'!A:K,8,0)</f>
        <v>2262</v>
      </c>
      <c r="M37" s="18">
        <f>VLOOKUP(A37,'תפוקה מצטברת מול אשתקד'!A:K,9,0)</f>
        <v>0</v>
      </c>
      <c r="N37" s="18">
        <f>VLOOKUP(A37,'תפוקה מצטברת מול אשתקד'!A:K,10,0)</f>
        <v>0</v>
      </c>
      <c r="O37" s="18">
        <f>VLOOKUP(A37,'תפוקה מצטברת מול אשתקד'!A:K,11,0)</f>
        <v>0</v>
      </c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15.75" customHeight="1">
      <c r="A38" s="1" t="s">
        <v>52</v>
      </c>
      <c r="B38" s="1" t="s">
        <v>37</v>
      </c>
      <c r="C38" s="23" t="s">
        <v>38</v>
      </c>
      <c r="D38" s="17">
        <f t="shared" ref="D38:G38" si="38">IF(L38=0,0%,IF(H38=0,100%,L38/H38-1))</f>
        <v>1</v>
      </c>
      <c r="E38" s="17">
        <f t="shared" si="38"/>
        <v>1</v>
      </c>
      <c r="F38" s="17">
        <f t="shared" si="38"/>
        <v>1</v>
      </c>
      <c r="G38" s="17">
        <f t="shared" si="38"/>
        <v>1</v>
      </c>
      <c r="H38" s="19">
        <v>0.0</v>
      </c>
      <c r="I38" s="19">
        <v>0.0</v>
      </c>
      <c r="J38" s="19">
        <v>0.0</v>
      </c>
      <c r="K38" s="19">
        <v>0.0</v>
      </c>
      <c r="L38" s="144">
        <f>VLOOKUP(A38,'תפוקה מצטברת מול אשתקד'!A:K,8,0)</f>
        <v>44755.2</v>
      </c>
      <c r="M38" s="18">
        <f>VLOOKUP(A38,'תפוקה מצטברת מול אשתקד'!A:K,9,0)</f>
        <v>-3451</v>
      </c>
      <c r="N38" s="18">
        <f>VLOOKUP(A38,'תפוקה מצטברת מול אשתקד'!A:K,10,0)</f>
        <v>24102.44</v>
      </c>
      <c r="O38" s="18">
        <f>VLOOKUP(A38,'תפוקה מצטברת מול אשתקד'!A:K,11,0)</f>
        <v>-580576.23</v>
      </c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15.75" customHeight="1">
      <c r="A39" s="1" t="s">
        <v>53</v>
      </c>
      <c r="B39" s="1" t="s">
        <v>37</v>
      </c>
      <c r="C39" s="23" t="s">
        <v>38</v>
      </c>
      <c r="D39" s="17">
        <f t="shared" ref="D39:G39" si="39">IF(L39=0,0%,IF(H39=0,100%,L39/H39-1))</f>
        <v>1</v>
      </c>
      <c r="E39" s="17">
        <f t="shared" si="39"/>
        <v>0</v>
      </c>
      <c r="F39" s="17">
        <f t="shared" si="39"/>
        <v>0</v>
      </c>
      <c r="G39" s="17">
        <f t="shared" si="39"/>
        <v>0</v>
      </c>
      <c r="H39" s="19">
        <v>0.0</v>
      </c>
      <c r="I39" s="19">
        <v>0.0</v>
      </c>
      <c r="J39" s="19">
        <v>0.0</v>
      </c>
      <c r="K39" s="19">
        <v>0.0</v>
      </c>
      <c r="L39" s="144">
        <f>VLOOKUP(A39,'תפוקה מצטברת מול אשתקד'!A:K,8,0)</f>
        <v>63754.87965</v>
      </c>
      <c r="M39" s="18">
        <f>VLOOKUP(A39,'תפוקה מצטברת מול אשתקד'!A:K,9,0)</f>
        <v>0</v>
      </c>
      <c r="N39" s="18">
        <f>VLOOKUP(A39,'תפוקה מצטברת מול אשתקד'!A:K,10,0)</f>
        <v>0</v>
      </c>
      <c r="O39" s="18">
        <f>VLOOKUP(A39,'תפוקה מצטברת מול אשתקד'!A:K,11,0)</f>
        <v>0</v>
      </c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15.75" customHeight="1">
      <c r="A40" s="1" t="s">
        <v>54</v>
      </c>
      <c r="B40" s="1" t="s">
        <v>37</v>
      </c>
      <c r="C40" s="23" t="s">
        <v>38</v>
      </c>
      <c r="D40" s="17">
        <f t="shared" ref="D40:G40" si="40">IF(L40=0,0%,IF(H40=0,100%,L40/H40-1))</f>
        <v>1</v>
      </c>
      <c r="E40" s="17">
        <f t="shared" si="40"/>
        <v>-0.5665008292</v>
      </c>
      <c r="F40" s="17">
        <f t="shared" si="40"/>
        <v>1</v>
      </c>
      <c r="G40" s="17">
        <f t="shared" si="40"/>
        <v>1</v>
      </c>
      <c r="H40" s="19">
        <v>0.0</v>
      </c>
      <c r="I40" s="19">
        <v>6030.0</v>
      </c>
      <c r="J40" s="19">
        <v>0.0</v>
      </c>
      <c r="K40" s="19">
        <v>0.0</v>
      </c>
      <c r="L40" s="144">
        <f>VLOOKUP(A40,'תפוקה מצטברת מול אשתקד'!A:K,8,0)</f>
        <v>23585.8</v>
      </c>
      <c r="M40" s="18">
        <f>VLOOKUP(A40,'תפוקה מצטברת מול אשתקד'!A:K,9,0)</f>
        <v>2614</v>
      </c>
      <c r="N40" s="18">
        <f>VLOOKUP(A40,'תפוקה מצטברת מול אשתקד'!A:K,10,0)</f>
        <v>246259.19</v>
      </c>
      <c r="O40" s="18">
        <f>VLOOKUP(A40,'תפוקה מצטברת מול אשתקד'!A:K,11,0)</f>
        <v>230013.85</v>
      </c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5.75" customHeight="1">
      <c r="A41" s="1" t="s">
        <v>69</v>
      </c>
      <c r="B41" s="1" t="s">
        <v>66</v>
      </c>
      <c r="C41" s="23" t="s">
        <v>38</v>
      </c>
      <c r="D41" s="17">
        <f t="shared" ref="D41:G41" si="41">IF(L41=0,0%,IF(H41=0,100%,L41/H41-1))</f>
        <v>-0.8700471886</v>
      </c>
      <c r="E41" s="17">
        <f t="shared" si="41"/>
        <v>-0.8196036484</v>
      </c>
      <c r="F41" s="17">
        <f t="shared" si="41"/>
        <v>0</v>
      </c>
      <c r="G41" s="17">
        <f t="shared" si="41"/>
        <v>0</v>
      </c>
      <c r="H41" s="19">
        <v>231199.99999999997</v>
      </c>
      <c r="I41" s="19">
        <v>60300.0</v>
      </c>
      <c r="J41" s="19">
        <v>558000.0</v>
      </c>
      <c r="K41" s="19">
        <v>558000.0</v>
      </c>
      <c r="L41" s="144">
        <f>VLOOKUP(A41,'תפוקה מצטברת מול אשתקד'!A:K,8,0)</f>
        <v>30045.09</v>
      </c>
      <c r="M41" s="18">
        <f>VLOOKUP(A41,'תפוקה מצטברת מול אשתקד'!A:K,9,0)</f>
        <v>10877.9</v>
      </c>
      <c r="N41" s="18">
        <f>VLOOKUP(A41,'תפוקה מצטברת מול אשתקד'!A:K,10,0)</f>
        <v>0</v>
      </c>
      <c r="O41" s="18">
        <f>VLOOKUP(A41,'תפוקה מצטברת מול אשתקד'!A:K,11,0)</f>
        <v>0</v>
      </c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5.75" customHeight="1">
      <c r="A42" s="1" t="s">
        <v>71</v>
      </c>
      <c r="B42" s="1" t="s">
        <v>66</v>
      </c>
      <c r="C42" s="23" t="s">
        <v>38</v>
      </c>
      <c r="D42" s="17">
        <f t="shared" ref="D42:G42" si="42">IF(L42=0,0%,IF(H42=0,100%,L42/H42-1))</f>
        <v>0</v>
      </c>
      <c r="E42" s="17">
        <f t="shared" si="42"/>
        <v>0</v>
      </c>
      <c r="F42" s="17">
        <f t="shared" si="42"/>
        <v>0</v>
      </c>
      <c r="G42" s="17">
        <f t="shared" si="42"/>
        <v>0</v>
      </c>
      <c r="H42" s="19">
        <v>0.0</v>
      </c>
      <c r="I42" s="19">
        <v>0.0</v>
      </c>
      <c r="J42" s="19">
        <v>0.0</v>
      </c>
      <c r="K42" s="19">
        <v>0.0</v>
      </c>
      <c r="L42" s="144">
        <f>VLOOKUP(A42,'תפוקה מצטברת מול אשתקד'!A:K,8,0)</f>
        <v>0</v>
      </c>
      <c r="M42" s="18">
        <f>VLOOKUP(A42,'תפוקה מצטברת מול אשתקד'!A:K,9,0)</f>
        <v>0</v>
      </c>
      <c r="N42" s="18">
        <f>VLOOKUP(A42,'תפוקה מצטברת מול אשתקד'!A:K,10,0)</f>
        <v>0</v>
      </c>
      <c r="O42" s="18">
        <f>VLOOKUP(A42,'תפוקה מצטברת מול אשתקד'!A:K,11,0)</f>
        <v>0</v>
      </c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5.75" customHeight="1">
      <c r="A43" s="30" t="s">
        <v>55</v>
      </c>
      <c r="B43" s="1" t="s">
        <v>37</v>
      </c>
      <c r="C43" s="23" t="s">
        <v>38</v>
      </c>
      <c r="D43" s="17">
        <f t="shared" ref="D43:G43" si="43">IF(L43=0,0%,IF(H43=0,100%,L43/H43-1))</f>
        <v>1</v>
      </c>
      <c r="E43" s="17">
        <f t="shared" si="43"/>
        <v>1</v>
      </c>
      <c r="F43" s="17">
        <f t="shared" si="43"/>
        <v>1</v>
      </c>
      <c r="G43" s="17">
        <f t="shared" si="43"/>
        <v>1</v>
      </c>
      <c r="H43" s="19">
        <v>0.0</v>
      </c>
      <c r="I43" s="19">
        <v>0.0</v>
      </c>
      <c r="J43" s="19">
        <v>0.0</v>
      </c>
      <c r="K43" s="19">
        <v>0.0</v>
      </c>
      <c r="L43" s="144">
        <f>VLOOKUP(A43,'תפוקה מצטברת מול אשתקד'!A:K,8,0)</f>
        <v>414338.3068</v>
      </c>
      <c r="M43" s="18">
        <f>VLOOKUP(A43,'תפוקה מצטברת מול אשתקד'!A:K,9,0)</f>
        <v>43595.54374</v>
      </c>
      <c r="N43" s="18">
        <f>VLOOKUP(A43,'תפוקה מצטברת מול אשתקד'!A:K,10,0)</f>
        <v>834959.4673</v>
      </c>
      <c r="O43" s="18">
        <f>VLOOKUP(A43,'תפוקה מצטברת מול אשתקד'!A:K,11,0)</f>
        <v>1595065.21</v>
      </c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15.75" customHeight="1">
      <c r="A44" s="1" t="s">
        <v>56</v>
      </c>
      <c r="B44" s="1" t="s">
        <v>37</v>
      </c>
      <c r="C44" s="23" t="s">
        <v>38</v>
      </c>
      <c r="D44" s="17">
        <f t="shared" ref="D44:G44" si="44">IF(L44=0,0%,IF(H44=0,100%,L44/H44-1))</f>
        <v>-0.9423875433</v>
      </c>
      <c r="E44" s="17">
        <f t="shared" si="44"/>
        <v>-0.5349761665</v>
      </c>
      <c r="F44" s="17">
        <f t="shared" si="44"/>
        <v>-0.9440048984</v>
      </c>
      <c r="G44" s="17">
        <f t="shared" si="44"/>
        <v>0</v>
      </c>
      <c r="H44" s="19">
        <v>173400.0</v>
      </c>
      <c r="I44" s="19">
        <v>48240.0</v>
      </c>
      <c r="J44" s="19">
        <v>167400.00000000003</v>
      </c>
      <c r="K44" s="19">
        <v>167400.00000000003</v>
      </c>
      <c r="L44" s="144">
        <f>VLOOKUP(A44,'תפוקה מצטברת מול אשתקד'!A:K,8,0)</f>
        <v>9990</v>
      </c>
      <c r="M44" s="18">
        <f>VLOOKUP(A44,'תפוקה מצטברת מול אשתקד'!A:K,9,0)</f>
        <v>22432.74973</v>
      </c>
      <c r="N44" s="18">
        <f>VLOOKUP(A44,'תפוקה מצטברת מול אשתקד'!A:K,10,0)</f>
        <v>9373.58</v>
      </c>
      <c r="O44" s="18">
        <f>VLOOKUP(A44,'תפוקה מצטברת מול אשתקד'!A:K,11,0)</f>
        <v>0</v>
      </c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15.75" customHeight="1">
      <c r="A45" s="1" t="s">
        <v>57</v>
      </c>
      <c r="B45" s="1" t="s">
        <v>37</v>
      </c>
      <c r="C45" s="23" t="s">
        <v>38</v>
      </c>
      <c r="D45" s="17">
        <f t="shared" ref="D45:G45" si="45">IF(L45=0,0%,IF(H45=0,100%,L45/H45-1))</f>
        <v>-0.7552113315</v>
      </c>
      <c r="E45" s="17">
        <f t="shared" si="45"/>
        <v>0.04672764628</v>
      </c>
      <c r="F45" s="17">
        <f t="shared" si="45"/>
        <v>2.611194743</v>
      </c>
      <c r="G45" s="17">
        <f t="shared" si="45"/>
        <v>0.6005307348</v>
      </c>
      <c r="H45" s="19">
        <v>28899.999999999996</v>
      </c>
      <c r="I45" s="19">
        <v>30150.0</v>
      </c>
      <c r="J45" s="19">
        <v>167400.00000000003</v>
      </c>
      <c r="K45" s="19">
        <v>111600.00000000001</v>
      </c>
      <c r="L45" s="144">
        <f>VLOOKUP(A45,'תפוקה מצטברת מול אשתקד'!A:K,8,0)</f>
        <v>7074.39252</v>
      </c>
      <c r="M45" s="18">
        <f>VLOOKUP(A45,'תפוקה מצטברת מול אשתקד'!A:K,9,0)</f>
        <v>31558.83854</v>
      </c>
      <c r="N45" s="18">
        <f>VLOOKUP(A45,'תפוקה מצטברת מול אשתקד'!A:K,10,0)</f>
        <v>604514</v>
      </c>
      <c r="O45" s="18">
        <f>VLOOKUP(A45,'תפוקה מצטברת מול אשתקד'!A:K,11,0)</f>
        <v>178619.23</v>
      </c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15.75" customHeight="1">
      <c r="A46" s="1" t="s">
        <v>67</v>
      </c>
      <c r="B46" s="1" t="s">
        <v>66</v>
      </c>
      <c r="C46" s="23" t="s">
        <v>38</v>
      </c>
      <c r="D46" s="17">
        <f t="shared" ref="D46:G46" si="46">IF(L46=0,0%,IF(H46=0,100%,L46/H46-1))</f>
        <v>0</v>
      </c>
      <c r="E46" s="17">
        <f t="shared" si="46"/>
        <v>0</v>
      </c>
      <c r="F46" s="17">
        <f t="shared" si="46"/>
        <v>0</v>
      </c>
      <c r="G46" s="17">
        <f t="shared" si="46"/>
        <v>0</v>
      </c>
      <c r="H46" s="19">
        <v>0.0</v>
      </c>
      <c r="I46" s="19">
        <v>0.0</v>
      </c>
      <c r="J46" s="19">
        <v>0.0</v>
      </c>
      <c r="K46" s="19">
        <v>0.0</v>
      </c>
      <c r="L46" s="144">
        <f>VLOOKUP(A46,'תפוקה מצטברת מול אשתקד'!A:K,8,0)</f>
        <v>0</v>
      </c>
      <c r="M46" s="18">
        <f>VLOOKUP(A46,'תפוקה מצטברת מול אשתקד'!A:K,9,0)</f>
        <v>0</v>
      </c>
      <c r="N46" s="18">
        <f>VLOOKUP(A46,'תפוקה מצטברת מול אשתקד'!A:K,10,0)</f>
        <v>0</v>
      </c>
      <c r="O46" s="18">
        <f>VLOOKUP(A46,'תפוקה מצטברת מול אשתקד'!A:K,11,0)</f>
        <v>0</v>
      </c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5.75" customHeight="1">
      <c r="A47" s="1" t="s">
        <v>68</v>
      </c>
      <c r="B47" s="1" t="s">
        <v>66</v>
      </c>
      <c r="C47" s="23" t="s">
        <v>38</v>
      </c>
      <c r="D47" s="17">
        <f t="shared" ref="D47:G47" si="47">IF(L47=0,0%,IF(H47=0,100%,L47/H47-1))</f>
        <v>0</v>
      </c>
      <c r="E47" s="17">
        <f t="shared" si="47"/>
        <v>1</v>
      </c>
      <c r="F47" s="17">
        <f t="shared" si="47"/>
        <v>0</v>
      </c>
      <c r="G47" s="17">
        <f t="shared" si="47"/>
        <v>0</v>
      </c>
      <c r="H47" s="19">
        <v>0.0</v>
      </c>
      <c r="I47" s="19">
        <v>0.0</v>
      </c>
      <c r="J47" s="19">
        <v>0.0</v>
      </c>
      <c r="K47" s="19">
        <v>0.0</v>
      </c>
      <c r="L47" s="144">
        <f>VLOOKUP(A47,'תפוקה מצטברת מול אשתקד'!A:K,8,0)</f>
        <v>0</v>
      </c>
      <c r="M47" s="18">
        <f>VLOOKUP(A47,'תפוקה מצטברת מול אשתקד'!A:K,9,0)</f>
        <v>2305.5</v>
      </c>
      <c r="N47" s="18">
        <f>VLOOKUP(A47,'תפוקה מצטברת מול אשתקד'!A:K,10,0)</f>
        <v>0</v>
      </c>
      <c r="O47" s="18">
        <f>VLOOKUP(A47,'תפוקה מצטברת מול אשתקד'!A:K,11,0)</f>
        <v>0</v>
      </c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15.75" customHeight="1">
      <c r="A48" s="21" t="s">
        <v>58</v>
      </c>
      <c r="B48" s="1" t="s">
        <v>37</v>
      </c>
      <c r="C48" s="23" t="s">
        <v>38</v>
      </c>
      <c r="D48" s="17">
        <f t="shared" ref="D48:G48" si="48">IF(L48=0,0%,IF(H48=0,100%,L48/H48-1))</f>
        <v>0</v>
      </c>
      <c r="E48" s="17">
        <f t="shared" si="48"/>
        <v>-0.8138813267</v>
      </c>
      <c r="F48" s="17">
        <f t="shared" si="48"/>
        <v>0</v>
      </c>
      <c r="G48" s="17">
        <f t="shared" si="48"/>
        <v>0</v>
      </c>
      <c r="H48" s="19">
        <v>28899.999999999996</v>
      </c>
      <c r="I48" s="19">
        <v>30150.0</v>
      </c>
      <c r="J48" s="19">
        <v>279000.0</v>
      </c>
      <c r="K48" s="19">
        <v>111600.00000000001</v>
      </c>
      <c r="L48" s="144">
        <f>VLOOKUP(A48,'תפוקה מצטברת מול אשתקד'!A:K,8,0)</f>
        <v>0</v>
      </c>
      <c r="M48" s="18">
        <f>VLOOKUP(A48,'תפוקה מצטברת מול אשתקד'!A:K,9,0)</f>
        <v>5611.478</v>
      </c>
      <c r="N48" s="18">
        <f>VLOOKUP(A48,'תפוקה מצטברת מול אשתקד'!A:K,10,0)</f>
        <v>0</v>
      </c>
      <c r="O48" s="18">
        <f>VLOOKUP(A48,'תפוקה מצטברת מול אשתקד'!A:K,11,0)</f>
        <v>0</v>
      </c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15.75" customHeight="1">
      <c r="A49" s="21" t="s">
        <v>59</v>
      </c>
      <c r="B49" s="1" t="s">
        <v>37</v>
      </c>
      <c r="C49" s="23" t="s">
        <v>38</v>
      </c>
      <c r="D49" s="17">
        <f t="shared" ref="D49:G49" si="49">IF(L49=0,0%,IF(H49=0,100%,L49/H49-1))</f>
        <v>-0.820180173</v>
      </c>
      <c r="E49" s="17">
        <f t="shared" si="49"/>
        <v>-1.134179104</v>
      </c>
      <c r="F49" s="17">
        <f t="shared" si="49"/>
        <v>-0.05099758961</v>
      </c>
      <c r="G49" s="17">
        <f t="shared" si="49"/>
        <v>2.426248817</v>
      </c>
      <c r="H49" s="19">
        <v>57799.99999999999</v>
      </c>
      <c r="I49" s="19">
        <v>30150.0</v>
      </c>
      <c r="J49" s="19">
        <v>1116000.0</v>
      </c>
      <c r="K49" s="19">
        <v>279000.0</v>
      </c>
      <c r="L49" s="144">
        <f>VLOOKUP(A49,'תפוקה מצטברת מול אשתקד'!A:K,8,0)</f>
        <v>10393.586</v>
      </c>
      <c r="M49" s="18">
        <f>VLOOKUP(A49,'תפוקה מצטברת מול אשתקד'!A:K,9,0)</f>
        <v>-4045.5</v>
      </c>
      <c r="N49" s="18">
        <f>VLOOKUP(A49,'תפוקה מצטברת מול אשתקד'!A:K,10,0)</f>
        <v>1059086.69</v>
      </c>
      <c r="O49" s="18">
        <f>VLOOKUP(A49,'תפוקה מצטברת מול אשתקד'!A:K,11,0)</f>
        <v>955923.42</v>
      </c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5.75" customHeight="1">
      <c r="A50" s="1" t="s">
        <v>60</v>
      </c>
      <c r="B50" s="1" t="s">
        <v>37</v>
      </c>
      <c r="C50" s="1" t="s">
        <v>38</v>
      </c>
      <c r="D50" s="17">
        <f t="shared" ref="D50:G50" si="50">IF(L50=0,0%,IF(H50=0,100%,L50/H50-1))</f>
        <v>1</v>
      </c>
      <c r="E50" s="17">
        <f t="shared" si="50"/>
        <v>1</v>
      </c>
      <c r="F50" s="17">
        <f t="shared" si="50"/>
        <v>1</v>
      </c>
      <c r="G50" s="17">
        <f t="shared" si="50"/>
        <v>1</v>
      </c>
      <c r="H50" s="19">
        <v>0.0</v>
      </c>
      <c r="I50" s="19">
        <v>0.0</v>
      </c>
      <c r="J50" s="19">
        <v>0.0</v>
      </c>
      <c r="K50" s="19">
        <v>0.0</v>
      </c>
      <c r="L50" s="144">
        <f>VLOOKUP(A50,'תפוקה מצטברת מול אשתקד'!A:K,8,0)</f>
        <v>119634.2805</v>
      </c>
      <c r="M50" s="18">
        <f>VLOOKUP(A50,'תפוקה מצטברת מול אשתקד'!A:K,9,0)</f>
        <v>4022.72</v>
      </c>
      <c r="N50" s="18">
        <f>VLOOKUP(A50,'תפוקה מצטברת מול אשתקד'!A:K,10,0)</f>
        <v>1496891.38</v>
      </c>
      <c r="O50" s="18">
        <f>VLOOKUP(A50,'תפוקה מצטברת מול אשתקד'!A:K,11,0)</f>
        <v>400297.28</v>
      </c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15.75" customHeight="1">
      <c r="A51" s="1" t="s">
        <v>61</v>
      </c>
      <c r="B51" s="1" t="s">
        <v>37</v>
      </c>
      <c r="C51" s="1" t="s">
        <v>38</v>
      </c>
      <c r="D51" s="17">
        <f t="shared" ref="D51:G51" si="51">IF(L51=0,0%,IF(H51=0,100%,L51/H51-1))</f>
        <v>1</v>
      </c>
      <c r="E51" s="17">
        <f t="shared" si="51"/>
        <v>1</v>
      </c>
      <c r="F51" s="17">
        <f t="shared" si="51"/>
        <v>0</v>
      </c>
      <c r="G51" s="17">
        <f t="shared" si="51"/>
        <v>1</v>
      </c>
      <c r="H51" s="19">
        <v>0.0</v>
      </c>
      <c r="I51" s="19">
        <v>0.0</v>
      </c>
      <c r="J51" s="19">
        <v>0.0</v>
      </c>
      <c r="K51" s="19">
        <v>0.0</v>
      </c>
      <c r="L51" s="144">
        <f>VLOOKUP(A51,'תפוקה מצטברת מול אשתקד'!A:K,8,0)</f>
        <v>23762.05</v>
      </c>
      <c r="M51" s="18">
        <f>VLOOKUP(A51,'תפוקה מצטברת מול אשתקד'!A:K,9,0)</f>
        <v>22757.25</v>
      </c>
      <c r="N51" s="18">
        <f>VLOOKUP(A51,'תפוקה מצטברת מול אשתקד'!A:K,10,0)</f>
        <v>0</v>
      </c>
      <c r="O51" s="18">
        <f>VLOOKUP(A51,'תפוקה מצטברת מול אשתקד'!A:K,11,0)</f>
        <v>140806.86</v>
      </c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15.75" customHeight="1">
      <c r="A52" s="1" t="s">
        <v>62</v>
      </c>
      <c r="B52" s="1" t="s">
        <v>37</v>
      </c>
      <c r="C52" s="1" t="s">
        <v>38</v>
      </c>
      <c r="D52" s="17">
        <f t="shared" ref="D52:G52" si="52">IF(L52=0,0%,IF(H52=0,100%,L52/H52-1))</f>
        <v>1</v>
      </c>
      <c r="E52" s="17">
        <f t="shared" si="52"/>
        <v>1</v>
      </c>
      <c r="F52" s="17">
        <f t="shared" si="52"/>
        <v>1</v>
      </c>
      <c r="G52" s="17">
        <f t="shared" si="52"/>
        <v>1</v>
      </c>
      <c r="H52" s="19">
        <v>0.0</v>
      </c>
      <c r="I52" s="19">
        <v>0.0</v>
      </c>
      <c r="J52" s="19">
        <v>0.0</v>
      </c>
      <c r="K52" s="19">
        <v>0.0</v>
      </c>
      <c r="L52" s="144">
        <f>VLOOKUP(A52,'תפוקה מצטברת מול אשתקד'!A:K,8,0)</f>
        <v>180157.221</v>
      </c>
      <c r="M52" s="18">
        <f>VLOOKUP(A52,'תפוקה מצטברת מול אשתקד'!A:K,9,0)</f>
        <v>14237.656</v>
      </c>
      <c r="N52" s="18">
        <f>VLOOKUP(A52,'תפוקה מצטברת מול אשתקד'!A:K,10,0)</f>
        <v>145758.21</v>
      </c>
      <c r="O52" s="18">
        <f>VLOOKUP(A52,'תפוקה מצטברת מול אשתקד'!A:K,11,0)</f>
        <v>616583.7</v>
      </c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15.75" customHeight="1">
      <c r="A53" s="1" t="s">
        <v>63</v>
      </c>
      <c r="B53" s="1" t="s">
        <v>37</v>
      </c>
      <c r="C53" s="1" t="s">
        <v>38</v>
      </c>
      <c r="D53" s="17">
        <f t="shared" ref="D53:G53" si="53">IF(L53=0,0%,IF(H53=0,100%,L53/H53-1))</f>
        <v>1</v>
      </c>
      <c r="E53" s="17">
        <f t="shared" si="53"/>
        <v>1</v>
      </c>
      <c r="F53" s="17">
        <f t="shared" si="53"/>
        <v>0</v>
      </c>
      <c r="G53" s="17">
        <f t="shared" si="53"/>
        <v>0</v>
      </c>
      <c r="H53" s="19">
        <v>0.0</v>
      </c>
      <c r="I53" s="19">
        <v>0.0</v>
      </c>
      <c r="J53" s="19">
        <v>0.0</v>
      </c>
      <c r="K53" s="19">
        <v>0.0</v>
      </c>
      <c r="L53" s="144">
        <f>VLOOKUP(A53,'תפוקה מצטברת מול אשתקד'!A:K,8,0)</f>
        <v>6018</v>
      </c>
      <c r="M53" s="18">
        <f>VLOOKUP(A53,'תפוקה מצטברת מול אשתקד'!A:K,9,0)</f>
        <v>870</v>
      </c>
      <c r="N53" s="18">
        <f>VLOOKUP(A53,'תפוקה מצטברת מול אשתקד'!A:K,10,0)</f>
        <v>0</v>
      </c>
      <c r="O53" s="18">
        <f>VLOOKUP(A53,'תפוקה מצטברת מול אשתקד'!A:K,11,0)</f>
        <v>0</v>
      </c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5.75" customHeight="1">
      <c r="A54" s="1" t="s">
        <v>70</v>
      </c>
      <c r="B54" s="1" t="s">
        <v>14</v>
      </c>
      <c r="C54" s="23" t="s">
        <v>38</v>
      </c>
      <c r="D54" s="17">
        <f t="shared" ref="D54:G54" si="54">IF(L54=0,0%,IF(H54=0,100%,L54/H54-1))</f>
        <v>0</v>
      </c>
      <c r="E54" s="17">
        <f t="shared" si="54"/>
        <v>1</v>
      </c>
      <c r="F54" s="17">
        <f t="shared" si="54"/>
        <v>0</v>
      </c>
      <c r="G54" s="17">
        <f t="shared" si="54"/>
        <v>1</v>
      </c>
      <c r="H54" s="19"/>
      <c r="I54" s="19"/>
      <c r="J54" s="19"/>
      <c r="K54" s="19"/>
      <c r="L54" s="144">
        <f>VLOOKUP(A54,'תפוקה מצטברת מול אשתקד'!A:K,8,0)</f>
        <v>0</v>
      </c>
      <c r="M54" s="18">
        <f>VLOOKUP(A54,'תפוקה מצטברת מול אשתקד'!A:K,9,0)</f>
        <v>1144.09133</v>
      </c>
      <c r="N54" s="18">
        <f>VLOOKUP(A54,'תפוקה מצטברת מול אשתקד'!A:K,10,0)</f>
        <v>0</v>
      </c>
      <c r="O54" s="18">
        <f>VLOOKUP(A54,'תפוקה מצטברת מול אשתקד'!A:K,11,0)</f>
        <v>-59363.66</v>
      </c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15.75" customHeight="1">
      <c r="A55" s="21" t="s">
        <v>64</v>
      </c>
      <c r="B55" s="21" t="s">
        <v>37</v>
      </c>
      <c r="C55" s="21" t="s">
        <v>38</v>
      </c>
      <c r="D55" s="22">
        <f t="shared" ref="D55:G55" si="55">IF(L55=0,0%,IF(H55=0,100%,L55/H55-1))</f>
        <v>1</v>
      </c>
      <c r="E55" s="22">
        <f t="shared" si="55"/>
        <v>1</v>
      </c>
      <c r="F55" s="22">
        <f t="shared" si="55"/>
        <v>1</v>
      </c>
      <c r="G55" s="22">
        <f t="shared" si="55"/>
        <v>1</v>
      </c>
      <c r="H55" s="19">
        <v>0.0</v>
      </c>
      <c r="I55" s="19">
        <v>0.0</v>
      </c>
      <c r="J55" s="19">
        <v>0.0</v>
      </c>
      <c r="K55" s="19">
        <v>0.0</v>
      </c>
      <c r="L55" s="144">
        <f>VLOOKUP(A55,'תפוקה מצטברת מול אשתקד'!A:K,8,0)</f>
        <v>135960</v>
      </c>
      <c r="M55" s="18">
        <f>VLOOKUP(A55,'תפוקה מצטברת מול אשתקד'!A:K,9,0)</f>
        <v>3272.9</v>
      </c>
      <c r="N55" s="18">
        <f>VLOOKUP(A55,'תפוקה מצטברת מול אשתקד'!A:K,10,0)</f>
        <v>4501</v>
      </c>
      <c r="O55" s="18">
        <f>VLOOKUP(A55,'תפוקה מצטברת מול אשתקד'!A:K,11,0)</f>
        <v>156597</v>
      </c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15.75" customHeight="1">
      <c r="A56" s="151" t="s">
        <v>72</v>
      </c>
      <c r="B56" s="146"/>
      <c r="C56" s="147"/>
      <c r="D56" s="152">
        <f t="shared" ref="D56:G56" si="56">IF(L56=0,0%,IF(H56=0,100%,L56/H56-1))</f>
        <v>0.0116916888</v>
      </c>
      <c r="E56" s="152">
        <f t="shared" si="56"/>
        <v>-0.203873521</v>
      </c>
      <c r="F56" s="152">
        <f t="shared" si="56"/>
        <v>-0.09579688586</v>
      </c>
      <c r="G56" s="152">
        <f t="shared" si="56"/>
        <v>-0.05900577322</v>
      </c>
      <c r="H56" s="153">
        <f t="shared" ref="H56:O56" si="57">SUM(H23:H55)</f>
        <v>6329100</v>
      </c>
      <c r="I56" s="153">
        <f t="shared" si="57"/>
        <v>1212030</v>
      </c>
      <c r="J56" s="153">
        <f t="shared" si="57"/>
        <v>13671000</v>
      </c>
      <c r="K56" s="153">
        <f t="shared" si="57"/>
        <v>13001400</v>
      </c>
      <c r="L56" s="153">
        <f t="shared" si="57"/>
        <v>6403097.868</v>
      </c>
      <c r="M56" s="153">
        <f t="shared" si="57"/>
        <v>964929.1763</v>
      </c>
      <c r="N56" s="153">
        <f t="shared" si="57"/>
        <v>12361360.77</v>
      </c>
      <c r="O56" s="153">
        <f t="shared" si="57"/>
        <v>12234242.34</v>
      </c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15.75" customHeight="1">
      <c r="A57" s="1" t="s">
        <v>76</v>
      </c>
      <c r="B57" s="1" t="s">
        <v>74</v>
      </c>
      <c r="C57" s="23" t="s">
        <v>38</v>
      </c>
      <c r="D57" s="17">
        <f t="shared" ref="D57:G57" si="58">IF(L57=0,0%,IF(H57=0,100%,L57/H57-1))</f>
        <v>-0.4310157561</v>
      </c>
      <c r="E57" s="17">
        <f t="shared" si="58"/>
        <v>-0.5099096186</v>
      </c>
      <c r="F57" s="17">
        <f t="shared" si="58"/>
        <v>-0.4323803763</v>
      </c>
      <c r="G57" s="17">
        <f t="shared" si="58"/>
        <v>-0.8855537366</v>
      </c>
      <c r="H57" s="19">
        <v>2312000.0</v>
      </c>
      <c r="I57" s="19">
        <v>211050.0</v>
      </c>
      <c r="J57" s="19">
        <v>2232000.0</v>
      </c>
      <c r="K57" s="19">
        <v>2232000.0</v>
      </c>
      <c r="L57" s="144">
        <f>VLOOKUP(A57,'תפוקה מצטברת מול אשתקד'!A:K,8,0)</f>
        <v>1315491.572</v>
      </c>
      <c r="M57" s="18">
        <f>VLOOKUP(A57,'תפוקה מצטברת מול אשתקד'!A:K,9,0)</f>
        <v>103433.575</v>
      </c>
      <c r="N57" s="18">
        <f>VLOOKUP(A57,'תפוקה מצטברת מול אשתקד'!A:K,10,0)</f>
        <v>1266927</v>
      </c>
      <c r="O57" s="18">
        <f>VLOOKUP(A57,'תפוקה מצטברת מול אשתקד'!A:K,11,0)</f>
        <v>255444.06</v>
      </c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15.75" customHeight="1">
      <c r="A58" s="30" t="s">
        <v>77</v>
      </c>
      <c r="B58" s="1" t="s">
        <v>74</v>
      </c>
      <c r="C58" s="1" t="s">
        <v>38</v>
      </c>
      <c r="D58" s="17">
        <f t="shared" ref="D58:G58" si="59">IF(L58=0,0%,IF(H58=0,100%,L58/H58-1))</f>
        <v>-0.6818916609</v>
      </c>
      <c r="E58" s="17">
        <f t="shared" si="59"/>
        <v>-0.8064403646</v>
      </c>
      <c r="F58" s="17">
        <f t="shared" si="59"/>
        <v>-0.7419593805</v>
      </c>
      <c r="G58" s="17">
        <f t="shared" si="59"/>
        <v>-2.374314624</v>
      </c>
      <c r="H58" s="19">
        <v>289000.0</v>
      </c>
      <c r="I58" s="19">
        <v>48240.0</v>
      </c>
      <c r="J58" s="19">
        <v>3906000.0000000005</v>
      </c>
      <c r="K58" s="19">
        <v>558000.0</v>
      </c>
      <c r="L58" s="144">
        <f>VLOOKUP(A58,'תפוקה מצטברת מול אשתקד'!A:K,8,0)</f>
        <v>91933.31</v>
      </c>
      <c r="M58" s="18">
        <f>VLOOKUP(A58,'תפוקה מצטברת מול אשתקד'!A:K,9,0)</f>
        <v>9337.316811</v>
      </c>
      <c r="N58" s="18">
        <f>VLOOKUP(A58,'תפוקה מצטברת מול אשתקד'!A:K,10,0)</f>
        <v>1007906.66</v>
      </c>
      <c r="O58" s="18">
        <f>VLOOKUP(A58,'תפוקה מצטברת מול אשתקד'!A:K,11,0)</f>
        <v>-766867.56</v>
      </c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15.75" customHeight="1">
      <c r="A59" s="1" t="s">
        <v>73</v>
      </c>
      <c r="B59" s="1" t="s">
        <v>74</v>
      </c>
      <c r="C59" s="23" t="s">
        <v>38</v>
      </c>
      <c r="D59" s="17">
        <f t="shared" ref="D59:G59" si="60">IF(L59=0,0%,IF(H59=0,100%,L59/H59-1))</f>
        <v>1</v>
      </c>
      <c r="E59" s="17">
        <f t="shared" si="60"/>
        <v>0</v>
      </c>
      <c r="F59" s="17">
        <f t="shared" si="60"/>
        <v>1</v>
      </c>
      <c r="G59" s="17">
        <f t="shared" si="60"/>
        <v>0</v>
      </c>
      <c r="H59" s="19">
        <v>0.0</v>
      </c>
      <c r="I59" s="19">
        <v>24120.0</v>
      </c>
      <c r="J59" s="19">
        <v>0.0</v>
      </c>
      <c r="K59" s="19">
        <v>0.0</v>
      </c>
      <c r="L59" s="144">
        <f>VLOOKUP(A59,'תפוקה מצטברת מול אשתקד'!A:K,8,0)</f>
        <v>68824.19</v>
      </c>
      <c r="M59" s="18">
        <f>VLOOKUP(A59,'תפוקה מצטברת מול אשתקד'!A:K,9,0)</f>
        <v>0</v>
      </c>
      <c r="N59" s="18">
        <f>VLOOKUP(A59,'תפוקה מצטברת מול אשתקד'!A:K,10,0)</f>
        <v>584.49</v>
      </c>
      <c r="O59" s="18">
        <f>VLOOKUP(A59,'תפוקה מצטברת מול אשתקד'!A:K,11,0)</f>
        <v>0</v>
      </c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15.75" customHeight="1">
      <c r="A60" s="23" t="s">
        <v>75</v>
      </c>
      <c r="B60" s="23" t="s">
        <v>74</v>
      </c>
      <c r="C60" s="23" t="s">
        <v>38</v>
      </c>
      <c r="D60" s="17">
        <f t="shared" ref="D60:G60" si="61">IF(L60=0,0%,IF(H60=0,100%,L60/H60-1))</f>
        <v>-0.1547891349</v>
      </c>
      <c r="E60" s="17">
        <f t="shared" si="61"/>
        <v>-0.7577080431</v>
      </c>
      <c r="F60" s="17">
        <f t="shared" si="61"/>
        <v>1.563340638</v>
      </c>
      <c r="G60" s="17">
        <f t="shared" si="61"/>
        <v>-0.2745284462</v>
      </c>
      <c r="H60" s="19">
        <v>578000.0</v>
      </c>
      <c r="I60" s="19">
        <v>120600.0</v>
      </c>
      <c r="J60" s="19">
        <v>1395000.0000000002</v>
      </c>
      <c r="K60" s="19">
        <v>5580000.000000001</v>
      </c>
      <c r="L60" s="144">
        <f>VLOOKUP(A60,'תפוקה מצטברת מול אשתקד'!A:K,8,0)</f>
        <v>488531.88</v>
      </c>
      <c r="M60" s="18">
        <f>VLOOKUP(A60,'תפוקה מצטברת מול אשתקד'!A:K,9,0)</f>
        <v>29220.41</v>
      </c>
      <c r="N60" s="18">
        <f>VLOOKUP(A60,'תפוקה מצטברת מול אשתקד'!A:K,10,0)</f>
        <v>3575860.19</v>
      </c>
      <c r="O60" s="18">
        <f>VLOOKUP(A60,'תפוקה מצטברת מול אשתקד'!A:K,11,0)</f>
        <v>4048131.27</v>
      </c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5.75" customHeight="1">
      <c r="A61" s="1" t="s">
        <v>78</v>
      </c>
      <c r="B61" s="1" t="s">
        <v>74</v>
      </c>
      <c r="C61" s="1" t="s">
        <v>38</v>
      </c>
      <c r="D61" s="17">
        <f t="shared" ref="D61:G61" si="62">IF(L61=0,0%,IF(H61=0,100%,L61/H61-1))</f>
        <v>0.137855403</v>
      </c>
      <c r="E61" s="17">
        <f t="shared" si="62"/>
        <v>-0.5877048489</v>
      </c>
      <c r="F61" s="17">
        <f t="shared" si="62"/>
        <v>1.392037427</v>
      </c>
      <c r="G61" s="17">
        <f t="shared" si="62"/>
        <v>1.622883142</v>
      </c>
      <c r="H61" s="19">
        <v>578000.0</v>
      </c>
      <c r="I61" s="19">
        <v>60300.0</v>
      </c>
      <c r="J61" s="19">
        <v>1395000.0000000002</v>
      </c>
      <c r="K61" s="19">
        <v>837000.0000000001</v>
      </c>
      <c r="L61" s="144">
        <f>VLOOKUP(A61,'תפוקה מצטברת מול אשתקד'!A:K,8,0)</f>
        <v>657680.4229</v>
      </c>
      <c r="M61" s="18">
        <f>VLOOKUP(A61,'תפוקה מצטברת מול אשתקד'!A:K,9,0)</f>
        <v>24861.39761</v>
      </c>
      <c r="N61" s="18">
        <f>VLOOKUP(A61,'תפוקה מצטברת מול אשתקד'!A:K,10,0)</f>
        <v>3336892.21</v>
      </c>
      <c r="O61" s="18">
        <f>VLOOKUP(A61,'תפוקה מצטברת מול אשתקד'!A:K,11,0)</f>
        <v>2195353.19</v>
      </c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15.75" customHeight="1">
      <c r="A62" s="34" t="s">
        <v>79</v>
      </c>
      <c r="B62" s="1" t="s">
        <v>74</v>
      </c>
      <c r="C62" s="23" t="s">
        <v>38</v>
      </c>
      <c r="D62" s="17">
        <f t="shared" ref="D62:G62" si="63">IF(L62=0,0%,IF(H62=0,100%,L62/H62-1))</f>
        <v>1.366056574</v>
      </c>
      <c r="E62" s="17">
        <f t="shared" si="63"/>
        <v>-0.8691017993</v>
      </c>
      <c r="F62" s="17">
        <f t="shared" si="63"/>
        <v>-0.5382120161</v>
      </c>
      <c r="G62" s="17">
        <f t="shared" si="63"/>
        <v>-1.01611092</v>
      </c>
      <c r="H62" s="19">
        <v>57799.99999999999</v>
      </c>
      <c r="I62" s="19">
        <v>60300.0</v>
      </c>
      <c r="J62" s="19">
        <v>1116000.0</v>
      </c>
      <c r="K62" s="19">
        <v>837000.0000000001</v>
      </c>
      <c r="L62" s="144">
        <f>VLOOKUP(A62,'תפוקה מצטברת מול אשתקד'!A:K,8,0)</f>
        <v>136758.07</v>
      </c>
      <c r="M62" s="18">
        <f>VLOOKUP(A62,'תפוקה מצטברת מול אשתקד'!A:K,9,0)</f>
        <v>7893.1615</v>
      </c>
      <c r="N62" s="18">
        <f>VLOOKUP(A62,'תפוקה מצטברת מול אשתקד'!A:K,10,0)</f>
        <v>515355.39</v>
      </c>
      <c r="O62" s="18">
        <f>VLOOKUP(A62,'תפוקה מצטברת מול אשתקד'!A:K,11,0)</f>
        <v>-13484.84</v>
      </c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15.75" customHeight="1">
      <c r="A63" s="35" t="s">
        <v>80</v>
      </c>
      <c r="B63" s="1" t="s">
        <v>74</v>
      </c>
      <c r="C63" s="23" t="s">
        <v>38</v>
      </c>
      <c r="D63" s="17">
        <f t="shared" ref="D63:G63" si="64">IF(L63=0,0%,IF(H63=0,100%,L63/H63-1))</f>
        <v>0</v>
      </c>
      <c r="E63" s="17">
        <f t="shared" si="64"/>
        <v>0</v>
      </c>
      <c r="F63" s="17">
        <f t="shared" si="64"/>
        <v>0</v>
      </c>
      <c r="G63" s="17">
        <f t="shared" si="64"/>
        <v>0</v>
      </c>
      <c r="H63" s="19">
        <v>578000.0</v>
      </c>
      <c r="I63" s="19">
        <v>90450.0</v>
      </c>
      <c r="J63" s="19">
        <v>2790000.0000000005</v>
      </c>
      <c r="K63" s="19">
        <v>1116000.0</v>
      </c>
      <c r="L63" s="144">
        <f>VLOOKUP(A63,'תפוקה מצטברת מול אשתקד'!A:K,8,0)</f>
        <v>0</v>
      </c>
      <c r="M63" s="18">
        <f>VLOOKUP(A63,'תפוקה מצטברת מול אשתקד'!A:K,9,0)</f>
        <v>0</v>
      </c>
      <c r="N63" s="18">
        <f>VLOOKUP(A63,'תפוקה מצטברת מול אשתקד'!A:K,10,0)</f>
        <v>0</v>
      </c>
      <c r="O63" s="18">
        <f>VLOOKUP(A63,'תפוקה מצטברת מול אשתקד'!A:K,11,0)</f>
        <v>0</v>
      </c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5.75" customHeight="1">
      <c r="A64" s="36" t="s">
        <v>81</v>
      </c>
      <c r="B64" s="1" t="s">
        <v>74</v>
      </c>
      <c r="C64" s="23" t="s">
        <v>38</v>
      </c>
      <c r="D64" s="17">
        <f t="shared" ref="D64:G64" si="65">IF(L64=0,0%,IF(H64=0,100%,L64/H64-1))</f>
        <v>1</v>
      </c>
      <c r="E64" s="17">
        <f t="shared" si="65"/>
        <v>1</v>
      </c>
      <c r="F64" s="17">
        <f t="shared" si="65"/>
        <v>1</v>
      </c>
      <c r="G64" s="17">
        <f t="shared" si="65"/>
        <v>1</v>
      </c>
      <c r="H64" s="19"/>
      <c r="I64" s="19"/>
      <c r="J64" s="19"/>
      <c r="K64" s="19"/>
      <c r="L64" s="144">
        <f>VLOOKUP(A64,'תפוקה מצטברת מול אשתקד'!A:K,8,0)</f>
        <v>194836.13</v>
      </c>
      <c r="M64" s="18">
        <f>VLOOKUP(A64,'תפוקה מצטברת מול אשתקד'!A:K,9,0)</f>
        <v>36068.21565</v>
      </c>
      <c r="N64" s="18">
        <f>VLOOKUP(A64,'תפוקה מצטברת מול אשתקד'!A:K,10,0)</f>
        <v>495002.41</v>
      </c>
      <c r="O64" s="18">
        <f>VLOOKUP(A64,'תפוקה מצטברת מול אשתקד'!A:K,11,0)</f>
        <v>1082746.3</v>
      </c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5.75" customHeight="1">
      <c r="A65" s="30" t="s">
        <v>82</v>
      </c>
      <c r="B65" s="1" t="s">
        <v>74</v>
      </c>
      <c r="C65" s="23" t="s">
        <v>38</v>
      </c>
      <c r="D65" s="17">
        <f t="shared" ref="D65:G65" si="66">IF(L65=0,0%,IF(H65=0,100%,L65/H65-1))</f>
        <v>0</v>
      </c>
      <c r="E65" s="17">
        <f t="shared" si="66"/>
        <v>0</v>
      </c>
      <c r="F65" s="17">
        <f t="shared" si="66"/>
        <v>0</v>
      </c>
      <c r="G65" s="17">
        <f t="shared" si="66"/>
        <v>0</v>
      </c>
      <c r="H65" s="19">
        <v>0.0</v>
      </c>
      <c r="I65" s="19">
        <v>60300.0</v>
      </c>
      <c r="J65" s="19">
        <v>0.0</v>
      </c>
      <c r="K65" s="19">
        <v>0.0</v>
      </c>
      <c r="L65" s="144">
        <f>VLOOKUP(A65,'תפוקה מצטברת מול אשתקד'!A:K,8,0)</f>
        <v>0</v>
      </c>
      <c r="M65" s="18">
        <f>VLOOKUP(A65,'תפוקה מצטברת מול אשתקד'!A:K,9,0)</f>
        <v>0</v>
      </c>
      <c r="N65" s="18">
        <f>VLOOKUP(A65,'תפוקה מצטברת מול אשתקד'!A:K,10,0)</f>
        <v>0</v>
      </c>
      <c r="O65" s="18">
        <f>VLOOKUP(A65,'תפוקה מצטברת מול אשתקד'!A:K,11,0)</f>
        <v>0</v>
      </c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15.75" customHeight="1">
      <c r="A66" s="151" t="s">
        <v>83</v>
      </c>
      <c r="B66" s="146"/>
      <c r="C66" s="147"/>
      <c r="D66" s="152">
        <f t="shared" ref="D66:G66" si="67">IF(L66=0,0%,IF(H66=0,100%,L66/H66-1))</f>
        <v>-0.3275233166</v>
      </c>
      <c r="E66" s="152">
        <f t="shared" si="67"/>
        <v>-0.6878493299</v>
      </c>
      <c r="F66" s="152">
        <f t="shared" si="67"/>
        <v>-0.2053507597</v>
      </c>
      <c r="G66" s="152">
        <f t="shared" si="67"/>
        <v>-0.3905625072</v>
      </c>
      <c r="H66" s="153">
        <f t="shared" ref="H66:O66" si="68">SUM(H57:H65)</f>
        <v>4392800</v>
      </c>
      <c r="I66" s="153">
        <f t="shared" si="68"/>
        <v>675360</v>
      </c>
      <c r="J66" s="153">
        <f t="shared" si="68"/>
        <v>12834000</v>
      </c>
      <c r="K66" s="153">
        <f t="shared" si="68"/>
        <v>11160000</v>
      </c>
      <c r="L66" s="153">
        <f t="shared" si="68"/>
        <v>2954055.575</v>
      </c>
      <c r="M66" s="153">
        <f t="shared" si="68"/>
        <v>210814.0766</v>
      </c>
      <c r="N66" s="153">
        <f t="shared" si="68"/>
        <v>10198528.35</v>
      </c>
      <c r="O66" s="153">
        <f t="shared" si="68"/>
        <v>6801322.42</v>
      </c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15.75" customHeight="1">
      <c r="A67" s="23" t="s">
        <v>84</v>
      </c>
      <c r="B67" s="23" t="s">
        <v>14</v>
      </c>
      <c r="C67" s="23" t="s">
        <v>85</v>
      </c>
      <c r="D67" s="28">
        <f t="shared" ref="D67:G67" si="69">IF(L67=0,0%,IF(H67=0,100%,L67/H67-1))</f>
        <v>-0.132319308</v>
      </c>
      <c r="E67" s="28">
        <f t="shared" si="69"/>
        <v>-0.4838956697</v>
      </c>
      <c r="F67" s="28">
        <f t="shared" si="69"/>
        <v>-0.08546076905</v>
      </c>
      <c r="G67" s="28">
        <f t="shared" si="69"/>
        <v>0.7101985412</v>
      </c>
      <c r="H67" s="19">
        <v>578000.0</v>
      </c>
      <c r="I67" s="19">
        <v>90450.0</v>
      </c>
      <c r="J67" s="19">
        <v>5580000.000000001</v>
      </c>
      <c r="K67" s="19">
        <v>2790000.0000000005</v>
      </c>
      <c r="L67" s="144">
        <f>VLOOKUP(A67,'תפוקה מצטברת מול אשתקד'!A:K,8,0)</f>
        <v>501519.44</v>
      </c>
      <c r="M67" s="18">
        <f>VLOOKUP(A67,'תפוקה מצטברת מול אשתקד'!A:K,9,0)</f>
        <v>46681.63667</v>
      </c>
      <c r="N67" s="18">
        <f>VLOOKUP(A67,'תפוקה מצטברת מול אשתקד'!A:K,10,0)</f>
        <v>5103128.909</v>
      </c>
      <c r="O67" s="18">
        <f>VLOOKUP(A67,'תפוקה מצטברת מול אשתקד'!A:K,11,0)</f>
        <v>4771453.93</v>
      </c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5.75" customHeight="1">
      <c r="A68" s="30" t="s">
        <v>86</v>
      </c>
      <c r="B68" s="1" t="s">
        <v>37</v>
      </c>
      <c r="C68" s="1" t="s">
        <v>87</v>
      </c>
      <c r="D68" s="17">
        <f t="shared" ref="D68:G68" si="70">IF(L68=0,0%,IF(H68=0,100%,L68/H68-1))</f>
        <v>0.1892113149</v>
      </c>
      <c r="E68" s="17">
        <f t="shared" si="70"/>
        <v>0.2305004229</v>
      </c>
      <c r="F68" s="17">
        <f t="shared" si="70"/>
        <v>-0.06363267204</v>
      </c>
      <c r="G68" s="17">
        <f t="shared" si="70"/>
        <v>1.554225714</v>
      </c>
      <c r="H68" s="19">
        <v>1733999.9999999998</v>
      </c>
      <c r="I68" s="19">
        <v>361800.0</v>
      </c>
      <c r="J68" s="19">
        <v>5580000.000000001</v>
      </c>
      <c r="K68" s="19">
        <v>3348000.0000000005</v>
      </c>
      <c r="L68" s="144">
        <f>VLOOKUP(A68,'תפוקה מצטברת מול אשתקד'!A:K,8,0)</f>
        <v>2062092.42</v>
      </c>
      <c r="M68" s="18">
        <f>VLOOKUP(A68,'תפוקה מצטברת מול אשתקד'!A:K,9,0)</f>
        <v>445195.053</v>
      </c>
      <c r="N68" s="18">
        <f>VLOOKUP(A68,'תפוקה מצטברת מול אשתקד'!A:K,10,0)</f>
        <v>5224929.69</v>
      </c>
      <c r="O68" s="18">
        <f>VLOOKUP(A68,'תפוקה מצטברת מול אשתקד'!A:K,11,0)</f>
        <v>8551547.69</v>
      </c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15.75" customHeight="1">
      <c r="A69" s="1" t="s">
        <v>88</v>
      </c>
      <c r="B69" s="1" t="s">
        <v>14</v>
      </c>
      <c r="C69" s="1" t="s">
        <v>87</v>
      </c>
      <c r="D69" s="17">
        <f t="shared" ref="D69:G69" si="71">IF(L69=0,0%,IF(H69=0,100%,L69/H69-1))</f>
        <v>1</v>
      </c>
      <c r="E69" s="17">
        <f t="shared" si="71"/>
        <v>1</v>
      </c>
      <c r="F69" s="17">
        <f t="shared" si="71"/>
        <v>1</v>
      </c>
      <c r="G69" s="17">
        <f t="shared" si="71"/>
        <v>0</v>
      </c>
      <c r="H69" s="19">
        <v>0.0</v>
      </c>
      <c r="I69" s="19">
        <v>0.0</v>
      </c>
      <c r="J69" s="19">
        <v>0.0</v>
      </c>
      <c r="K69" s="19">
        <v>0.0</v>
      </c>
      <c r="L69" s="144">
        <f>VLOOKUP(A69,'תפוקה מצטברת מול אשתקד'!A:K,8,0)</f>
        <v>1265.49</v>
      </c>
      <c r="M69" s="18">
        <f>VLOOKUP(A69,'תפוקה מצטברת מול אשתקד'!A:K,9,0)</f>
        <v>-42.85328351</v>
      </c>
      <c r="N69" s="18">
        <f>VLOOKUP(A69,'תפוקה מצטברת מול אשתקד'!A:K,10,0)</f>
        <v>27863.54</v>
      </c>
      <c r="O69" s="18">
        <f>VLOOKUP(A69,'תפוקה מצטברת מול אשתקד'!A:K,11,0)</f>
        <v>0</v>
      </c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15.75" customHeight="1">
      <c r="A70" s="1" t="s">
        <v>89</v>
      </c>
      <c r="B70" s="1" t="s">
        <v>37</v>
      </c>
      <c r="C70" s="1" t="s">
        <v>87</v>
      </c>
      <c r="D70" s="17">
        <f t="shared" ref="D70:G70" si="72">IF(L70=0,0%,IF(H70=0,100%,L70/H70-1))</f>
        <v>1</v>
      </c>
      <c r="E70" s="17">
        <f t="shared" si="72"/>
        <v>1</v>
      </c>
      <c r="F70" s="17">
        <f t="shared" si="72"/>
        <v>1</v>
      </c>
      <c r="G70" s="17">
        <f t="shared" si="72"/>
        <v>1</v>
      </c>
      <c r="H70" s="19">
        <v>0.0</v>
      </c>
      <c r="I70" s="19">
        <v>0.0</v>
      </c>
      <c r="J70" s="19">
        <v>0.0</v>
      </c>
      <c r="K70" s="19">
        <v>0.0</v>
      </c>
      <c r="L70" s="144">
        <f>VLOOKUP(A70,'תפוקה מצטברת מול אשתקד'!A:K,8,0)</f>
        <v>221736.308</v>
      </c>
      <c r="M70" s="18">
        <f>VLOOKUP(A70,'תפוקה מצטברת מול אשתקד'!A:K,9,0)</f>
        <v>-295.4700458</v>
      </c>
      <c r="N70" s="18">
        <f>VLOOKUP(A70,'תפוקה מצטברת מול אשתקד'!A:K,10,0)</f>
        <v>77573.26</v>
      </c>
      <c r="O70" s="18">
        <f>VLOOKUP(A70,'תפוקה מצטברת מול אשתקד'!A:K,11,0)</f>
        <v>2185473.69</v>
      </c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15.75" customHeight="1">
      <c r="A71" s="1" t="s">
        <v>90</v>
      </c>
      <c r="B71" s="1" t="s">
        <v>37</v>
      </c>
      <c r="C71" s="1" t="s">
        <v>87</v>
      </c>
      <c r="D71" s="17">
        <f t="shared" ref="D71:G71" si="73">IF(L71=0,0%,IF(H71=0,100%,L71/H71-1))</f>
        <v>0</v>
      </c>
      <c r="E71" s="17">
        <f t="shared" si="73"/>
        <v>0.2897664345</v>
      </c>
      <c r="F71" s="17">
        <f t="shared" si="73"/>
        <v>0</v>
      </c>
      <c r="G71" s="17">
        <f t="shared" si="73"/>
        <v>0</v>
      </c>
      <c r="H71" s="19">
        <v>115599.99999999999</v>
      </c>
      <c r="I71" s="19">
        <v>60300.0</v>
      </c>
      <c r="J71" s="19">
        <v>279000.0</v>
      </c>
      <c r="K71" s="19">
        <v>334800.00000000006</v>
      </c>
      <c r="L71" s="144">
        <f>VLOOKUP(A71,'תפוקה מצטברת מול אשתקד'!A:K,8,0)</f>
        <v>0</v>
      </c>
      <c r="M71" s="18">
        <f>VLOOKUP(A71,'תפוקה מצטברת מול אשתקד'!A:K,9,0)</f>
        <v>77772.916</v>
      </c>
      <c r="N71" s="18">
        <f>VLOOKUP(A71,'תפוקה מצטברת מול אשתקד'!A:K,10,0)</f>
        <v>0</v>
      </c>
      <c r="O71" s="18">
        <f>VLOOKUP(A71,'תפוקה מצטברת מול אשתקד'!A:K,11,0)</f>
        <v>0</v>
      </c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5.75" customHeight="1">
      <c r="A72" s="1" t="s">
        <v>91</v>
      </c>
      <c r="B72" s="1" t="s">
        <v>37</v>
      </c>
      <c r="C72" s="1" t="s">
        <v>87</v>
      </c>
      <c r="D72" s="17">
        <f t="shared" ref="D72:G72" si="74">IF(L72=0,0%,IF(H72=0,100%,L72/H72-1))</f>
        <v>0.2757442062</v>
      </c>
      <c r="E72" s="17">
        <f t="shared" si="74"/>
        <v>-0.182329414</v>
      </c>
      <c r="F72" s="17">
        <f t="shared" si="74"/>
        <v>0.286625448</v>
      </c>
      <c r="G72" s="17">
        <f t="shared" si="74"/>
        <v>1.102369555</v>
      </c>
      <c r="H72" s="19">
        <v>578000.0</v>
      </c>
      <c r="I72" s="19">
        <v>90450.0</v>
      </c>
      <c r="J72" s="19">
        <v>4464000.0</v>
      </c>
      <c r="K72" s="19">
        <v>3348000.0000000005</v>
      </c>
      <c r="L72" s="144">
        <f>VLOOKUP(A72,'תפוקה מצטברת מול אשתקד'!A:K,8,0)</f>
        <v>737380.1512</v>
      </c>
      <c r="M72" s="18">
        <f>VLOOKUP(A72,'תפוקה מצטברת מול אשתקד'!A:K,9,0)</f>
        <v>73958.3045</v>
      </c>
      <c r="N72" s="18">
        <f>VLOOKUP(A72,'תפוקה מצטברת מול אשתקד'!A:K,10,0)</f>
        <v>5743496</v>
      </c>
      <c r="O72" s="18">
        <f>VLOOKUP(A72,'תפוקה מצטברת מול אשתקד'!A:K,11,0)</f>
        <v>7038733.27</v>
      </c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5.75" customHeight="1">
      <c r="A73" s="37" t="s">
        <v>92</v>
      </c>
      <c r="B73" s="1" t="s">
        <v>37</v>
      </c>
      <c r="C73" s="1" t="s">
        <v>87</v>
      </c>
      <c r="D73" s="17">
        <f t="shared" ref="D73:G73" si="75">IF(L73=0,0%,IF(H73=0,100%,L73/H73-1))</f>
        <v>0.2703621295</v>
      </c>
      <c r="E73" s="17">
        <f t="shared" si="75"/>
        <v>0.4330560058</v>
      </c>
      <c r="F73" s="17">
        <f t="shared" si="75"/>
        <v>1.024889365</v>
      </c>
      <c r="G73" s="17">
        <f t="shared" si="75"/>
        <v>4.705264504</v>
      </c>
      <c r="H73" s="19">
        <v>1733999.9999999998</v>
      </c>
      <c r="I73" s="19">
        <v>150750.0</v>
      </c>
      <c r="J73" s="19">
        <v>1.1160000000000002E7</v>
      </c>
      <c r="K73" s="19">
        <v>3348000.0000000005</v>
      </c>
      <c r="L73" s="144">
        <f>VLOOKUP(A73,'תפוקה מצטברת מול אשתקד'!A:K,8,0)</f>
        <v>2202807.933</v>
      </c>
      <c r="M73" s="18">
        <f>VLOOKUP(A73,'תפוקה מצטברת מול אשתקד'!A:K,9,0)</f>
        <v>216033.1929</v>
      </c>
      <c r="N73" s="18">
        <f>VLOOKUP(A73,'תפוקה מצטברת מול אשתקד'!A:K,10,0)</f>
        <v>22597765.31</v>
      </c>
      <c r="O73" s="18">
        <f>VLOOKUP(A73,'תפוקה מצטברת מול אשתקד'!A:K,11,0)</f>
        <v>19101225.56</v>
      </c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5.75" customHeight="1">
      <c r="A74" s="1" t="s">
        <v>93</v>
      </c>
      <c r="B74" s="1" t="s">
        <v>37</v>
      </c>
      <c r="C74" s="1" t="s">
        <v>87</v>
      </c>
      <c r="D74" s="17">
        <f t="shared" ref="D74:G74" si="76">IF(L74=0,0%,IF(H74=0,100%,L74/H74-1))</f>
        <v>-0.7463241522</v>
      </c>
      <c r="E74" s="17">
        <f t="shared" si="76"/>
        <v>-0.7188101382</v>
      </c>
      <c r="F74" s="17">
        <f t="shared" si="76"/>
        <v>0</v>
      </c>
      <c r="G74" s="17">
        <f t="shared" si="76"/>
        <v>0</v>
      </c>
      <c r="H74" s="19">
        <v>289000.0</v>
      </c>
      <c r="I74" s="19">
        <v>90450.0</v>
      </c>
      <c r="J74" s="19">
        <v>558000.0</v>
      </c>
      <c r="K74" s="19">
        <v>1116000.0</v>
      </c>
      <c r="L74" s="144">
        <f>VLOOKUP(A74,'תפוקה מצטברת מול אשתקד'!A:K,8,0)</f>
        <v>73312.32</v>
      </c>
      <c r="M74" s="18">
        <f>VLOOKUP(A74,'תפוקה מצטברת מול אשתקד'!A:K,9,0)</f>
        <v>25433.623</v>
      </c>
      <c r="N74" s="18">
        <f>VLOOKUP(A74,'תפוקה מצטברת מול אשתקד'!A:K,10,0)</f>
        <v>0</v>
      </c>
      <c r="O74" s="18">
        <f>VLOOKUP(A74,'תפוקה מצטברת מול אשתקד'!A:K,11,0)</f>
        <v>0</v>
      </c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5.75" customHeight="1">
      <c r="A75" s="145" t="s">
        <v>94</v>
      </c>
      <c r="B75" s="146"/>
      <c r="C75" s="154"/>
      <c r="D75" s="155">
        <f t="shared" ref="D75:G75" si="77">IF(L75=0,0%,IF(H75=0,100%,L75/H75-1))</f>
        <v>0.1534252201</v>
      </c>
      <c r="E75" s="155">
        <f t="shared" si="77"/>
        <v>0.04801753461</v>
      </c>
      <c r="F75" s="155">
        <f t="shared" si="77"/>
        <v>0.4038143699</v>
      </c>
      <c r="G75" s="155">
        <f t="shared" si="77"/>
        <v>1.915576987</v>
      </c>
      <c r="H75" s="156">
        <f t="shared" ref="H75:O75" si="78">SUM(H67:H74)</f>
        <v>5028600</v>
      </c>
      <c r="I75" s="156">
        <f t="shared" si="78"/>
        <v>844200</v>
      </c>
      <c r="J75" s="156">
        <f t="shared" si="78"/>
        <v>27621000</v>
      </c>
      <c r="K75" s="156">
        <f t="shared" si="78"/>
        <v>14284800</v>
      </c>
      <c r="L75" s="156">
        <f t="shared" si="78"/>
        <v>5800114.062</v>
      </c>
      <c r="M75" s="156">
        <f t="shared" si="78"/>
        <v>884736.4027</v>
      </c>
      <c r="N75" s="156">
        <f t="shared" si="78"/>
        <v>38774756.71</v>
      </c>
      <c r="O75" s="156">
        <f t="shared" si="78"/>
        <v>41648434.14</v>
      </c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5.75" customHeight="1">
      <c r="A76" s="145" t="s">
        <v>95</v>
      </c>
      <c r="B76" s="146"/>
      <c r="C76" s="154"/>
      <c r="D76" s="155">
        <f t="shared" ref="D76:G76" si="79">IF(L76=0,0%,IF(H76=0,100%,L76/H76-1))</f>
        <v>-0.1598031228</v>
      </c>
      <c r="E76" s="155">
        <f t="shared" si="79"/>
        <v>-0.256716893</v>
      </c>
      <c r="F76" s="155">
        <f t="shared" si="79"/>
        <v>-0.2027404698</v>
      </c>
      <c r="G76" s="155">
        <f t="shared" si="79"/>
        <v>-0.02114646274</v>
      </c>
      <c r="H76" s="153">
        <f t="shared" ref="H76:O76" si="80">H75+H66+H56+H22+H8</f>
        <v>31818900</v>
      </c>
      <c r="I76" s="153">
        <f t="shared" si="80"/>
        <v>5595840</v>
      </c>
      <c r="J76" s="153">
        <f t="shared" si="80"/>
        <v>126666000</v>
      </c>
      <c r="K76" s="153">
        <f t="shared" si="80"/>
        <v>123262200</v>
      </c>
      <c r="L76" s="153">
        <f t="shared" si="80"/>
        <v>26734140.42</v>
      </c>
      <c r="M76" s="153">
        <f t="shared" si="80"/>
        <v>4159293.341</v>
      </c>
      <c r="N76" s="153">
        <f t="shared" si="80"/>
        <v>100985675.7</v>
      </c>
      <c r="O76" s="153">
        <f t="shared" si="80"/>
        <v>120655640.5</v>
      </c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15.75" customHeight="1">
      <c r="A77" s="157"/>
      <c r="B77" s="157"/>
      <c r="C77" s="157"/>
      <c r="D77" s="10"/>
      <c r="E77" s="10"/>
      <c r="F77" s="10"/>
      <c r="G77" s="10"/>
      <c r="H77" s="158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15.75" customHeight="1">
      <c r="A78" s="157"/>
      <c r="B78" s="157"/>
      <c r="C78" s="157"/>
      <c r="D78" s="10"/>
      <c r="E78" s="10"/>
      <c r="F78" s="10"/>
      <c r="G78" s="10"/>
      <c r="H78" s="158"/>
      <c r="I78" s="158"/>
      <c r="J78" s="158"/>
      <c r="K78" s="158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15.75" customHeight="1">
      <c r="A79" s="157"/>
      <c r="B79" s="157"/>
      <c r="C79" s="157"/>
      <c r="D79" s="10"/>
      <c r="E79" s="10"/>
      <c r="F79" s="10"/>
      <c r="G79" s="10"/>
      <c r="H79" s="142"/>
      <c r="I79" s="142"/>
      <c r="J79" s="158"/>
      <c r="K79" s="142"/>
      <c r="L79" s="142"/>
      <c r="M79" s="142"/>
      <c r="N79" s="158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5.75" customHeight="1">
      <c r="A80" s="157"/>
      <c r="B80" s="157"/>
      <c r="C80" s="157"/>
      <c r="D80" s="10"/>
      <c r="E80" s="10"/>
      <c r="F80" s="10"/>
      <c r="G80" s="10"/>
      <c r="H80" s="142"/>
      <c r="I80" s="142"/>
      <c r="J80" s="158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5.75" customHeight="1">
      <c r="A81" s="157"/>
      <c r="B81" s="157"/>
      <c r="C81" s="157"/>
      <c r="D81" s="10"/>
      <c r="E81" s="10"/>
      <c r="F81" s="10"/>
      <c r="G81" s="10"/>
      <c r="H81" s="142"/>
      <c r="I81" s="142"/>
      <c r="J81" s="142"/>
      <c r="L81" s="41"/>
      <c r="M81" s="41"/>
      <c r="N81" s="41"/>
      <c r="O81" s="41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5.75" customHeight="1">
      <c r="A82" s="157"/>
      <c r="B82" s="157"/>
      <c r="C82" s="157"/>
      <c r="D82" s="10"/>
      <c r="E82" s="10"/>
      <c r="F82" s="10"/>
      <c r="G82" s="10"/>
      <c r="H82" s="142"/>
      <c r="I82" s="142"/>
      <c r="J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5.75" customHeight="1">
      <c r="A83" s="157"/>
      <c r="B83" s="157"/>
      <c r="C83" s="157"/>
      <c r="D83" s="10"/>
      <c r="E83" s="10"/>
      <c r="F83" s="10"/>
      <c r="G83" s="10"/>
      <c r="H83" s="142"/>
      <c r="I83" s="142"/>
      <c r="J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5.75" customHeight="1">
      <c r="A84" s="157"/>
      <c r="B84" s="157"/>
      <c r="C84" s="157"/>
      <c r="D84" s="10"/>
      <c r="E84" s="10"/>
      <c r="F84" s="10"/>
      <c r="G84" s="10"/>
      <c r="H84" s="142"/>
      <c r="I84" s="142"/>
      <c r="J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5.75" customHeight="1">
      <c r="A85" s="157"/>
      <c r="B85" s="157"/>
      <c r="C85" s="157"/>
      <c r="D85" s="10"/>
      <c r="E85" s="10"/>
      <c r="F85" s="10"/>
      <c r="G85" s="10"/>
      <c r="H85" s="142"/>
      <c r="I85" s="142"/>
      <c r="J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5.75" customHeight="1">
      <c r="A86" s="157"/>
      <c r="B86" s="157"/>
      <c r="C86" s="157"/>
      <c r="D86" s="10"/>
      <c r="E86" s="10"/>
      <c r="F86" s="10"/>
      <c r="G86" s="10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15.75" customHeight="1">
      <c r="A87" s="157"/>
      <c r="B87" s="157"/>
      <c r="C87" s="157"/>
      <c r="D87" s="10"/>
      <c r="E87" s="10"/>
      <c r="F87" s="10"/>
      <c r="G87" s="10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15.75" customHeight="1">
      <c r="A88" s="157"/>
      <c r="B88" s="157"/>
      <c r="C88" s="157"/>
      <c r="D88" s="10"/>
      <c r="E88" s="10"/>
      <c r="F88" s="10"/>
      <c r="G88" s="10"/>
      <c r="H88" s="142"/>
      <c r="I88" s="142"/>
      <c r="J88" s="142"/>
      <c r="K88" s="142"/>
      <c r="L88" s="158"/>
      <c r="M88" s="158"/>
      <c r="N88" s="158"/>
      <c r="O88" s="158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15.75" customHeight="1">
      <c r="A89" s="157"/>
      <c r="B89" s="157"/>
      <c r="C89" s="157"/>
      <c r="D89" s="10"/>
      <c r="E89" s="10"/>
      <c r="F89" s="10"/>
      <c r="G89" s="10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15.75" customHeight="1">
      <c r="A90" s="157"/>
      <c r="B90" s="157"/>
      <c r="C90" s="157"/>
      <c r="D90" s="10"/>
      <c r="E90" s="10"/>
      <c r="F90" s="10"/>
      <c r="G90" s="10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15.75" customHeight="1">
      <c r="A91" s="157"/>
      <c r="B91" s="157"/>
      <c r="C91" s="157"/>
      <c r="D91" s="10"/>
      <c r="E91" s="10"/>
      <c r="F91" s="10"/>
      <c r="G91" s="10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15.75" customHeight="1">
      <c r="A92" s="157"/>
      <c r="B92" s="157"/>
      <c r="C92" s="157"/>
      <c r="D92" s="10"/>
      <c r="E92" s="10"/>
      <c r="F92" s="10"/>
      <c r="G92" s="10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15.75" customHeight="1">
      <c r="A93" s="157"/>
      <c r="B93" s="157"/>
      <c r="C93" s="157"/>
      <c r="D93" s="10"/>
      <c r="E93" s="10"/>
      <c r="F93" s="10"/>
      <c r="G93" s="10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15.75" customHeight="1">
      <c r="A94" s="157"/>
      <c r="B94" s="157"/>
      <c r="C94" s="157"/>
      <c r="D94" s="10"/>
      <c r="E94" s="10"/>
      <c r="F94" s="10"/>
      <c r="G94" s="10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15.75" customHeight="1">
      <c r="A95" s="157"/>
      <c r="B95" s="157"/>
      <c r="C95" s="157"/>
      <c r="D95" s="10"/>
      <c r="E95" s="10"/>
      <c r="F95" s="10"/>
      <c r="G95" s="10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15.75" customHeight="1">
      <c r="A96" s="157"/>
      <c r="B96" s="157"/>
      <c r="C96" s="157"/>
      <c r="D96" s="10"/>
      <c r="E96" s="10"/>
      <c r="F96" s="10"/>
      <c r="G96" s="10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15.75" customHeight="1">
      <c r="A97" s="157"/>
      <c r="B97" s="157"/>
      <c r="C97" s="157"/>
      <c r="D97" s="10"/>
      <c r="E97" s="10"/>
      <c r="F97" s="10"/>
      <c r="G97" s="10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15.75" customHeight="1">
      <c r="A98" s="157"/>
      <c r="B98" s="157"/>
      <c r="C98" s="157"/>
      <c r="D98" s="10"/>
      <c r="E98" s="10"/>
      <c r="F98" s="10"/>
      <c r="G98" s="10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15.75" customHeight="1">
      <c r="A99" s="157"/>
      <c r="B99" s="157"/>
      <c r="C99" s="157"/>
      <c r="D99" s="10"/>
      <c r="E99" s="10"/>
      <c r="F99" s="10"/>
      <c r="G99" s="10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15.75" customHeight="1">
      <c r="A100" s="157"/>
      <c r="B100" s="157"/>
      <c r="C100" s="157"/>
      <c r="D100" s="10"/>
      <c r="E100" s="10"/>
      <c r="F100" s="10"/>
      <c r="G100" s="10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5.75" customHeight="1">
      <c r="A101" s="157"/>
      <c r="B101" s="157"/>
      <c r="C101" s="157"/>
      <c r="D101" s="10"/>
      <c r="E101" s="10"/>
      <c r="F101" s="10"/>
      <c r="G101" s="10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15.75" customHeight="1">
      <c r="A102" s="157"/>
      <c r="B102" s="157"/>
      <c r="C102" s="157"/>
      <c r="D102" s="10"/>
      <c r="E102" s="10"/>
      <c r="F102" s="10"/>
      <c r="G102" s="10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15.75" customHeight="1">
      <c r="A103" s="157"/>
      <c r="B103" s="157"/>
      <c r="C103" s="157"/>
      <c r="D103" s="10"/>
      <c r="E103" s="10"/>
      <c r="F103" s="10"/>
      <c r="G103" s="10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15.75" customHeight="1">
      <c r="A104" s="157"/>
      <c r="B104" s="157"/>
      <c r="C104" s="157"/>
      <c r="D104" s="10"/>
      <c r="E104" s="10"/>
      <c r="F104" s="10"/>
      <c r="G104" s="10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15.75" customHeight="1">
      <c r="A105" s="157"/>
      <c r="B105" s="157"/>
      <c r="C105" s="157"/>
      <c r="D105" s="10"/>
      <c r="E105" s="10"/>
      <c r="F105" s="10"/>
      <c r="G105" s="10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15.75" customHeight="1">
      <c r="A106" s="157"/>
      <c r="B106" s="157"/>
      <c r="C106" s="157"/>
      <c r="D106" s="10"/>
      <c r="E106" s="10"/>
      <c r="F106" s="10"/>
      <c r="G106" s="10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15.75" customHeight="1">
      <c r="A107" s="157"/>
      <c r="B107" s="157"/>
      <c r="C107" s="157"/>
      <c r="D107" s="10"/>
      <c r="E107" s="10"/>
      <c r="F107" s="10"/>
      <c r="G107" s="10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15.75" customHeight="1">
      <c r="A108" s="157"/>
      <c r="B108" s="157"/>
      <c r="C108" s="157"/>
      <c r="D108" s="10"/>
      <c r="E108" s="10"/>
      <c r="F108" s="10"/>
      <c r="G108" s="10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15.75" customHeight="1">
      <c r="A109" s="157"/>
      <c r="B109" s="157"/>
      <c r="C109" s="157"/>
      <c r="D109" s="10"/>
      <c r="E109" s="10"/>
      <c r="F109" s="10"/>
      <c r="G109" s="10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15.75" customHeight="1">
      <c r="A110" s="157"/>
      <c r="B110" s="157"/>
      <c r="C110" s="157"/>
      <c r="D110" s="10"/>
      <c r="E110" s="10"/>
      <c r="F110" s="10"/>
      <c r="G110" s="10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5.75" customHeight="1">
      <c r="A111" s="157"/>
      <c r="B111" s="157"/>
      <c r="C111" s="157"/>
      <c r="D111" s="10"/>
      <c r="E111" s="10"/>
      <c r="F111" s="10"/>
      <c r="G111" s="10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15.75" customHeight="1">
      <c r="A112" s="157"/>
      <c r="B112" s="157"/>
      <c r="C112" s="157"/>
      <c r="D112" s="10"/>
      <c r="E112" s="10"/>
      <c r="F112" s="10"/>
      <c r="G112" s="10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15.75" customHeight="1">
      <c r="A113" s="157"/>
      <c r="B113" s="157"/>
      <c r="C113" s="157"/>
      <c r="D113" s="10"/>
      <c r="E113" s="10"/>
      <c r="F113" s="10"/>
      <c r="G113" s="10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15.75" customHeight="1">
      <c r="A114" s="157"/>
      <c r="B114" s="157"/>
      <c r="C114" s="157"/>
      <c r="D114" s="10"/>
      <c r="E114" s="10"/>
      <c r="F114" s="10"/>
      <c r="G114" s="10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5.75" customHeight="1">
      <c r="A115" s="157"/>
      <c r="B115" s="157"/>
      <c r="C115" s="157"/>
      <c r="D115" s="10"/>
      <c r="E115" s="10"/>
      <c r="F115" s="10"/>
      <c r="G115" s="10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15.75" customHeight="1">
      <c r="A116" s="157"/>
      <c r="B116" s="157"/>
      <c r="C116" s="157"/>
      <c r="D116" s="10"/>
      <c r="E116" s="10"/>
      <c r="F116" s="10"/>
      <c r="G116" s="10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15.75" customHeight="1">
      <c r="A117" s="157"/>
      <c r="B117" s="157"/>
      <c r="C117" s="157"/>
      <c r="D117" s="10"/>
      <c r="E117" s="10"/>
      <c r="F117" s="10"/>
      <c r="G117" s="10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15.75" customHeight="1">
      <c r="A118" s="157"/>
      <c r="B118" s="157"/>
      <c r="C118" s="157"/>
      <c r="D118" s="10"/>
      <c r="E118" s="10"/>
      <c r="F118" s="10"/>
      <c r="G118" s="10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15.75" customHeight="1">
      <c r="A119" s="157"/>
      <c r="B119" s="157"/>
      <c r="C119" s="157"/>
      <c r="D119" s="10"/>
      <c r="E119" s="10"/>
      <c r="F119" s="10"/>
      <c r="G119" s="10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15.75" customHeight="1">
      <c r="A120" s="157"/>
      <c r="B120" s="157"/>
      <c r="C120" s="157"/>
      <c r="D120" s="10"/>
      <c r="E120" s="10"/>
      <c r="F120" s="10"/>
      <c r="G120" s="10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15.75" customHeight="1">
      <c r="A121" s="157"/>
      <c r="B121" s="157"/>
      <c r="C121" s="157"/>
      <c r="D121" s="10"/>
      <c r="E121" s="10"/>
      <c r="F121" s="10"/>
      <c r="G121" s="10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15.75" customHeight="1">
      <c r="A122" s="157"/>
      <c r="B122" s="157"/>
      <c r="C122" s="157"/>
      <c r="D122" s="10"/>
      <c r="E122" s="10"/>
      <c r="F122" s="10"/>
      <c r="G122" s="10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15.75" customHeight="1">
      <c r="A123" s="157"/>
      <c r="B123" s="157"/>
      <c r="C123" s="157"/>
      <c r="D123" s="10"/>
      <c r="E123" s="10"/>
      <c r="F123" s="10"/>
      <c r="G123" s="10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15.75" customHeight="1">
      <c r="A124" s="157"/>
      <c r="B124" s="157"/>
      <c r="C124" s="157"/>
      <c r="D124" s="10"/>
      <c r="E124" s="10"/>
      <c r="F124" s="10"/>
      <c r="G124" s="10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15.75" customHeight="1">
      <c r="A125" s="157"/>
      <c r="B125" s="157"/>
      <c r="C125" s="157"/>
      <c r="D125" s="10"/>
      <c r="E125" s="10"/>
      <c r="F125" s="10"/>
      <c r="G125" s="10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ht="15.75" customHeight="1">
      <c r="A126" s="157"/>
      <c r="B126" s="157"/>
      <c r="C126" s="157"/>
      <c r="D126" s="10"/>
      <c r="E126" s="10"/>
      <c r="F126" s="10"/>
      <c r="G126" s="10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ht="15.75" customHeight="1">
      <c r="A127" s="157"/>
      <c r="B127" s="157"/>
      <c r="C127" s="157"/>
      <c r="D127" s="10"/>
      <c r="E127" s="10"/>
      <c r="F127" s="10"/>
      <c r="G127" s="10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ht="15.75" customHeight="1">
      <c r="A128" s="157"/>
      <c r="B128" s="157"/>
      <c r="C128" s="157"/>
      <c r="D128" s="10"/>
      <c r="E128" s="10"/>
      <c r="F128" s="10"/>
      <c r="G128" s="10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ht="15.75" customHeight="1">
      <c r="A129" s="157"/>
      <c r="B129" s="157"/>
      <c r="C129" s="157"/>
      <c r="D129" s="10"/>
      <c r="E129" s="10"/>
      <c r="F129" s="10"/>
      <c r="G129" s="10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ht="15.75" customHeight="1">
      <c r="A130" s="157"/>
      <c r="B130" s="157"/>
      <c r="C130" s="157"/>
      <c r="D130" s="10"/>
      <c r="E130" s="10"/>
      <c r="F130" s="10"/>
      <c r="G130" s="10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ht="15.75" customHeight="1">
      <c r="A131" s="157"/>
      <c r="B131" s="157"/>
      <c r="C131" s="157"/>
      <c r="D131" s="10"/>
      <c r="E131" s="10"/>
      <c r="F131" s="10"/>
      <c r="G131" s="10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ht="15.75" customHeight="1">
      <c r="A132" s="157"/>
      <c r="B132" s="157"/>
      <c r="C132" s="157"/>
      <c r="D132" s="10"/>
      <c r="E132" s="10"/>
      <c r="F132" s="10"/>
      <c r="G132" s="10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ht="15.75" customHeight="1">
      <c r="A133" s="157"/>
      <c r="B133" s="157"/>
      <c r="C133" s="157"/>
      <c r="D133" s="10"/>
      <c r="E133" s="10"/>
      <c r="F133" s="10"/>
      <c r="G133" s="10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ht="15.75" customHeight="1">
      <c r="A134" s="157"/>
      <c r="B134" s="157"/>
      <c r="C134" s="157"/>
      <c r="D134" s="10"/>
      <c r="E134" s="10"/>
      <c r="F134" s="10"/>
      <c r="G134" s="10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ht="15.75" customHeight="1">
      <c r="A135" s="157"/>
      <c r="B135" s="157"/>
      <c r="C135" s="157"/>
      <c r="D135" s="10"/>
      <c r="E135" s="10"/>
      <c r="F135" s="10"/>
      <c r="G135" s="10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ht="15.75" customHeight="1">
      <c r="A136" s="157"/>
      <c r="B136" s="157"/>
      <c r="C136" s="157"/>
      <c r="D136" s="10"/>
      <c r="E136" s="10"/>
      <c r="F136" s="10"/>
      <c r="G136" s="10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5.75" customHeight="1">
      <c r="A137" s="157"/>
      <c r="B137" s="157"/>
      <c r="C137" s="157"/>
      <c r="D137" s="10"/>
      <c r="E137" s="10"/>
      <c r="F137" s="10"/>
      <c r="G137" s="10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15.75" customHeight="1">
      <c r="A138" s="157"/>
      <c r="B138" s="157"/>
      <c r="C138" s="157"/>
      <c r="D138" s="10"/>
      <c r="E138" s="10"/>
      <c r="F138" s="10"/>
      <c r="G138" s="10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ht="15.75" customHeight="1">
      <c r="A139" s="157"/>
      <c r="B139" s="157"/>
      <c r="C139" s="157"/>
      <c r="D139" s="10"/>
      <c r="E139" s="10"/>
      <c r="F139" s="10"/>
      <c r="G139" s="10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ht="15.75" customHeight="1">
      <c r="A140" s="157"/>
      <c r="B140" s="157"/>
      <c r="C140" s="157"/>
      <c r="D140" s="10"/>
      <c r="E140" s="10"/>
      <c r="F140" s="10"/>
      <c r="G140" s="10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ht="15.75" customHeight="1">
      <c r="A141" s="157"/>
      <c r="B141" s="157"/>
      <c r="C141" s="157"/>
      <c r="D141" s="10"/>
      <c r="E141" s="10"/>
      <c r="F141" s="10"/>
      <c r="G141" s="10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ht="15.75" customHeight="1">
      <c r="A142" s="157"/>
      <c r="B142" s="157"/>
      <c r="C142" s="157"/>
      <c r="D142" s="10"/>
      <c r="E142" s="10"/>
      <c r="F142" s="10"/>
      <c r="G142" s="10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ht="15.75" customHeight="1">
      <c r="A143" s="157"/>
      <c r="B143" s="157"/>
      <c r="C143" s="157"/>
      <c r="D143" s="10"/>
      <c r="E143" s="10"/>
      <c r="F143" s="10"/>
      <c r="G143" s="10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ht="15.75" customHeight="1">
      <c r="A144" s="157"/>
      <c r="B144" s="157"/>
      <c r="C144" s="157"/>
      <c r="D144" s="10"/>
      <c r="E144" s="10"/>
      <c r="F144" s="10"/>
      <c r="G144" s="10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ht="15.75" customHeight="1">
      <c r="A145" s="157"/>
      <c r="B145" s="157"/>
      <c r="C145" s="157"/>
      <c r="D145" s="10"/>
      <c r="E145" s="10"/>
      <c r="F145" s="10"/>
      <c r="G145" s="10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ht="15.75" customHeight="1">
      <c r="A146" s="157"/>
      <c r="B146" s="157"/>
      <c r="C146" s="157"/>
      <c r="D146" s="10"/>
      <c r="E146" s="10"/>
      <c r="F146" s="10"/>
      <c r="G146" s="10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ht="15.75" customHeight="1">
      <c r="A147" s="157"/>
      <c r="B147" s="157"/>
      <c r="C147" s="157"/>
      <c r="D147" s="10"/>
      <c r="E147" s="10"/>
      <c r="F147" s="10"/>
      <c r="G147" s="10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ht="15.75" customHeight="1">
      <c r="A148" s="157"/>
      <c r="B148" s="157"/>
      <c r="C148" s="157"/>
      <c r="D148" s="10"/>
      <c r="E148" s="10"/>
      <c r="F148" s="10"/>
      <c r="G148" s="10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ht="15.75" customHeight="1">
      <c r="A149" s="157"/>
      <c r="B149" s="157"/>
      <c r="C149" s="157"/>
      <c r="D149" s="10"/>
      <c r="E149" s="10"/>
      <c r="F149" s="10"/>
      <c r="G149" s="10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ht="15.75" customHeight="1">
      <c r="A150" s="157"/>
      <c r="B150" s="157"/>
      <c r="C150" s="157"/>
      <c r="D150" s="10"/>
      <c r="E150" s="10"/>
      <c r="F150" s="10"/>
      <c r="G150" s="10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ht="15.75" customHeight="1">
      <c r="A151" s="157"/>
      <c r="B151" s="157"/>
      <c r="C151" s="157"/>
      <c r="D151" s="10"/>
      <c r="E151" s="10"/>
      <c r="F151" s="10"/>
      <c r="G151" s="10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ht="15.75" customHeight="1">
      <c r="A152" s="157"/>
      <c r="B152" s="157"/>
      <c r="C152" s="157"/>
      <c r="D152" s="10"/>
      <c r="E152" s="10"/>
      <c r="F152" s="10"/>
      <c r="G152" s="10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ht="15.75" customHeight="1">
      <c r="A153" s="157"/>
      <c r="B153" s="157"/>
      <c r="C153" s="157"/>
      <c r="D153" s="10"/>
      <c r="E153" s="10"/>
      <c r="F153" s="10"/>
      <c r="G153" s="10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ht="15.75" customHeight="1">
      <c r="A154" s="157"/>
      <c r="B154" s="157"/>
      <c r="C154" s="157"/>
      <c r="D154" s="10"/>
      <c r="E154" s="10"/>
      <c r="F154" s="10"/>
      <c r="G154" s="10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ht="15.75" customHeight="1">
      <c r="A155" s="157"/>
      <c r="B155" s="157"/>
      <c r="C155" s="157"/>
      <c r="D155" s="10"/>
      <c r="E155" s="10"/>
      <c r="F155" s="10"/>
      <c r="G155" s="10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ht="15.75" customHeight="1">
      <c r="A156" s="157"/>
      <c r="B156" s="157"/>
      <c r="C156" s="157"/>
      <c r="D156" s="10"/>
      <c r="E156" s="10"/>
      <c r="F156" s="10"/>
      <c r="G156" s="10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ht="15.75" customHeight="1">
      <c r="A157" s="157"/>
      <c r="B157" s="157"/>
      <c r="C157" s="157"/>
      <c r="D157" s="10"/>
      <c r="E157" s="10"/>
      <c r="F157" s="10"/>
      <c r="G157" s="10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ht="15.75" customHeight="1">
      <c r="A158" s="157"/>
      <c r="B158" s="157"/>
      <c r="C158" s="157"/>
      <c r="D158" s="10"/>
      <c r="E158" s="10"/>
      <c r="F158" s="10"/>
      <c r="G158" s="10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ht="15.75" customHeight="1">
      <c r="A159" s="157"/>
      <c r="B159" s="157"/>
      <c r="C159" s="157"/>
      <c r="D159" s="10"/>
      <c r="E159" s="10"/>
      <c r="F159" s="10"/>
      <c r="G159" s="10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ht="15.75" customHeight="1">
      <c r="A160" s="157"/>
      <c r="B160" s="157"/>
      <c r="C160" s="157"/>
      <c r="D160" s="10"/>
      <c r="E160" s="10"/>
      <c r="F160" s="10"/>
      <c r="G160" s="10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ht="15.75" customHeight="1">
      <c r="A161" s="157"/>
      <c r="B161" s="157"/>
      <c r="C161" s="157"/>
      <c r="D161" s="10"/>
      <c r="E161" s="10"/>
      <c r="F161" s="10"/>
      <c r="G161" s="10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ht="15.75" customHeight="1">
      <c r="A162" s="157"/>
      <c r="B162" s="157"/>
      <c r="C162" s="157"/>
      <c r="D162" s="10"/>
      <c r="E162" s="10"/>
      <c r="F162" s="10"/>
      <c r="G162" s="10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ht="15.75" customHeight="1">
      <c r="A163" s="157"/>
      <c r="B163" s="157"/>
      <c r="C163" s="157"/>
      <c r="D163" s="10"/>
      <c r="E163" s="10"/>
      <c r="F163" s="10"/>
      <c r="G163" s="10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ht="15.75" customHeight="1">
      <c r="A164" s="157"/>
      <c r="B164" s="157"/>
      <c r="C164" s="157"/>
      <c r="D164" s="10"/>
      <c r="E164" s="10"/>
      <c r="F164" s="10"/>
      <c r="G164" s="10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ht="15.75" customHeight="1">
      <c r="A165" s="157"/>
      <c r="B165" s="157"/>
      <c r="C165" s="157"/>
      <c r="D165" s="10"/>
      <c r="E165" s="10"/>
      <c r="F165" s="10"/>
      <c r="G165" s="10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ht="15.75" customHeight="1">
      <c r="A166" s="157"/>
      <c r="B166" s="157"/>
      <c r="C166" s="157"/>
      <c r="D166" s="10"/>
      <c r="E166" s="10"/>
      <c r="F166" s="10"/>
      <c r="G166" s="10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ht="15.75" customHeight="1">
      <c r="A167" s="157"/>
      <c r="B167" s="157"/>
      <c r="C167" s="157"/>
      <c r="D167" s="10"/>
      <c r="E167" s="10"/>
      <c r="F167" s="10"/>
      <c r="G167" s="10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ht="15.75" customHeight="1">
      <c r="A168" s="157"/>
      <c r="B168" s="157"/>
      <c r="C168" s="157"/>
      <c r="D168" s="10"/>
      <c r="E168" s="10"/>
      <c r="F168" s="10"/>
      <c r="G168" s="10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ht="15.75" customHeight="1">
      <c r="A169" s="157"/>
      <c r="B169" s="157"/>
      <c r="C169" s="157"/>
      <c r="D169" s="10"/>
      <c r="E169" s="10"/>
      <c r="F169" s="10"/>
      <c r="G169" s="10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ht="15.75" customHeight="1">
      <c r="A170" s="157"/>
      <c r="B170" s="157"/>
      <c r="C170" s="157"/>
      <c r="D170" s="10"/>
      <c r="E170" s="10"/>
      <c r="F170" s="10"/>
      <c r="G170" s="10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ht="15.75" customHeight="1">
      <c r="A171" s="157"/>
      <c r="B171" s="157"/>
      <c r="C171" s="157"/>
      <c r="D171" s="10"/>
      <c r="E171" s="10"/>
      <c r="F171" s="10"/>
      <c r="G171" s="10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ht="15.75" customHeight="1">
      <c r="A172" s="157"/>
      <c r="B172" s="157"/>
      <c r="C172" s="157"/>
      <c r="D172" s="10"/>
      <c r="E172" s="10"/>
      <c r="F172" s="10"/>
      <c r="G172" s="10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ht="15.75" customHeight="1">
      <c r="A173" s="157"/>
      <c r="B173" s="157"/>
      <c r="C173" s="157"/>
      <c r="D173" s="10"/>
      <c r="E173" s="10"/>
      <c r="F173" s="10"/>
      <c r="G173" s="10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ht="15.75" customHeight="1">
      <c r="A174" s="157"/>
      <c r="B174" s="157"/>
      <c r="C174" s="157"/>
      <c r="D174" s="10"/>
      <c r="E174" s="10"/>
      <c r="F174" s="10"/>
      <c r="G174" s="10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ht="15.75" customHeight="1">
      <c r="A175" s="157"/>
      <c r="B175" s="157"/>
      <c r="C175" s="157"/>
      <c r="D175" s="10"/>
      <c r="E175" s="10"/>
      <c r="F175" s="10"/>
      <c r="G175" s="10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ht="15.75" customHeight="1">
      <c r="A176" s="157"/>
      <c r="B176" s="157"/>
      <c r="C176" s="157"/>
      <c r="D176" s="10"/>
      <c r="E176" s="10"/>
      <c r="F176" s="10"/>
      <c r="G176" s="10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ht="15.75" customHeight="1">
      <c r="A177" s="157"/>
      <c r="B177" s="157"/>
      <c r="C177" s="157"/>
      <c r="D177" s="10"/>
      <c r="E177" s="10"/>
      <c r="F177" s="10"/>
      <c r="G177" s="10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ht="15.75" customHeight="1">
      <c r="A178" s="157"/>
      <c r="B178" s="157"/>
      <c r="C178" s="157"/>
      <c r="D178" s="10"/>
      <c r="E178" s="10"/>
      <c r="F178" s="10"/>
      <c r="G178" s="10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ht="15.75" customHeight="1">
      <c r="A179" s="157"/>
      <c r="B179" s="157"/>
      <c r="C179" s="157"/>
      <c r="D179" s="10"/>
      <c r="E179" s="10"/>
      <c r="F179" s="10"/>
      <c r="G179" s="10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ht="15.75" customHeight="1">
      <c r="A180" s="157"/>
      <c r="B180" s="157"/>
      <c r="C180" s="157"/>
      <c r="D180" s="10"/>
      <c r="E180" s="10"/>
      <c r="F180" s="10"/>
      <c r="G180" s="10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ht="15.75" customHeight="1">
      <c r="A181" s="157"/>
      <c r="B181" s="157"/>
      <c r="C181" s="157"/>
      <c r="D181" s="10"/>
      <c r="E181" s="10"/>
      <c r="F181" s="10"/>
      <c r="G181" s="10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ht="15.75" customHeight="1">
      <c r="A182" s="157"/>
      <c r="B182" s="157"/>
      <c r="C182" s="157"/>
      <c r="D182" s="10"/>
      <c r="E182" s="10"/>
      <c r="F182" s="10"/>
      <c r="G182" s="10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ht="15.75" customHeight="1">
      <c r="A183" s="157"/>
      <c r="B183" s="157"/>
      <c r="C183" s="157"/>
      <c r="D183" s="10"/>
      <c r="E183" s="10"/>
      <c r="F183" s="10"/>
      <c r="G183" s="10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ht="15.75" customHeight="1">
      <c r="A184" s="157"/>
      <c r="B184" s="157"/>
      <c r="C184" s="157"/>
      <c r="D184" s="10"/>
      <c r="E184" s="10"/>
      <c r="F184" s="10"/>
      <c r="G184" s="10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ht="15.75" customHeight="1">
      <c r="A185" s="157"/>
      <c r="B185" s="157"/>
      <c r="C185" s="157"/>
      <c r="D185" s="10"/>
      <c r="E185" s="10"/>
      <c r="F185" s="10"/>
      <c r="G185" s="10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ht="15.75" customHeight="1">
      <c r="A186" s="157"/>
      <c r="B186" s="157"/>
      <c r="C186" s="157"/>
      <c r="D186" s="10"/>
      <c r="E186" s="10"/>
      <c r="F186" s="10"/>
      <c r="G186" s="10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ht="15.75" customHeight="1">
      <c r="A187" s="157"/>
      <c r="B187" s="157"/>
      <c r="C187" s="157"/>
      <c r="D187" s="10"/>
      <c r="E187" s="10"/>
      <c r="F187" s="10"/>
      <c r="G187" s="10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ht="15.75" customHeight="1">
      <c r="A188" s="157"/>
      <c r="B188" s="157"/>
      <c r="C188" s="157"/>
      <c r="D188" s="10"/>
      <c r="E188" s="10"/>
      <c r="F188" s="10"/>
      <c r="G188" s="10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ht="15.75" customHeight="1">
      <c r="A189" s="157"/>
      <c r="B189" s="157"/>
      <c r="C189" s="157"/>
      <c r="D189" s="10"/>
      <c r="E189" s="10"/>
      <c r="F189" s="10"/>
      <c r="G189" s="10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ht="15.75" customHeight="1">
      <c r="A190" s="157"/>
      <c r="B190" s="157"/>
      <c r="C190" s="157"/>
      <c r="D190" s="10"/>
      <c r="E190" s="10"/>
      <c r="F190" s="10"/>
      <c r="G190" s="10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ht="15.75" customHeight="1">
      <c r="A191" s="157"/>
      <c r="B191" s="157"/>
      <c r="C191" s="157"/>
      <c r="D191" s="10"/>
      <c r="E191" s="10"/>
      <c r="F191" s="10"/>
      <c r="G191" s="10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ht="15.75" customHeight="1">
      <c r="A192" s="157"/>
      <c r="B192" s="157"/>
      <c r="C192" s="157"/>
      <c r="D192" s="10"/>
      <c r="E192" s="10"/>
      <c r="F192" s="10"/>
      <c r="G192" s="10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ht="15.75" customHeight="1">
      <c r="A193" s="157"/>
      <c r="B193" s="157"/>
      <c r="C193" s="157"/>
      <c r="D193" s="10"/>
      <c r="E193" s="10"/>
      <c r="F193" s="10"/>
      <c r="G193" s="10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ht="15.75" customHeight="1">
      <c r="A194" s="157"/>
      <c r="B194" s="157"/>
      <c r="C194" s="157"/>
      <c r="D194" s="10"/>
      <c r="E194" s="10"/>
      <c r="F194" s="10"/>
      <c r="G194" s="10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ht="15.75" customHeight="1">
      <c r="A195" s="157"/>
      <c r="B195" s="157"/>
      <c r="C195" s="157"/>
      <c r="D195" s="10"/>
      <c r="E195" s="10"/>
      <c r="F195" s="10"/>
      <c r="G195" s="10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ht="15.75" customHeight="1">
      <c r="A196" s="157"/>
      <c r="B196" s="157"/>
      <c r="C196" s="157"/>
      <c r="D196" s="10"/>
      <c r="E196" s="10"/>
      <c r="F196" s="10"/>
      <c r="G196" s="10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ht="15.75" customHeight="1">
      <c r="A197" s="157"/>
      <c r="B197" s="157"/>
      <c r="C197" s="157"/>
      <c r="D197" s="10"/>
      <c r="E197" s="10"/>
      <c r="F197" s="10"/>
      <c r="G197" s="10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ht="15.75" customHeight="1">
      <c r="A198" s="157"/>
      <c r="B198" s="157"/>
      <c r="C198" s="157"/>
      <c r="D198" s="10"/>
      <c r="E198" s="10"/>
      <c r="F198" s="10"/>
      <c r="G198" s="10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ht="15.75" customHeight="1">
      <c r="A199" s="157"/>
      <c r="B199" s="157"/>
      <c r="C199" s="157"/>
      <c r="D199" s="10"/>
      <c r="E199" s="10"/>
      <c r="F199" s="10"/>
      <c r="G199" s="10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ht="15.75" customHeight="1">
      <c r="A200" s="157"/>
      <c r="B200" s="157"/>
      <c r="C200" s="157"/>
      <c r="D200" s="10"/>
      <c r="E200" s="10"/>
      <c r="F200" s="10"/>
      <c r="G200" s="10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ht="15.75" customHeight="1">
      <c r="A201" s="157"/>
      <c r="B201" s="157"/>
      <c r="C201" s="157"/>
      <c r="D201" s="10"/>
      <c r="E201" s="10"/>
      <c r="F201" s="10"/>
      <c r="G201" s="10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ht="15.75" customHeight="1">
      <c r="A202" s="157"/>
      <c r="B202" s="157"/>
      <c r="C202" s="157"/>
      <c r="D202" s="10"/>
      <c r="E202" s="10"/>
      <c r="F202" s="10"/>
      <c r="G202" s="10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ht="15.75" customHeight="1">
      <c r="A203" s="157"/>
      <c r="B203" s="157"/>
      <c r="C203" s="157"/>
      <c r="D203" s="10"/>
      <c r="E203" s="10"/>
      <c r="F203" s="10"/>
      <c r="G203" s="10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ht="15.75" customHeight="1">
      <c r="A204" s="157"/>
      <c r="B204" s="157"/>
      <c r="C204" s="157"/>
      <c r="D204" s="10"/>
      <c r="E204" s="10"/>
      <c r="F204" s="10"/>
      <c r="G204" s="10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ht="15.75" customHeight="1">
      <c r="A205" s="157"/>
      <c r="B205" s="157"/>
      <c r="C205" s="157"/>
      <c r="D205" s="10"/>
      <c r="E205" s="10"/>
      <c r="F205" s="10"/>
      <c r="G205" s="10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ht="15.75" customHeight="1">
      <c r="A206" s="157"/>
      <c r="B206" s="157"/>
      <c r="C206" s="157"/>
      <c r="D206" s="10"/>
      <c r="E206" s="10"/>
      <c r="F206" s="10"/>
      <c r="G206" s="10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ht="15.75" customHeight="1">
      <c r="A207" s="157"/>
      <c r="B207" s="157"/>
      <c r="C207" s="157"/>
      <c r="D207" s="10"/>
      <c r="E207" s="10"/>
      <c r="F207" s="10"/>
      <c r="G207" s="10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ht="15.75" customHeight="1">
      <c r="A208" s="157"/>
      <c r="B208" s="157"/>
      <c r="C208" s="157"/>
      <c r="D208" s="10"/>
      <c r="E208" s="10"/>
      <c r="F208" s="10"/>
      <c r="G208" s="10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ht="15.75" customHeight="1">
      <c r="A209" s="157"/>
      <c r="B209" s="157"/>
      <c r="C209" s="157"/>
      <c r="D209" s="10"/>
      <c r="E209" s="10"/>
      <c r="F209" s="10"/>
      <c r="G209" s="10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ht="15.75" customHeight="1">
      <c r="A210" s="157"/>
      <c r="B210" s="157"/>
      <c r="C210" s="157"/>
      <c r="D210" s="10"/>
      <c r="E210" s="10"/>
      <c r="F210" s="10"/>
      <c r="G210" s="10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ht="15.75" customHeight="1">
      <c r="A211" s="157"/>
      <c r="B211" s="157"/>
      <c r="C211" s="157"/>
      <c r="D211" s="10"/>
      <c r="E211" s="10"/>
      <c r="F211" s="10"/>
      <c r="G211" s="10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ht="15.75" customHeight="1">
      <c r="A212" s="157"/>
      <c r="B212" s="157"/>
      <c r="C212" s="157"/>
      <c r="D212" s="10"/>
      <c r="E212" s="10"/>
      <c r="F212" s="10"/>
      <c r="G212" s="10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ht="15.75" customHeight="1">
      <c r="A213" s="157"/>
      <c r="B213" s="157"/>
      <c r="C213" s="157"/>
      <c r="D213" s="10"/>
      <c r="E213" s="10"/>
      <c r="F213" s="10"/>
      <c r="G213" s="10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ht="15.75" customHeight="1">
      <c r="A214" s="157"/>
      <c r="B214" s="157"/>
      <c r="C214" s="157"/>
      <c r="D214" s="10"/>
      <c r="E214" s="10"/>
      <c r="F214" s="10"/>
      <c r="G214" s="10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ht="15.75" customHeight="1">
      <c r="A215" s="157"/>
      <c r="B215" s="157"/>
      <c r="C215" s="157"/>
      <c r="D215" s="10"/>
      <c r="E215" s="10"/>
      <c r="F215" s="10"/>
      <c r="G215" s="10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ht="15.75" customHeight="1">
      <c r="A216" s="157"/>
      <c r="B216" s="157"/>
      <c r="C216" s="157"/>
      <c r="D216" s="10"/>
      <c r="E216" s="10"/>
      <c r="F216" s="10"/>
      <c r="G216" s="10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15.75" customHeight="1">
      <c r="A217" s="157"/>
      <c r="B217" s="157"/>
      <c r="C217" s="157"/>
      <c r="D217" s="10"/>
      <c r="E217" s="10"/>
      <c r="F217" s="10"/>
      <c r="G217" s="10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ht="15.75" customHeight="1">
      <c r="A218" s="157"/>
      <c r="B218" s="157"/>
      <c r="C218" s="157"/>
      <c r="D218" s="10"/>
      <c r="E218" s="10"/>
      <c r="F218" s="10"/>
      <c r="G218" s="10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ht="15.75" customHeight="1">
      <c r="A219" s="157"/>
      <c r="B219" s="157"/>
      <c r="C219" s="157"/>
      <c r="D219" s="10"/>
      <c r="E219" s="10"/>
      <c r="F219" s="10"/>
      <c r="G219" s="10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ht="15.75" customHeight="1">
      <c r="A220" s="157"/>
      <c r="B220" s="157"/>
      <c r="C220" s="157"/>
      <c r="D220" s="10"/>
      <c r="E220" s="10"/>
      <c r="F220" s="10"/>
      <c r="G220" s="10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ht="15.75" customHeight="1">
      <c r="A221" s="157"/>
      <c r="B221" s="157"/>
      <c r="C221" s="157"/>
      <c r="D221" s="10"/>
      <c r="E221" s="10"/>
      <c r="F221" s="10"/>
      <c r="G221" s="10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ht="15.75" customHeight="1">
      <c r="A222" s="157"/>
      <c r="B222" s="157"/>
      <c r="C222" s="157"/>
      <c r="D222" s="10"/>
      <c r="E222" s="10"/>
      <c r="F222" s="10"/>
      <c r="G222" s="10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ht="15.75" customHeight="1">
      <c r="A223" s="157"/>
      <c r="B223" s="157"/>
      <c r="C223" s="157"/>
      <c r="D223" s="10"/>
      <c r="E223" s="10"/>
      <c r="F223" s="10"/>
      <c r="G223" s="10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ht="15.75" customHeight="1">
      <c r="A224" s="157"/>
      <c r="B224" s="157"/>
      <c r="C224" s="157"/>
      <c r="D224" s="10"/>
      <c r="E224" s="10"/>
      <c r="F224" s="10"/>
      <c r="G224" s="10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ht="15.75" customHeight="1">
      <c r="A225" s="157"/>
      <c r="B225" s="157"/>
      <c r="C225" s="157"/>
      <c r="D225" s="10"/>
      <c r="E225" s="10"/>
      <c r="F225" s="10"/>
      <c r="G225" s="10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ht="15.75" customHeight="1">
      <c r="A226" s="157"/>
      <c r="B226" s="157"/>
      <c r="C226" s="157"/>
      <c r="D226" s="10"/>
      <c r="E226" s="10"/>
      <c r="F226" s="10"/>
      <c r="G226" s="10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ht="15.75" customHeight="1">
      <c r="A227" s="157"/>
      <c r="B227" s="157"/>
      <c r="C227" s="157"/>
      <c r="D227" s="10"/>
      <c r="E227" s="10"/>
      <c r="F227" s="10"/>
      <c r="G227" s="10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15.75" customHeight="1">
      <c r="A228" s="157"/>
      <c r="B228" s="157"/>
      <c r="C228" s="157"/>
      <c r="D228" s="10"/>
      <c r="E228" s="10"/>
      <c r="F228" s="10"/>
      <c r="G228" s="10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ht="15.75" customHeight="1">
      <c r="A229" s="157"/>
      <c r="B229" s="157"/>
      <c r="C229" s="157"/>
      <c r="D229" s="10"/>
      <c r="E229" s="10"/>
      <c r="F229" s="10"/>
      <c r="G229" s="10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ht="15.75" customHeight="1">
      <c r="A230" s="157"/>
      <c r="B230" s="157"/>
      <c r="C230" s="157"/>
      <c r="D230" s="10"/>
      <c r="E230" s="10"/>
      <c r="F230" s="10"/>
      <c r="G230" s="10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ht="15.75" customHeight="1">
      <c r="A231" s="157"/>
      <c r="B231" s="157"/>
      <c r="C231" s="157"/>
      <c r="D231" s="10"/>
      <c r="E231" s="10"/>
      <c r="F231" s="10"/>
      <c r="G231" s="10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ht="15.75" customHeight="1">
      <c r="A232" s="157"/>
      <c r="B232" s="157"/>
      <c r="C232" s="157"/>
      <c r="D232" s="10"/>
      <c r="E232" s="10"/>
      <c r="F232" s="10"/>
      <c r="G232" s="10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ht="15.75" customHeight="1">
      <c r="A233" s="157"/>
      <c r="B233" s="157"/>
      <c r="C233" s="157"/>
      <c r="D233" s="10"/>
      <c r="E233" s="10"/>
      <c r="F233" s="10"/>
      <c r="G233" s="10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ht="15.75" customHeight="1">
      <c r="A234" s="157"/>
      <c r="B234" s="157"/>
      <c r="C234" s="157"/>
      <c r="D234" s="10"/>
      <c r="E234" s="10"/>
      <c r="F234" s="10"/>
      <c r="G234" s="10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ht="15.75" customHeight="1">
      <c r="A235" s="157"/>
      <c r="B235" s="157"/>
      <c r="C235" s="157"/>
      <c r="D235" s="10"/>
      <c r="E235" s="10"/>
      <c r="F235" s="10"/>
      <c r="G235" s="10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ht="15.75" customHeight="1">
      <c r="A236" s="157"/>
      <c r="B236" s="157"/>
      <c r="C236" s="157"/>
      <c r="D236" s="10"/>
      <c r="E236" s="10"/>
      <c r="F236" s="10"/>
      <c r="G236" s="10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ht="15.75" customHeight="1">
      <c r="A237" s="157"/>
      <c r="B237" s="157"/>
      <c r="C237" s="157"/>
      <c r="D237" s="10"/>
      <c r="E237" s="10"/>
      <c r="F237" s="10"/>
      <c r="G237" s="10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ht="15.75" customHeight="1">
      <c r="A238" s="157"/>
      <c r="B238" s="157"/>
      <c r="C238" s="157"/>
      <c r="D238" s="10"/>
      <c r="E238" s="10"/>
      <c r="F238" s="10"/>
      <c r="G238" s="10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ht="15.75" customHeight="1">
      <c r="A239" s="157"/>
      <c r="B239" s="157"/>
      <c r="C239" s="157"/>
      <c r="D239" s="10"/>
      <c r="E239" s="10"/>
      <c r="F239" s="10"/>
      <c r="G239" s="10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ht="15.75" customHeight="1">
      <c r="A240" s="157"/>
      <c r="B240" s="157"/>
      <c r="C240" s="157"/>
      <c r="D240" s="10"/>
      <c r="E240" s="10"/>
      <c r="F240" s="10"/>
      <c r="G240" s="10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ht="15.75" customHeight="1">
      <c r="A241" s="157"/>
      <c r="B241" s="157"/>
      <c r="C241" s="157"/>
      <c r="D241" s="10"/>
      <c r="E241" s="10"/>
      <c r="F241" s="10"/>
      <c r="G241" s="10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ht="15.75" customHeight="1">
      <c r="A242" s="157"/>
      <c r="B242" s="157"/>
      <c r="C242" s="157"/>
      <c r="D242" s="10"/>
      <c r="E242" s="10"/>
      <c r="F242" s="10"/>
      <c r="G242" s="10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ht="15.75" customHeight="1">
      <c r="A243" s="157"/>
      <c r="B243" s="157"/>
      <c r="C243" s="157"/>
      <c r="D243" s="10"/>
      <c r="E243" s="10"/>
      <c r="F243" s="10"/>
      <c r="G243" s="10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ht="15.75" customHeight="1">
      <c r="A244" s="157"/>
      <c r="B244" s="157"/>
      <c r="C244" s="157"/>
      <c r="D244" s="10"/>
      <c r="E244" s="10"/>
      <c r="F244" s="10"/>
      <c r="G244" s="10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ht="15.75" customHeight="1">
      <c r="A245" s="157"/>
      <c r="B245" s="157"/>
      <c r="C245" s="157"/>
      <c r="D245" s="10"/>
      <c r="E245" s="10"/>
      <c r="F245" s="10"/>
      <c r="G245" s="10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ht="15.75" customHeight="1">
      <c r="A246" s="157"/>
      <c r="B246" s="157"/>
      <c r="C246" s="157"/>
      <c r="D246" s="10"/>
      <c r="E246" s="10"/>
      <c r="F246" s="10"/>
      <c r="G246" s="10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ht="15.75" customHeight="1">
      <c r="A247" s="157"/>
      <c r="B247" s="157"/>
      <c r="C247" s="157"/>
      <c r="D247" s="10"/>
      <c r="E247" s="10"/>
      <c r="F247" s="10"/>
      <c r="G247" s="10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ht="15.75" customHeight="1">
      <c r="A248" s="157"/>
      <c r="B248" s="157"/>
      <c r="C248" s="157"/>
      <c r="D248" s="10"/>
      <c r="E248" s="10"/>
      <c r="F248" s="10"/>
      <c r="G248" s="10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ht="15.75" customHeight="1">
      <c r="A249" s="157"/>
      <c r="B249" s="157"/>
      <c r="C249" s="157"/>
      <c r="D249" s="10"/>
      <c r="E249" s="10"/>
      <c r="F249" s="10"/>
      <c r="G249" s="10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ht="15.75" customHeight="1">
      <c r="A250" s="157"/>
      <c r="B250" s="157"/>
      <c r="C250" s="157"/>
      <c r="D250" s="10"/>
      <c r="E250" s="10"/>
      <c r="F250" s="10"/>
      <c r="G250" s="10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ht="15.75" customHeight="1">
      <c r="A251" s="157"/>
      <c r="B251" s="157"/>
      <c r="C251" s="157"/>
      <c r="D251" s="10"/>
      <c r="E251" s="10"/>
      <c r="F251" s="10"/>
      <c r="G251" s="10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ht="15.75" customHeight="1">
      <c r="A252" s="157"/>
      <c r="B252" s="157"/>
      <c r="C252" s="157"/>
      <c r="D252" s="10"/>
      <c r="E252" s="10"/>
      <c r="F252" s="10"/>
      <c r="G252" s="10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ht="15.75" customHeight="1">
      <c r="A253" s="157"/>
      <c r="B253" s="157"/>
      <c r="C253" s="157"/>
      <c r="D253" s="10"/>
      <c r="E253" s="10"/>
      <c r="F253" s="10"/>
      <c r="G253" s="10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ht="15.75" customHeight="1">
      <c r="A254" s="157"/>
      <c r="B254" s="157"/>
      <c r="C254" s="157"/>
      <c r="D254" s="10"/>
      <c r="E254" s="10"/>
      <c r="F254" s="10"/>
      <c r="G254" s="10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ht="15.75" customHeight="1">
      <c r="A255" s="157"/>
      <c r="B255" s="157"/>
      <c r="C255" s="157"/>
      <c r="D255" s="10"/>
      <c r="E255" s="10"/>
      <c r="F255" s="10"/>
      <c r="G255" s="10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ht="15.75" customHeight="1">
      <c r="A256" s="157"/>
      <c r="B256" s="157"/>
      <c r="C256" s="157"/>
      <c r="D256" s="10"/>
      <c r="E256" s="10"/>
      <c r="F256" s="10"/>
      <c r="G256" s="10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ht="15.75" customHeight="1">
      <c r="A257" s="157"/>
      <c r="B257" s="157"/>
      <c r="C257" s="157"/>
      <c r="D257" s="10"/>
      <c r="E257" s="10"/>
      <c r="F257" s="10"/>
      <c r="G257" s="10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ht="15.75" customHeight="1">
      <c r="A258" s="157"/>
      <c r="B258" s="157"/>
      <c r="C258" s="157"/>
      <c r="D258" s="10"/>
      <c r="E258" s="10"/>
      <c r="F258" s="10"/>
      <c r="G258" s="10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ht="15.75" customHeight="1">
      <c r="A259" s="157"/>
      <c r="B259" s="157"/>
      <c r="C259" s="157"/>
      <c r="D259" s="10"/>
      <c r="E259" s="10"/>
      <c r="F259" s="10"/>
      <c r="G259" s="10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ht="15.75" customHeight="1">
      <c r="A260" s="157"/>
      <c r="B260" s="157"/>
      <c r="C260" s="157"/>
      <c r="D260" s="10"/>
      <c r="E260" s="10"/>
      <c r="F260" s="10"/>
      <c r="G260" s="10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ht="15.75" customHeight="1">
      <c r="A261" s="157"/>
      <c r="B261" s="157"/>
      <c r="C261" s="157"/>
      <c r="D261" s="10"/>
      <c r="E261" s="10"/>
      <c r="F261" s="10"/>
      <c r="G261" s="10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ht="15.75" customHeight="1">
      <c r="A262" s="157"/>
      <c r="B262" s="157"/>
      <c r="C262" s="157"/>
      <c r="D262" s="10"/>
      <c r="E262" s="10"/>
      <c r="F262" s="10"/>
      <c r="G262" s="10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ht="15.75" customHeight="1">
      <c r="A263" s="157"/>
      <c r="B263" s="157"/>
      <c r="C263" s="157"/>
      <c r="D263" s="10"/>
      <c r="E263" s="10"/>
      <c r="F263" s="10"/>
      <c r="G263" s="10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ht="15.75" customHeight="1">
      <c r="A264" s="157"/>
      <c r="B264" s="157"/>
      <c r="C264" s="157"/>
      <c r="D264" s="10"/>
      <c r="E264" s="10"/>
      <c r="F264" s="10"/>
      <c r="G264" s="10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ht="15.75" customHeight="1">
      <c r="A265" s="157"/>
      <c r="B265" s="157"/>
      <c r="C265" s="157"/>
      <c r="D265" s="10"/>
      <c r="E265" s="10"/>
      <c r="F265" s="10"/>
      <c r="G265" s="10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ht="15.75" customHeight="1">
      <c r="A266" s="157"/>
      <c r="B266" s="157"/>
      <c r="C266" s="157"/>
      <c r="D266" s="10"/>
      <c r="E266" s="10"/>
      <c r="F266" s="10"/>
      <c r="G266" s="10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ht="15.75" customHeight="1">
      <c r="A267" s="157"/>
      <c r="B267" s="157"/>
      <c r="C267" s="157"/>
      <c r="D267" s="10"/>
      <c r="E267" s="10"/>
      <c r="F267" s="10"/>
      <c r="G267" s="10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ht="15.75" customHeight="1">
      <c r="A268" s="157"/>
      <c r="B268" s="157"/>
      <c r="C268" s="157"/>
      <c r="D268" s="10"/>
      <c r="E268" s="10"/>
      <c r="F268" s="10"/>
      <c r="G268" s="10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ht="15.75" customHeight="1">
      <c r="A269" s="157"/>
      <c r="B269" s="157"/>
      <c r="C269" s="157"/>
      <c r="D269" s="10"/>
      <c r="E269" s="10"/>
      <c r="F269" s="10"/>
      <c r="G269" s="10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ht="15.75" customHeight="1">
      <c r="A270" s="157"/>
      <c r="B270" s="157"/>
      <c r="C270" s="157"/>
      <c r="D270" s="10"/>
      <c r="E270" s="10"/>
      <c r="F270" s="10"/>
      <c r="G270" s="10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ht="15.75" customHeight="1">
      <c r="A271" s="157"/>
      <c r="B271" s="157"/>
      <c r="C271" s="157"/>
      <c r="D271" s="10"/>
      <c r="E271" s="10"/>
      <c r="F271" s="10"/>
      <c r="G271" s="10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ht="15.75" customHeight="1">
      <c r="A272" s="157"/>
      <c r="B272" s="157"/>
      <c r="C272" s="157"/>
      <c r="D272" s="10"/>
      <c r="E272" s="10"/>
      <c r="F272" s="10"/>
      <c r="G272" s="10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ht="15.75" customHeight="1">
      <c r="A273" s="157"/>
      <c r="B273" s="157"/>
      <c r="C273" s="157"/>
      <c r="D273" s="10"/>
      <c r="E273" s="10"/>
      <c r="F273" s="10"/>
      <c r="G273" s="10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ht="15.75" customHeight="1">
      <c r="A274" s="157"/>
      <c r="B274" s="157"/>
      <c r="C274" s="157"/>
      <c r="D274" s="10"/>
      <c r="E274" s="10"/>
      <c r="F274" s="10"/>
      <c r="G274" s="10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ht="15.75" customHeight="1">
      <c r="A275" s="157"/>
      <c r="B275" s="157"/>
      <c r="C275" s="157"/>
      <c r="D275" s="10"/>
      <c r="E275" s="10"/>
      <c r="F275" s="10"/>
      <c r="G275" s="10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ht="15.75" customHeight="1">
      <c r="A276" s="157"/>
      <c r="B276" s="157"/>
      <c r="C276" s="157"/>
      <c r="D276" s="10"/>
      <c r="E276" s="10"/>
      <c r="F276" s="10"/>
      <c r="G276" s="10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ht="15.75" customHeight="1">
      <c r="A277" s="157"/>
      <c r="B277" s="157"/>
      <c r="C277" s="157"/>
      <c r="D277" s="10"/>
      <c r="E277" s="10"/>
      <c r="F277" s="10"/>
      <c r="G277" s="10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ht="15.75" customHeight="1">
      <c r="A278" s="157"/>
      <c r="B278" s="157"/>
      <c r="C278" s="157"/>
      <c r="D278" s="10"/>
      <c r="E278" s="10"/>
      <c r="F278" s="10"/>
      <c r="G278" s="10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ht="15.75" customHeight="1">
      <c r="A279" s="157"/>
      <c r="B279" s="157"/>
      <c r="C279" s="157"/>
      <c r="D279" s="10"/>
      <c r="E279" s="10"/>
      <c r="F279" s="10"/>
      <c r="G279" s="10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ht="15.75" customHeight="1">
      <c r="A280" s="157"/>
      <c r="B280" s="157"/>
      <c r="C280" s="157"/>
      <c r="D280" s="10"/>
      <c r="E280" s="10"/>
      <c r="F280" s="10"/>
      <c r="G280" s="10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ht="15.75" customHeight="1">
      <c r="A281" s="157"/>
      <c r="B281" s="157"/>
      <c r="C281" s="157"/>
      <c r="D281" s="10"/>
      <c r="E281" s="10"/>
      <c r="F281" s="10"/>
      <c r="G281" s="10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ht="15.75" customHeight="1">
      <c r="A282" s="157"/>
      <c r="B282" s="157"/>
      <c r="C282" s="157"/>
      <c r="D282" s="10"/>
      <c r="E282" s="10"/>
      <c r="F282" s="10"/>
      <c r="G282" s="10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ht="15.75" customHeight="1">
      <c r="A283" s="157"/>
      <c r="B283" s="157"/>
      <c r="C283" s="157"/>
      <c r="D283" s="10"/>
      <c r="E283" s="10"/>
      <c r="F283" s="10"/>
      <c r="G283" s="10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ht="15.75" customHeight="1">
      <c r="A284" s="157"/>
      <c r="B284" s="157"/>
      <c r="C284" s="157"/>
      <c r="D284" s="10"/>
      <c r="E284" s="10"/>
      <c r="F284" s="10"/>
      <c r="G284" s="10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ht="15.75" customHeight="1">
      <c r="A285" s="157"/>
      <c r="B285" s="157"/>
      <c r="C285" s="157"/>
      <c r="D285" s="10"/>
      <c r="E285" s="10"/>
      <c r="F285" s="10"/>
      <c r="G285" s="10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ht="15.75" customHeight="1">
      <c r="A286" s="157"/>
      <c r="B286" s="157"/>
      <c r="C286" s="157"/>
      <c r="D286" s="10"/>
      <c r="E286" s="10"/>
      <c r="F286" s="10"/>
      <c r="G286" s="10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ht="15.75" customHeight="1">
      <c r="A287" s="157"/>
      <c r="B287" s="157"/>
      <c r="C287" s="157"/>
      <c r="D287" s="10"/>
      <c r="E287" s="10"/>
      <c r="F287" s="10"/>
      <c r="G287" s="10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ht="15.75" customHeight="1">
      <c r="A288" s="157"/>
      <c r="B288" s="157"/>
      <c r="C288" s="157"/>
      <c r="D288" s="10"/>
      <c r="E288" s="10"/>
      <c r="F288" s="10"/>
      <c r="G288" s="10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ht="15.75" customHeight="1">
      <c r="A289" s="157"/>
      <c r="B289" s="157"/>
      <c r="C289" s="157"/>
      <c r="D289" s="10"/>
      <c r="E289" s="10"/>
      <c r="F289" s="10"/>
      <c r="G289" s="10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ht="15.75" customHeight="1">
      <c r="A290" s="157"/>
      <c r="B290" s="157"/>
      <c r="C290" s="157"/>
      <c r="D290" s="10"/>
      <c r="E290" s="10"/>
      <c r="F290" s="10"/>
      <c r="G290" s="10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ht="15.75" customHeight="1">
      <c r="A291" s="157"/>
      <c r="B291" s="157"/>
      <c r="C291" s="157"/>
      <c r="D291" s="10"/>
      <c r="E291" s="10"/>
      <c r="F291" s="10"/>
      <c r="G291" s="10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ht="15.75" customHeight="1">
      <c r="A292" s="157"/>
      <c r="B292" s="157"/>
      <c r="C292" s="157"/>
      <c r="D292" s="10"/>
      <c r="E292" s="10"/>
      <c r="F292" s="10"/>
      <c r="G292" s="10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ht="15.75" customHeight="1">
      <c r="A293" s="157"/>
      <c r="B293" s="157"/>
      <c r="C293" s="157"/>
      <c r="D293" s="10"/>
      <c r="E293" s="10"/>
      <c r="F293" s="10"/>
      <c r="G293" s="10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ht="15.75" customHeight="1">
      <c r="A294" s="157"/>
      <c r="B294" s="157"/>
      <c r="C294" s="157"/>
      <c r="D294" s="10"/>
      <c r="E294" s="10"/>
      <c r="F294" s="10"/>
      <c r="G294" s="10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ht="15.75" customHeight="1">
      <c r="A295" s="157"/>
      <c r="B295" s="157"/>
      <c r="C295" s="157"/>
      <c r="D295" s="10"/>
      <c r="E295" s="10"/>
      <c r="F295" s="10"/>
      <c r="G295" s="10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ht="15.75" customHeight="1">
      <c r="A296" s="157"/>
      <c r="B296" s="157"/>
      <c r="C296" s="157"/>
      <c r="D296" s="10"/>
      <c r="E296" s="10"/>
      <c r="F296" s="10"/>
      <c r="G296" s="10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ht="15.75" customHeight="1">
      <c r="A297" s="157"/>
      <c r="B297" s="157"/>
      <c r="C297" s="157"/>
      <c r="D297" s="10"/>
      <c r="E297" s="10"/>
      <c r="F297" s="10"/>
      <c r="G297" s="10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ht="15.75" customHeight="1">
      <c r="A298" s="157"/>
      <c r="B298" s="157"/>
      <c r="C298" s="157"/>
      <c r="D298" s="10"/>
      <c r="E298" s="10"/>
      <c r="F298" s="10"/>
      <c r="G298" s="10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ht="15.75" customHeight="1">
      <c r="A299" s="157"/>
      <c r="B299" s="157"/>
      <c r="C299" s="157"/>
      <c r="D299" s="10"/>
      <c r="E299" s="10"/>
      <c r="F299" s="10"/>
      <c r="G299" s="10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ht="15.75" customHeight="1">
      <c r="A300" s="157"/>
      <c r="B300" s="157"/>
      <c r="C300" s="157"/>
      <c r="D300" s="10"/>
      <c r="E300" s="10"/>
      <c r="F300" s="10"/>
      <c r="G300" s="10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ht="15.75" customHeight="1">
      <c r="A301" s="157"/>
      <c r="B301" s="157"/>
      <c r="C301" s="157"/>
      <c r="D301" s="10"/>
      <c r="E301" s="10"/>
      <c r="F301" s="10"/>
      <c r="G301" s="10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ht="15.75" customHeight="1">
      <c r="A302" s="157"/>
      <c r="B302" s="157"/>
      <c r="C302" s="157"/>
      <c r="D302" s="10"/>
      <c r="E302" s="10"/>
      <c r="F302" s="10"/>
      <c r="G302" s="10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ht="15.75" customHeight="1">
      <c r="A303" s="157"/>
      <c r="B303" s="157"/>
      <c r="C303" s="157"/>
      <c r="D303" s="10"/>
      <c r="E303" s="10"/>
      <c r="F303" s="10"/>
      <c r="G303" s="10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ht="15.75" customHeight="1">
      <c r="A304" s="157"/>
      <c r="B304" s="157"/>
      <c r="C304" s="157"/>
      <c r="D304" s="10"/>
      <c r="E304" s="10"/>
      <c r="F304" s="10"/>
      <c r="G304" s="10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ht="15.75" customHeight="1">
      <c r="A305" s="157"/>
      <c r="B305" s="157"/>
      <c r="C305" s="157"/>
      <c r="D305" s="10"/>
      <c r="E305" s="10"/>
      <c r="F305" s="10"/>
      <c r="G305" s="10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ht="15.75" customHeight="1">
      <c r="A306" s="157"/>
      <c r="B306" s="157"/>
      <c r="C306" s="157"/>
      <c r="D306" s="10"/>
      <c r="E306" s="10"/>
      <c r="F306" s="10"/>
      <c r="G306" s="10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ht="15.75" customHeight="1">
      <c r="A307" s="157"/>
      <c r="B307" s="157"/>
      <c r="C307" s="157"/>
      <c r="D307" s="10"/>
      <c r="E307" s="10"/>
      <c r="F307" s="10"/>
      <c r="G307" s="10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ht="15.75" customHeight="1">
      <c r="A308" s="157"/>
      <c r="B308" s="157"/>
      <c r="C308" s="157"/>
      <c r="D308" s="10"/>
      <c r="E308" s="10"/>
      <c r="F308" s="10"/>
      <c r="G308" s="10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ht="15.75" customHeight="1">
      <c r="A309" s="157"/>
      <c r="B309" s="157"/>
      <c r="C309" s="157"/>
      <c r="D309" s="10"/>
      <c r="E309" s="10"/>
      <c r="F309" s="10"/>
      <c r="G309" s="10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ht="15.75" customHeight="1">
      <c r="A310" s="157"/>
      <c r="B310" s="157"/>
      <c r="C310" s="157"/>
      <c r="D310" s="10"/>
      <c r="E310" s="10"/>
      <c r="F310" s="10"/>
      <c r="G310" s="10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ht="15.75" customHeight="1">
      <c r="A311" s="157"/>
      <c r="B311" s="157"/>
      <c r="C311" s="157"/>
      <c r="D311" s="10"/>
      <c r="E311" s="10"/>
      <c r="F311" s="10"/>
      <c r="G311" s="10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ht="15.75" customHeight="1">
      <c r="A312" s="157"/>
      <c r="B312" s="157"/>
      <c r="C312" s="157"/>
      <c r="D312" s="10"/>
      <c r="E312" s="10"/>
      <c r="F312" s="10"/>
      <c r="G312" s="10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ht="15.75" customHeight="1">
      <c r="A313" s="157"/>
      <c r="B313" s="157"/>
      <c r="C313" s="157"/>
      <c r="D313" s="10"/>
      <c r="E313" s="10"/>
      <c r="F313" s="10"/>
      <c r="G313" s="10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ht="15.75" customHeight="1">
      <c r="A314" s="157"/>
      <c r="B314" s="157"/>
      <c r="C314" s="157"/>
      <c r="D314" s="10"/>
      <c r="E314" s="10"/>
      <c r="F314" s="10"/>
      <c r="G314" s="10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ht="15.75" customHeight="1">
      <c r="A315" s="157"/>
      <c r="B315" s="157"/>
      <c r="C315" s="157"/>
      <c r="D315" s="10"/>
      <c r="E315" s="10"/>
      <c r="F315" s="10"/>
      <c r="G315" s="10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ht="15.75" customHeight="1">
      <c r="A316" s="157"/>
      <c r="B316" s="157"/>
      <c r="C316" s="157"/>
      <c r="D316" s="10"/>
      <c r="E316" s="10"/>
      <c r="F316" s="10"/>
      <c r="G316" s="10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ht="15.75" customHeight="1">
      <c r="A317" s="157"/>
      <c r="B317" s="157"/>
      <c r="C317" s="157"/>
      <c r="D317" s="10"/>
      <c r="E317" s="10"/>
      <c r="F317" s="10"/>
      <c r="G317" s="10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ht="15.75" customHeight="1">
      <c r="A318" s="157"/>
      <c r="B318" s="157"/>
      <c r="C318" s="157"/>
      <c r="D318" s="10"/>
      <c r="E318" s="10"/>
      <c r="F318" s="10"/>
      <c r="G318" s="10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ht="15.75" customHeight="1">
      <c r="A319" s="157"/>
      <c r="B319" s="157"/>
      <c r="C319" s="157"/>
      <c r="D319" s="10"/>
      <c r="E319" s="10"/>
      <c r="F319" s="10"/>
      <c r="G319" s="10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ht="15.75" customHeight="1">
      <c r="A320" s="157"/>
      <c r="B320" s="157"/>
      <c r="C320" s="157"/>
      <c r="D320" s="10"/>
      <c r="E320" s="10"/>
      <c r="F320" s="10"/>
      <c r="G320" s="10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ht="15.75" customHeight="1">
      <c r="A321" s="157"/>
      <c r="B321" s="157"/>
      <c r="C321" s="157"/>
      <c r="D321" s="10"/>
      <c r="E321" s="10"/>
      <c r="F321" s="10"/>
      <c r="G321" s="10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ht="15.75" customHeight="1">
      <c r="A322" s="157"/>
      <c r="B322" s="157"/>
      <c r="C322" s="157"/>
      <c r="D322" s="10"/>
      <c r="E322" s="10"/>
      <c r="F322" s="10"/>
      <c r="G322" s="10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ht="15.75" customHeight="1">
      <c r="A323" s="157"/>
      <c r="B323" s="157"/>
      <c r="C323" s="157"/>
      <c r="D323" s="10"/>
      <c r="E323" s="10"/>
      <c r="F323" s="10"/>
      <c r="G323" s="10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ht="15.75" customHeight="1">
      <c r="A324" s="157"/>
      <c r="B324" s="157"/>
      <c r="C324" s="157"/>
      <c r="D324" s="10"/>
      <c r="E324" s="10"/>
      <c r="F324" s="10"/>
      <c r="G324" s="10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ht="15.75" customHeight="1">
      <c r="A325" s="157"/>
      <c r="B325" s="157"/>
      <c r="C325" s="157"/>
      <c r="D325" s="10"/>
      <c r="E325" s="10"/>
      <c r="F325" s="10"/>
      <c r="G325" s="10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ht="15.75" customHeight="1">
      <c r="A326" s="157"/>
      <c r="B326" s="157"/>
      <c r="C326" s="157"/>
      <c r="D326" s="10"/>
      <c r="E326" s="10"/>
      <c r="F326" s="10"/>
      <c r="G326" s="10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ht="15.75" customHeight="1">
      <c r="A327" s="157"/>
      <c r="B327" s="157"/>
      <c r="C327" s="157"/>
      <c r="D327" s="10"/>
      <c r="E327" s="10"/>
      <c r="F327" s="10"/>
      <c r="G327" s="10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ht="15.75" customHeight="1">
      <c r="A328" s="157"/>
      <c r="B328" s="157"/>
      <c r="C328" s="157"/>
      <c r="D328" s="10"/>
      <c r="E328" s="10"/>
      <c r="F328" s="10"/>
      <c r="G328" s="10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ht="15.75" customHeight="1">
      <c r="A329" s="157"/>
      <c r="B329" s="157"/>
      <c r="C329" s="157"/>
      <c r="D329" s="10"/>
      <c r="E329" s="10"/>
      <c r="F329" s="10"/>
      <c r="G329" s="10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ht="15.75" customHeight="1">
      <c r="A330" s="157"/>
      <c r="B330" s="157"/>
      <c r="C330" s="157"/>
      <c r="D330" s="10"/>
      <c r="E330" s="10"/>
      <c r="F330" s="10"/>
      <c r="G330" s="10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ht="15.75" customHeight="1">
      <c r="A331" s="157"/>
      <c r="B331" s="157"/>
      <c r="C331" s="157"/>
      <c r="D331" s="10"/>
      <c r="E331" s="10"/>
      <c r="F331" s="10"/>
      <c r="G331" s="10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ht="15.75" customHeight="1">
      <c r="A332" s="157"/>
      <c r="B332" s="157"/>
      <c r="C332" s="157"/>
      <c r="D332" s="10"/>
      <c r="E332" s="10"/>
      <c r="F332" s="10"/>
      <c r="G332" s="10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ht="15.75" customHeight="1">
      <c r="A333" s="157"/>
      <c r="B333" s="157"/>
      <c r="C333" s="157"/>
      <c r="D333" s="10"/>
      <c r="E333" s="10"/>
      <c r="F333" s="10"/>
      <c r="G333" s="10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ht="15.75" customHeight="1">
      <c r="A334" s="157"/>
      <c r="B334" s="157"/>
      <c r="C334" s="157"/>
      <c r="D334" s="10"/>
      <c r="E334" s="10"/>
      <c r="F334" s="10"/>
      <c r="G334" s="10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ht="15.75" customHeight="1">
      <c r="A335" s="157"/>
      <c r="B335" s="157"/>
      <c r="C335" s="157"/>
      <c r="D335" s="10"/>
      <c r="E335" s="10"/>
      <c r="F335" s="10"/>
      <c r="G335" s="10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ht="15.75" customHeight="1">
      <c r="A336" s="157"/>
      <c r="B336" s="157"/>
      <c r="C336" s="157"/>
      <c r="D336" s="10"/>
      <c r="E336" s="10"/>
      <c r="F336" s="10"/>
      <c r="G336" s="10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ht="15.75" customHeight="1">
      <c r="A337" s="157"/>
      <c r="B337" s="157"/>
      <c r="C337" s="157"/>
      <c r="D337" s="10"/>
      <c r="E337" s="10"/>
      <c r="F337" s="10"/>
      <c r="G337" s="10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ht="15.75" customHeight="1">
      <c r="A338" s="157"/>
      <c r="B338" s="157"/>
      <c r="C338" s="157"/>
      <c r="D338" s="10"/>
      <c r="E338" s="10"/>
      <c r="F338" s="10"/>
      <c r="G338" s="10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ht="15.75" customHeight="1">
      <c r="A339" s="157"/>
      <c r="B339" s="157"/>
      <c r="C339" s="157"/>
      <c r="D339" s="10"/>
      <c r="E339" s="10"/>
      <c r="F339" s="10"/>
      <c r="G339" s="10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ht="15.75" customHeight="1">
      <c r="A340" s="157"/>
      <c r="B340" s="157"/>
      <c r="C340" s="157"/>
      <c r="D340" s="10"/>
      <c r="E340" s="10"/>
      <c r="F340" s="10"/>
      <c r="G340" s="10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ht="15.75" customHeight="1">
      <c r="A341" s="157"/>
      <c r="B341" s="157"/>
      <c r="C341" s="157"/>
      <c r="D341" s="10"/>
      <c r="E341" s="10"/>
      <c r="F341" s="10"/>
      <c r="G341" s="10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ht="15.75" customHeight="1">
      <c r="A342" s="157"/>
      <c r="B342" s="157"/>
      <c r="C342" s="157"/>
      <c r="D342" s="10"/>
      <c r="E342" s="10"/>
      <c r="F342" s="10"/>
      <c r="G342" s="10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ht="15.75" customHeight="1">
      <c r="A343" s="157"/>
      <c r="B343" s="157"/>
      <c r="C343" s="157"/>
      <c r="D343" s="10"/>
      <c r="E343" s="10"/>
      <c r="F343" s="10"/>
      <c r="G343" s="10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ht="15.75" customHeight="1">
      <c r="A344" s="157"/>
      <c r="B344" s="157"/>
      <c r="C344" s="157"/>
      <c r="D344" s="10"/>
      <c r="E344" s="10"/>
      <c r="F344" s="10"/>
      <c r="G344" s="10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ht="15.75" customHeight="1">
      <c r="A345" s="157"/>
      <c r="B345" s="157"/>
      <c r="C345" s="157"/>
      <c r="D345" s="10"/>
      <c r="E345" s="10"/>
      <c r="F345" s="10"/>
      <c r="G345" s="10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ht="15.75" customHeight="1">
      <c r="A346" s="157"/>
      <c r="B346" s="157"/>
      <c r="C346" s="157"/>
      <c r="D346" s="10"/>
      <c r="E346" s="10"/>
      <c r="F346" s="10"/>
      <c r="G346" s="10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ht="15.75" customHeight="1">
      <c r="A347" s="157"/>
      <c r="B347" s="157"/>
      <c r="C347" s="157"/>
      <c r="D347" s="10"/>
      <c r="E347" s="10"/>
      <c r="F347" s="10"/>
      <c r="G347" s="10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ht="15.75" customHeight="1">
      <c r="A348" s="157"/>
      <c r="B348" s="157"/>
      <c r="C348" s="157"/>
      <c r="D348" s="10"/>
      <c r="E348" s="10"/>
      <c r="F348" s="10"/>
      <c r="G348" s="10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ht="15.75" customHeight="1">
      <c r="A349" s="157"/>
      <c r="B349" s="157"/>
      <c r="C349" s="157"/>
      <c r="D349" s="10"/>
      <c r="E349" s="10"/>
      <c r="F349" s="10"/>
      <c r="G349" s="10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ht="15.75" customHeight="1">
      <c r="A350" s="157"/>
      <c r="B350" s="157"/>
      <c r="C350" s="157"/>
      <c r="D350" s="10"/>
      <c r="E350" s="10"/>
      <c r="F350" s="10"/>
      <c r="G350" s="10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ht="15.75" customHeight="1">
      <c r="A351" s="157"/>
      <c r="B351" s="157"/>
      <c r="C351" s="157"/>
      <c r="D351" s="10"/>
      <c r="E351" s="10"/>
      <c r="F351" s="10"/>
      <c r="G351" s="10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ht="15.75" customHeight="1">
      <c r="A352" s="157"/>
      <c r="B352" s="157"/>
      <c r="C352" s="157"/>
      <c r="D352" s="10"/>
      <c r="E352" s="10"/>
      <c r="F352" s="10"/>
      <c r="G352" s="10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ht="15.75" customHeight="1">
      <c r="A353" s="157"/>
      <c r="B353" s="157"/>
      <c r="C353" s="157"/>
      <c r="D353" s="10"/>
      <c r="E353" s="10"/>
      <c r="F353" s="10"/>
      <c r="G353" s="10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ht="15.75" customHeight="1">
      <c r="A354" s="157"/>
      <c r="B354" s="157"/>
      <c r="C354" s="157"/>
      <c r="D354" s="10"/>
      <c r="E354" s="10"/>
      <c r="F354" s="10"/>
      <c r="G354" s="10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ht="15.75" customHeight="1">
      <c r="A355" s="157"/>
      <c r="B355" s="157"/>
      <c r="C355" s="157"/>
      <c r="D355" s="10"/>
      <c r="E355" s="10"/>
      <c r="F355" s="10"/>
      <c r="G355" s="10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ht="15.75" customHeight="1">
      <c r="A356" s="157"/>
      <c r="B356" s="157"/>
      <c r="C356" s="157"/>
      <c r="D356" s="10"/>
      <c r="E356" s="10"/>
      <c r="F356" s="10"/>
      <c r="G356" s="10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ht="15.75" customHeight="1">
      <c r="A357" s="157"/>
      <c r="B357" s="157"/>
      <c r="C357" s="157"/>
      <c r="D357" s="10"/>
      <c r="E357" s="10"/>
      <c r="F357" s="10"/>
      <c r="G357" s="10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ht="15.75" customHeight="1">
      <c r="A358" s="157"/>
      <c r="B358" s="157"/>
      <c r="C358" s="157"/>
      <c r="D358" s="10"/>
      <c r="E358" s="10"/>
      <c r="F358" s="10"/>
      <c r="G358" s="10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ht="15.75" customHeight="1">
      <c r="A359" s="157"/>
      <c r="B359" s="157"/>
      <c r="C359" s="157"/>
      <c r="D359" s="10"/>
      <c r="E359" s="10"/>
      <c r="F359" s="10"/>
      <c r="G359" s="10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ht="15.75" customHeight="1">
      <c r="A360" s="157"/>
      <c r="B360" s="157"/>
      <c r="C360" s="157"/>
      <c r="D360" s="10"/>
      <c r="E360" s="10"/>
      <c r="F360" s="10"/>
      <c r="G360" s="10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ht="15.75" customHeight="1">
      <c r="A361" s="157"/>
      <c r="B361" s="157"/>
      <c r="C361" s="157"/>
      <c r="D361" s="10"/>
      <c r="E361" s="10"/>
      <c r="F361" s="10"/>
      <c r="G361" s="10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ht="15.75" customHeight="1">
      <c r="A362" s="157"/>
      <c r="B362" s="157"/>
      <c r="C362" s="157"/>
      <c r="D362" s="10"/>
      <c r="E362" s="10"/>
      <c r="F362" s="10"/>
      <c r="G362" s="10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ht="15.75" customHeight="1">
      <c r="A363" s="157"/>
      <c r="B363" s="157"/>
      <c r="C363" s="157"/>
      <c r="D363" s="10"/>
      <c r="E363" s="10"/>
      <c r="F363" s="10"/>
      <c r="G363" s="10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ht="15.75" customHeight="1">
      <c r="A364" s="157"/>
      <c r="B364" s="157"/>
      <c r="C364" s="157"/>
      <c r="D364" s="10"/>
      <c r="E364" s="10"/>
      <c r="F364" s="10"/>
      <c r="G364" s="10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ht="15.75" customHeight="1">
      <c r="A365" s="157"/>
      <c r="B365" s="157"/>
      <c r="C365" s="157"/>
      <c r="D365" s="10"/>
      <c r="E365" s="10"/>
      <c r="F365" s="10"/>
      <c r="G365" s="10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ht="15.75" customHeight="1">
      <c r="A366" s="157"/>
      <c r="B366" s="157"/>
      <c r="C366" s="157"/>
      <c r="D366" s="10"/>
      <c r="E366" s="10"/>
      <c r="F366" s="10"/>
      <c r="G366" s="10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ht="15.75" customHeight="1">
      <c r="A367" s="157"/>
      <c r="B367" s="157"/>
      <c r="C367" s="157"/>
      <c r="D367" s="10"/>
      <c r="E367" s="10"/>
      <c r="F367" s="10"/>
      <c r="G367" s="10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ht="15.75" customHeight="1">
      <c r="A368" s="157"/>
      <c r="B368" s="157"/>
      <c r="C368" s="157"/>
      <c r="D368" s="10"/>
      <c r="E368" s="10"/>
      <c r="F368" s="10"/>
      <c r="G368" s="10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ht="15.75" customHeight="1">
      <c r="A369" s="157"/>
      <c r="B369" s="157"/>
      <c r="C369" s="157"/>
      <c r="D369" s="10"/>
      <c r="E369" s="10"/>
      <c r="F369" s="10"/>
      <c r="G369" s="10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ht="15.75" customHeight="1">
      <c r="A370" s="157"/>
      <c r="B370" s="157"/>
      <c r="C370" s="157"/>
      <c r="D370" s="10"/>
      <c r="E370" s="10"/>
      <c r="F370" s="10"/>
      <c r="G370" s="10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ht="15.75" customHeight="1">
      <c r="A371" s="157"/>
      <c r="B371" s="157"/>
      <c r="C371" s="157"/>
      <c r="D371" s="10"/>
      <c r="E371" s="10"/>
      <c r="F371" s="10"/>
      <c r="G371" s="10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ht="15.75" customHeight="1">
      <c r="A372" s="157"/>
      <c r="B372" s="157"/>
      <c r="C372" s="157"/>
      <c r="D372" s="10"/>
      <c r="E372" s="10"/>
      <c r="F372" s="10"/>
      <c r="G372" s="10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ht="15.75" customHeight="1">
      <c r="A373" s="157"/>
      <c r="B373" s="157"/>
      <c r="C373" s="157"/>
      <c r="D373" s="10"/>
      <c r="E373" s="10"/>
      <c r="F373" s="10"/>
      <c r="G373" s="10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ht="15.75" customHeight="1">
      <c r="A374" s="157"/>
      <c r="B374" s="157"/>
      <c r="C374" s="157"/>
      <c r="D374" s="10"/>
      <c r="E374" s="10"/>
      <c r="F374" s="10"/>
      <c r="G374" s="10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ht="15.75" customHeight="1">
      <c r="A375" s="157"/>
      <c r="B375" s="157"/>
      <c r="C375" s="157"/>
      <c r="D375" s="10"/>
      <c r="E375" s="10"/>
      <c r="F375" s="10"/>
      <c r="G375" s="10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ht="15.75" customHeight="1">
      <c r="A376" s="157"/>
      <c r="B376" s="157"/>
      <c r="C376" s="157"/>
      <c r="D376" s="10"/>
      <c r="E376" s="10"/>
      <c r="F376" s="10"/>
      <c r="G376" s="10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ht="15.75" customHeight="1">
      <c r="A377" s="157"/>
      <c r="B377" s="157"/>
      <c r="C377" s="157"/>
      <c r="D377" s="10"/>
      <c r="E377" s="10"/>
      <c r="F377" s="10"/>
      <c r="G377" s="10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ht="15.75" customHeight="1">
      <c r="A378" s="157"/>
      <c r="B378" s="157"/>
      <c r="C378" s="157"/>
      <c r="D378" s="10"/>
      <c r="E378" s="10"/>
      <c r="F378" s="10"/>
      <c r="G378" s="10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ht="15.75" customHeight="1">
      <c r="A379" s="157"/>
      <c r="B379" s="157"/>
      <c r="C379" s="157"/>
      <c r="D379" s="10"/>
      <c r="E379" s="10"/>
      <c r="F379" s="10"/>
      <c r="G379" s="10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ht="15.75" customHeight="1">
      <c r="A380" s="157"/>
      <c r="B380" s="157"/>
      <c r="C380" s="157"/>
      <c r="D380" s="10"/>
      <c r="E380" s="10"/>
      <c r="F380" s="10"/>
      <c r="G380" s="10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ht="15.75" customHeight="1">
      <c r="A381" s="157"/>
      <c r="B381" s="157"/>
      <c r="C381" s="157"/>
      <c r="D381" s="10"/>
      <c r="E381" s="10"/>
      <c r="F381" s="10"/>
      <c r="G381" s="10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ht="15.75" customHeight="1">
      <c r="A382" s="157"/>
      <c r="B382" s="157"/>
      <c r="C382" s="157"/>
      <c r="D382" s="10"/>
      <c r="E382" s="10"/>
      <c r="F382" s="10"/>
      <c r="G382" s="10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ht="15.75" customHeight="1">
      <c r="A383" s="157"/>
      <c r="B383" s="157"/>
      <c r="C383" s="157"/>
      <c r="D383" s="10"/>
      <c r="E383" s="10"/>
      <c r="F383" s="10"/>
      <c r="G383" s="10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ht="15.75" customHeight="1">
      <c r="A384" s="157"/>
      <c r="B384" s="157"/>
      <c r="C384" s="157"/>
      <c r="D384" s="10"/>
      <c r="E384" s="10"/>
      <c r="F384" s="10"/>
      <c r="G384" s="10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ht="15.75" customHeight="1">
      <c r="A385" s="157"/>
      <c r="B385" s="157"/>
      <c r="C385" s="157"/>
      <c r="D385" s="10"/>
      <c r="E385" s="10"/>
      <c r="F385" s="10"/>
      <c r="G385" s="10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ht="15.75" customHeight="1">
      <c r="A386" s="157"/>
      <c r="B386" s="157"/>
      <c r="C386" s="157"/>
      <c r="D386" s="10"/>
      <c r="E386" s="10"/>
      <c r="F386" s="10"/>
      <c r="G386" s="10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ht="15.75" customHeight="1">
      <c r="A387" s="157"/>
      <c r="B387" s="157"/>
      <c r="C387" s="157"/>
      <c r="D387" s="10"/>
      <c r="E387" s="10"/>
      <c r="F387" s="10"/>
      <c r="G387" s="10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ht="15.75" customHeight="1">
      <c r="A388" s="157"/>
      <c r="B388" s="157"/>
      <c r="C388" s="157"/>
      <c r="D388" s="10"/>
      <c r="E388" s="10"/>
      <c r="F388" s="10"/>
      <c r="G388" s="10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ht="15.75" customHeight="1">
      <c r="A389" s="157"/>
      <c r="B389" s="157"/>
      <c r="C389" s="157"/>
      <c r="D389" s="10"/>
      <c r="E389" s="10"/>
      <c r="F389" s="10"/>
      <c r="G389" s="10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ht="15.75" customHeight="1">
      <c r="A390" s="157"/>
      <c r="B390" s="157"/>
      <c r="C390" s="157"/>
      <c r="D390" s="10"/>
      <c r="E390" s="10"/>
      <c r="F390" s="10"/>
      <c r="G390" s="10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ht="15.75" customHeight="1">
      <c r="A391" s="157"/>
      <c r="B391" s="157"/>
      <c r="C391" s="157"/>
      <c r="D391" s="10"/>
      <c r="E391" s="10"/>
      <c r="F391" s="10"/>
      <c r="G391" s="10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ht="15.75" customHeight="1">
      <c r="A392" s="157"/>
      <c r="B392" s="157"/>
      <c r="C392" s="157"/>
      <c r="D392" s="10"/>
      <c r="E392" s="10"/>
      <c r="F392" s="10"/>
      <c r="G392" s="10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ht="15.75" customHeight="1">
      <c r="A393" s="157"/>
      <c r="B393" s="157"/>
      <c r="C393" s="157"/>
      <c r="D393" s="10"/>
      <c r="E393" s="10"/>
      <c r="F393" s="10"/>
      <c r="G393" s="10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ht="15.75" customHeight="1">
      <c r="A394" s="157"/>
      <c r="B394" s="157"/>
      <c r="C394" s="157"/>
      <c r="D394" s="10"/>
      <c r="E394" s="10"/>
      <c r="F394" s="10"/>
      <c r="G394" s="10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ht="15.75" customHeight="1">
      <c r="A395" s="157"/>
      <c r="B395" s="157"/>
      <c r="C395" s="157"/>
      <c r="D395" s="10"/>
      <c r="E395" s="10"/>
      <c r="F395" s="10"/>
      <c r="G395" s="10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ht="15.75" customHeight="1">
      <c r="A396" s="157"/>
      <c r="B396" s="157"/>
      <c r="C396" s="157"/>
      <c r="D396" s="10"/>
      <c r="E396" s="10"/>
      <c r="F396" s="10"/>
      <c r="G396" s="10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ht="15.75" customHeight="1">
      <c r="A397" s="157"/>
      <c r="B397" s="157"/>
      <c r="C397" s="157"/>
      <c r="D397" s="10"/>
      <c r="E397" s="10"/>
      <c r="F397" s="10"/>
      <c r="G397" s="10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ht="15.75" customHeight="1">
      <c r="A398" s="157"/>
      <c r="B398" s="157"/>
      <c r="C398" s="157"/>
      <c r="D398" s="10"/>
      <c r="E398" s="10"/>
      <c r="F398" s="10"/>
      <c r="G398" s="10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ht="15.75" customHeight="1">
      <c r="A399" s="157"/>
      <c r="B399" s="157"/>
      <c r="C399" s="157"/>
      <c r="D399" s="10"/>
      <c r="E399" s="10"/>
      <c r="F399" s="10"/>
      <c r="G399" s="10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ht="15.75" customHeight="1">
      <c r="A400" s="157"/>
      <c r="B400" s="157"/>
      <c r="C400" s="157"/>
      <c r="D400" s="10"/>
      <c r="E400" s="10"/>
      <c r="F400" s="10"/>
      <c r="G400" s="10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ht="15.75" customHeight="1">
      <c r="A401" s="157"/>
      <c r="B401" s="157"/>
      <c r="C401" s="157"/>
      <c r="D401" s="10"/>
      <c r="E401" s="10"/>
      <c r="F401" s="10"/>
      <c r="G401" s="10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ht="15.75" customHeight="1">
      <c r="A402" s="157"/>
      <c r="B402" s="157"/>
      <c r="C402" s="157"/>
      <c r="D402" s="10"/>
      <c r="E402" s="10"/>
      <c r="F402" s="10"/>
      <c r="G402" s="10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ht="15.75" customHeight="1">
      <c r="A403" s="157"/>
      <c r="B403" s="157"/>
      <c r="C403" s="157"/>
      <c r="D403" s="10"/>
      <c r="E403" s="10"/>
      <c r="F403" s="10"/>
      <c r="G403" s="10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ht="15.75" customHeight="1">
      <c r="A404" s="157"/>
      <c r="B404" s="157"/>
      <c r="C404" s="157"/>
      <c r="D404" s="10"/>
      <c r="E404" s="10"/>
      <c r="F404" s="10"/>
      <c r="G404" s="10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ht="15.75" customHeight="1">
      <c r="A405" s="157"/>
      <c r="B405" s="157"/>
      <c r="C405" s="157"/>
      <c r="D405" s="10"/>
      <c r="E405" s="10"/>
      <c r="F405" s="10"/>
      <c r="G405" s="10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ht="15.75" customHeight="1">
      <c r="A406" s="157"/>
      <c r="B406" s="157"/>
      <c r="C406" s="157"/>
      <c r="D406" s="10"/>
      <c r="E406" s="10"/>
      <c r="F406" s="10"/>
      <c r="G406" s="10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ht="15.75" customHeight="1">
      <c r="A407" s="157"/>
      <c r="B407" s="157"/>
      <c r="C407" s="157"/>
      <c r="D407" s="10"/>
      <c r="E407" s="10"/>
      <c r="F407" s="10"/>
      <c r="G407" s="10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ht="15.75" customHeight="1">
      <c r="A408" s="157"/>
      <c r="B408" s="157"/>
      <c r="C408" s="157"/>
      <c r="D408" s="10"/>
      <c r="E408" s="10"/>
      <c r="F408" s="10"/>
      <c r="G408" s="10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ht="15.75" customHeight="1">
      <c r="A409" s="157"/>
      <c r="B409" s="157"/>
      <c r="C409" s="157"/>
      <c r="D409" s="10"/>
      <c r="E409" s="10"/>
      <c r="F409" s="10"/>
      <c r="G409" s="10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ht="15.75" customHeight="1">
      <c r="A410" s="157"/>
      <c r="B410" s="157"/>
      <c r="C410" s="157"/>
      <c r="D410" s="10"/>
      <c r="E410" s="10"/>
      <c r="F410" s="10"/>
      <c r="G410" s="10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ht="15.75" customHeight="1">
      <c r="A411" s="157"/>
      <c r="B411" s="157"/>
      <c r="C411" s="157"/>
      <c r="D411" s="10"/>
      <c r="E411" s="10"/>
      <c r="F411" s="10"/>
      <c r="G411" s="10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ht="15.75" customHeight="1">
      <c r="A412" s="157"/>
      <c r="B412" s="157"/>
      <c r="C412" s="157"/>
      <c r="D412" s="10"/>
      <c r="E412" s="10"/>
      <c r="F412" s="10"/>
      <c r="G412" s="10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ht="15.75" customHeight="1">
      <c r="A413" s="157"/>
      <c r="B413" s="157"/>
      <c r="C413" s="157"/>
      <c r="D413" s="10"/>
      <c r="E413" s="10"/>
      <c r="F413" s="10"/>
      <c r="G413" s="10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ht="15.75" customHeight="1">
      <c r="A414" s="157"/>
      <c r="B414" s="157"/>
      <c r="C414" s="157"/>
      <c r="D414" s="10"/>
      <c r="E414" s="10"/>
      <c r="F414" s="10"/>
      <c r="G414" s="10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ht="15.75" customHeight="1">
      <c r="A415" s="157"/>
      <c r="B415" s="157"/>
      <c r="C415" s="157"/>
      <c r="D415" s="10"/>
      <c r="E415" s="10"/>
      <c r="F415" s="10"/>
      <c r="G415" s="10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ht="15.75" customHeight="1">
      <c r="A416" s="157"/>
      <c r="B416" s="157"/>
      <c r="C416" s="157"/>
      <c r="D416" s="10"/>
      <c r="E416" s="10"/>
      <c r="F416" s="10"/>
      <c r="G416" s="10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ht="15.75" customHeight="1">
      <c r="A417" s="157"/>
      <c r="B417" s="157"/>
      <c r="C417" s="157"/>
      <c r="D417" s="10"/>
      <c r="E417" s="10"/>
      <c r="F417" s="10"/>
      <c r="G417" s="10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ht="15.75" customHeight="1">
      <c r="A418" s="157"/>
      <c r="B418" s="157"/>
      <c r="C418" s="157"/>
      <c r="D418" s="10"/>
      <c r="E418" s="10"/>
      <c r="F418" s="10"/>
      <c r="G418" s="10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ht="15.75" customHeight="1">
      <c r="A419" s="157"/>
      <c r="B419" s="157"/>
      <c r="C419" s="157"/>
      <c r="D419" s="10"/>
      <c r="E419" s="10"/>
      <c r="F419" s="10"/>
      <c r="G419" s="10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ht="15.75" customHeight="1">
      <c r="A420" s="157"/>
      <c r="B420" s="157"/>
      <c r="C420" s="157"/>
      <c r="D420" s="10"/>
      <c r="E420" s="10"/>
      <c r="F420" s="10"/>
      <c r="G420" s="10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ht="15.75" customHeight="1">
      <c r="A421" s="157"/>
      <c r="B421" s="157"/>
      <c r="C421" s="157"/>
      <c r="D421" s="10"/>
      <c r="E421" s="10"/>
      <c r="F421" s="10"/>
      <c r="G421" s="10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ht="15.75" customHeight="1">
      <c r="A422" s="157"/>
      <c r="B422" s="157"/>
      <c r="C422" s="157"/>
      <c r="D422" s="10"/>
      <c r="E422" s="10"/>
      <c r="F422" s="10"/>
      <c r="G422" s="10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ht="15.75" customHeight="1">
      <c r="A423" s="157"/>
      <c r="B423" s="157"/>
      <c r="C423" s="157"/>
      <c r="D423" s="10"/>
      <c r="E423" s="10"/>
      <c r="F423" s="10"/>
      <c r="G423" s="10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ht="15.75" customHeight="1">
      <c r="A424" s="157"/>
      <c r="B424" s="157"/>
      <c r="C424" s="157"/>
      <c r="D424" s="10"/>
      <c r="E424" s="10"/>
      <c r="F424" s="10"/>
      <c r="G424" s="10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ht="15.75" customHeight="1">
      <c r="A425" s="157"/>
      <c r="B425" s="157"/>
      <c r="C425" s="157"/>
      <c r="D425" s="10"/>
      <c r="E425" s="10"/>
      <c r="F425" s="10"/>
      <c r="G425" s="10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ht="15.75" customHeight="1">
      <c r="A426" s="157"/>
      <c r="B426" s="157"/>
      <c r="C426" s="157"/>
      <c r="D426" s="10"/>
      <c r="E426" s="10"/>
      <c r="F426" s="10"/>
      <c r="G426" s="10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ht="15.75" customHeight="1">
      <c r="A427" s="157"/>
      <c r="B427" s="157"/>
      <c r="C427" s="157"/>
      <c r="D427" s="10"/>
      <c r="E427" s="10"/>
      <c r="F427" s="10"/>
      <c r="G427" s="10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ht="15.75" customHeight="1">
      <c r="A428" s="157"/>
      <c r="B428" s="157"/>
      <c r="C428" s="157"/>
      <c r="D428" s="10"/>
      <c r="E428" s="10"/>
      <c r="F428" s="10"/>
      <c r="G428" s="10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ht="15.75" customHeight="1">
      <c r="A429" s="157"/>
      <c r="B429" s="157"/>
      <c r="C429" s="157"/>
      <c r="D429" s="10"/>
      <c r="E429" s="10"/>
      <c r="F429" s="10"/>
      <c r="G429" s="10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ht="15.75" customHeight="1">
      <c r="A430" s="157"/>
      <c r="B430" s="157"/>
      <c r="C430" s="157"/>
      <c r="D430" s="10"/>
      <c r="E430" s="10"/>
      <c r="F430" s="10"/>
      <c r="G430" s="10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ht="15.75" customHeight="1">
      <c r="A431" s="157"/>
      <c r="B431" s="157"/>
      <c r="C431" s="157"/>
      <c r="D431" s="10"/>
      <c r="E431" s="10"/>
      <c r="F431" s="10"/>
      <c r="G431" s="10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ht="15.75" customHeight="1">
      <c r="A432" s="157"/>
      <c r="B432" s="157"/>
      <c r="C432" s="157"/>
      <c r="D432" s="10"/>
      <c r="E432" s="10"/>
      <c r="F432" s="10"/>
      <c r="G432" s="10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ht="15.75" customHeight="1">
      <c r="A433" s="157"/>
      <c r="B433" s="157"/>
      <c r="C433" s="157"/>
      <c r="D433" s="10"/>
      <c r="E433" s="10"/>
      <c r="F433" s="10"/>
      <c r="G433" s="10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ht="15.75" customHeight="1">
      <c r="A434" s="157"/>
      <c r="B434" s="157"/>
      <c r="C434" s="157"/>
      <c r="D434" s="10"/>
      <c r="E434" s="10"/>
      <c r="F434" s="10"/>
      <c r="G434" s="10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ht="15.75" customHeight="1">
      <c r="A435" s="157"/>
      <c r="B435" s="157"/>
      <c r="C435" s="157"/>
      <c r="D435" s="10"/>
      <c r="E435" s="10"/>
      <c r="F435" s="10"/>
      <c r="G435" s="10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15.75" customHeight="1">
      <c r="A436" s="157"/>
      <c r="B436" s="157"/>
      <c r="C436" s="157"/>
      <c r="D436" s="10"/>
      <c r="E436" s="10"/>
      <c r="F436" s="10"/>
      <c r="G436" s="10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ht="15.75" customHeight="1">
      <c r="A437" s="157"/>
      <c r="B437" s="157"/>
      <c r="C437" s="157"/>
      <c r="D437" s="10"/>
      <c r="E437" s="10"/>
      <c r="F437" s="10"/>
      <c r="G437" s="10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ht="15.75" customHeight="1">
      <c r="A438" s="157"/>
      <c r="B438" s="157"/>
      <c r="C438" s="157"/>
      <c r="D438" s="10"/>
      <c r="E438" s="10"/>
      <c r="F438" s="10"/>
      <c r="G438" s="10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ht="15.75" customHeight="1">
      <c r="A439" s="157"/>
      <c r="B439" s="157"/>
      <c r="C439" s="157"/>
      <c r="D439" s="10"/>
      <c r="E439" s="10"/>
      <c r="F439" s="10"/>
      <c r="G439" s="10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ht="15.75" customHeight="1">
      <c r="A440" s="157"/>
      <c r="B440" s="157"/>
      <c r="C440" s="157"/>
      <c r="D440" s="10"/>
      <c r="E440" s="10"/>
      <c r="F440" s="10"/>
      <c r="G440" s="10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ht="15.75" customHeight="1">
      <c r="A441" s="157"/>
      <c r="B441" s="157"/>
      <c r="C441" s="157"/>
      <c r="D441" s="10"/>
      <c r="E441" s="10"/>
      <c r="F441" s="10"/>
      <c r="G441" s="10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ht="15.75" customHeight="1">
      <c r="A442" s="157"/>
      <c r="B442" s="157"/>
      <c r="C442" s="157"/>
      <c r="D442" s="10"/>
      <c r="E442" s="10"/>
      <c r="F442" s="10"/>
      <c r="G442" s="10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ht="15.75" customHeight="1">
      <c r="A443" s="157"/>
      <c r="B443" s="157"/>
      <c r="C443" s="157"/>
      <c r="D443" s="10"/>
      <c r="E443" s="10"/>
      <c r="F443" s="10"/>
      <c r="G443" s="10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ht="15.75" customHeight="1">
      <c r="A444" s="157"/>
      <c r="B444" s="157"/>
      <c r="C444" s="157"/>
      <c r="D444" s="10"/>
      <c r="E444" s="10"/>
      <c r="F444" s="10"/>
      <c r="G444" s="10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ht="15.75" customHeight="1">
      <c r="A445" s="157"/>
      <c r="B445" s="157"/>
      <c r="C445" s="157"/>
      <c r="D445" s="10"/>
      <c r="E445" s="10"/>
      <c r="F445" s="10"/>
      <c r="G445" s="10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ht="15.75" customHeight="1">
      <c r="A446" s="157"/>
      <c r="B446" s="157"/>
      <c r="C446" s="157"/>
      <c r="D446" s="10"/>
      <c r="E446" s="10"/>
      <c r="F446" s="10"/>
      <c r="G446" s="10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ht="15.75" customHeight="1">
      <c r="A447" s="157"/>
      <c r="B447" s="157"/>
      <c r="C447" s="157"/>
      <c r="D447" s="10"/>
      <c r="E447" s="10"/>
      <c r="F447" s="10"/>
      <c r="G447" s="10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ht="15.75" customHeight="1">
      <c r="A448" s="157"/>
      <c r="B448" s="157"/>
      <c r="C448" s="157"/>
      <c r="D448" s="10"/>
      <c r="E448" s="10"/>
      <c r="F448" s="10"/>
      <c r="G448" s="10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ht="15.75" customHeight="1">
      <c r="A449" s="157"/>
      <c r="B449" s="157"/>
      <c r="C449" s="157"/>
      <c r="D449" s="10"/>
      <c r="E449" s="10"/>
      <c r="F449" s="10"/>
      <c r="G449" s="10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ht="15.75" customHeight="1">
      <c r="A450" s="157"/>
      <c r="B450" s="157"/>
      <c r="C450" s="157"/>
      <c r="D450" s="10"/>
      <c r="E450" s="10"/>
      <c r="F450" s="10"/>
      <c r="G450" s="10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ht="15.75" customHeight="1">
      <c r="A451" s="157"/>
      <c r="B451" s="157"/>
      <c r="C451" s="157"/>
      <c r="D451" s="10"/>
      <c r="E451" s="10"/>
      <c r="F451" s="10"/>
      <c r="G451" s="10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ht="15.75" customHeight="1">
      <c r="A452" s="157"/>
      <c r="B452" s="157"/>
      <c r="C452" s="157"/>
      <c r="D452" s="10"/>
      <c r="E452" s="10"/>
      <c r="F452" s="10"/>
      <c r="G452" s="10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ht="15.75" customHeight="1">
      <c r="A453" s="157"/>
      <c r="B453" s="157"/>
      <c r="C453" s="157"/>
      <c r="D453" s="10"/>
      <c r="E453" s="10"/>
      <c r="F453" s="10"/>
      <c r="G453" s="10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ht="15.75" customHeight="1">
      <c r="A454" s="157"/>
      <c r="B454" s="157"/>
      <c r="C454" s="157"/>
      <c r="D454" s="10"/>
      <c r="E454" s="10"/>
      <c r="F454" s="10"/>
      <c r="G454" s="10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ht="15.75" customHeight="1">
      <c r="A455" s="157"/>
      <c r="B455" s="157"/>
      <c r="C455" s="157"/>
      <c r="D455" s="10"/>
      <c r="E455" s="10"/>
      <c r="F455" s="10"/>
      <c r="G455" s="10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ht="15.75" customHeight="1">
      <c r="A456" s="157"/>
      <c r="B456" s="157"/>
      <c r="C456" s="157"/>
      <c r="D456" s="10"/>
      <c r="E456" s="10"/>
      <c r="F456" s="10"/>
      <c r="G456" s="10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ht="15.75" customHeight="1">
      <c r="A457" s="157"/>
      <c r="B457" s="157"/>
      <c r="C457" s="157"/>
      <c r="D457" s="10"/>
      <c r="E457" s="10"/>
      <c r="F457" s="10"/>
      <c r="G457" s="10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ht="15.75" customHeight="1">
      <c r="A458" s="157"/>
      <c r="B458" s="157"/>
      <c r="C458" s="157"/>
      <c r="D458" s="10"/>
      <c r="E458" s="10"/>
      <c r="F458" s="10"/>
      <c r="G458" s="10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ht="15.75" customHeight="1">
      <c r="A459" s="157"/>
      <c r="B459" s="157"/>
      <c r="C459" s="157"/>
      <c r="D459" s="10"/>
      <c r="E459" s="10"/>
      <c r="F459" s="10"/>
      <c r="G459" s="10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ht="15.75" customHeight="1">
      <c r="A460" s="157"/>
      <c r="B460" s="157"/>
      <c r="C460" s="157"/>
      <c r="D460" s="10"/>
      <c r="E460" s="10"/>
      <c r="F460" s="10"/>
      <c r="G460" s="10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ht="15.75" customHeight="1">
      <c r="A461" s="157"/>
      <c r="B461" s="157"/>
      <c r="C461" s="157"/>
      <c r="D461" s="10"/>
      <c r="E461" s="10"/>
      <c r="F461" s="10"/>
      <c r="G461" s="10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ht="15.75" customHeight="1">
      <c r="A462" s="157"/>
      <c r="B462" s="157"/>
      <c r="C462" s="157"/>
      <c r="D462" s="10"/>
      <c r="E462" s="10"/>
      <c r="F462" s="10"/>
      <c r="G462" s="10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ht="15.75" customHeight="1">
      <c r="A463" s="157"/>
      <c r="B463" s="157"/>
      <c r="C463" s="157"/>
      <c r="D463" s="10"/>
      <c r="E463" s="10"/>
      <c r="F463" s="10"/>
      <c r="G463" s="10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ht="15.75" customHeight="1">
      <c r="A464" s="157"/>
      <c r="B464" s="157"/>
      <c r="C464" s="157"/>
      <c r="D464" s="10"/>
      <c r="E464" s="10"/>
      <c r="F464" s="10"/>
      <c r="G464" s="10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ht="15.75" customHeight="1">
      <c r="A465" s="157"/>
      <c r="B465" s="157"/>
      <c r="C465" s="157"/>
      <c r="D465" s="10"/>
      <c r="E465" s="10"/>
      <c r="F465" s="10"/>
      <c r="G465" s="10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ht="15.75" customHeight="1">
      <c r="A466" s="157"/>
      <c r="B466" s="157"/>
      <c r="C466" s="157"/>
      <c r="D466" s="10"/>
      <c r="E466" s="10"/>
      <c r="F466" s="10"/>
      <c r="G466" s="10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ht="15.75" customHeight="1">
      <c r="A467" s="157"/>
      <c r="B467" s="157"/>
      <c r="C467" s="157"/>
      <c r="D467" s="10"/>
      <c r="E467" s="10"/>
      <c r="F467" s="10"/>
      <c r="G467" s="10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ht="15.75" customHeight="1">
      <c r="A468" s="157"/>
      <c r="B468" s="157"/>
      <c r="C468" s="157"/>
      <c r="D468" s="10"/>
      <c r="E468" s="10"/>
      <c r="F468" s="10"/>
      <c r="G468" s="10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ht="15.75" customHeight="1">
      <c r="A469" s="157"/>
      <c r="B469" s="157"/>
      <c r="C469" s="157"/>
      <c r="D469" s="10"/>
      <c r="E469" s="10"/>
      <c r="F469" s="10"/>
      <c r="G469" s="10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ht="15.75" customHeight="1">
      <c r="A470" s="157"/>
      <c r="B470" s="157"/>
      <c r="C470" s="157"/>
      <c r="D470" s="10"/>
      <c r="E470" s="10"/>
      <c r="F470" s="10"/>
      <c r="G470" s="10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ht="15.75" customHeight="1">
      <c r="A471" s="157"/>
      <c r="B471" s="157"/>
      <c r="C471" s="157"/>
      <c r="D471" s="10"/>
      <c r="E471" s="10"/>
      <c r="F471" s="10"/>
      <c r="G471" s="10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ht="15.75" customHeight="1">
      <c r="A472" s="157"/>
      <c r="B472" s="157"/>
      <c r="C472" s="157"/>
      <c r="D472" s="10"/>
      <c r="E472" s="10"/>
      <c r="F472" s="10"/>
      <c r="G472" s="10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ht="15.75" customHeight="1">
      <c r="A473" s="157"/>
      <c r="B473" s="157"/>
      <c r="C473" s="157"/>
      <c r="D473" s="10"/>
      <c r="E473" s="10"/>
      <c r="F473" s="10"/>
      <c r="G473" s="10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ht="15.75" customHeight="1">
      <c r="A474" s="157"/>
      <c r="B474" s="157"/>
      <c r="C474" s="157"/>
      <c r="D474" s="10"/>
      <c r="E474" s="10"/>
      <c r="F474" s="10"/>
      <c r="G474" s="10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ht="15.75" customHeight="1">
      <c r="A475" s="157"/>
      <c r="B475" s="157"/>
      <c r="C475" s="157"/>
      <c r="D475" s="10"/>
      <c r="E475" s="10"/>
      <c r="F475" s="10"/>
      <c r="G475" s="10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ht="15.75" customHeight="1">
      <c r="A476" s="157"/>
      <c r="B476" s="157"/>
      <c r="C476" s="157"/>
      <c r="D476" s="10"/>
      <c r="E476" s="10"/>
      <c r="F476" s="10"/>
      <c r="G476" s="10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ht="15.75" customHeight="1">
      <c r="A477" s="157"/>
      <c r="B477" s="157"/>
      <c r="C477" s="157"/>
      <c r="D477" s="10"/>
      <c r="E477" s="10"/>
      <c r="F477" s="10"/>
      <c r="G477" s="10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ht="15.75" customHeight="1">
      <c r="A478" s="157"/>
      <c r="B478" s="157"/>
      <c r="C478" s="157"/>
      <c r="D478" s="10"/>
      <c r="E478" s="10"/>
      <c r="F478" s="10"/>
      <c r="G478" s="10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ht="15.75" customHeight="1">
      <c r="A479" s="157"/>
      <c r="B479" s="157"/>
      <c r="C479" s="157"/>
      <c r="D479" s="10"/>
      <c r="E479" s="10"/>
      <c r="F479" s="10"/>
      <c r="G479" s="10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ht="15.75" customHeight="1">
      <c r="A480" s="157"/>
      <c r="B480" s="157"/>
      <c r="C480" s="157"/>
      <c r="D480" s="10"/>
      <c r="E480" s="10"/>
      <c r="F480" s="10"/>
      <c r="G480" s="10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ht="15.75" customHeight="1">
      <c r="A481" s="157"/>
      <c r="B481" s="157"/>
      <c r="C481" s="157"/>
      <c r="D481" s="10"/>
      <c r="E481" s="10"/>
      <c r="F481" s="10"/>
      <c r="G481" s="10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ht="15.75" customHeight="1">
      <c r="A482" s="157"/>
      <c r="B482" s="157"/>
      <c r="C482" s="157"/>
      <c r="D482" s="10"/>
      <c r="E482" s="10"/>
      <c r="F482" s="10"/>
      <c r="G482" s="10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ht="15.75" customHeight="1">
      <c r="A483" s="157"/>
      <c r="B483" s="157"/>
      <c r="C483" s="157"/>
      <c r="D483" s="10"/>
      <c r="E483" s="10"/>
      <c r="F483" s="10"/>
      <c r="G483" s="10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ht="15.75" customHeight="1">
      <c r="A484" s="157"/>
      <c r="B484" s="157"/>
      <c r="C484" s="157"/>
      <c r="D484" s="10"/>
      <c r="E484" s="10"/>
      <c r="F484" s="10"/>
      <c r="G484" s="10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ht="15.75" customHeight="1">
      <c r="A485" s="157"/>
      <c r="B485" s="157"/>
      <c r="C485" s="157"/>
      <c r="D485" s="10"/>
      <c r="E485" s="10"/>
      <c r="F485" s="10"/>
      <c r="G485" s="10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ht="15.75" customHeight="1">
      <c r="A486" s="157"/>
      <c r="B486" s="157"/>
      <c r="C486" s="157"/>
      <c r="D486" s="10"/>
      <c r="E486" s="10"/>
      <c r="F486" s="10"/>
      <c r="G486" s="10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ht="15.75" customHeight="1">
      <c r="A487" s="157"/>
      <c r="B487" s="157"/>
      <c r="C487" s="157"/>
      <c r="D487" s="10"/>
      <c r="E487" s="10"/>
      <c r="F487" s="10"/>
      <c r="G487" s="10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ht="15.75" customHeight="1">
      <c r="A488" s="157"/>
      <c r="B488" s="157"/>
      <c r="C488" s="157"/>
      <c r="D488" s="10"/>
      <c r="E488" s="10"/>
      <c r="F488" s="10"/>
      <c r="G488" s="10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ht="15.75" customHeight="1">
      <c r="A489" s="157"/>
      <c r="B489" s="157"/>
      <c r="C489" s="157"/>
      <c r="D489" s="10"/>
      <c r="E489" s="10"/>
      <c r="F489" s="10"/>
      <c r="G489" s="10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ht="15.75" customHeight="1">
      <c r="A490" s="157"/>
      <c r="B490" s="157"/>
      <c r="C490" s="157"/>
      <c r="D490" s="10"/>
      <c r="E490" s="10"/>
      <c r="F490" s="10"/>
      <c r="G490" s="10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ht="15.75" customHeight="1">
      <c r="A491" s="157"/>
      <c r="B491" s="157"/>
      <c r="C491" s="157"/>
      <c r="D491" s="10"/>
      <c r="E491" s="10"/>
      <c r="F491" s="10"/>
      <c r="G491" s="10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ht="15.75" customHeight="1">
      <c r="A492" s="157"/>
      <c r="B492" s="157"/>
      <c r="C492" s="157"/>
      <c r="D492" s="10"/>
      <c r="E492" s="10"/>
      <c r="F492" s="10"/>
      <c r="G492" s="10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ht="15.75" customHeight="1">
      <c r="A493" s="157"/>
      <c r="B493" s="157"/>
      <c r="C493" s="157"/>
      <c r="D493" s="10"/>
      <c r="E493" s="10"/>
      <c r="F493" s="10"/>
      <c r="G493" s="10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ht="15.75" customHeight="1">
      <c r="A494" s="157"/>
      <c r="B494" s="157"/>
      <c r="C494" s="157"/>
      <c r="D494" s="10"/>
      <c r="E494" s="10"/>
      <c r="F494" s="10"/>
      <c r="G494" s="10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ht="15.75" customHeight="1">
      <c r="A495" s="157"/>
      <c r="B495" s="157"/>
      <c r="C495" s="157"/>
      <c r="D495" s="10"/>
      <c r="E495" s="10"/>
      <c r="F495" s="10"/>
      <c r="G495" s="10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ht="15.75" customHeight="1">
      <c r="A496" s="157"/>
      <c r="B496" s="157"/>
      <c r="C496" s="157"/>
      <c r="D496" s="10"/>
      <c r="E496" s="10"/>
      <c r="F496" s="10"/>
      <c r="G496" s="10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ht="15.75" customHeight="1">
      <c r="A497" s="157"/>
      <c r="B497" s="157"/>
      <c r="C497" s="157"/>
      <c r="D497" s="10"/>
      <c r="E497" s="10"/>
      <c r="F497" s="10"/>
      <c r="G497" s="10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ht="15.75" customHeight="1">
      <c r="A498" s="157"/>
      <c r="B498" s="157"/>
      <c r="C498" s="157"/>
      <c r="D498" s="10"/>
      <c r="E498" s="10"/>
      <c r="F498" s="10"/>
      <c r="G498" s="10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ht="15.75" customHeight="1">
      <c r="A499" s="157"/>
      <c r="B499" s="157"/>
      <c r="C499" s="157"/>
      <c r="D499" s="10"/>
      <c r="E499" s="10"/>
      <c r="F499" s="10"/>
      <c r="G499" s="10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ht="15.75" customHeight="1">
      <c r="A500" s="157"/>
      <c r="B500" s="157"/>
      <c r="C500" s="157"/>
      <c r="D500" s="10"/>
      <c r="E500" s="10"/>
      <c r="F500" s="10"/>
      <c r="G500" s="10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ht="15.75" customHeight="1">
      <c r="A501" s="157"/>
      <c r="B501" s="157"/>
      <c r="C501" s="157"/>
      <c r="D501" s="10"/>
      <c r="E501" s="10"/>
      <c r="F501" s="10"/>
      <c r="G501" s="10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ht="15.75" customHeight="1">
      <c r="A502" s="157"/>
      <c r="B502" s="157"/>
      <c r="C502" s="157"/>
      <c r="D502" s="10"/>
      <c r="E502" s="10"/>
      <c r="F502" s="10"/>
      <c r="G502" s="10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ht="15.75" customHeight="1">
      <c r="A503" s="157"/>
      <c r="B503" s="157"/>
      <c r="C503" s="157"/>
      <c r="D503" s="10"/>
      <c r="E503" s="10"/>
      <c r="F503" s="10"/>
      <c r="G503" s="10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ht="15.75" customHeight="1">
      <c r="A504" s="157"/>
      <c r="B504" s="157"/>
      <c r="C504" s="157"/>
      <c r="D504" s="10"/>
      <c r="E504" s="10"/>
      <c r="F504" s="10"/>
      <c r="G504" s="10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ht="15.75" customHeight="1">
      <c r="A505" s="157"/>
      <c r="B505" s="157"/>
      <c r="C505" s="157"/>
      <c r="D505" s="10"/>
      <c r="E505" s="10"/>
      <c r="F505" s="10"/>
      <c r="G505" s="10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ht="15.75" customHeight="1">
      <c r="A506" s="157"/>
      <c r="B506" s="157"/>
      <c r="C506" s="157"/>
      <c r="D506" s="10"/>
      <c r="E506" s="10"/>
      <c r="F506" s="10"/>
      <c r="G506" s="10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ht="15.75" customHeight="1">
      <c r="A507" s="157"/>
      <c r="B507" s="157"/>
      <c r="C507" s="157"/>
      <c r="D507" s="10"/>
      <c r="E507" s="10"/>
      <c r="F507" s="10"/>
      <c r="G507" s="10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ht="15.75" customHeight="1">
      <c r="A508" s="157"/>
      <c r="B508" s="157"/>
      <c r="C508" s="157"/>
      <c r="D508" s="10"/>
      <c r="E508" s="10"/>
      <c r="F508" s="10"/>
      <c r="G508" s="10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ht="15.75" customHeight="1">
      <c r="A509" s="157"/>
      <c r="B509" s="157"/>
      <c r="C509" s="157"/>
      <c r="D509" s="10"/>
      <c r="E509" s="10"/>
      <c r="F509" s="10"/>
      <c r="G509" s="10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ht="15.75" customHeight="1">
      <c r="A510" s="157"/>
      <c r="B510" s="157"/>
      <c r="C510" s="157"/>
      <c r="D510" s="10"/>
      <c r="E510" s="10"/>
      <c r="F510" s="10"/>
      <c r="G510" s="10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ht="15.75" customHeight="1">
      <c r="A511" s="157"/>
      <c r="B511" s="157"/>
      <c r="C511" s="157"/>
      <c r="D511" s="10"/>
      <c r="E511" s="10"/>
      <c r="F511" s="10"/>
      <c r="G511" s="10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ht="15.75" customHeight="1">
      <c r="A512" s="157"/>
      <c r="B512" s="157"/>
      <c r="C512" s="157"/>
      <c r="D512" s="10"/>
      <c r="E512" s="10"/>
      <c r="F512" s="10"/>
      <c r="G512" s="10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ht="15.75" customHeight="1">
      <c r="A513" s="157"/>
      <c r="B513" s="157"/>
      <c r="C513" s="157"/>
      <c r="D513" s="10"/>
      <c r="E513" s="10"/>
      <c r="F513" s="10"/>
      <c r="G513" s="10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ht="15.75" customHeight="1">
      <c r="A514" s="157"/>
      <c r="B514" s="157"/>
      <c r="C514" s="157"/>
      <c r="D514" s="10"/>
      <c r="E514" s="10"/>
      <c r="F514" s="10"/>
      <c r="G514" s="10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ht="15.75" customHeight="1">
      <c r="A515" s="157"/>
      <c r="B515" s="157"/>
      <c r="C515" s="157"/>
      <c r="D515" s="10"/>
      <c r="E515" s="10"/>
      <c r="F515" s="10"/>
      <c r="G515" s="10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ht="15.75" customHeight="1">
      <c r="A516" s="157"/>
      <c r="B516" s="157"/>
      <c r="C516" s="157"/>
      <c r="D516" s="10"/>
      <c r="E516" s="10"/>
      <c r="F516" s="10"/>
      <c r="G516" s="10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ht="15.75" customHeight="1">
      <c r="A517" s="157"/>
      <c r="B517" s="157"/>
      <c r="C517" s="157"/>
      <c r="D517" s="10"/>
      <c r="E517" s="10"/>
      <c r="F517" s="10"/>
      <c r="G517" s="10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ht="15.75" customHeight="1">
      <c r="A518" s="157"/>
      <c r="B518" s="157"/>
      <c r="C518" s="157"/>
      <c r="D518" s="10"/>
      <c r="E518" s="10"/>
      <c r="F518" s="10"/>
      <c r="G518" s="10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ht="15.75" customHeight="1">
      <c r="A519" s="157"/>
      <c r="B519" s="157"/>
      <c r="C519" s="157"/>
      <c r="D519" s="10"/>
      <c r="E519" s="10"/>
      <c r="F519" s="10"/>
      <c r="G519" s="10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ht="15.75" customHeight="1">
      <c r="A520" s="157"/>
      <c r="B520" s="157"/>
      <c r="C520" s="157"/>
      <c r="D520" s="10"/>
      <c r="E520" s="10"/>
      <c r="F520" s="10"/>
      <c r="G520" s="10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ht="15.75" customHeight="1">
      <c r="A521" s="157"/>
      <c r="B521" s="157"/>
      <c r="C521" s="157"/>
      <c r="D521" s="10"/>
      <c r="E521" s="10"/>
      <c r="F521" s="10"/>
      <c r="G521" s="10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ht="15.75" customHeight="1">
      <c r="A522" s="157"/>
      <c r="B522" s="157"/>
      <c r="C522" s="157"/>
      <c r="D522" s="10"/>
      <c r="E522" s="10"/>
      <c r="F522" s="10"/>
      <c r="G522" s="10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ht="15.75" customHeight="1">
      <c r="A523" s="157"/>
      <c r="B523" s="157"/>
      <c r="C523" s="157"/>
      <c r="D523" s="10"/>
      <c r="E523" s="10"/>
      <c r="F523" s="10"/>
      <c r="G523" s="10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ht="15.75" customHeight="1">
      <c r="A524" s="157"/>
      <c r="B524" s="157"/>
      <c r="C524" s="157"/>
      <c r="D524" s="10"/>
      <c r="E524" s="10"/>
      <c r="F524" s="10"/>
      <c r="G524" s="10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ht="15.75" customHeight="1">
      <c r="A525" s="157"/>
      <c r="B525" s="157"/>
      <c r="C525" s="157"/>
      <c r="D525" s="10"/>
      <c r="E525" s="10"/>
      <c r="F525" s="10"/>
      <c r="G525" s="10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ht="15.75" customHeight="1">
      <c r="A526" s="157"/>
      <c r="B526" s="157"/>
      <c r="C526" s="157"/>
      <c r="D526" s="10"/>
      <c r="E526" s="10"/>
      <c r="F526" s="10"/>
      <c r="G526" s="10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ht="15.75" customHeight="1">
      <c r="A527" s="157"/>
      <c r="B527" s="157"/>
      <c r="C527" s="157"/>
      <c r="D527" s="10"/>
      <c r="E527" s="10"/>
      <c r="F527" s="10"/>
      <c r="G527" s="10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ht="15.75" customHeight="1">
      <c r="A528" s="157"/>
      <c r="B528" s="157"/>
      <c r="C528" s="157"/>
      <c r="D528" s="10"/>
      <c r="E528" s="10"/>
      <c r="F528" s="10"/>
      <c r="G528" s="10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ht="15.75" customHeight="1">
      <c r="A529" s="157"/>
      <c r="B529" s="157"/>
      <c r="C529" s="157"/>
      <c r="D529" s="10"/>
      <c r="E529" s="10"/>
      <c r="F529" s="10"/>
      <c r="G529" s="10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ht="15.75" customHeight="1">
      <c r="A530" s="157"/>
      <c r="B530" s="157"/>
      <c r="C530" s="157"/>
      <c r="D530" s="10"/>
      <c r="E530" s="10"/>
      <c r="F530" s="10"/>
      <c r="G530" s="10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ht="15.75" customHeight="1">
      <c r="A531" s="157"/>
      <c r="B531" s="157"/>
      <c r="C531" s="157"/>
      <c r="D531" s="10"/>
      <c r="E531" s="10"/>
      <c r="F531" s="10"/>
      <c r="G531" s="10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ht="15.75" customHeight="1">
      <c r="A532" s="157"/>
      <c r="B532" s="157"/>
      <c r="C532" s="157"/>
      <c r="D532" s="10"/>
      <c r="E532" s="10"/>
      <c r="F532" s="10"/>
      <c r="G532" s="10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ht="15.75" customHeight="1">
      <c r="A533" s="157"/>
      <c r="B533" s="157"/>
      <c r="C533" s="157"/>
      <c r="D533" s="10"/>
      <c r="E533" s="10"/>
      <c r="F533" s="10"/>
      <c r="G533" s="10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ht="15.75" customHeight="1">
      <c r="A534" s="157"/>
      <c r="B534" s="157"/>
      <c r="C534" s="157"/>
      <c r="D534" s="10"/>
      <c r="E534" s="10"/>
      <c r="F534" s="10"/>
      <c r="G534" s="10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ht="15.75" customHeight="1">
      <c r="A535" s="157"/>
      <c r="B535" s="157"/>
      <c r="C535" s="157"/>
      <c r="D535" s="10"/>
      <c r="E535" s="10"/>
      <c r="F535" s="10"/>
      <c r="G535" s="10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ht="15.75" customHeight="1">
      <c r="A536" s="157"/>
      <c r="B536" s="157"/>
      <c r="C536" s="157"/>
      <c r="D536" s="10"/>
      <c r="E536" s="10"/>
      <c r="F536" s="10"/>
      <c r="G536" s="10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ht="15.75" customHeight="1">
      <c r="A537" s="157"/>
      <c r="B537" s="157"/>
      <c r="C537" s="157"/>
      <c r="D537" s="10"/>
      <c r="E537" s="10"/>
      <c r="F537" s="10"/>
      <c r="G537" s="10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ht="15.75" customHeight="1">
      <c r="A538" s="157"/>
      <c r="B538" s="157"/>
      <c r="C538" s="157"/>
      <c r="D538" s="10"/>
      <c r="E538" s="10"/>
      <c r="F538" s="10"/>
      <c r="G538" s="10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ht="15.75" customHeight="1">
      <c r="A539" s="157"/>
      <c r="B539" s="157"/>
      <c r="C539" s="157"/>
      <c r="D539" s="10"/>
      <c r="E539" s="10"/>
      <c r="F539" s="10"/>
      <c r="G539" s="10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ht="15.75" customHeight="1">
      <c r="A540" s="157"/>
      <c r="B540" s="157"/>
      <c r="C540" s="157"/>
      <c r="D540" s="10"/>
      <c r="E540" s="10"/>
      <c r="F540" s="10"/>
      <c r="G540" s="10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ht="15.75" customHeight="1">
      <c r="A541" s="157"/>
      <c r="B541" s="157"/>
      <c r="C541" s="157"/>
      <c r="D541" s="10"/>
      <c r="E541" s="10"/>
      <c r="F541" s="10"/>
      <c r="G541" s="10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ht="15.75" customHeight="1">
      <c r="A542" s="157"/>
      <c r="B542" s="157"/>
      <c r="C542" s="157"/>
      <c r="D542" s="10"/>
      <c r="E542" s="10"/>
      <c r="F542" s="10"/>
      <c r="G542" s="10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ht="15.75" customHeight="1">
      <c r="A543" s="157"/>
      <c r="B543" s="157"/>
      <c r="C543" s="157"/>
      <c r="D543" s="10"/>
      <c r="E543" s="10"/>
      <c r="F543" s="10"/>
      <c r="G543" s="10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ht="15.75" customHeight="1">
      <c r="A544" s="157"/>
      <c r="B544" s="157"/>
      <c r="C544" s="157"/>
      <c r="D544" s="10"/>
      <c r="E544" s="10"/>
      <c r="F544" s="10"/>
      <c r="G544" s="10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ht="15.75" customHeight="1">
      <c r="A545" s="157"/>
      <c r="B545" s="157"/>
      <c r="C545" s="157"/>
      <c r="D545" s="10"/>
      <c r="E545" s="10"/>
      <c r="F545" s="10"/>
      <c r="G545" s="10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ht="15.75" customHeight="1">
      <c r="A546" s="157"/>
      <c r="B546" s="157"/>
      <c r="C546" s="157"/>
      <c r="D546" s="10"/>
      <c r="E546" s="10"/>
      <c r="F546" s="10"/>
      <c r="G546" s="10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ht="15.75" customHeight="1">
      <c r="A547" s="157"/>
      <c r="B547" s="157"/>
      <c r="C547" s="157"/>
      <c r="D547" s="10"/>
      <c r="E547" s="10"/>
      <c r="F547" s="10"/>
      <c r="G547" s="10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ht="15.75" customHeight="1">
      <c r="A548" s="157"/>
      <c r="B548" s="157"/>
      <c r="C548" s="157"/>
      <c r="D548" s="10"/>
      <c r="E548" s="10"/>
      <c r="F548" s="10"/>
      <c r="G548" s="10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ht="15.75" customHeight="1">
      <c r="A549" s="157"/>
      <c r="B549" s="157"/>
      <c r="C549" s="157"/>
      <c r="D549" s="10"/>
      <c r="E549" s="10"/>
      <c r="F549" s="10"/>
      <c r="G549" s="10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ht="15.75" customHeight="1">
      <c r="A550" s="157"/>
      <c r="B550" s="157"/>
      <c r="C550" s="157"/>
      <c r="D550" s="10"/>
      <c r="E550" s="10"/>
      <c r="F550" s="10"/>
      <c r="G550" s="10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ht="15.75" customHeight="1">
      <c r="A551" s="157"/>
      <c r="B551" s="157"/>
      <c r="C551" s="157"/>
      <c r="D551" s="10"/>
      <c r="E551" s="10"/>
      <c r="F551" s="10"/>
      <c r="G551" s="10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ht="15.75" customHeight="1">
      <c r="A552" s="157"/>
      <c r="B552" s="157"/>
      <c r="C552" s="157"/>
      <c r="D552" s="10"/>
      <c r="E552" s="10"/>
      <c r="F552" s="10"/>
      <c r="G552" s="10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ht="15.75" customHeight="1">
      <c r="A553" s="157"/>
      <c r="B553" s="157"/>
      <c r="C553" s="157"/>
      <c r="D553" s="10"/>
      <c r="E553" s="10"/>
      <c r="F553" s="10"/>
      <c r="G553" s="10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ht="15.75" customHeight="1">
      <c r="A554" s="157"/>
      <c r="B554" s="157"/>
      <c r="C554" s="157"/>
      <c r="D554" s="10"/>
      <c r="E554" s="10"/>
      <c r="F554" s="10"/>
      <c r="G554" s="10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ht="15.75" customHeight="1">
      <c r="A555" s="157"/>
      <c r="B555" s="157"/>
      <c r="C555" s="157"/>
      <c r="D555" s="10"/>
      <c r="E555" s="10"/>
      <c r="F555" s="10"/>
      <c r="G555" s="10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ht="15.75" customHeight="1">
      <c r="A556" s="157"/>
      <c r="B556" s="157"/>
      <c r="C556" s="157"/>
      <c r="D556" s="10"/>
      <c r="E556" s="10"/>
      <c r="F556" s="10"/>
      <c r="G556" s="10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ht="15.75" customHeight="1">
      <c r="A557" s="157"/>
      <c r="B557" s="157"/>
      <c r="C557" s="157"/>
      <c r="D557" s="10"/>
      <c r="E557" s="10"/>
      <c r="F557" s="10"/>
      <c r="G557" s="10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ht="15.75" customHeight="1">
      <c r="A558" s="157"/>
      <c r="B558" s="157"/>
      <c r="C558" s="157"/>
      <c r="D558" s="10"/>
      <c r="E558" s="10"/>
      <c r="F558" s="10"/>
      <c r="G558" s="10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ht="15.75" customHeight="1">
      <c r="A559" s="157"/>
      <c r="B559" s="157"/>
      <c r="C559" s="157"/>
      <c r="D559" s="10"/>
      <c r="E559" s="10"/>
      <c r="F559" s="10"/>
      <c r="G559" s="10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ht="15.75" customHeight="1">
      <c r="A560" s="157"/>
      <c r="B560" s="157"/>
      <c r="C560" s="157"/>
      <c r="D560" s="10"/>
      <c r="E560" s="10"/>
      <c r="F560" s="10"/>
      <c r="G560" s="10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ht="15.75" customHeight="1">
      <c r="A561" s="157"/>
      <c r="B561" s="157"/>
      <c r="C561" s="157"/>
      <c r="D561" s="10"/>
      <c r="E561" s="10"/>
      <c r="F561" s="10"/>
      <c r="G561" s="10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ht="15.75" customHeight="1">
      <c r="A562" s="157"/>
      <c r="B562" s="157"/>
      <c r="C562" s="157"/>
      <c r="D562" s="10"/>
      <c r="E562" s="10"/>
      <c r="F562" s="10"/>
      <c r="G562" s="10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ht="15.75" customHeight="1">
      <c r="A563" s="157"/>
      <c r="B563" s="157"/>
      <c r="C563" s="157"/>
      <c r="D563" s="10"/>
      <c r="E563" s="10"/>
      <c r="F563" s="10"/>
      <c r="G563" s="10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ht="15.75" customHeight="1">
      <c r="A564" s="157"/>
      <c r="B564" s="157"/>
      <c r="C564" s="157"/>
      <c r="D564" s="10"/>
      <c r="E564" s="10"/>
      <c r="F564" s="10"/>
      <c r="G564" s="10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ht="15.75" customHeight="1">
      <c r="A565" s="157"/>
      <c r="B565" s="157"/>
      <c r="C565" s="157"/>
      <c r="D565" s="10"/>
      <c r="E565" s="10"/>
      <c r="F565" s="10"/>
      <c r="G565" s="10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ht="15.75" customHeight="1">
      <c r="A566" s="157"/>
      <c r="B566" s="157"/>
      <c r="C566" s="157"/>
      <c r="D566" s="10"/>
      <c r="E566" s="10"/>
      <c r="F566" s="10"/>
      <c r="G566" s="10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ht="15.75" customHeight="1">
      <c r="A567" s="157"/>
      <c r="B567" s="157"/>
      <c r="C567" s="157"/>
      <c r="D567" s="10"/>
      <c r="E567" s="10"/>
      <c r="F567" s="10"/>
      <c r="G567" s="10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ht="15.75" customHeight="1">
      <c r="A568" s="157"/>
      <c r="B568" s="157"/>
      <c r="C568" s="157"/>
      <c r="D568" s="10"/>
      <c r="E568" s="10"/>
      <c r="F568" s="10"/>
      <c r="G568" s="10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ht="15.75" customHeight="1">
      <c r="A569" s="157"/>
      <c r="B569" s="157"/>
      <c r="C569" s="157"/>
      <c r="D569" s="10"/>
      <c r="E569" s="10"/>
      <c r="F569" s="10"/>
      <c r="G569" s="10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ht="15.75" customHeight="1">
      <c r="A570" s="157"/>
      <c r="B570" s="157"/>
      <c r="C570" s="157"/>
      <c r="D570" s="10"/>
      <c r="E570" s="10"/>
      <c r="F570" s="10"/>
      <c r="G570" s="10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ht="15.75" customHeight="1">
      <c r="A571" s="157"/>
      <c r="B571" s="157"/>
      <c r="C571" s="157"/>
      <c r="D571" s="10"/>
      <c r="E571" s="10"/>
      <c r="F571" s="10"/>
      <c r="G571" s="10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ht="15.75" customHeight="1">
      <c r="A572" s="157"/>
      <c r="B572" s="157"/>
      <c r="C572" s="157"/>
      <c r="D572" s="10"/>
      <c r="E572" s="10"/>
      <c r="F572" s="10"/>
      <c r="G572" s="10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ht="15.75" customHeight="1">
      <c r="A573" s="157"/>
      <c r="B573" s="157"/>
      <c r="C573" s="157"/>
      <c r="D573" s="10"/>
      <c r="E573" s="10"/>
      <c r="F573" s="10"/>
      <c r="G573" s="10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ht="15.75" customHeight="1">
      <c r="A574" s="157"/>
      <c r="B574" s="157"/>
      <c r="C574" s="157"/>
      <c r="D574" s="10"/>
      <c r="E574" s="10"/>
      <c r="F574" s="10"/>
      <c r="G574" s="10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ht="15.75" customHeight="1">
      <c r="A575" s="157"/>
      <c r="B575" s="157"/>
      <c r="C575" s="157"/>
      <c r="D575" s="10"/>
      <c r="E575" s="10"/>
      <c r="F575" s="10"/>
      <c r="G575" s="10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ht="15.75" customHeight="1">
      <c r="A576" s="157"/>
      <c r="B576" s="157"/>
      <c r="C576" s="157"/>
      <c r="D576" s="10"/>
      <c r="E576" s="10"/>
      <c r="F576" s="10"/>
      <c r="G576" s="10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ht="15.75" customHeight="1">
      <c r="A577" s="157"/>
      <c r="B577" s="157"/>
      <c r="C577" s="157"/>
      <c r="D577" s="10"/>
      <c r="E577" s="10"/>
      <c r="F577" s="10"/>
      <c r="G577" s="10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ht="15.75" customHeight="1">
      <c r="A578" s="157"/>
      <c r="B578" s="157"/>
      <c r="C578" s="157"/>
      <c r="D578" s="10"/>
      <c r="E578" s="10"/>
      <c r="F578" s="10"/>
      <c r="G578" s="10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ht="15.75" customHeight="1">
      <c r="A579" s="157"/>
      <c r="B579" s="157"/>
      <c r="C579" s="157"/>
      <c r="D579" s="10"/>
      <c r="E579" s="10"/>
      <c r="F579" s="10"/>
      <c r="G579" s="10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ht="15.75" customHeight="1">
      <c r="A580" s="157"/>
      <c r="B580" s="157"/>
      <c r="C580" s="157"/>
      <c r="D580" s="10"/>
      <c r="E580" s="10"/>
      <c r="F580" s="10"/>
      <c r="G580" s="10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ht="15.75" customHeight="1">
      <c r="A581" s="157"/>
      <c r="B581" s="157"/>
      <c r="C581" s="157"/>
      <c r="D581" s="10"/>
      <c r="E581" s="10"/>
      <c r="F581" s="10"/>
      <c r="G581" s="10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ht="15.75" customHeight="1">
      <c r="A582" s="157"/>
      <c r="B582" s="157"/>
      <c r="C582" s="157"/>
      <c r="D582" s="10"/>
      <c r="E582" s="10"/>
      <c r="F582" s="10"/>
      <c r="G582" s="10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ht="15.75" customHeight="1">
      <c r="A583" s="157"/>
      <c r="B583" s="157"/>
      <c r="C583" s="157"/>
      <c r="D583" s="10"/>
      <c r="E583" s="10"/>
      <c r="F583" s="10"/>
      <c r="G583" s="10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ht="15.75" customHeight="1">
      <c r="A584" s="157"/>
      <c r="B584" s="157"/>
      <c r="C584" s="157"/>
      <c r="D584" s="10"/>
      <c r="E584" s="10"/>
      <c r="F584" s="10"/>
      <c r="G584" s="10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ht="15.75" customHeight="1">
      <c r="A585" s="157"/>
      <c r="B585" s="157"/>
      <c r="C585" s="157"/>
      <c r="D585" s="10"/>
      <c r="E585" s="10"/>
      <c r="F585" s="10"/>
      <c r="G585" s="10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ht="15.75" customHeight="1">
      <c r="A586" s="157"/>
      <c r="B586" s="157"/>
      <c r="C586" s="157"/>
      <c r="D586" s="10"/>
      <c r="E586" s="10"/>
      <c r="F586" s="10"/>
      <c r="G586" s="10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ht="15.75" customHeight="1">
      <c r="A587" s="157"/>
      <c r="B587" s="157"/>
      <c r="C587" s="157"/>
      <c r="D587" s="10"/>
      <c r="E587" s="10"/>
      <c r="F587" s="10"/>
      <c r="G587" s="10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ht="15.75" customHeight="1">
      <c r="A588" s="157"/>
      <c r="B588" s="157"/>
      <c r="C588" s="157"/>
      <c r="D588" s="10"/>
      <c r="E588" s="10"/>
      <c r="F588" s="10"/>
      <c r="G588" s="10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ht="15.75" customHeight="1">
      <c r="A589" s="157"/>
      <c r="B589" s="157"/>
      <c r="C589" s="157"/>
      <c r="D589" s="10"/>
      <c r="E589" s="10"/>
      <c r="F589" s="10"/>
      <c r="G589" s="10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ht="15.75" customHeight="1">
      <c r="A590" s="157"/>
      <c r="B590" s="157"/>
      <c r="C590" s="157"/>
      <c r="D590" s="10"/>
      <c r="E590" s="10"/>
      <c r="F590" s="10"/>
      <c r="G590" s="10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ht="15.75" customHeight="1">
      <c r="A591" s="157"/>
      <c r="B591" s="157"/>
      <c r="C591" s="157"/>
      <c r="D591" s="10"/>
      <c r="E591" s="10"/>
      <c r="F591" s="10"/>
      <c r="G591" s="10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ht="15.75" customHeight="1">
      <c r="A592" s="157"/>
      <c r="B592" s="157"/>
      <c r="C592" s="157"/>
      <c r="D592" s="10"/>
      <c r="E592" s="10"/>
      <c r="F592" s="10"/>
      <c r="G592" s="10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ht="15.75" customHeight="1">
      <c r="A593" s="157"/>
      <c r="B593" s="157"/>
      <c r="C593" s="157"/>
      <c r="D593" s="10"/>
      <c r="E593" s="10"/>
      <c r="F593" s="10"/>
      <c r="G593" s="10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ht="15.75" customHeight="1">
      <c r="A594" s="157"/>
      <c r="B594" s="157"/>
      <c r="C594" s="157"/>
      <c r="D594" s="10"/>
      <c r="E594" s="10"/>
      <c r="F594" s="10"/>
      <c r="G594" s="10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ht="15.75" customHeight="1">
      <c r="A595" s="157"/>
      <c r="B595" s="157"/>
      <c r="C595" s="157"/>
      <c r="D595" s="10"/>
      <c r="E595" s="10"/>
      <c r="F595" s="10"/>
      <c r="G595" s="10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ht="15.75" customHeight="1">
      <c r="A596" s="157"/>
      <c r="B596" s="157"/>
      <c r="C596" s="157"/>
      <c r="D596" s="10"/>
      <c r="E596" s="10"/>
      <c r="F596" s="10"/>
      <c r="G596" s="10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ht="15.75" customHeight="1">
      <c r="A597" s="157"/>
      <c r="B597" s="157"/>
      <c r="C597" s="157"/>
      <c r="D597" s="10"/>
      <c r="E597" s="10"/>
      <c r="F597" s="10"/>
      <c r="G597" s="10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ht="15.75" customHeight="1">
      <c r="A598" s="157"/>
      <c r="B598" s="157"/>
      <c r="C598" s="157"/>
      <c r="D598" s="10"/>
      <c r="E598" s="10"/>
      <c r="F598" s="10"/>
      <c r="G598" s="10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ht="15.75" customHeight="1">
      <c r="A599" s="157"/>
      <c r="B599" s="157"/>
      <c r="C599" s="157"/>
      <c r="D599" s="10"/>
      <c r="E599" s="10"/>
      <c r="F599" s="10"/>
      <c r="G599" s="10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ht="15.75" customHeight="1">
      <c r="A600" s="157"/>
      <c r="B600" s="157"/>
      <c r="C600" s="157"/>
      <c r="D600" s="10"/>
      <c r="E600" s="10"/>
      <c r="F600" s="10"/>
      <c r="G600" s="10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ht="15.75" customHeight="1">
      <c r="A601" s="157"/>
      <c r="B601" s="157"/>
      <c r="C601" s="157"/>
      <c r="D601" s="10"/>
      <c r="E601" s="10"/>
      <c r="F601" s="10"/>
      <c r="G601" s="10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ht="15.75" customHeight="1">
      <c r="A602" s="157"/>
      <c r="B602" s="157"/>
      <c r="C602" s="157"/>
      <c r="D602" s="10"/>
      <c r="E602" s="10"/>
      <c r="F602" s="10"/>
      <c r="G602" s="10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ht="15.75" customHeight="1">
      <c r="A603" s="157"/>
      <c r="B603" s="157"/>
      <c r="C603" s="157"/>
      <c r="D603" s="10"/>
      <c r="E603" s="10"/>
      <c r="F603" s="10"/>
      <c r="G603" s="10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ht="15.75" customHeight="1">
      <c r="A604" s="157"/>
      <c r="B604" s="157"/>
      <c r="C604" s="157"/>
      <c r="D604" s="10"/>
      <c r="E604" s="10"/>
      <c r="F604" s="10"/>
      <c r="G604" s="10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ht="15.75" customHeight="1">
      <c r="A605" s="157"/>
      <c r="B605" s="157"/>
      <c r="C605" s="157"/>
      <c r="D605" s="10"/>
      <c r="E605" s="10"/>
      <c r="F605" s="10"/>
      <c r="G605" s="10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ht="15.75" customHeight="1">
      <c r="A606" s="157"/>
      <c r="B606" s="157"/>
      <c r="C606" s="157"/>
      <c r="D606" s="10"/>
      <c r="E606" s="10"/>
      <c r="F606" s="10"/>
      <c r="G606" s="10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ht="15.75" customHeight="1">
      <c r="A607" s="157"/>
      <c r="B607" s="157"/>
      <c r="C607" s="157"/>
      <c r="D607" s="10"/>
      <c r="E607" s="10"/>
      <c r="F607" s="10"/>
      <c r="G607" s="10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ht="15.75" customHeight="1">
      <c r="A608" s="157"/>
      <c r="B608" s="157"/>
      <c r="C608" s="157"/>
      <c r="D608" s="10"/>
      <c r="E608" s="10"/>
      <c r="F608" s="10"/>
      <c r="G608" s="10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ht="15.75" customHeight="1">
      <c r="A609" s="157"/>
      <c r="B609" s="157"/>
      <c r="C609" s="157"/>
      <c r="D609" s="10"/>
      <c r="E609" s="10"/>
      <c r="F609" s="10"/>
      <c r="G609" s="10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ht="15.75" customHeight="1">
      <c r="A610" s="157"/>
      <c r="B610" s="157"/>
      <c r="C610" s="157"/>
      <c r="D610" s="10"/>
      <c r="E610" s="10"/>
      <c r="F610" s="10"/>
      <c r="G610" s="10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ht="15.75" customHeight="1">
      <c r="A611" s="157"/>
      <c r="B611" s="157"/>
      <c r="C611" s="157"/>
      <c r="D611" s="10"/>
      <c r="E611" s="10"/>
      <c r="F611" s="10"/>
      <c r="G611" s="10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ht="15.75" customHeight="1">
      <c r="A612" s="157"/>
      <c r="B612" s="157"/>
      <c r="C612" s="157"/>
      <c r="D612" s="10"/>
      <c r="E612" s="10"/>
      <c r="F612" s="10"/>
      <c r="G612" s="10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ht="15.75" customHeight="1">
      <c r="A613" s="157"/>
      <c r="B613" s="157"/>
      <c r="C613" s="157"/>
      <c r="D613" s="10"/>
      <c r="E613" s="10"/>
      <c r="F613" s="10"/>
      <c r="G613" s="10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ht="15.75" customHeight="1">
      <c r="A614" s="157"/>
      <c r="B614" s="157"/>
      <c r="C614" s="157"/>
      <c r="D614" s="10"/>
      <c r="E614" s="10"/>
      <c r="F614" s="10"/>
      <c r="G614" s="10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ht="15.75" customHeight="1">
      <c r="A615" s="157"/>
      <c r="B615" s="157"/>
      <c r="C615" s="157"/>
      <c r="D615" s="10"/>
      <c r="E615" s="10"/>
      <c r="F615" s="10"/>
      <c r="G615" s="10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ht="15.75" customHeight="1">
      <c r="A616" s="157"/>
      <c r="B616" s="157"/>
      <c r="C616" s="157"/>
      <c r="D616" s="10"/>
      <c r="E616" s="10"/>
      <c r="F616" s="10"/>
      <c r="G616" s="10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ht="15.75" customHeight="1">
      <c r="A617" s="157"/>
      <c r="B617" s="157"/>
      <c r="C617" s="157"/>
      <c r="D617" s="10"/>
      <c r="E617" s="10"/>
      <c r="F617" s="10"/>
      <c r="G617" s="10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ht="15.75" customHeight="1">
      <c r="A618" s="157"/>
      <c r="B618" s="157"/>
      <c r="C618" s="157"/>
      <c r="D618" s="10"/>
      <c r="E618" s="10"/>
      <c r="F618" s="10"/>
      <c r="G618" s="10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ht="15.75" customHeight="1">
      <c r="A619" s="157"/>
      <c r="B619" s="157"/>
      <c r="C619" s="157"/>
      <c r="D619" s="10"/>
      <c r="E619" s="10"/>
      <c r="F619" s="10"/>
      <c r="G619" s="10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ht="15.75" customHeight="1">
      <c r="A620" s="157"/>
      <c r="B620" s="157"/>
      <c r="C620" s="157"/>
      <c r="D620" s="10"/>
      <c r="E620" s="10"/>
      <c r="F620" s="10"/>
      <c r="G620" s="10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ht="15.75" customHeight="1">
      <c r="A621" s="157"/>
      <c r="B621" s="157"/>
      <c r="C621" s="157"/>
      <c r="D621" s="10"/>
      <c r="E621" s="10"/>
      <c r="F621" s="10"/>
      <c r="G621" s="10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ht="15.75" customHeight="1">
      <c r="A622" s="157"/>
      <c r="B622" s="157"/>
      <c r="C622" s="157"/>
      <c r="D622" s="10"/>
      <c r="E622" s="10"/>
      <c r="F622" s="10"/>
      <c r="G622" s="10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ht="15.75" customHeight="1">
      <c r="A623" s="157"/>
      <c r="B623" s="157"/>
      <c r="C623" s="157"/>
      <c r="D623" s="10"/>
      <c r="E623" s="10"/>
      <c r="F623" s="10"/>
      <c r="G623" s="10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ht="15.75" customHeight="1">
      <c r="A624" s="157"/>
      <c r="B624" s="157"/>
      <c r="C624" s="157"/>
      <c r="D624" s="10"/>
      <c r="E624" s="10"/>
      <c r="F624" s="10"/>
      <c r="G624" s="10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ht="15.75" customHeight="1">
      <c r="A625" s="157"/>
      <c r="B625" s="157"/>
      <c r="C625" s="157"/>
      <c r="D625" s="10"/>
      <c r="E625" s="10"/>
      <c r="F625" s="10"/>
      <c r="G625" s="10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ht="15.75" customHeight="1">
      <c r="A626" s="157"/>
      <c r="B626" s="157"/>
      <c r="C626" s="157"/>
      <c r="D626" s="10"/>
      <c r="E626" s="10"/>
      <c r="F626" s="10"/>
      <c r="G626" s="10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ht="15.75" customHeight="1">
      <c r="A627" s="157"/>
      <c r="B627" s="157"/>
      <c r="C627" s="157"/>
      <c r="D627" s="10"/>
      <c r="E627" s="10"/>
      <c r="F627" s="10"/>
      <c r="G627" s="10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ht="15.75" customHeight="1">
      <c r="A628" s="157"/>
      <c r="B628" s="157"/>
      <c r="C628" s="157"/>
      <c r="D628" s="10"/>
      <c r="E628" s="10"/>
      <c r="F628" s="10"/>
      <c r="G628" s="10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ht="15.75" customHeight="1">
      <c r="A629" s="157"/>
      <c r="B629" s="157"/>
      <c r="C629" s="157"/>
      <c r="D629" s="10"/>
      <c r="E629" s="10"/>
      <c r="F629" s="10"/>
      <c r="G629" s="10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ht="15.75" customHeight="1">
      <c r="A630" s="157"/>
      <c r="B630" s="157"/>
      <c r="C630" s="157"/>
      <c r="D630" s="10"/>
      <c r="E630" s="10"/>
      <c r="F630" s="10"/>
      <c r="G630" s="10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ht="15.75" customHeight="1">
      <c r="A631" s="157"/>
      <c r="B631" s="157"/>
      <c r="C631" s="157"/>
      <c r="D631" s="10"/>
      <c r="E631" s="10"/>
      <c r="F631" s="10"/>
      <c r="G631" s="10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ht="15.75" customHeight="1">
      <c r="A632" s="157"/>
      <c r="B632" s="157"/>
      <c r="C632" s="157"/>
      <c r="D632" s="10"/>
      <c r="E632" s="10"/>
      <c r="F632" s="10"/>
      <c r="G632" s="10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ht="15.75" customHeight="1">
      <c r="A633" s="157"/>
      <c r="B633" s="157"/>
      <c r="C633" s="157"/>
      <c r="D633" s="10"/>
      <c r="E633" s="10"/>
      <c r="F633" s="10"/>
      <c r="G633" s="10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ht="15.75" customHeight="1">
      <c r="A634" s="157"/>
      <c r="B634" s="157"/>
      <c r="C634" s="157"/>
      <c r="D634" s="10"/>
      <c r="E634" s="10"/>
      <c r="F634" s="10"/>
      <c r="G634" s="10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ht="15.75" customHeight="1">
      <c r="A635" s="157"/>
      <c r="B635" s="157"/>
      <c r="C635" s="157"/>
      <c r="D635" s="10"/>
      <c r="E635" s="10"/>
      <c r="F635" s="10"/>
      <c r="G635" s="10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ht="15.75" customHeight="1">
      <c r="A636" s="157"/>
      <c r="B636" s="157"/>
      <c r="C636" s="157"/>
      <c r="D636" s="10"/>
      <c r="E636" s="10"/>
      <c r="F636" s="10"/>
      <c r="G636" s="10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ht="15.75" customHeight="1">
      <c r="A637" s="157"/>
      <c r="B637" s="157"/>
      <c r="C637" s="157"/>
      <c r="D637" s="10"/>
      <c r="E637" s="10"/>
      <c r="F637" s="10"/>
      <c r="G637" s="10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ht="15.75" customHeight="1">
      <c r="A638" s="157"/>
      <c r="B638" s="157"/>
      <c r="C638" s="157"/>
      <c r="D638" s="10"/>
      <c r="E638" s="10"/>
      <c r="F638" s="10"/>
      <c r="G638" s="10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ht="15.75" customHeight="1">
      <c r="A639" s="157"/>
      <c r="B639" s="157"/>
      <c r="C639" s="157"/>
      <c r="D639" s="10"/>
      <c r="E639" s="10"/>
      <c r="F639" s="10"/>
      <c r="G639" s="10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ht="15.75" customHeight="1">
      <c r="A640" s="157"/>
      <c r="B640" s="157"/>
      <c r="C640" s="157"/>
      <c r="D640" s="10"/>
      <c r="E640" s="10"/>
      <c r="F640" s="10"/>
      <c r="G640" s="10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ht="15.75" customHeight="1">
      <c r="A641" s="157"/>
      <c r="B641" s="157"/>
      <c r="C641" s="157"/>
      <c r="D641" s="10"/>
      <c r="E641" s="10"/>
      <c r="F641" s="10"/>
      <c r="G641" s="10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ht="15.75" customHeight="1">
      <c r="A642" s="157"/>
      <c r="B642" s="157"/>
      <c r="C642" s="157"/>
      <c r="D642" s="10"/>
      <c r="E642" s="10"/>
      <c r="F642" s="10"/>
      <c r="G642" s="10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ht="15.75" customHeight="1">
      <c r="A643" s="157"/>
      <c r="B643" s="157"/>
      <c r="C643" s="157"/>
      <c r="D643" s="10"/>
      <c r="E643" s="10"/>
      <c r="F643" s="10"/>
      <c r="G643" s="10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ht="15.75" customHeight="1">
      <c r="A644" s="157"/>
      <c r="B644" s="157"/>
      <c r="C644" s="157"/>
      <c r="D644" s="10"/>
      <c r="E644" s="10"/>
      <c r="F644" s="10"/>
      <c r="G644" s="10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ht="15.75" customHeight="1">
      <c r="A645" s="157"/>
      <c r="B645" s="157"/>
      <c r="C645" s="157"/>
      <c r="D645" s="10"/>
      <c r="E645" s="10"/>
      <c r="F645" s="10"/>
      <c r="G645" s="10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ht="15.75" customHeight="1">
      <c r="A646" s="157"/>
      <c r="B646" s="157"/>
      <c r="C646" s="157"/>
      <c r="D646" s="10"/>
      <c r="E646" s="10"/>
      <c r="F646" s="10"/>
      <c r="G646" s="10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ht="15.75" customHeight="1">
      <c r="A647" s="157"/>
      <c r="B647" s="157"/>
      <c r="C647" s="157"/>
      <c r="D647" s="10"/>
      <c r="E647" s="10"/>
      <c r="F647" s="10"/>
      <c r="G647" s="10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ht="15.75" customHeight="1">
      <c r="A648" s="157"/>
      <c r="B648" s="157"/>
      <c r="C648" s="157"/>
      <c r="D648" s="10"/>
      <c r="E648" s="10"/>
      <c r="F648" s="10"/>
      <c r="G648" s="10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ht="15.75" customHeight="1">
      <c r="A649" s="157"/>
      <c r="B649" s="157"/>
      <c r="C649" s="157"/>
      <c r="D649" s="10"/>
      <c r="E649" s="10"/>
      <c r="F649" s="10"/>
      <c r="G649" s="10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ht="15.75" customHeight="1">
      <c r="A650" s="157"/>
      <c r="B650" s="157"/>
      <c r="C650" s="157"/>
      <c r="D650" s="10"/>
      <c r="E650" s="10"/>
      <c r="F650" s="10"/>
      <c r="G650" s="10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ht="15.75" customHeight="1">
      <c r="A651" s="157"/>
      <c r="B651" s="157"/>
      <c r="C651" s="157"/>
      <c r="D651" s="10"/>
      <c r="E651" s="10"/>
      <c r="F651" s="10"/>
      <c r="G651" s="10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ht="15.75" customHeight="1">
      <c r="A652" s="157"/>
      <c r="B652" s="157"/>
      <c r="C652" s="157"/>
      <c r="D652" s="10"/>
      <c r="E652" s="10"/>
      <c r="F652" s="10"/>
      <c r="G652" s="10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ht="15.75" customHeight="1">
      <c r="A653" s="157"/>
      <c r="B653" s="157"/>
      <c r="C653" s="157"/>
      <c r="D653" s="10"/>
      <c r="E653" s="10"/>
      <c r="F653" s="10"/>
      <c r="G653" s="10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ht="15.75" customHeight="1">
      <c r="A654" s="157"/>
      <c r="B654" s="157"/>
      <c r="C654" s="157"/>
      <c r="D654" s="10"/>
      <c r="E654" s="10"/>
      <c r="F654" s="10"/>
      <c r="G654" s="10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ht="15.75" customHeight="1">
      <c r="A655" s="157"/>
      <c r="B655" s="157"/>
      <c r="C655" s="157"/>
      <c r="D655" s="10"/>
      <c r="E655" s="10"/>
      <c r="F655" s="10"/>
      <c r="G655" s="10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ht="15.75" customHeight="1">
      <c r="A656" s="157"/>
      <c r="B656" s="157"/>
      <c r="C656" s="157"/>
      <c r="D656" s="10"/>
      <c r="E656" s="10"/>
      <c r="F656" s="10"/>
      <c r="G656" s="10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ht="15.75" customHeight="1">
      <c r="A657" s="157"/>
      <c r="B657" s="157"/>
      <c r="C657" s="157"/>
      <c r="D657" s="10"/>
      <c r="E657" s="10"/>
      <c r="F657" s="10"/>
      <c r="G657" s="10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ht="15.75" customHeight="1">
      <c r="A658" s="157"/>
      <c r="B658" s="157"/>
      <c r="C658" s="157"/>
      <c r="D658" s="10"/>
      <c r="E658" s="10"/>
      <c r="F658" s="10"/>
      <c r="G658" s="10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ht="15.75" customHeight="1">
      <c r="A659" s="157"/>
      <c r="B659" s="157"/>
      <c r="C659" s="157"/>
      <c r="D659" s="10"/>
      <c r="E659" s="10"/>
      <c r="F659" s="10"/>
      <c r="G659" s="10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ht="15.75" customHeight="1">
      <c r="A660" s="157"/>
      <c r="B660" s="157"/>
      <c r="C660" s="157"/>
      <c r="D660" s="10"/>
      <c r="E660" s="10"/>
      <c r="F660" s="10"/>
      <c r="G660" s="10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ht="15.75" customHeight="1">
      <c r="A661" s="157"/>
      <c r="B661" s="157"/>
      <c r="C661" s="157"/>
      <c r="D661" s="10"/>
      <c r="E661" s="10"/>
      <c r="F661" s="10"/>
      <c r="G661" s="10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ht="15.75" customHeight="1">
      <c r="A662" s="157"/>
      <c r="B662" s="157"/>
      <c r="C662" s="157"/>
      <c r="D662" s="10"/>
      <c r="E662" s="10"/>
      <c r="F662" s="10"/>
      <c r="G662" s="10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ht="15.75" customHeight="1">
      <c r="A663" s="157"/>
      <c r="B663" s="157"/>
      <c r="C663" s="157"/>
      <c r="D663" s="10"/>
      <c r="E663" s="10"/>
      <c r="F663" s="10"/>
      <c r="G663" s="10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ht="15.75" customHeight="1">
      <c r="A664" s="157"/>
      <c r="B664" s="157"/>
      <c r="C664" s="157"/>
      <c r="D664" s="10"/>
      <c r="E664" s="10"/>
      <c r="F664" s="10"/>
      <c r="G664" s="10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ht="15.75" customHeight="1">
      <c r="A665" s="157"/>
      <c r="B665" s="157"/>
      <c r="C665" s="157"/>
      <c r="D665" s="10"/>
      <c r="E665" s="10"/>
      <c r="F665" s="10"/>
      <c r="G665" s="10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ht="15.75" customHeight="1">
      <c r="A666" s="157"/>
      <c r="B666" s="157"/>
      <c r="C666" s="157"/>
      <c r="D666" s="10"/>
      <c r="E666" s="10"/>
      <c r="F666" s="10"/>
      <c r="G666" s="10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ht="15.75" customHeight="1">
      <c r="A667" s="157"/>
      <c r="B667" s="157"/>
      <c r="C667" s="157"/>
      <c r="D667" s="10"/>
      <c r="E667" s="10"/>
      <c r="F667" s="10"/>
      <c r="G667" s="10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ht="15.75" customHeight="1">
      <c r="A668" s="157"/>
      <c r="B668" s="157"/>
      <c r="C668" s="157"/>
      <c r="D668" s="10"/>
      <c r="E668" s="10"/>
      <c r="F668" s="10"/>
      <c r="G668" s="10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ht="15.75" customHeight="1">
      <c r="A669" s="157"/>
      <c r="B669" s="157"/>
      <c r="C669" s="157"/>
      <c r="D669" s="10"/>
      <c r="E669" s="10"/>
      <c r="F669" s="10"/>
      <c r="G669" s="10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ht="15.75" customHeight="1">
      <c r="A670" s="157"/>
      <c r="B670" s="157"/>
      <c r="C670" s="157"/>
      <c r="D670" s="10"/>
      <c r="E670" s="10"/>
      <c r="F670" s="10"/>
      <c r="G670" s="10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ht="15.75" customHeight="1">
      <c r="A671" s="157"/>
      <c r="B671" s="157"/>
      <c r="C671" s="157"/>
      <c r="D671" s="10"/>
      <c r="E671" s="10"/>
      <c r="F671" s="10"/>
      <c r="G671" s="10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ht="15.75" customHeight="1">
      <c r="A672" s="157"/>
      <c r="B672" s="157"/>
      <c r="C672" s="157"/>
      <c r="D672" s="10"/>
      <c r="E672" s="10"/>
      <c r="F672" s="10"/>
      <c r="G672" s="10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ht="15.75" customHeight="1">
      <c r="A673" s="157"/>
      <c r="B673" s="157"/>
      <c r="C673" s="157"/>
      <c r="D673" s="10"/>
      <c r="E673" s="10"/>
      <c r="F673" s="10"/>
      <c r="G673" s="10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ht="15.75" customHeight="1">
      <c r="A674" s="157"/>
      <c r="B674" s="157"/>
      <c r="C674" s="157"/>
      <c r="D674" s="10"/>
      <c r="E674" s="10"/>
      <c r="F674" s="10"/>
      <c r="G674" s="10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ht="15.75" customHeight="1">
      <c r="A675" s="157"/>
      <c r="B675" s="157"/>
      <c r="C675" s="157"/>
      <c r="D675" s="10"/>
      <c r="E675" s="10"/>
      <c r="F675" s="10"/>
      <c r="G675" s="10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ht="15.75" customHeight="1">
      <c r="A676" s="157"/>
      <c r="B676" s="157"/>
      <c r="C676" s="157"/>
      <c r="D676" s="10"/>
      <c r="E676" s="10"/>
      <c r="F676" s="10"/>
      <c r="G676" s="10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ht="15.75" customHeight="1">
      <c r="A677" s="157"/>
      <c r="B677" s="157"/>
      <c r="C677" s="157"/>
      <c r="D677" s="10"/>
      <c r="E677" s="10"/>
      <c r="F677" s="10"/>
      <c r="G677" s="10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ht="15.75" customHeight="1">
      <c r="A678" s="157"/>
      <c r="B678" s="157"/>
      <c r="C678" s="157"/>
      <c r="D678" s="10"/>
      <c r="E678" s="10"/>
      <c r="F678" s="10"/>
      <c r="G678" s="10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ht="15.75" customHeight="1">
      <c r="A679" s="157"/>
      <c r="B679" s="157"/>
      <c r="C679" s="157"/>
      <c r="D679" s="10"/>
      <c r="E679" s="10"/>
      <c r="F679" s="10"/>
      <c r="G679" s="10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ht="15.75" customHeight="1">
      <c r="A680" s="157"/>
      <c r="B680" s="157"/>
      <c r="C680" s="157"/>
      <c r="D680" s="10"/>
      <c r="E680" s="10"/>
      <c r="F680" s="10"/>
      <c r="G680" s="10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ht="15.75" customHeight="1">
      <c r="A681" s="157"/>
      <c r="B681" s="157"/>
      <c r="C681" s="157"/>
      <c r="D681" s="10"/>
      <c r="E681" s="10"/>
      <c r="F681" s="10"/>
      <c r="G681" s="10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ht="15.75" customHeight="1">
      <c r="A682" s="157"/>
      <c r="B682" s="157"/>
      <c r="C682" s="157"/>
      <c r="D682" s="10"/>
      <c r="E682" s="10"/>
      <c r="F682" s="10"/>
      <c r="G682" s="10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ht="15.75" customHeight="1">
      <c r="A683" s="157"/>
      <c r="B683" s="157"/>
      <c r="C683" s="157"/>
      <c r="D683" s="10"/>
      <c r="E683" s="10"/>
      <c r="F683" s="10"/>
      <c r="G683" s="10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ht="15.75" customHeight="1">
      <c r="A684" s="157"/>
      <c r="B684" s="157"/>
      <c r="C684" s="157"/>
      <c r="D684" s="10"/>
      <c r="E684" s="10"/>
      <c r="F684" s="10"/>
      <c r="G684" s="10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ht="15.75" customHeight="1">
      <c r="A685" s="157"/>
      <c r="B685" s="157"/>
      <c r="C685" s="157"/>
      <c r="D685" s="10"/>
      <c r="E685" s="10"/>
      <c r="F685" s="10"/>
      <c r="G685" s="10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ht="15.75" customHeight="1">
      <c r="A686" s="157"/>
      <c r="B686" s="157"/>
      <c r="C686" s="157"/>
      <c r="D686" s="10"/>
      <c r="E686" s="10"/>
      <c r="F686" s="10"/>
      <c r="G686" s="10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ht="15.75" customHeight="1">
      <c r="A687" s="157"/>
      <c r="B687" s="157"/>
      <c r="C687" s="157"/>
      <c r="D687" s="10"/>
      <c r="E687" s="10"/>
      <c r="F687" s="10"/>
      <c r="G687" s="10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ht="15.75" customHeight="1">
      <c r="A688" s="157"/>
      <c r="B688" s="157"/>
      <c r="C688" s="157"/>
      <c r="D688" s="10"/>
      <c r="E688" s="10"/>
      <c r="F688" s="10"/>
      <c r="G688" s="10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ht="15.75" customHeight="1">
      <c r="A689" s="157"/>
      <c r="B689" s="157"/>
      <c r="C689" s="157"/>
      <c r="D689" s="10"/>
      <c r="E689" s="10"/>
      <c r="F689" s="10"/>
      <c r="G689" s="10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ht="15.75" customHeight="1">
      <c r="A690" s="157"/>
      <c r="B690" s="157"/>
      <c r="C690" s="157"/>
      <c r="D690" s="10"/>
      <c r="E690" s="10"/>
      <c r="F690" s="10"/>
      <c r="G690" s="10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ht="15.75" customHeight="1">
      <c r="A691" s="157"/>
      <c r="B691" s="157"/>
      <c r="C691" s="157"/>
      <c r="D691" s="10"/>
      <c r="E691" s="10"/>
      <c r="F691" s="10"/>
      <c r="G691" s="10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ht="15.75" customHeight="1">
      <c r="A692" s="157"/>
      <c r="B692" s="157"/>
      <c r="C692" s="157"/>
      <c r="D692" s="10"/>
      <c r="E692" s="10"/>
      <c r="F692" s="10"/>
      <c r="G692" s="10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ht="15.75" customHeight="1">
      <c r="A693" s="157"/>
      <c r="B693" s="157"/>
      <c r="C693" s="157"/>
      <c r="D693" s="10"/>
      <c r="E693" s="10"/>
      <c r="F693" s="10"/>
      <c r="G693" s="10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ht="15.75" customHeight="1">
      <c r="A694" s="157"/>
      <c r="B694" s="157"/>
      <c r="C694" s="157"/>
      <c r="D694" s="10"/>
      <c r="E694" s="10"/>
      <c r="F694" s="10"/>
      <c r="G694" s="10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ht="15.75" customHeight="1">
      <c r="A695" s="157"/>
      <c r="B695" s="157"/>
      <c r="C695" s="157"/>
      <c r="D695" s="10"/>
      <c r="E695" s="10"/>
      <c r="F695" s="10"/>
      <c r="G695" s="10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ht="15.75" customHeight="1">
      <c r="A696" s="157"/>
      <c r="B696" s="157"/>
      <c r="C696" s="157"/>
      <c r="D696" s="10"/>
      <c r="E696" s="10"/>
      <c r="F696" s="10"/>
      <c r="G696" s="10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ht="15.75" customHeight="1">
      <c r="A697" s="157"/>
      <c r="B697" s="157"/>
      <c r="C697" s="157"/>
      <c r="D697" s="10"/>
      <c r="E697" s="10"/>
      <c r="F697" s="10"/>
      <c r="G697" s="10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ht="15.75" customHeight="1">
      <c r="A698" s="157"/>
      <c r="B698" s="157"/>
      <c r="C698" s="157"/>
      <c r="D698" s="10"/>
      <c r="E698" s="10"/>
      <c r="F698" s="10"/>
      <c r="G698" s="10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ht="15.75" customHeight="1">
      <c r="A699" s="157"/>
      <c r="B699" s="157"/>
      <c r="C699" s="157"/>
      <c r="D699" s="10"/>
      <c r="E699" s="10"/>
      <c r="F699" s="10"/>
      <c r="G699" s="10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ht="15.75" customHeight="1">
      <c r="A700" s="157"/>
      <c r="B700" s="157"/>
      <c r="C700" s="157"/>
      <c r="D700" s="10"/>
      <c r="E700" s="10"/>
      <c r="F700" s="10"/>
      <c r="G700" s="10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ht="15.75" customHeight="1">
      <c r="A701" s="157"/>
      <c r="B701" s="157"/>
      <c r="C701" s="157"/>
      <c r="D701" s="10"/>
      <c r="E701" s="10"/>
      <c r="F701" s="10"/>
      <c r="G701" s="10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ht="15.75" customHeight="1">
      <c r="A702" s="157"/>
      <c r="B702" s="157"/>
      <c r="C702" s="157"/>
      <c r="D702" s="10"/>
      <c r="E702" s="10"/>
      <c r="F702" s="10"/>
      <c r="G702" s="10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ht="15.75" customHeight="1">
      <c r="A703" s="157"/>
      <c r="B703" s="157"/>
      <c r="C703" s="157"/>
      <c r="D703" s="10"/>
      <c r="E703" s="10"/>
      <c r="F703" s="10"/>
      <c r="G703" s="10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ht="15.75" customHeight="1">
      <c r="A704" s="157"/>
      <c r="B704" s="157"/>
      <c r="C704" s="157"/>
      <c r="D704" s="10"/>
      <c r="E704" s="10"/>
      <c r="F704" s="10"/>
      <c r="G704" s="10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ht="15.75" customHeight="1">
      <c r="A705" s="157"/>
      <c r="B705" s="157"/>
      <c r="C705" s="157"/>
      <c r="D705" s="10"/>
      <c r="E705" s="10"/>
      <c r="F705" s="10"/>
      <c r="G705" s="10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ht="15.75" customHeight="1">
      <c r="A706" s="157"/>
      <c r="B706" s="157"/>
      <c r="C706" s="157"/>
      <c r="D706" s="10"/>
      <c r="E706" s="10"/>
      <c r="F706" s="10"/>
      <c r="G706" s="10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ht="15.75" customHeight="1">
      <c r="A707" s="157"/>
      <c r="B707" s="157"/>
      <c r="C707" s="157"/>
      <c r="D707" s="10"/>
      <c r="E707" s="10"/>
      <c r="F707" s="10"/>
      <c r="G707" s="10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ht="15.75" customHeight="1">
      <c r="A708" s="157"/>
      <c r="B708" s="157"/>
      <c r="C708" s="157"/>
      <c r="D708" s="10"/>
      <c r="E708" s="10"/>
      <c r="F708" s="10"/>
      <c r="G708" s="10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ht="15.75" customHeight="1">
      <c r="A709" s="157"/>
      <c r="B709" s="157"/>
      <c r="C709" s="157"/>
      <c r="D709" s="10"/>
      <c r="E709" s="10"/>
      <c r="F709" s="10"/>
      <c r="G709" s="10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ht="15.75" customHeight="1">
      <c r="A710" s="157"/>
      <c r="B710" s="157"/>
      <c r="C710" s="157"/>
      <c r="D710" s="10"/>
      <c r="E710" s="10"/>
      <c r="F710" s="10"/>
      <c r="G710" s="10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ht="15.75" customHeight="1">
      <c r="A711" s="157"/>
      <c r="B711" s="157"/>
      <c r="C711" s="157"/>
      <c r="D711" s="10"/>
      <c r="E711" s="10"/>
      <c r="F711" s="10"/>
      <c r="G711" s="10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ht="15.75" customHeight="1">
      <c r="A712" s="157"/>
      <c r="B712" s="157"/>
      <c r="C712" s="157"/>
      <c r="D712" s="10"/>
      <c r="E712" s="10"/>
      <c r="F712" s="10"/>
      <c r="G712" s="10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ht="15.75" customHeight="1">
      <c r="A713" s="157"/>
      <c r="B713" s="157"/>
      <c r="C713" s="157"/>
      <c r="D713" s="10"/>
      <c r="E713" s="10"/>
      <c r="F713" s="10"/>
      <c r="G713" s="10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ht="15.75" customHeight="1">
      <c r="A714" s="157"/>
      <c r="B714" s="157"/>
      <c r="C714" s="157"/>
      <c r="D714" s="10"/>
      <c r="E714" s="10"/>
      <c r="F714" s="10"/>
      <c r="G714" s="10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ht="15.75" customHeight="1">
      <c r="A715" s="157"/>
      <c r="B715" s="157"/>
      <c r="C715" s="157"/>
      <c r="D715" s="10"/>
      <c r="E715" s="10"/>
      <c r="F715" s="10"/>
      <c r="G715" s="10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ht="15.75" customHeight="1">
      <c r="A716" s="157"/>
      <c r="B716" s="157"/>
      <c r="C716" s="157"/>
      <c r="D716" s="10"/>
      <c r="E716" s="10"/>
      <c r="F716" s="10"/>
      <c r="G716" s="10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ht="15.75" customHeight="1">
      <c r="A717" s="157"/>
      <c r="B717" s="157"/>
      <c r="C717" s="157"/>
      <c r="D717" s="10"/>
      <c r="E717" s="10"/>
      <c r="F717" s="10"/>
      <c r="G717" s="10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ht="15.75" customHeight="1">
      <c r="A718" s="157"/>
      <c r="B718" s="157"/>
      <c r="C718" s="157"/>
      <c r="D718" s="10"/>
      <c r="E718" s="10"/>
      <c r="F718" s="10"/>
      <c r="G718" s="10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ht="15.75" customHeight="1">
      <c r="A719" s="157"/>
      <c r="B719" s="157"/>
      <c r="C719" s="157"/>
      <c r="D719" s="10"/>
      <c r="E719" s="10"/>
      <c r="F719" s="10"/>
      <c r="G719" s="10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ht="15.75" customHeight="1">
      <c r="A720" s="157"/>
      <c r="B720" s="157"/>
      <c r="C720" s="157"/>
      <c r="D720" s="10"/>
      <c r="E720" s="10"/>
      <c r="F720" s="10"/>
      <c r="G720" s="10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ht="15.75" customHeight="1">
      <c r="A721" s="157"/>
      <c r="B721" s="157"/>
      <c r="C721" s="157"/>
      <c r="D721" s="10"/>
      <c r="E721" s="10"/>
      <c r="F721" s="10"/>
      <c r="G721" s="10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ht="15.75" customHeight="1">
      <c r="A722" s="157"/>
      <c r="B722" s="157"/>
      <c r="C722" s="157"/>
      <c r="D722" s="10"/>
      <c r="E722" s="10"/>
      <c r="F722" s="10"/>
      <c r="G722" s="10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ht="15.75" customHeight="1">
      <c r="A723" s="157"/>
      <c r="B723" s="157"/>
      <c r="C723" s="157"/>
      <c r="D723" s="10"/>
      <c r="E723" s="10"/>
      <c r="F723" s="10"/>
      <c r="G723" s="10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ht="15.75" customHeight="1">
      <c r="A724" s="157"/>
      <c r="B724" s="157"/>
      <c r="C724" s="157"/>
      <c r="D724" s="10"/>
      <c r="E724" s="10"/>
      <c r="F724" s="10"/>
      <c r="G724" s="10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ht="15.75" customHeight="1">
      <c r="A725" s="157"/>
      <c r="B725" s="157"/>
      <c r="C725" s="157"/>
      <c r="D725" s="10"/>
      <c r="E725" s="10"/>
      <c r="F725" s="10"/>
      <c r="G725" s="10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ht="15.75" customHeight="1">
      <c r="A726" s="157"/>
      <c r="B726" s="157"/>
      <c r="C726" s="157"/>
      <c r="D726" s="10"/>
      <c r="E726" s="10"/>
      <c r="F726" s="10"/>
      <c r="G726" s="10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ht="15.75" customHeight="1">
      <c r="A727" s="157"/>
      <c r="B727" s="157"/>
      <c r="C727" s="157"/>
      <c r="D727" s="10"/>
      <c r="E727" s="10"/>
      <c r="F727" s="10"/>
      <c r="G727" s="10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ht="15.75" customHeight="1">
      <c r="A728" s="157"/>
      <c r="B728" s="157"/>
      <c r="C728" s="157"/>
      <c r="D728" s="10"/>
      <c r="E728" s="10"/>
      <c r="F728" s="10"/>
      <c r="G728" s="10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ht="15.75" customHeight="1">
      <c r="A729" s="157"/>
      <c r="B729" s="157"/>
      <c r="C729" s="157"/>
      <c r="D729" s="10"/>
      <c r="E729" s="10"/>
      <c r="F729" s="10"/>
      <c r="G729" s="10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ht="15.75" customHeight="1">
      <c r="A730" s="157"/>
      <c r="B730" s="157"/>
      <c r="C730" s="157"/>
      <c r="D730" s="10"/>
      <c r="E730" s="10"/>
      <c r="F730" s="10"/>
      <c r="G730" s="10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ht="15.75" customHeight="1">
      <c r="A731" s="157"/>
      <c r="B731" s="157"/>
      <c r="C731" s="157"/>
      <c r="D731" s="10"/>
      <c r="E731" s="10"/>
      <c r="F731" s="10"/>
      <c r="G731" s="10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ht="15.75" customHeight="1">
      <c r="A732" s="157"/>
      <c r="B732" s="157"/>
      <c r="C732" s="157"/>
      <c r="D732" s="10"/>
      <c r="E732" s="10"/>
      <c r="F732" s="10"/>
      <c r="G732" s="10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ht="15.75" customHeight="1">
      <c r="A733" s="157"/>
      <c r="B733" s="157"/>
      <c r="C733" s="157"/>
      <c r="D733" s="10"/>
      <c r="E733" s="10"/>
      <c r="F733" s="10"/>
      <c r="G733" s="10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ht="15.75" customHeight="1">
      <c r="A734" s="157"/>
      <c r="B734" s="157"/>
      <c r="C734" s="157"/>
      <c r="D734" s="10"/>
      <c r="E734" s="10"/>
      <c r="F734" s="10"/>
      <c r="G734" s="10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ht="15.75" customHeight="1">
      <c r="A735" s="157"/>
      <c r="B735" s="157"/>
      <c r="C735" s="157"/>
      <c r="D735" s="10"/>
      <c r="E735" s="10"/>
      <c r="F735" s="10"/>
      <c r="G735" s="10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ht="15.75" customHeight="1">
      <c r="A736" s="157"/>
      <c r="B736" s="157"/>
      <c r="C736" s="157"/>
      <c r="D736" s="10"/>
      <c r="E736" s="10"/>
      <c r="F736" s="10"/>
      <c r="G736" s="10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ht="15.75" customHeight="1">
      <c r="A737" s="157"/>
      <c r="B737" s="157"/>
      <c r="C737" s="157"/>
      <c r="D737" s="10"/>
      <c r="E737" s="10"/>
      <c r="F737" s="10"/>
      <c r="G737" s="10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ht="15.75" customHeight="1">
      <c r="A738" s="157"/>
      <c r="B738" s="157"/>
      <c r="C738" s="157"/>
      <c r="D738" s="10"/>
      <c r="E738" s="10"/>
      <c r="F738" s="10"/>
      <c r="G738" s="10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ht="15.75" customHeight="1">
      <c r="A739" s="157"/>
      <c r="B739" s="157"/>
      <c r="C739" s="157"/>
      <c r="D739" s="10"/>
      <c r="E739" s="10"/>
      <c r="F739" s="10"/>
      <c r="G739" s="10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ht="15.75" customHeight="1">
      <c r="A740" s="157"/>
      <c r="B740" s="157"/>
      <c r="C740" s="157"/>
      <c r="D740" s="10"/>
      <c r="E740" s="10"/>
      <c r="F740" s="10"/>
      <c r="G740" s="10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ht="15.75" customHeight="1">
      <c r="A741" s="157"/>
      <c r="B741" s="157"/>
      <c r="C741" s="157"/>
      <c r="D741" s="10"/>
      <c r="E741" s="10"/>
      <c r="F741" s="10"/>
      <c r="G741" s="10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ht="15.75" customHeight="1">
      <c r="A742" s="157"/>
      <c r="B742" s="157"/>
      <c r="C742" s="157"/>
      <c r="D742" s="10"/>
      <c r="E742" s="10"/>
      <c r="F742" s="10"/>
      <c r="G742" s="10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ht="15.75" customHeight="1">
      <c r="A743" s="157"/>
      <c r="B743" s="157"/>
      <c r="C743" s="157"/>
      <c r="D743" s="10"/>
      <c r="E743" s="10"/>
      <c r="F743" s="10"/>
      <c r="G743" s="10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ht="15.75" customHeight="1">
      <c r="A744" s="157"/>
      <c r="B744" s="157"/>
      <c r="C744" s="157"/>
      <c r="D744" s="10"/>
      <c r="E744" s="10"/>
      <c r="F744" s="10"/>
      <c r="G744" s="10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ht="15.75" customHeight="1">
      <c r="A745" s="157"/>
      <c r="B745" s="157"/>
      <c r="C745" s="157"/>
      <c r="D745" s="10"/>
      <c r="E745" s="10"/>
      <c r="F745" s="10"/>
      <c r="G745" s="10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ht="15.75" customHeight="1">
      <c r="A746" s="157"/>
      <c r="B746" s="157"/>
      <c r="C746" s="157"/>
      <c r="D746" s="10"/>
      <c r="E746" s="10"/>
      <c r="F746" s="10"/>
      <c r="G746" s="10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ht="15.75" customHeight="1">
      <c r="A747" s="157"/>
      <c r="B747" s="157"/>
      <c r="C747" s="157"/>
      <c r="D747" s="10"/>
      <c r="E747" s="10"/>
      <c r="F747" s="10"/>
      <c r="G747" s="10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ht="15.75" customHeight="1">
      <c r="A748" s="157"/>
      <c r="B748" s="157"/>
      <c r="C748" s="157"/>
      <c r="D748" s="10"/>
      <c r="E748" s="10"/>
      <c r="F748" s="10"/>
      <c r="G748" s="10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ht="15.75" customHeight="1">
      <c r="A749" s="157"/>
      <c r="B749" s="157"/>
      <c r="C749" s="157"/>
      <c r="D749" s="10"/>
      <c r="E749" s="10"/>
      <c r="F749" s="10"/>
      <c r="G749" s="10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ht="15.75" customHeight="1">
      <c r="A750" s="157"/>
      <c r="B750" s="157"/>
      <c r="C750" s="157"/>
      <c r="D750" s="10"/>
      <c r="E750" s="10"/>
      <c r="F750" s="10"/>
      <c r="G750" s="10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ht="15.75" customHeight="1">
      <c r="A751" s="157"/>
      <c r="B751" s="157"/>
      <c r="C751" s="157"/>
      <c r="D751" s="10"/>
      <c r="E751" s="10"/>
      <c r="F751" s="10"/>
      <c r="G751" s="10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ht="15.75" customHeight="1">
      <c r="A752" s="157"/>
      <c r="B752" s="157"/>
      <c r="C752" s="157"/>
      <c r="D752" s="10"/>
      <c r="E752" s="10"/>
      <c r="F752" s="10"/>
      <c r="G752" s="10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ht="15.75" customHeight="1">
      <c r="A753" s="157"/>
      <c r="B753" s="157"/>
      <c r="C753" s="157"/>
      <c r="D753" s="10"/>
      <c r="E753" s="10"/>
      <c r="F753" s="10"/>
      <c r="G753" s="10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ht="15.75" customHeight="1">
      <c r="A754" s="157"/>
      <c r="B754" s="157"/>
      <c r="C754" s="157"/>
      <c r="D754" s="10"/>
      <c r="E754" s="10"/>
      <c r="F754" s="10"/>
      <c r="G754" s="10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ht="15.75" customHeight="1">
      <c r="A755" s="157"/>
      <c r="B755" s="157"/>
      <c r="C755" s="157"/>
      <c r="D755" s="10"/>
      <c r="E755" s="10"/>
      <c r="F755" s="10"/>
      <c r="G755" s="10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ht="15.75" customHeight="1">
      <c r="A756" s="157"/>
      <c r="B756" s="157"/>
      <c r="C756" s="157"/>
      <c r="D756" s="10"/>
      <c r="E756" s="10"/>
      <c r="F756" s="10"/>
      <c r="G756" s="10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ht="15.75" customHeight="1">
      <c r="A757" s="157"/>
      <c r="B757" s="157"/>
      <c r="C757" s="157"/>
      <c r="D757" s="10"/>
      <c r="E757" s="10"/>
      <c r="F757" s="10"/>
      <c r="G757" s="10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ht="15.75" customHeight="1">
      <c r="A758" s="157"/>
      <c r="B758" s="157"/>
      <c r="C758" s="157"/>
      <c r="D758" s="10"/>
      <c r="E758" s="10"/>
      <c r="F758" s="10"/>
      <c r="G758" s="10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ht="15.75" customHeight="1">
      <c r="A759" s="157"/>
      <c r="B759" s="157"/>
      <c r="C759" s="157"/>
      <c r="D759" s="10"/>
      <c r="E759" s="10"/>
      <c r="F759" s="10"/>
      <c r="G759" s="10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ht="15.75" customHeight="1">
      <c r="A760" s="157"/>
      <c r="B760" s="157"/>
      <c r="C760" s="157"/>
      <c r="D760" s="10"/>
      <c r="E760" s="10"/>
      <c r="F760" s="10"/>
      <c r="G760" s="10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ht="15.75" customHeight="1">
      <c r="A761" s="157"/>
      <c r="B761" s="157"/>
      <c r="C761" s="157"/>
      <c r="D761" s="10"/>
      <c r="E761" s="10"/>
      <c r="F761" s="10"/>
      <c r="G761" s="10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ht="15.75" customHeight="1">
      <c r="A762" s="157"/>
      <c r="B762" s="157"/>
      <c r="C762" s="157"/>
      <c r="D762" s="10"/>
      <c r="E762" s="10"/>
      <c r="F762" s="10"/>
      <c r="G762" s="10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ht="15.75" customHeight="1">
      <c r="A763" s="157"/>
      <c r="B763" s="157"/>
      <c r="C763" s="157"/>
      <c r="D763" s="10"/>
      <c r="E763" s="10"/>
      <c r="F763" s="10"/>
      <c r="G763" s="10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ht="15.75" customHeight="1">
      <c r="A764" s="157"/>
      <c r="B764" s="157"/>
      <c r="C764" s="157"/>
      <c r="D764" s="10"/>
      <c r="E764" s="10"/>
      <c r="F764" s="10"/>
      <c r="G764" s="10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ht="15.75" customHeight="1">
      <c r="A765" s="157"/>
      <c r="B765" s="157"/>
      <c r="C765" s="157"/>
      <c r="D765" s="10"/>
      <c r="E765" s="10"/>
      <c r="F765" s="10"/>
      <c r="G765" s="10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ht="15.75" customHeight="1">
      <c r="A766" s="157"/>
      <c r="B766" s="157"/>
      <c r="C766" s="157"/>
      <c r="D766" s="10"/>
      <c r="E766" s="10"/>
      <c r="F766" s="10"/>
      <c r="G766" s="10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ht="15.75" customHeight="1">
      <c r="A767" s="157"/>
      <c r="B767" s="157"/>
      <c r="C767" s="157"/>
      <c r="D767" s="10"/>
      <c r="E767" s="10"/>
      <c r="F767" s="10"/>
      <c r="G767" s="10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ht="15.75" customHeight="1">
      <c r="A768" s="157"/>
      <c r="B768" s="157"/>
      <c r="C768" s="157"/>
      <c r="D768" s="10"/>
      <c r="E768" s="10"/>
      <c r="F768" s="10"/>
      <c r="G768" s="10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ht="15.75" customHeight="1">
      <c r="A769" s="157"/>
      <c r="B769" s="157"/>
      <c r="C769" s="157"/>
      <c r="D769" s="10"/>
      <c r="E769" s="10"/>
      <c r="F769" s="10"/>
      <c r="G769" s="10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ht="15.75" customHeight="1">
      <c r="A770" s="157"/>
      <c r="B770" s="157"/>
      <c r="C770" s="157"/>
      <c r="D770" s="10"/>
      <c r="E770" s="10"/>
      <c r="F770" s="10"/>
      <c r="G770" s="10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ht="15.75" customHeight="1">
      <c r="A771" s="157"/>
      <c r="B771" s="157"/>
      <c r="C771" s="157"/>
      <c r="D771" s="10"/>
      <c r="E771" s="10"/>
      <c r="F771" s="10"/>
      <c r="G771" s="10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ht="15.75" customHeight="1">
      <c r="A772" s="157"/>
      <c r="B772" s="157"/>
      <c r="C772" s="157"/>
      <c r="D772" s="10"/>
      <c r="E772" s="10"/>
      <c r="F772" s="10"/>
      <c r="G772" s="10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ht="15.75" customHeight="1">
      <c r="A773" s="157"/>
      <c r="B773" s="157"/>
      <c r="C773" s="157"/>
      <c r="D773" s="10"/>
      <c r="E773" s="10"/>
      <c r="F773" s="10"/>
      <c r="G773" s="10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ht="15.75" customHeight="1">
      <c r="A774" s="157"/>
      <c r="B774" s="157"/>
      <c r="C774" s="157"/>
      <c r="D774" s="10"/>
      <c r="E774" s="10"/>
      <c r="F774" s="10"/>
      <c r="G774" s="10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ht="15.75" customHeight="1">
      <c r="A775" s="157"/>
      <c r="B775" s="157"/>
      <c r="C775" s="157"/>
      <c r="D775" s="10"/>
      <c r="E775" s="10"/>
      <c r="F775" s="10"/>
      <c r="G775" s="10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ht="15.75" customHeight="1">
      <c r="A776" s="157"/>
      <c r="B776" s="157"/>
      <c r="C776" s="157"/>
      <c r="D776" s="10"/>
      <c r="E776" s="10"/>
      <c r="F776" s="10"/>
      <c r="G776" s="10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ht="15.75" customHeight="1">
      <c r="A777" s="157"/>
      <c r="B777" s="157"/>
      <c r="C777" s="157"/>
      <c r="D777" s="10"/>
      <c r="E777" s="10"/>
      <c r="F777" s="10"/>
      <c r="G777" s="10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ht="15.75" customHeight="1">
      <c r="A778" s="157"/>
      <c r="B778" s="157"/>
      <c r="C778" s="157"/>
      <c r="D778" s="10"/>
      <c r="E778" s="10"/>
      <c r="F778" s="10"/>
      <c r="G778" s="10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ht="15.75" customHeight="1">
      <c r="A779" s="157"/>
      <c r="B779" s="157"/>
      <c r="C779" s="157"/>
      <c r="D779" s="10"/>
      <c r="E779" s="10"/>
      <c r="F779" s="10"/>
      <c r="G779" s="10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ht="15.75" customHeight="1">
      <c r="A780" s="157"/>
      <c r="B780" s="157"/>
      <c r="C780" s="157"/>
      <c r="D780" s="10"/>
      <c r="E780" s="10"/>
      <c r="F780" s="10"/>
      <c r="G780" s="10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ht="15.75" customHeight="1">
      <c r="A781" s="157"/>
      <c r="B781" s="157"/>
      <c r="C781" s="157"/>
      <c r="D781" s="10"/>
      <c r="E781" s="10"/>
      <c r="F781" s="10"/>
      <c r="G781" s="10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ht="15.75" customHeight="1">
      <c r="A782" s="157"/>
      <c r="B782" s="157"/>
      <c r="C782" s="157"/>
      <c r="D782" s="10"/>
      <c r="E782" s="10"/>
      <c r="F782" s="10"/>
      <c r="G782" s="10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ht="15.75" customHeight="1">
      <c r="A783" s="157"/>
      <c r="B783" s="157"/>
      <c r="C783" s="157"/>
      <c r="D783" s="10"/>
      <c r="E783" s="10"/>
      <c r="F783" s="10"/>
      <c r="G783" s="10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ht="15.75" customHeight="1">
      <c r="A784" s="157"/>
      <c r="B784" s="157"/>
      <c r="C784" s="157"/>
      <c r="D784" s="10"/>
      <c r="E784" s="10"/>
      <c r="F784" s="10"/>
      <c r="G784" s="10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ht="15.75" customHeight="1">
      <c r="A785" s="157"/>
      <c r="B785" s="157"/>
      <c r="C785" s="157"/>
      <c r="D785" s="10"/>
      <c r="E785" s="10"/>
      <c r="F785" s="10"/>
      <c r="G785" s="10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ht="15.75" customHeight="1">
      <c r="A786" s="157"/>
      <c r="B786" s="157"/>
      <c r="C786" s="157"/>
      <c r="D786" s="10"/>
      <c r="E786" s="10"/>
      <c r="F786" s="10"/>
      <c r="G786" s="10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ht="15.75" customHeight="1">
      <c r="A787" s="157"/>
      <c r="B787" s="157"/>
      <c r="C787" s="157"/>
      <c r="D787" s="10"/>
      <c r="E787" s="10"/>
      <c r="F787" s="10"/>
      <c r="G787" s="10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ht="15.75" customHeight="1">
      <c r="A788" s="157"/>
      <c r="B788" s="157"/>
      <c r="C788" s="157"/>
      <c r="D788" s="10"/>
      <c r="E788" s="10"/>
      <c r="F788" s="10"/>
      <c r="G788" s="10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ht="15.75" customHeight="1">
      <c r="A789" s="157"/>
      <c r="B789" s="157"/>
      <c r="C789" s="157"/>
      <c r="D789" s="10"/>
      <c r="E789" s="10"/>
      <c r="F789" s="10"/>
      <c r="G789" s="10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ht="15.75" customHeight="1">
      <c r="A790" s="157"/>
      <c r="B790" s="157"/>
      <c r="C790" s="157"/>
      <c r="D790" s="10"/>
      <c r="E790" s="10"/>
      <c r="F790" s="10"/>
      <c r="G790" s="10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ht="15.75" customHeight="1">
      <c r="A791" s="157"/>
      <c r="B791" s="157"/>
      <c r="C791" s="157"/>
      <c r="D791" s="10"/>
      <c r="E791" s="10"/>
      <c r="F791" s="10"/>
      <c r="G791" s="10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ht="15.75" customHeight="1">
      <c r="A792" s="157"/>
      <c r="B792" s="157"/>
      <c r="C792" s="157"/>
      <c r="D792" s="10"/>
      <c r="E792" s="10"/>
      <c r="F792" s="10"/>
      <c r="G792" s="10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ht="15.75" customHeight="1">
      <c r="A793" s="157"/>
      <c r="B793" s="157"/>
      <c r="C793" s="157"/>
      <c r="D793" s="10"/>
      <c r="E793" s="10"/>
      <c r="F793" s="10"/>
      <c r="G793" s="10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ht="15.75" customHeight="1">
      <c r="A794" s="157"/>
      <c r="B794" s="157"/>
      <c r="C794" s="157"/>
      <c r="D794" s="10"/>
      <c r="E794" s="10"/>
      <c r="F794" s="10"/>
      <c r="G794" s="10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ht="15.75" customHeight="1">
      <c r="A795" s="157"/>
      <c r="B795" s="157"/>
      <c r="C795" s="157"/>
      <c r="D795" s="10"/>
      <c r="E795" s="10"/>
      <c r="F795" s="10"/>
      <c r="G795" s="10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ht="15.75" customHeight="1">
      <c r="A796" s="157"/>
      <c r="B796" s="157"/>
      <c r="C796" s="157"/>
      <c r="D796" s="10"/>
      <c r="E796" s="10"/>
      <c r="F796" s="10"/>
      <c r="G796" s="10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ht="15.75" customHeight="1">
      <c r="A797" s="157"/>
      <c r="B797" s="157"/>
      <c r="C797" s="157"/>
      <c r="D797" s="10"/>
      <c r="E797" s="10"/>
      <c r="F797" s="10"/>
      <c r="G797" s="10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ht="15.75" customHeight="1">
      <c r="A798" s="157"/>
      <c r="B798" s="157"/>
      <c r="C798" s="157"/>
      <c r="D798" s="10"/>
      <c r="E798" s="10"/>
      <c r="F798" s="10"/>
      <c r="G798" s="10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ht="15.75" customHeight="1">
      <c r="A799" s="157"/>
      <c r="B799" s="157"/>
      <c r="C799" s="157"/>
      <c r="D799" s="10"/>
      <c r="E799" s="10"/>
      <c r="F799" s="10"/>
      <c r="G799" s="10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ht="15.75" customHeight="1">
      <c r="A800" s="157"/>
      <c r="B800" s="157"/>
      <c r="C800" s="157"/>
      <c r="D800" s="10"/>
      <c r="E800" s="10"/>
      <c r="F800" s="10"/>
      <c r="G800" s="10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ht="15.75" customHeight="1">
      <c r="A801" s="157"/>
      <c r="B801" s="157"/>
      <c r="C801" s="157"/>
      <c r="D801" s="10"/>
      <c r="E801" s="10"/>
      <c r="F801" s="10"/>
      <c r="G801" s="10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ht="15.75" customHeight="1">
      <c r="A802" s="157"/>
      <c r="B802" s="157"/>
      <c r="C802" s="157"/>
      <c r="D802" s="10"/>
      <c r="E802" s="10"/>
      <c r="F802" s="10"/>
      <c r="G802" s="10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ht="15.75" customHeight="1">
      <c r="A803" s="157"/>
      <c r="B803" s="157"/>
      <c r="C803" s="157"/>
      <c r="D803" s="10"/>
      <c r="E803" s="10"/>
      <c r="F803" s="10"/>
      <c r="G803" s="10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ht="15.75" customHeight="1">
      <c r="A804" s="157"/>
      <c r="B804" s="157"/>
      <c r="C804" s="157"/>
      <c r="D804" s="10"/>
      <c r="E804" s="10"/>
      <c r="F804" s="10"/>
      <c r="G804" s="10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ht="15.75" customHeight="1">
      <c r="A805" s="157"/>
      <c r="B805" s="157"/>
      <c r="C805" s="157"/>
      <c r="D805" s="10"/>
      <c r="E805" s="10"/>
      <c r="F805" s="10"/>
      <c r="G805" s="10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ht="15.75" customHeight="1">
      <c r="A806" s="157"/>
      <c r="B806" s="157"/>
      <c r="C806" s="157"/>
      <c r="D806" s="10"/>
      <c r="E806" s="10"/>
      <c r="F806" s="10"/>
      <c r="G806" s="10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ht="15.75" customHeight="1">
      <c r="A807" s="157"/>
      <c r="B807" s="157"/>
      <c r="C807" s="157"/>
      <c r="D807" s="10"/>
      <c r="E807" s="10"/>
      <c r="F807" s="10"/>
      <c r="G807" s="10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ht="15.75" customHeight="1">
      <c r="A808" s="157"/>
      <c r="B808" s="157"/>
      <c r="C808" s="157"/>
      <c r="D808" s="10"/>
      <c r="E808" s="10"/>
      <c r="F808" s="10"/>
      <c r="G808" s="10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ht="15.75" customHeight="1">
      <c r="A809" s="157"/>
      <c r="B809" s="157"/>
      <c r="C809" s="157"/>
      <c r="D809" s="10"/>
      <c r="E809" s="10"/>
      <c r="F809" s="10"/>
      <c r="G809" s="10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ht="15.75" customHeight="1">
      <c r="A810" s="157"/>
      <c r="B810" s="157"/>
      <c r="C810" s="157"/>
      <c r="D810" s="10"/>
      <c r="E810" s="10"/>
      <c r="F810" s="10"/>
      <c r="G810" s="10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ht="15.75" customHeight="1">
      <c r="A811" s="157"/>
      <c r="B811" s="157"/>
      <c r="C811" s="157"/>
      <c r="D811" s="10"/>
      <c r="E811" s="10"/>
      <c r="F811" s="10"/>
      <c r="G811" s="10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ht="15.75" customHeight="1">
      <c r="A812" s="157"/>
      <c r="B812" s="157"/>
      <c r="C812" s="157"/>
      <c r="D812" s="10"/>
      <c r="E812" s="10"/>
      <c r="F812" s="10"/>
      <c r="G812" s="10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ht="15.75" customHeight="1">
      <c r="A813" s="157"/>
      <c r="B813" s="157"/>
      <c r="C813" s="157"/>
      <c r="D813" s="10"/>
      <c r="E813" s="10"/>
      <c r="F813" s="10"/>
      <c r="G813" s="10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ht="15.75" customHeight="1">
      <c r="A814" s="157"/>
      <c r="B814" s="157"/>
      <c r="C814" s="157"/>
      <c r="D814" s="10"/>
      <c r="E814" s="10"/>
      <c r="F814" s="10"/>
      <c r="G814" s="10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ht="15.75" customHeight="1">
      <c r="A815" s="157"/>
      <c r="B815" s="157"/>
      <c r="C815" s="157"/>
      <c r="D815" s="10"/>
      <c r="E815" s="10"/>
      <c r="F815" s="10"/>
      <c r="G815" s="10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ht="15.75" customHeight="1">
      <c r="A816" s="157"/>
      <c r="B816" s="157"/>
      <c r="C816" s="157"/>
      <c r="D816" s="10"/>
      <c r="E816" s="10"/>
      <c r="F816" s="10"/>
      <c r="G816" s="10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ht="15.75" customHeight="1">
      <c r="A817" s="157"/>
      <c r="B817" s="157"/>
      <c r="C817" s="157"/>
      <c r="D817" s="10"/>
      <c r="E817" s="10"/>
      <c r="F817" s="10"/>
      <c r="G817" s="10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ht="15.75" customHeight="1">
      <c r="A818" s="157"/>
      <c r="B818" s="157"/>
      <c r="C818" s="157"/>
      <c r="D818" s="10"/>
      <c r="E818" s="10"/>
      <c r="F818" s="10"/>
      <c r="G818" s="10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ht="15.75" customHeight="1">
      <c r="A819" s="157"/>
      <c r="B819" s="157"/>
      <c r="C819" s="157"/>
      <c r="D819" s="10"/>
      <c r="E819" s="10"/>
      <c r="F819" s="10"/>
      <c r="G819" s="10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ht="15.75" customHeight="1">
      <c r="A820" s="157"/>
      <c r="B820" s="157"/>
      <c r="C820" s="157"/>
      <c r="D820" s="10"/>
      <c r="E820" s="10"/>
      <c r="F820" s="10"/>
      <c r="G820" s="10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ht="15.75" customHeight="1">
      <c r="A821" s="157"/>
      <c r="B821" s="157"/>
      <c r="C821" s="157"/>
      <c r="D821" s="10"/>
      <c r="E821" s="10"/>
      <c r="F821" s="10"/>
      <c r="G821" s="10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ht="15.75" customHeight="1">
      <c r="A822" s="157"/>
      <c r="B822" s="157"/>
      <c r="C822" s="157"/>
      <c r="D822" s="10"/>
      <c r="E822" s="10"/>
      <c r="F822" s="10"/>
      <c r="G822" s="10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ht="15.75" customHeight="1">
      <c r="A823" s="157"/>
      <c r="B823" s="157"/>
      <c r="C823" s="157"/>
      <c r="D823" s="10"/>
      <c r="E823" s="10"/>
      <c r="F823" s="10"/>
      <c r="G823" s="10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ht="15.75" customHeight="1">
      <c r="A824" s="157"/>
      <c r="B824" s="157"/>
      <c r="C824" s="157"/>
      <c r="D824" s="10"/>
      <c r="E824" s="10"/>
      <c r="F824" s="10"/>
      <c r="G824" s="10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ht="15.75" customHeight="1">
      <c r="A825" s="157"/>
      <c r="B825" s="157"/>
      <c r="C825" s="157"/>
      <c r="D825" s="10"/>
      <c r="E825" s="10"/>
      <c r="F825" s="10"/>
      <c r="G825" s="10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ht="15.75" customHeight="1">
      <c r="A826" s="157"/>
      <c r="B826" s="157"/>
      <c r="C826" s="157"/>
      <c r="D826" s="10"/>
      <c r="E826" s="10"/>
      <c r="F826" s="10"/>
      <c r="G826" s="10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ht="15.75" customHeight="1">
      <c r="A827" s="157"/>
      <c r="B827" s="157"/>
      <c r="C827" s="157"/>
      <c r="D827" s="10"/>
      <c r="E827" s="10"/>
      <c r="F827" s="10"/>
      <c r="G827" s="10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ht="15.75" customHeight="1">
      <c r="A828" s="157"/>
      <c r="B828" s="157"/>
      <c r="C828" s="157"/>
      <c r="D828" s="10"/>
      <c r="E828" s="10"/>
      <c r="F828" s="10"/>
      <c r="G828" s="10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ht="15.75" customHeight="1">
      <c r="A829" s="157"/>
      <c r="B829" s="157"/>
      <c r="C829" s="157"/>
      <c r="D829" s="10"/>
      <c r="E829" s="10"/>
      <c r="F829" s="10"/>
      <c r="G829" s="10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ht="15.75" customHeight="1">
      <c r="A830" s="157"/>
      <c r="B830" s="157"/>
      <c r="C830" s="157"/>
      <c r="D830" s="10"/>
      <c r="E830" s="10"/>
      <c r="F830" s="10"/>
      <c r="G830" s="10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ht="15.75" customHeight="1">
      <c r="A831" s="157"/>
      <c r="B831" s="157"/>
      <c r="C831" s="157"/>
      <c r="D831" s="10"/>
      <c r="E831" s="10"/>
      <c r="F831" s="10"/>
      <c r="G831" s="10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ht="15.75" customHeight="1">
      <c r="A832" s="157"/>
      <c r="B832" s="157"/>
      <c r="C832" s="157"/>
      <c r="D832" s="10"/>
      <c r="E832" s="10"/>
      <c r="F832" s="10"/>
      <c r="G832" s="10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ht="15.75" customHeight="1">
      <c r="A833" s="157"/>
      <c r="B833" s="157"/>
      <c r="C833" s="157"/>
      <c r="D833" s="10"/>
      <c r="E833" s="10"/>
      <c r="F833" s="10"/>
      <c r="G833" s="10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ht="15.75" customHeight="1">
      <c r="A834" s="157"/>
      <c r="B834" s="157"/>
      <c r="C834" s="157"/>
      <c r="D834" s="10"/>
      <c r="E834" s="10"/>
      <c r="F834" s="10"/>
      <c r="G834" s="10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ht="15.75" customHeight="1">
      <c r="A835" s="157"/>
      <c r="B835" s="157"/>
      <c r="C835" s="157"/>
      <c r="D835" s="10"/>
      <c r="E835" s="10"/>
      <c r="F835" s="10"/>
      <c r="G835" s="10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ht="15.75" customHeight="1">
      <c r="A836" s="157"/>
      <c r="B836" s="157"/>
      <c r="C836" s="157"/>
      <c r="D836" s="10"/>
      <c r="E836" s="10"/>
      <c r="F836" s="10"/>
      <c r="G836" s="10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ht="15.75" customHeight="1">
      <c r="A837" s="157"/>
      <c r="B837" s="157"/>
      <c r="C837" s="157"/>
      <c r="D837" s="10"/>
      <c r="E837" s="10"/>
      <c r="F837" s="10"/>
      <c r="G837" s="10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ht="15.75" customHeight="1">
      <c r="A838" s="157"/>
      <c r="B838" s="157"/>
      <c r="C838" s="157"/>
      <c r="D838" s="10"/>
      <c r="E838" s="10"/>
      <c r="F838" s="10"/>
      <c r="G838" s="10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ht="15.75" customHeight="1">
      <c r="A839" s="157"/>
      <c r="B839" s="157"/>
      <c r="C839" s="157"/>
      <c r="D839" s="10"/>
      <c r="E839" s="10"/>
      <c r="F839" s="10"/>
      <c r="G839" s="10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ht="15.75" customHeight="1">
      <c r="A840" s="157"/>
      <c r="B840" s="157"/>
      <c r="C840" s="157"/>
      <c r="D840" s="10"/>
      <c r="E840" s="10"/>
      <c r="F840" s="10"/>
      <c r="G840" s="10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ht="15.75" customHeight="1">
      <c r="A841" s="157"/>
      <c r="B841" s="157"/>
      <c r="C841" s="157"/>
      <c r="D841" s="10"/>
      <c r="E841" s="10"/>
      <c r="F841" s="10"/>
      <c r="G841" s="10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ht="15.75" customHeight="1">
      <c r="A842" s="157"/>
      <c r="B842" s="157"/>
      <c r="C842" s="157"/>
      <c r="D842" s="10"/>
      <c r="E842" s="10"/>
      <c r="F842" s="10"/>
      <c r="G842" s="10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ht="15.75" customHeight="1">
      <c r="A843" s="157"/>
      <c r="B843" s="157"/>
      <c r="C843" s="157"/>
      <c r="D843" s="10"/>
      <c r="E843" s="10"/>
      <c r="F843" s="10"/>
      <c r="G843" s="10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ht="15.75" customHeight="1">
      <c r="A844" s="157"/>
      <c r="B844" s="157"/>
      <c r="C844" s="157"/>
      <c r="D844" s="10"/>
      <c r="E844" s="10"/>
      <c r="F844" s="10"/>
      <c r="G844" s="10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ht="15.75" customHeight="1">
      <c r="A845" s="157"/>
      <c r="B845" s="157"/>
      <c r="C845" s="157"/>
      <c r="D845" s="10"/>
      <c r="E845" s="10"/>
      <c r="F845" s="10"/>
      <c r="G845" s="10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ht="15.75" customHeight="1">
      <c r="A846" s="157"/>
      <c r="B846" s="157"/>
      <c r="C846" s="157"/>
      <c r="D846" s="10"/>
      <c r="E846" s="10"/>
      <c r="F846" s="10"/>
      <c r="G846" s="10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ht="15.75" customHeight="1">
      <c r="A847" s="157"/>
      <c r="B847" s="157"/>
      <c r="C847" s="157"/>
      <c r="D847" s="10"/>
      <c r="E847" s="10"/>
      <c r="F847" s="10"/>
      <c r="G847" s="10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ht="15.75" customHeight="1">
      <c r="A848" s="157"/>
      <c r="B848" s="157"/>
      <c r="C848" s="157"/>
      <c r="D848" s="10"/>
      <c r="E848" s="10"/>
      <c r="F848" s="10"/>
      <c r="G848" s="10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ht="15.75" customHeight="1">
      <c r="A849" s="157"/>
      <c r="B849" s="157"/>
      <c r="C849" s="157"/>
      <c r="D849" s="10"/>
      <c r="E849" s="10"/>
      <c r="F849" s="10"/>
      <c r="G849" s="10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ht="15.75" customHeight="1">
      <c r="A850" s="157"/>
      <c r="B850" s="157"/>
      <c r="C850" s="157"/>
      <c r="D850" s="10"/>
      <c r="E850" s="10"/>
      <c r="F850" s="10"/>
      <c r="G850" s="10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ht="15.75" customHeight="1">
      <c r="A851" s="157"/>
      <c r="B851" s="157"/>
      <c r="C851" s="157"/>
      <c r="D851" s="10"/>
      <c r="E851" s="10"/>
      <c r="F851" s="10"/>
      <c r="G851" s="10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ht="15.75" customHeight="1">
      <c r="A852" s="157"/>
      <c r="B852" s="157"/>
      <c r="C852" s="157"/>
      <c r="D852" s="10"/>
      <c r="E852" s="10"/>
      <c r="F852" s="10"/>
      <c r="G852" s="10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ht="15.75" customHeight="1">
      <c r="A853" s="157"/>
      <c r="B853" s="157"/>
      <c r="C853" s="157"/>
      <c r="D853" s="10"/>
      <c r="E853" s="10"/>
      <c r="F853" s="10"/>
      <c r="G853" s="10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ht="15.75" customHeight="1">
      <c r="A854" s="157"/>
      <c r="B854" s="157"/>
      <c r="C854" s="157"/>
      <c r="D854" s="10"/>
      <c r="E854" s="10"/>
      <c r="F854" s="10"/>
      <c r="G854" s="10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ht="15.75" customHeight="1">
      <c r="A855" s="157"/>
      <c r="B855" s="157"/>
      <c r="C855" s="157"/>
      <c r="D855" s="10"/>
      <c r="E855" s="10"/>
      <c r="F855" s="10"/>
      <c r="G855" s="10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ht="15.75" customHeight="1">
      <c r="A856" s="157"/>
      <c r="B856" s="157"/>
      <c r="C856" s="157"/>
      <c r="D856" s="10"/>
      <c r="E856" s="10"/>
      <c r="F856" s="10"/>
      <c r="G856" s="10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ht="15.75" customHeight="1">
      <c r="A857" s="157"/>
      <c r="B857" s="157"/>
      <c r="C857" s="157"/>
      <c r="D857" s="10"/>
      <c r="E857" s="10"/>
      <c r="F857" s="10"/>
      <c r="G857" s="10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ht="15.75" customHeight="1">
      <c r="A858" s="157"/>
      <c r="B858" s="157"/>
      <c r="C858" s="157"/>
      <c r="D858" s="10"/>
      <c r="E858" s="10"/>
      <c r="F858" s="10"/>
      <c r="G858" s="10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ht="15.75" customHeight="1">
      <c r="A859" s="157"/>
      <c r="B859" s="157"/>
      <c r="C859" s="157"/>
      <c r="D859" s="10"/>
      <c r="E859" s="10"/>
      <c r="F859" s="10"/>
      <c r="G859" s="10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ht="15.75" customHeight="1">
      <c r="A860" s="157"/>
      <c r="B860" s="157"/>
      <c r="C860" s="157"/>
      <c r="D860" s="10"/>
      <c r="E860" s="10"/>
      <c r="F860" s="10"/>
      <c r="G860" s="10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ht="15.75" customHeight="1">
      <c r="A861" s="157"/>
      <c r="B861" s="157"/>
      <c r="C861" s="157"/>
      <c r="D861" s="10"/>
      <c r="E861" s="10"/>
      <c r="F861" s="10"/>
      <c r="G861" s="10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ht="15.75" customHeight="1">
      <c r="A862" s="157"/>
      <c r="B862" s="157"/>
      <c r="C862" s="157"/>
      <c r="D862" s="10"/>
      <c r="E862" s="10"/>
      <c r="F862" s="10"/>
      <c r="G862" s="10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ht="15.75" customHeight="1">
      <c r="A863" s="157"/>
      <c r="B863" s="157"/>
      <c r="C863" s="157"/>
      <c r="D863" s="10"/>
      <c r="E863" s="10"/>
      <c r="F863" s="10"/>
      <c r="G863" s="10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ht="15.75" customHeight="1">
      <c r="A864" s="157"/>
      <c r="B864" s="157"/>
      <c r="C864" s="157"/>
      <c r="D864" s="10"/>
      <c r="E864" s="10"/>
      <c r="F864" s="10"/>
      <c r="G864" s="10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ht="15.75" customHeight="1">
      <c r="A865" s="157"/>
      <c r="B865" s="157"/>
      <c r="C865" s="157"/>
      <c r="D865" s="10"/>
      <c r="E865" s="10"/>
      <c r="F865" s="10"/>
      <c r="G865" s="10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ht="15.75" customHeight="1">
      <c r="A866" s="157"/>
      <c r="B866" s="157"/>
      <c r="C866" s="157"/>
      <c r="D866" s="10"/>
      <c r="E866" s="10"/>
      <c r="F866" s="10"/>
      <c r="G866" s="10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ht="15.75" customHeight="1">
      <c r="A867" s="157"/>
      <c r="B867" s="157"/>
      <c r="C867" s="157"/>
      <c r="D867" s="10"/>
      <c r="E867" s="10"/>
      <c r="F867" s="10"/>
      <c r="G867" s="10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ht="15.75" customHeight="1">
      <c r="A868" s="157"/>
      <c r="B868" s="157"/>
      <c r="C868" s="157"/>
      <c r="D868" s="10"/>
      <c r="E868" s="10"/>
      <c r="F868" s="10"/>
      <c r="G868" s="10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ht="15.75" customHeight="1">
      <c r="A869" s="157"/>
      <c r="B869" s="157"/>
      <c r="C869" s="157"/>
      <c r="D869" s="10"/>
      <c r="E869" s="10"/>
      <c r="F869" s="10"/>
      <c r="G869" s="10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ht="15.75" customHeight="1">
      <c r="A870" s="157"/>
      <c r="B870" s="157"/>
      <c r="C870" s="157"/>
      <c r="D870" s="10"/>
      <c r="E870" s="10"/>
      <c r="F870" s="10"/>
      <c r="G870" s="10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ht="15.75" customHeight="1">
      <c r="A871" s="157"/>
      <c r="B871" s="157"/>
      <c r="C871" s="157"/>
      <c r="D871" s="10"/>
      <c r="E871" s="10"/>
      <c r="F871" s="10"/>
      <c r="G871" s="10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ht="15.75" customHeight="1">
      <c r="A872" s="157"/>
      <c r="B872" s="157"/>
      <c r="C872" s="157"/>
      <c r="D872" s="10"/>
      <c r="E872" s="10"/>
      <c r="F872" s="10"/>
      <c r="G872" s="10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ht="15.75" customHeight="1">
      <c r="A873" s="157"/>
      <c r="B873" s="157"/>
      <c r="C873" s="157"/>
      <c r="D873" s="10"/>
      <c r="E873" s="10"/>
      <c r="F873" s="10"/>
      <c r="G873" s="10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ht="15.75" customHeight="1">
      <c r="A874" s="157"/>
      <c r="B874" s="157"/>
      <c r="C874" s="157"/>
      <c r="D874" s="10"/>
      <c r="E874" s="10"/>
      <c r="F874" s="10"/>
      <c r="G874" s="10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ht="15.75" customHeight="1">
      <c r="A875" s="157"/>
      <c r="B875" s="157"/>
      <c r="C875" s="157"/>
      <c r="D875" s="10"/>
      <c r="E875" s="10"/>
      <c r="F875" s="10"/>
      <c r="G875" s="10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ht="15.75" customHeight="1">
      <c r="A876" s="157"/>
      <c r="B876" s="157"/>
      <c r="C876" s="157"/>
      <c r="D876" s="10"/>
      <c r="E876" s="10"/>
      <c r="F876" s="10"/>
      <c r="G876" s="10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ht="15.75" customHeight="1">
      <c r="A877" s="157"/>
      <c r="B877" s="157"/>
      <c r="C877" s="157"/>
      <c r="D877" s="10"/>
      <c r="E877" s="10"/>
      <c r="F877" s="10"/>
      <c r="G877" s="10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ht="15.75" customHeight="1">
      <c r="A878" s="157"/>
      <c r="B878" s="157"/>
      <c r="C878" s="157"/>
      <c r="D878" s="10"/>
      <c r="E878" s="10"/>
      <c r="F878" s="10"/>
      <c r="G878" s="10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ht="15.75" customHeight="1">
      <c r="A879" s="157"/>
      <c r="B879" s="157"/>
      <c r="C879" s="157"/>
      <c r="D879" s="10"/>
      <c r="E879" s="10"/>
      <c r="F879" s="10"/>
      <c r="G879" s="10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ht="15.75" customHeight="1">
      <c r="A880" s="157"/>
      <c r="B880" s="157"/>
      <c r="C880" s="157"/>
      <c r="D880" s="10"/>
      <c r="E880" s="10"/>
      <c r="F880" s="10"/>
      <c r="G880" s="10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ht="15.75" customHeight="1">
      <c r="A881" s="157"/>
      <c r="B881" s="157"/>
      <c r="C881" s="157"/>
      <c r="D881" s="10"/>
      <c r="E881" s="10"/>
      <c r="F881" s="10"/>
      <c r="G881" s="10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ht="15.75" customHeight="1">
      <c r="A882" s="157"/>
      <c r="B882" s="157"/>
      <c r="C882" s="157"/>
      <c r="D882" s="10"/>
      <c r="E882" s="10"/>
      <c r="F882" s="10"/>
      <c r="G882" s="10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ht="15.75" customHeight="1">
      <c r="A883" s="157"/>
      <c r="B883" s="157"/>
      <c r="C883" s="157"/>
      <c r="D883" s="10"/>
      <c r="E883" s="10"/>
      <c r="F883" s="10"/>
      <c r="G883" s="10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ht="15.75" customHeight="1">
      <c r="A884" s="157"/>
      <c r="B884" s="157"/>
      <c r="C884" s="157"/>
      <c r="D884" s="10"/>
      <c r="E884" s="10"/>
      <c r="F884" s="10"/>
      <c r="G884" s="10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ht="15.75" customHeight="1">
      <c r="A885" s="157"/>
      <c r="B885" s="157"/>
      <c r="C885" s="157"/>
      <c r="D885" s="10"/>
      <c r="E885" s="10"/>
      <c r="F885" s="10"/>
      <c r="G885" s="10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ht="15.75" customHeight="1">
      <c r="A886" s="157"/>
      <c r="B886" s="157"/>
      <c r="C886" s="157"/>
      <c r="D886" s="10"/>
      <c r="E886" s="10"/>
      <c r="F886" s="10"/>
      <c r="G886" s="10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ht="15.75" customHeight="1">
      <c r="A887" s="157"/>
      <c r="B887" s="157"/>
      <c r="C887" s="157"/>
      <c r="D887" s="10"/>
      <c r="E887" s="10"/>
      <c r="F887" s="10"/>
      <c r="G887" s="10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ht="15.75" customHeight="1">
      <c r="A888" s="157"/>
      <c r="B888" s="157"/>
      <c r="C888" s="157"/>
      <c r="D888" s="10"/>
      <c r="E888" s="10"/>
      <c r="F888" s="10"/>
      <c r="G888" s="10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ht="15.75" customHeight="1">
      <c r="A889" s="157"/>
      <c r="B889" s="157"/>
      <c r="C889" s="157"/>
      <c r="D889" s="10"/>
      <c r="E889" s="10"/>
      <c r="F889" s="10"/>
      <c r="G889" s="10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ht="15.75" customHeight="1">
      <c r="A890" s="157"/>
      <c r="B890" s="157"/>
      <c r="C890" s="157"/>
      <c r="D890" s="10"/>
      <c r="E890" s="10"/>
      <c r="F890" s="10"/>
      <c r="G890" s="10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ht="15.75" customHeight="1">
      <c r="A891" s="157"/>
      <c r="B891" s="157"/>
      <c r="C891" s="157"/>
      <c r="D891" s="10"/>
      <c r="E891" s="10"/>
      <c r="F891" s="10"/>
      <c r="G891" s="10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ht="15.75" customHeight="1">
      <c r="A892" s="157"/>
      <c r="B892" s="157"/>
      <c r="C892" s="157"/>
      <c r="D892" s="10"/>
      <c r="E892" s="10"/>
      <c r="F892" s="10"/>
      <c r="G892" s="10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ht="15.75" customHeight="1">
      <c r="A893" s="157"/>
      <c r="B893" s="157"/>
      <c r="C893" s="157"/>
      <c r="D893" s="10"/>
      <c r="E893" s="10"/>
      <c r="F893" s="10"/>
      <c r="G893" s="10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ht="15.75" customHeight="1">
      <c r="A894" s="157"/>
      <c r="B894" s="157"/>
      <c r="C894" s="157"/>
      <c r="D894" s="10"/>
      <c r="E894" s="10"/>
      <c r="F894" s="10"/>
      <c r="G894" s="10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ht="15.75" customHeight="1">
      <c r="A895" s="157"/>
      <c r="B895" s="157"/>
      <c r="C895" s="157"/>
      <c r="D895" s="10"/>
      <c r="E895" s="10"/>
      <c r="F895" s="10"/>
      <c r="G895" s="10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ht="15.75" customHeight="1">
      <c r="A896" s="157"/>
      <c r="B896" s="157"/>
      <c r="C896" s="157"/>
      <c r="D896" s="10"/>
      <c r="E896" s="10"/>
      <c r="F896" s="10"/>
      <c r="G896" s="10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ht="15.75" customHeight="1">
      <c r="A897" s="157"/>
      <c r="B897" s="157"/>
      <c r="C897" s="157"/>
      <c r="D897" s="10"/>
      <c r="E897" s="10"/>
      <c r="F897" s="10"/>
      <c r="G897" s="10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ht="15.75" customHeight="1">
      <c r="A898" s="157"/>
      <c r="B898" s="157"/>
      <c r="C898" s="157"/>
      <c r="D898" s="10"/>
      <c r="E898" s="10"/>
      <c r="F898" s="10"/>
      <c r="G898" s="10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ht="15.75" customHeight="1">
      <c r="A899" s="157"/>
      <c r="B899" s="157"/>
      <c r="C899" s="157"/>
      <c r="D899" s="10"/>
      <c r="E899" s="10"/>
      <c r="F899" s="10"/>
      <c r="G899" s="10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ht="15.75" customHeight="1">
      <c r="A900" s="157"/>
      <c r="B900" s="157"/>
      <c r="C900" s="157"/>
      <c r="D900" s="10"/>
      <c r="E900" s="10"/>
      <c r="F900" s="10"/>
      <c r="G900" s="10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ht="15.75" customHeight="1">
      <c r="A901" s="157"/>
      <c r="B901" s="157"/>
      <c r="C901" s="157"/>
      <c r="D901" s="10"/>
      <c r="E901" s="10"/>
      <c r="F901" s="10"/>
      <c r="G901" s="10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ht="15.75" customHeight="1">
      <c r="A902" s="157"/>
      <c r="B902" s="157"/>
      <c r="C902" s="157"/>
      <c r="D902" s="10"/>
      <c r="E902" s="10"/>
      <c r="F902" s="10"/>
      <c r="G902" s="10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ht="15.75" customHeight="1">
      <c r="A903" s="157"/>
      <c r="B903" s="157"/>
      <c r="C903" s="157"/>
      <c r="D903" s="10"/>
      <c r="E903" s="10"/>
      <c r="F903" s="10"/>
      <c r="G903" s="10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ht="15.75" customHeight="1">
      <c r="A904" s="157"/>
      <c r="B904" s="157"/>
      <c r="C904" s="157"/>
      <c r="D904" s="10"/>
      <c r="E904" s="10"/>
      <c r="F904" s="10"/>
      <c r="G904" s="10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ht="15.75" customHeight="1">
      <c r="A905" s="157"/>
      <c r="B905" s="157"/>
      <c r="C905" s="157"/>
      <c r="D905" s="10"/>
      <c r="E905" s="10"/>
      <c r="F905" s="10"/>
      <c r="G905" s="10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ht="15.75" customHeight="1">
      <c r="A906" s="157"/>
      <c r="B906" s="157"/>
      <c r="C906" s="157"/>
      <c r="D906" s="10"/>
      <c r="E906" s="10"/>
      <c r="F906" s="10"/>
      <c r="G906" s="10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ht="15.75" customHeight="1">
      <c r="A907" s="157"/>
      <c r="B907" s="157"/>
      <c r="C907" s="157"/>
      <c r="D907" s="10"/>
      <c r="E907" s="10"/>
      <c r="F907" s="10"/>
      <c r="G907" s="10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ht="15.75" customHeight="1">
      <c r="A908" s="157"/>
      <c r="B908" s="157"/>
      <c r="C908" s="157"/>
      <c r="D908" s="10"/>
      <c r="E908" s="10"/>
      <c r="F908" s="10"/>
      <c r="G908" s="10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ht="15.75" customHeight="1">
      <c r="A909" s="157"/>
      <c r="B909" s="157"/>
      <c r="C909" s="157"/>
      <c r="D909" s="10"/>
      <c r="E909" s="10"/>
      <c r="F909" s="10"/>
      <c r="G909" s="10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ht="15.75" customHeight="1">
      <c r="A910" s="157"/>
      <c r="B910" s="157"/>
      <c r="C910" s="157"/>
      <c r="D910" s="10"/>
      <c r="E910" s="10"/>
      <c r="F910" s="10"/>
      <c r="G910" s="10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ht="15.75" customHeight="1">
      <c r="A911" s="157"/>
      <c r="B911" s="157"/>
      <c r="C911" s="157"/>
      <c r="D911" s="10"/>
      <c r="E911" s="10"/>
      <c r="F911" s="10"/>
      <c r="G911" s="10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ht="15.75" customHeight="1">
      <c r="A912" s="157"/>
      <c r="B912" s="157"/>
      <c r="C912" s="157"/>
      <c r="D912" s="10"/>
      <c r="E912" s="10"/>
      <c r="F912" s="10"/>
      <c r="G912" s="10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ht="15.75" customHeight="1">
      <c r="A913" s="157"/>
      <c r="B913" s="157"/>
      <c r="C913" s="157"/>
      <c r="D913" s="10"/>
      <c r="E913" s="10"/>
      <c r="F913" s="10"/>
      <c r="G913" s="10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ht="15.75" customHeight="1">
      <c r="A914" s="157"/>
      <c r="B914" s="157"/>
      <c r="C914" s="157"/>
      <c r="D914" s="10"/>
      <c r="E914" s="10"/>
      <c r="F914" s="10"/>
      <c r="G914" s="10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ht="15.75" customHeight="1">
      <c r="A915" s="157"/>
      <c r="B915" s="157"/>
      <c r="C915" s="157"/>
      <c r="D915" s="10"/>
      <c r="E915" s="10"/>
      <c r="F915" s="10"/>
      <c r="G915" s="10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ht="15.75" customHeight="1">
      <c r="A916" s="157"/>
      <c r="B916" s="157"/>
      <c r="C916" s="157"/>
      <c r="D916" s="10"/>
      <c r="E916" s="10"/>
      <c r="F916" s="10"/>
      <c r="G916" s="10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ht="15.75" customHeight="1">
      <c r="A917" s="157"/>
      <c r="B917" s="157"/>
      <c r="C917" s="157"/>
      <c r="D917" s="10"/>
      <c r="E917" s="10"/>
      <c r="F917" s="10"/>
      <c r="G917" s="10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ht="15.75" customHeight="1">
      <c r="A918" s="157"/>
      <c r="B918" s="157"/>
      <c r="C918" s="157"/>
      <c r="D918" s="10"/>
      <c r="E918" s="10"/>
      <c r="F918" s="10"/>
      <c r="G918" s="10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ht="15.75" customHeight="1">
      <c r="A919" s="157"/>
      <c r="B919" s="157"/>
      <c r="C919" s="157"/>
      <c r="D919" s="10"/>
      <c r="E919" s="10"/>
      <c r="F919" s="10"/>
      <c r="G919" s="10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ht="15.75" customHeight="1">
      <c r="A920" s="157"/>
      <c r="B920" s="157"/>
      <c r="C920" s="157"/>
      <c r="D920" s="10"/>
      <c r="E920" s="10"/>
      <c r="F920" s="10"/>
      <c r="G920" s="10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ht="15.75" customHeight="1">
      <c r="A921" s="157"/>
      <c r="B921" s="157"/>
      <c r="C921" s="157"/>
      <c r="D921" s="10"/>
      <c r="E921" s="10"/>
      <c r="F921" s="10"/>
      <c r="G921" s="10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ht="15.75" customHeight="1">
      <c r="A922" s="157"/>
      <c r="B922" s="157"/>
      <c r="C922" s="157"/>
      <c r="D922" s="10"/>
      <c r="E922" s="10"/>
      <c r="F922" s="10"/>
      <c r="G922" s="10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ht="15.75" customHeight="1">
      <c r="A923" s="157"/>
      <c r="B923" s="157"/>
      <c r="C923" s="157"/>
      <c r="D923" s="10"/>
      <c r="E923" s="10"/>
      <c r="F923" s="10"/>
      <c r="G923" s="10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ht="15.75" customHeight="1">
      <c r="A924" s="157"/>
      <c r="B924" s="157"/>
      <c r="C924" s="157"/>
      <c r="D924" s="10"/>
      <c r="E924" s="10"/>
      <c r="F924" s="10"/>
      <c r="G924" s="10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ht="15.75" customHeight="1">
      <c r="A925" s="157"/>
      <c r="B925" s="157"/>
      <c r="C925" s="157"/>
      <c r="D925" s="10"/>
      <c r="E925" s="10"/>
      <c r="F925" s="10"/>
      <c r="G925" s="10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ht="15.75" customHeight="1">
      <c r="A926" s="157"/>
      <c r="B926" s="157"/>
      <c r="C926" s="157"/>
      <c r="D926" s="10"/>
      <c r="E926" s="10"/>
      <c r="F926" s="10"/>
      <c r="G926" s="10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ht="15.75" customHeight="1">
      <c r="A927" s="157"/>
      <c r="B927" s="157"/>
      <c r="C927" s="157"/>
      <c r="D927" s="10"/>
      <c r="E927" s="10"/>
      <c r="F927" s="10"/>
      <c r="G927" s="10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ht="15.75" customHeight="1">
      <c r="A928" s="157"/>
      <c r="B928" s="157"/>
      <c r="C928" s="157"/>
      <c r="D928" s="10"/>
      <c r="E928" s="10"/>
      <c r="F928" s="10"/>
      <c r="G928" s="10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ht="15.75" customHeight="1">
      <c r="A929" s="157"/>
      <c r="B929" s="157"/>
      <c r="C929" s="157"/>
      <c r="D929" s="10"/>
      <c r="E929" s="10"/>
      <c r="F929" s="10"/>
      <c r="G929" s="10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ht="15.75" customHeight="1">
      <c r="A930" s="157"/>
      <c r="B930" s="157"/>
      <c r="C930" s="157"/>
      <c r="D930" s="10"/>
      <c r="E930" s="10"/>
      <c r="F930" s="10"/>
      <c r="G930" s="10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ht="15.75" customHeight="1">
      <c r="A931" s="157"/>
      <c r="B931" s="157"/>
      <c r="C931" s="157"/>
      <c r="D931" s="10"/>
      <c r="E931" s="10"/>
      <c r="F931" s="10"/>
      <c r="G931" s="10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ht="15.75" customHeight="1">
      <c r="A932" s="157"/>
      <c r="B932" s="157"/>
      <c r="C932" s="157"/>
      <c r="D932" s="10"/>
      <c r="E932" s="10"/>
      <c r="F932" s="10"/>
      <c r="G932" s="10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ht="15.75" customHeight="1">
      <c r="A933" s="157"/>
      <c r="B933" s="157"/>
      <c r="C933" s="157"/>
      <c r="D933" s="10"/>
      <c r="E933" s="10"/>
      <c r="F933" s="10"/>
      <c r="G933" s="10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ht="15.75" customHeight="1">
      <c r="A934" s="157"/>
      <c r="B934" s="157"/>
      <c r="C934" s="157"/>
      <c r="D934" s="10"/>
      <c r="E934" s="10"/>
      <c r="F934" s="10"/>
      <c r="G934" s="10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ht="15.75" customHeight="1">
      <c r="A935" s="157"/>
      <c r="B935" s="157"/>
      <c r="C935" s="157"/>
      <c r="D935" s="10"/>
      <c r="E935" s="10"/>
      <c r="F935" s="10"/>
      <c r="G935" s="10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ht="15.75" customHeight="1">
      <c r="A936" s="157"/>
      <c r="B936" s="157"/>
      <c r="C936" s="157"/>
      <c r="D936" s="10"/>
      <c r="E936" s="10"/>
      <c r="F936" s="10"/>
      <c r="G936" s="10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ht="15.75" customHeight="1">
      <c r="A937" s="157"/>
      <c r="B937" s="157"/>
      <c r="C937" s="157"/>
      <c r="D937" s="10"/>
      <c r="E937" s="10"/>
      <c r="F937" s="10"/>
      <c r="G937" s="10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ht="15.75" customHeight="1">
      <c r="A938" s="157"/>
      <c r="B938" s="157"/>
      <c r="C938" s="157"/>
      <c r="D938" s="10"/>
      <c r="E938" s="10"/>
      <c r="F938" s="10"/>
      <c r="G938" s="10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ht="15.75" customHeight="1">
      <c r="A939" s="157"/>
      <c r="B939" s="157"/>
      <c r="C939" s="157"/>
      <c r="D939" s="10"/>
      <c r="E939" s="10"/>
      <c r="F939" s="10"/>
      <c r="G939" s="10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ht="15.75" customHeight="1">
      <c r="A940" s="157"/>
      <c r="B940" s="157"/>
      <c r="C940" s="157"/>
      <c r="D940" s="10"/>
      <c r="E940" s="10"/>
      <c r="F940" s="10"/>
      <c r="G940" s="10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ht="15.75" customHeight="1">
      <c r="A941" s="157"/>
      <c r="B941" s="157"/>
      <c r="C941" s="157"/>
      <c r="D941" s="10"/>
      <c r="E941" s="10"/>
      <c r="F941" s="10"/>
      <c r="G941" s="10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ht="15.75" customHeight="1">
      <c r="A942" s="157"/>
      <c r="B942" s="157"/>
      <c r="C942" s="157"/>
      <c r="D942" s="10"/>
      <c r="E942" s="10"/>
      <c r="F942" s="10"/>
      <c r="G942" s="10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ht="15.75" customHeight="1">
      <c r="A943" s="157"/>
      <c r="B943" s="157"/>
      <c r="C943" s="157"/>
      <c r="D943" s="10"/>
      <c r="E943" s="10"/>
      <c r="F943" s="10"/>
      <c r="G943" s="10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ht="15.75" customHeight="1">
      <c r="A944" s="157"/>
      <c r="B944" s="157"/>
      <c r="C944" s="157"/>
      <c r="D944" s="10"/>
      <c r="E944" s="10"/>
      <c r="F944" s="10"/>
      <c r="G944" s="10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ht="15.75" customHeight="1">
      <c r="A945" s="157"/>
      <c r="B945" s="157"/>
      <c r="C945" s="157"/>
      <c r="D945" s="10"/>
      <c r="E945" s="10"/>
      <c r="F945" s="10"/>
      <c r="G945" s="10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ht="15.75" customHeight="1">
      <c r="A946" s="157"/>
      <c r="B946" s="157"/>
      <c r="C946" s="157"/>
      <c r="D946" s="10"/>
      <c r="E946" s="10"/>
      <c r="F946" s="10"/>
      <c r="G946" s="10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ht="15.75" customHeight="1">
      <c r="A947" s="157"/>
      <c r="B947" s="157"/>
      <c r="C947" s="157"/>
      <c r="D947" s="10"/>
      <c r="E947" s="10"/>
      <c r="F947" s="10"/>
      <c r="G947" s="10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ht="15.75" customHeight="1">
      <c r="A948" s="157"/>
      <c r="B948" s="157"/>
      <c r="C948" s="157"/>
      <c r="D948" s="10"/>
      <c r="E948" s="10"/>
      <c r="F948" s="10"/>
      <c r="G948" s="10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ht="15.75" customHeight="1">
      <c r="A949" s="157"/>
      <c r="B949" s="157"/>
      <c r="C949" s="157"/>
      <c r="D949" s="10"/>
      <c r="E949" s="10"/>
      <c r="F949" s="10"/>
      <c r="G949" s="10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ht="15.75" customHeight="1">
      <c r="A950" s="157"/>
      <c r="B950" s="157"/>
      <c r="C950" s="157"/>
      <c r="D950" s="10"/>
      <c r="E950" s="10"/>
      <c r="F950" s="10"/>
      <c r="G950" s="10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ht="15.75" customHeight="1">
      <c r="A951" s="157"/>
      <c r="B951" s="157"/>
      <c r="C951" s="157"/>
      <c r="D951" s="10"/>
      <c r="E951" s="10"/>
      <c r="F951" s="10"/>
      <c r="G951" s="10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ht="15.75" customHeight="1">
      <c r="A952" s="157"/>
      <c r="B952" s="157"/>
      <c r="C952" s="157"/>
      <c r="D952" s="10"/>
      <c r="E952" s="10"/>
      <c r="F952" s="10"/>
      <c r="G952" s="10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ht="15.75" customHeight="1">
      <c r="A953" s="157"/>
      <c r="B953" s="157"/>
      <c r="C953" s="157"/>
      <c r="D953" s="10"/>
      <c r="E953" s="10"/>
      <c r="F953" s="10"/>
      <c r="G953" s="10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ht="15.75" customHeight="1">
      <c r="A954" s="157"/>
      <c r="B954" s="157"/>
      <c r="C954" s="157"/>
      <c r="D954" s="10"/>
      <c r="E954" s="10"/>
      <c r="F954" s="10"/>
      <c r="G954" s="10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ht="15.75" customHeight="1">
      <c r="A955" s="157"/>
      <c r="B955" s="157"/>
      <c r="C955" s="157"/>
      <c r="D955" s="10"/>
      <c r="E955" s="10"/>
      <c r="F955" s="10"/>
      <c r="G955" s="10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ht="15.75" customHeight="1">
      <c r="A956" s="157"/>
      <c r="B956" s="157"/>
      <c r="C956" s="157"/>
      <c r="D956" s="10"/>
      <c r="E956" s="10"/>
      <c r="F956" s="10"/>
      <c r="G956" s="10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ht="15.75" customHeight="1">
      <c r="A957" s="157"/>
      <c r="B957" s="157"/>
      <c r="C957" s="157"/>
      <c r="D957" s="10"/>
      <c r="E957" s="10"/>
      <c r="F957" s="10"/>
      <c r="G957" s="10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ht="15.75" customHeight="1">
      <c r="A958" s="157"/>
      <c r="B958" s="157"/>
      <c r="C958" s="157"/>
      <c r="D958" s="10"/>
      <c r="E958" s="10"/>
      <c r="F958" s="10"/>
      <c r="G958" s="10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ht="15.75" customHeight="1">
      <c r="A959" s="157"/>
      <c r="B959" s="157"/>
      <c r="C959" s="157"/>
      <c r="D959" s="10"/>
      <c r="E959" s="10"/>
      <c r="F959" s="10"/>
      <c r="G959" s="10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ht="15.75" customHeight="1">
      <c r="A960" s="157"/>
      <c r="B960" s="157"/>
      <c r="C960" s="157"/>
      <c r="D960" s="10"/>
      <c r="E960" s="10"/>
      <c r="F960" s="10"/>
      <c r="G960" s="10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ht="15.75" customHeight="1">
      <c r="A961" s="157"/>
      <c r="B961" s="157"/>
      <c r="C961" s="157"/>
      <c r="D961" s="10"/>
      <c r="E961" s="10"/>
      <c r="F961" s="10"/>
      <c r="G961" s="10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ht="15.75" customHeight="1">
      <c r="A962" s="157"/>
      <c r="B962" s="157"/>
      <c r="C962" s="157"/>
      <c r="D962" s="10"/>
      <c r="E962" s="10"/>
      <c r="F962" s="10"/>
      <c r="G962" s="10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ht="15.75" customHeight="1">
      <c r="A963" s="157"/>
      <c r="B963" s="157"/>
      <c r="C963" s="157"/>
      <c r="D963" s="10"/>
      <c r="E963" s="10"/>
      <c r="F963" s="10"/>
      <c r="G963" s="10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ht="15.75" customHeight="1">
      <c r="A964" s="157"/>
      <c r="B964" s="157"/>
      <c r="C964" s="157"/>
      <c r="D964" s="10"/>
      <c r="E964" s="10"/>
      <c r="F964" s="10"/>
      <c r="G964" s="10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ht="15.75" customHeight="1">
      <c r="A965" s="157"/>
      <c r="B965" s="157"/>
      <c r="C965" s="157"/>
      <c r="D965" s="10"/>
      <c r="E965" s="10"/>
      <c r="F965" s="10"/>
      <c r="G965" s="10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ht="15.75" customHeight="1">
      <c r="A966" s="157"/>
      <c r="B966" s="157"/>
      <c r="C966" s="157"/>
      <c r="D966" s="10"/>
      <c r="E966" s="10"/>
      <c r="F966" s="10"/>
      <c r="G966" s="10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ht="15.75" customHeight="1">
      <c r="A967" s="157"/>
      <c r="B967" s="157"/>
      <c r="C967" s="157"/>
      <c r="D967" s="10"/>
      <c r="E967" s="10"/>
      <c r="F967" s="10"/>
      <c r="G967" s="10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ht="15.75" customHeight="1">
      <c r="A968" s="157"/>
      <c r="B968" s="157"/>
      <c r="C968" s="157"/>
      <c r="D968" s="10"/>
      <c r="E968" s="10"/>
      <c r="F968" s="10"/>
      <c r="G968" s="10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ht="15.75" customHeight="1">
      <c r="A969" s="157"/>
      <c r="B969" s="157"/>
      <c r="C969" s="157"/>
      <c r="D969" s="10"/>
      <c r="E969" s="10"/>
      <c r="F969" s="10"/>
      <c r="G969" s="10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ht="15.75" customHeight="1">
      <c r="A970" s="157"/>
      <c r="B970" s="157"/>
      <c r="C970" s="157"/>
      <c r="D970" s="10"/>
      <c r="E970" s="10"/>
      <c r="F970" s="10"/>
      <c r="G970" s="10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ht="15.75" customHeight="1">
      <c r="A971" s="157"/>
      <c r="B971" s="157"/>
      <c r="C971" s="157"/>
      <c r="D971" s="10"/>
      <c r="E971" s="10"/>
      <c r="F971" s="10"/>
      <c r="G971" s="10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ht="15.75" customHeight="1">
      <c r="A972" s="157"/>
      <c r="B972" s="157"/>
      <c r="C972" s="157"/>
      <c r="D972" s="10"/>
      <c r="E972" s="10"/>
      <c r="F972" s="10"/>
      <c r="G972" s="10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ht="15.75" customHeight="1">
      <c r="A973" s="157"/>
      <c r="B973" s="157"/>
      <c r="C973" s="157"/>
      <c r="D973" s="10"/>
      <c r="E973" s="10"/>
      <c r="F973" s="10"/>
      <c r="G973" s="10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ht="15.75" customHeight="1">
      <c r="A974" s="157"/>
      <c r="B974" s="157"/>
      <c r="C974" s="157"/>
      <c r="D974" s="10"/>
      <c r="E974" s="10"/>
      <c r="F974" s="10"/>
      <c r="G974" s="10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ht="15.75" customHeight="1">
      <c r="A975" s="157"/>
      <c r="B975" s="157"/>
      <c r="C975" s="157"/>
      <c r="D975" s="10"/>
      <c r="E975" s="10"/>
      <c r="F975" s="10"/>
      <c r="G975" s="10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ht="15.75" customHeight="1">
      <c r="A976" s="157"/>
      <c r="B976" s="157"/>
      <c r="C976" s="157"/>
      <c r="D976" s="10"/>
      <c r="E976" s="10"/>
      <c r="F976" s="10"/>
      <c r="G976" s="10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ht="15.75" customHeight="1">
      <c r="A977" s="157"/>
      <c r="B977" s="157"/>
      <c r="C977" s="157"/>
      <c r="D977" s="10"/>
      <c r="E977" s="10"/>
      <c r="F977" s="10"/>
      <c r="G977" s="10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ht="15.75" customHeight="1">
      <c r="A978" s="157"/>
      <c r="B978" s="157"/>
      <c r="C978" s="157"/>
      <c r="D978" s="10"/>
      <c r="E978" s="10"/>
      <c r="F978" s="10"/>
      <c r="G978" s="10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ht="15.75" customHeight="1">
      <c r="A979" s="157"/>
      <c r="B979" s="157"/>
      <c r="C979" s="157"/>
      <c r="D979" s="10"/>
      <c r="E979" s="10"/>
      <c r="F979" s="10"/>
      <c r="G979" s="10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ht="15.75" customHeight="1">
      <c r="A980" s="157"/>
      <c r="B980" s="157"/>
      <c r="C980" s="157"/>
      <c r="D980" s="10"/>
      <c r="E980" s="10"/>
      <c r="F980" s="10"/>
      <c r="G980" s="10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ht="15.75" customHeight="1">
      <c r="A981" s="157"/>
      <c r="B981" s="157"/>
      <c r="C981" s="157"/>
      <c r="D981" s="10"/>
      <c r="E981" s="10"/>
      <c r="F981" s="10"/>
      <c r="G981" s="10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ht="15.75" customHeight="1">
      <c r="A982" s="157"/>
      <c r="B982" s="157"/>
      <c r="C982" s="157"/>
      <c r="D982" s="10"/>
      <c r="E982" s="10"/>
      <c r="F982" s="10"/>
      <c r="G982" s="10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ht="15.75" customHeight="1">
      <c r="A983" s="157"/>
      <c r="B983" s="157"/>
      <c r="C983" s="157"/>
      <c r="D983" s="10"/>
      <c r="E983" s="10"/>
      <c r="F983" s="10"/>
      <c r="G983" s="10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ht="15.75" customHeight="1">
      <c r="A984" s="157"/>
      <c r="B984" s="157"/>
      <c r="C984" s="157"/>
      <c r="D984" s="10"/>
      <c r="E984" s="10"/>
      <c r="F984" s="10"/>
      <c r="G984" s="10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ht="15.75" customHeight="1">
      <c r="A985" s="157"/>
      <c r="B985" s="157"/>
      <c r="C985" s="157"/>
      <c r="D985" s="10"/>
      <c r="E985" s="10"/>
      <c r="F985" s="10"/>
      <c r="G985" s="10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ht="15.75" customHeight="1">
      <c r="A986" s="157"/>
      <c r="B986" s="157"/>
      <c r="C986" s="157"/>
      <c r="D986" s="10"/>
      <c r="E986" s="10"/>
      <c r="F986" s="10"/>
      <c r="G986" s="10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ht="15.75" customHeight="1">
      <c r="A987" s="157"/>
      <c r="B987" s="157"/>
      <c r="C987" s="157"/>
      <c r="D987" s="10"/>
      <c r="E987" s="10"/>
      <c r="F987" s="10"/>
      <c r="G987" s="10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ht="15.75" customHeight="1">
      <c r="A988" s="157"/>
      <c r="B988" s="157"/>
      <c r="C988" s="157"/>
      <c r="D988" s="10"/>
      <c r="E988" s="10"/>
      <c r="F988" s="10"/>
      <c r="G988" s="10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ht="15.75" customHeight="1">
      <c r="A989" s="157"/>
      <c r="B989" s="157"/>
      <c r="C989" s="157"/>
      <c r="D989" s="10"/>
      <c r="E989" s="10"/>
      <c r="F989" s="10"/>
      <c r="G989" s="10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ht="15.75" customHeight="1">
      <c r="A990" s="157"/>
      <c r="B990" s="157"/>
      <c r="C990" s="157"/>
      <c r="D990" s="10"/>
      <c r="E990" s="10"/>
      <c r="F990" s="10"/>
      <c r="G990" s="10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ht="15.75" customHeight="1">
      <c r="A991" s="157"/>
      <c r="B991" s="157"/>
      <c r="C991" s="157"/>
      <c r="D991" s="10"/>
      <c r="E991" s="10"/>
      <c r="F991" s="10"/>
      <c r="G991" s="10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ht="15.75" customHeight="1">
      <c r="A992" s="157"/>
      <c r="B992" s="157"/>
      <c r="C992" s="157"/>
      <c r="D992" s="10"/>
      <c r="E992" s="10"/>
      <c r="F992" s="10"/>
      <c r="G992" s="10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ht="15.75" customHeight="1">
      <c r="A993" s="157"/>
      <c r="B993" s="157"/>
      <c r="C993" s="157"/>
      <c r="D993" s="10"/>
      <c r="E993" s="10"/>
      <c r="F993" s="10"/>
      <c r="G993" s="10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ht="15.75" customHeight="1">
      <c r="A994" s="157"/>
      <c r="B994" s="157"/>
      <c r="C994" s="157"/>
      <c r="D994" s="10"/>
      <c r="E994" s="10"/>
      <c r="F994" s="10"/>
      <c r="G994" s="10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ht="15.75" customHeight="1">
      <c r="A995" s="157"/>
      <c r="B995" s="157"/>
      <c r="C995" s="157"/>
      <c r="D995" s="10"/>
      <c r="E995" s="10"/>
      <c r="F995" s="10"/>
      <c r="G995" s="10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ht="15.75" customHeight="1">
      <c r="A996" s="157"/>
      <c r="B996" s="157"/>
      <c r="C996" s="157"/>
      <c r="D996" s="10"/>
      <c r="E996" s="10"/>
      <c r="F996" s="10"/>
      <c r="G996" s="10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ht="15.75" customHeight="1">
      <c r="A997" s="157"/>
      <c r="B997" s="157"/>
      <c r="C997" s="157"/>
      <c r="D997" s="10"/>
      <c r="E997" s="10"/>
      <c r="F997" s="10"/>
      <c r="G997" s="10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ht="15.75" customHeight="1">
      <c r="A998" s="157"/>
      <c r="B998" s="157"/>
      <c r="C998" s="157"/>
      <c r="D998" s="10"/>
      <c r="E998" s="10"/>
      <c r="F998" s="10"/>
      <c r="G998" s="10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ht="15.75" customHeight="1">
      <c r="A999" s="157"/>
      <c r="B999" s="157"/>
      <c r="C999" s="157"/>
      <c r="D999" s="10"/>
      <c r="E999" s="10"/>
      <c r="F999" s="10"/>
      <c r="G999" s="10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ht="15.75" customHeight="1">
      <c r="A1000" s="157"/>
      <c r="B1000" s="157"/>
      <c r="C1000" s="157"/>
      <c r="D1000" s="10"/>
      <c r="E1000" s="10"/>
      <c r="F1000" s="10"/>
      <c r="G1000" s="10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">
    <mergeCell ref="D1:G1"/>
    <mergeCell ref="H1:K1"/>
    <mergeCell ref="L1:O1"/>
  </mergeCells>
  <conditionalFormatting sqref="D1 D2:G1000">
    <cfRule type="cellIs" dxfId="0" priority="1" operator="lessThan">
      <formula>-0.0001</formula>
    </cfRule>
  </conditionalFormatting>
  <conditionalFormatting sqref="D3:G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4.43" defaultRowHeight="15.0"/>
  <cols>
    <col customWidth="1" min="1" max="1" width="27.57"/>
    <col customWidth="1" min="2" max="2" width="10.14"/>
    <col customWidth="1" min="3" max="3" width="10.43"/>
    <col customWidth="1" min="4" max="4" width="10.71"/>
    <col customWidth="1" min="5" max="5" width="11.0"/>
    <col customWidth="1" min="6" max="6" width="11.71"/>
    <col customWidth="1" min="7" max="8" width="13.57"/>
    <col customWidth="1" min="9" max="9" width="12.0"/>
    <col customWidth="1" min="10" max="12" width="15.0"/>
    <col customWidth="1" min="13" max="13" width="13.57"/>
    <col customWidth="1" min="14" max="15" width="15.0"/>
    <col customWidth="1" min="16" max="26" width="8.71"/>
  </cols>
  <sheetData>
    <row r="1" ht="15.75" customHeight="1">
      <c r="A1" s="1"/>
      <c r="B1" s="1"/>
      <c r="C1" s="1"/>
      <c r="D1" s="2" t="s">
        <v>131</v>
      </c>
      <c r="E1" s="3"/>
      <c r="F1" s="3"/>
      <c r="G1" s="4"/>
      <c r="H1" s="159" t="s">
        <v>133</v>
      </c>
      <c r="I1" s="3"/>
      <c r="J1" s="3"/>
      <c r="K1" s="4"/>
      <c r="L1" s="6" t="s">
        <v>134</v>
      </c>
      <c r="M1" s="3"/>
      <c r="N1" s="3"/>
      <c r="O1" s="4"/>
    </row>
    <row r="2" ht="15.75" customHeight="1">
      <c r="A2" s="11" t="s">
        <v>3</v>
      </c>
      <c r="B2" s="12" t="s">
        <v>4</v>
      </c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3" t="s">
        <v>6</v>
      </c>
      <c r="I2" s="143" t="s">
        <v>11</v>
      </c>
      <c r="J2" s="143" t="s">
        <v>8</v>
      </c>
      <c r="K2" s="143" t="s">
        <v>9</v>
      </c>
      <c r="L2" s="14" t="s">
        <v>6</v>
      </c>
      <c r="M2" s="14" t="s">
        <v>11</v>
      </c>
      <c r="N2" s="14" t="s">
        <v>10</v>
      </c>
      <c r="O2" s="14" t="s">
        <v>9</v>
      </c>
    </row>
    <row r="3" ht="15.75" customHeight="1">
      <c r="A3" s="1" t="s">
        <v>13</v>
      </c>
      <c r="B3" s="1" t="s">
        <v>14</v>
      </c>
      <c r="C3" s="1" t="s">
        <v>15</v>
      </c>
      <c r="D3" s="17">
        <f t="shared" ref="D3:G3" si="1">IF(L3=0,0%,IF(H3=0,100%,L3/H3-1))</f>
        <v>-0.2245431446</v>
      </c>
      <c r="E3" s="17">
        <f t="shared" si="1"/>
        <v>-0.6346557625</v>
      </c>
      <c r="F3" s="17">
        <f t="shared" si="1"/>
        <v>-0.6947325346</v>
      </c>
      <c r="G3" s="17">
        <f t="shared" si="1"/>
        <v>-0.1688308427</v>
      </c>
      <c r="H3" s="19">
        <v>1530000.0</v>
      </c>
      <c r="I3" s="19">
        <v>107900.0</v>
      </c>
      <c r="J3" s="19">
        <v>4100000.0</v>
      </c>
      <c r="K3" s="19">
        <v>8200000.0</v>
      </c>
      <c r="L3" s="18">
        <f>VLOOKUP(A3,'תפוקה חודשית מול אשתקד'!A:K,8,0)</f>
        <v>1186448.989</v>
      </c>
      <c r="M3" s="18">
        <f>VLOOKUP(A3,'תפוקה חודשית מול אשתקד'!A:K,9,0)</f>
        <v>39420.64323</v>
      </c>
      <c r="N3" s="18">
        <f>VLOOKUP(A3,'תפוקה חודשית מול אשתקד'!A:K,10,0)</f>
        <v>1251596.608</v>
      </c>
      <c r="O3" s="18">
        <f>VLOOKUP(A3,'תפוקה חודשית מול אשתקד'!A:K,11,0)</f>
        <v>6815587.09</v>
      </c>
    </row>
    <row r="4" ht="15.75" customHeight="1">
      <c r="A4" s="1" t="s">
        <v>16</v>
      </c>
      <c r="B4" s="1" t="s">
        <v>14</v>
      </c>
      <c r="C4" s="1" t="s">
        <v>15</v>
      </c>
      <c r="D4" s="17">
        <f t="shared" ref="D4:G4" si="2">IF(L4=0,0%,IF(H4=0,100%,L4/H4-1))</f>
        <v>-0.9132024708</v>
      </c>
      <c r="E4" s="17">
        <f t="shared" si="2"/>
        <v>1</v>
      </c>
      <c r="F4" s="17">
        <f t="shared" si="2"/>
        <v>-0.8125977053</v>
      </c>
      <c r="G4" s="17">
        <f t="shared" si="2"/>
        <v>-1.273541683</v>
      </c>
      <c r="H4" s="19">
        <v>127500.00000000001</v>
      </c>
      <c r="I4" s="19">
        <v>0.0</v>
      </c>
      <c r="J4" s="19">
        <v>2050000.0</v>
      </c>
      <c r="K4" s="19">
        <v>1640000.0</v>
      </c>
      <c r="L4" s="18">
        <f>VLOOKUP(A4,'תפוקה חודשית מול אשתקד'!A:K,8,0)</f>
        <v>11066.68497</v>
      </c>
      <c r="M4" s="18">
        <f>VLOOKUP(A4,'תפוקה חודשית מול אשתקד'!A:K,9,0)</f>
        <v>15.19703958</v>
      </c>
      <c r="N4" s="18">
        <f>VLOOKUP(A4,'תפוקה חודשית מול אשתקד'!A:K,10,0)</f>
        <v>384174.7042</v>
      </c>
      <c r="O4" s="18">
        <f>VLOOKUP(A4,'תפוקה חודשית מול אשתקד'!A:K,11,0)</f>
        <v>-448608.36</v>
      </c>
    </row>
    <row r="5" ht="15.75" customHeight="1">
      <c r="A5" s="1" t="s">
        <v>17</v>
      </c>
      <c r="B5" s="1" t="s">
        <v>14</v>
      </c>
      <c r="C5" s="1" t="s">
        <v>15</v>
      </c>
      <c r="D5" s="17">
        <f t="shared" ref="D5:G5" si="3">IF(L5=0,0%,IF(H5=0,100%,L5/H5-1))</f>
        <v>0</v>
      </c>
      <c r="E5" s="17">
        <f t="shared" si="3"/>
        <v>-0.7894364505</v>
      </c>
      <c r="F5" s="17">
        <f t="shared" si="3"/>
        <v>0</v>
      </c>
      <c r="G5" s="17">
        <f t="shared" si="3"/>
        <v>0</v>
      </c>
      <c r="H5" s="19">
        <v>0.0</v>
      </c>
      <c r="I5" s="19">
        <v>24900.0</v>
      </c>
      <c r="J5" s="19">
        <v>0.0</v>
      </c>
      <c r="K5" s="19">
        <v>0.0</v>
      </c>
      <c r="L5" s="18">
        <f>VLOOKUP(A5,'תפוקה חודשית מול אשתקד'!A:K,8,0)</f>
        <v>0</v>
      </c>
      <c r="M5" s="18">
        <f>VLOOKUP(A5,'תפוקה חודשית מול אשתקד'!A:K,9,0)</f>
        <v>5243.032384</v>
      </c>
      <c r="N5" s="18">
        <f>VLOOKUP(A5,'תפוקה חודשית מול אשתקד'!A:K,10,0)</f>
        <v>0</v>
      </c>
      <c r="O5" s="18">
        <f>VLOOKUP(A5,'תפוקה חודשית מול אשתקד'!A:K,11,0)</f>
        <v>0</v>
      </c>
    </row>
    <row r="6" ht="15.75" customHeight="1">
      <c r="A6" s="1" t="s">
        <v>18</v>
      </c>
      <c r="B6" s="1" t="s">
        <v>14</v>
      </c>
      <c r="C6" s="1" t="s">
        <v>15</v>
      </c>
      <c r="D6" s="17">
        <f t="shared" ref="D6:G6" si="4">IF(L6=0,0%,IF(H6=0,100%,L6/H6-1))</f>
        <v>1.002653042</v>
      </c>
      <c r="E6" s="17">
        <f t="shared" si="4"/>
        <v>-0.6690115886</v>
      </c>
      <c r="F6" s="17">
        <f t="shared" si="4"/>
        <v>0.6504898457</v>
      </c>
      <c r="G6" s="17">
        <f t="shared" si="4"/>
        <v>11.72577622</v>
      </c>
      <c r="H6" s="19">
        <v>42500.0</v>
      </c>
      <c r="I6" s="19">
        <v>20750.0</v>
      </c>
      <c r="J6" s="19">
        <v>164000.0</v>
      </c>
      <c r="K6" s="19">
        <v>82000.0</v>
      </c>
      <c r="L6" s="18">
        <f>VLOOKUP(A6,'תפוקה חודשית מול אשתקד'!A:K,8,0)</f>
        <v>85112.75427</v>
      </c>
      <c r="M6" s="18">
        <f>VLOOKUP(A6,'תפוקה חודשית מול אשתקד'!A:K,9,0)</f>
        <v>6868.009536</v>
      </c>
      <c r="N6" s="18">
        <f>VLOOKUP(A6,'תפוקה חודשית מול אשתקד'!A:K,10,0)</f>
        <v>270680.3347</v>
      </c>
      <c r="O6" s="18">
        <f>VLOOKUP(A6,'תפוקה חודשית מול אשתקד'!A:K,11,0)</f>
        <v>1043513.65</v>
      </c>
    </row>
    <row r="7" ht="15.75" customHeight="1">
      <c r="A7" s="1" t="s">
        <v>19</v>
      </c>
      <c r="B7" s="1" t="s">
        <v>14</v>
      </c>
      <c r="C7" s="23" t="s">
        <v>15</v>
      </c>
      <c r="D7" s="17">
        <f t="shared" ref="D7:G7" si="5">IF(L7=0,0%,IF(H7=0,100%,L7/H7-1))</f>
        <v>1</v>
      </c>
      <c r="E7" s="17">
        <f t="shared" si="5"/>
        <v>1</v>
      </c>
      <c r="F7" s="17">
        <f t="shared" si="5"/>
        <v>-0.9995578049</v>
      </c>
      <c r="G7" s="17">
        <f t="shared" si="5"/>
        <v>-0.9961553659</v>
      </c>
      <c r="H7" s="19">
        <v>0.0</v>
      </c>
      <c r="I7" s="19">
        <v>0.0</v>
      </c>
      <c r="J7" s="19">
        <v>82000.0</v>
      </c>
      <c r="K7" s="19">
        <v>41000.0</v>
      </c>
      <c r="L7" s="18">
        <f>VLOOKUP(A7,'תפוקה חודשית מול אשתקד'!A:K,8,0)</f>
        <v>24.58</v>
      </c>
      <c r="M7" s="18">
        <f>VLOOKUP(A7,'תפוקה חודשית מול אשתקד'!A:K,9,0)</f>
        <v>525.22</v>
      </c>
      <c r="N7" s="18">
        <f>VLOOKUP(A7,'תפוקה חודשית מול אשתקד'!A:K,10,0)</f>
        <v>36.26</v>
      </c>
      <c r="O7" s="18">
        <f>VLOOKUP(A7,'תפוקה חודשית מול אשתקד'!A:K,11,0)</f>
        <v>157.63</v>
      </c>
    </row>
    <row r="8" ht="15.75" customHeight="1">
      <c r="A8" s="160" t="s">
        <v>20</v>
      </c>
      <c r="B8" s="161"/>
      <c r="C8" s="154"/>
      <c r="D8" s="17">
        <f t="shared" ref="D8:G8" si="6">IF(L8=0,0%,IF(H8=0,100%,L8/H8-1))</f>
        <v>-0.2454982306</v>
      </c>
      <c r="E8" s="17">
        <f t="shared" si="6"/>
        <v>-0.6608785269</v>
      </c>
      <c r="F8" s="17">
        <f t="shared" si="6"/>
        <v>-0.7019249676</v>
      </c>
      <c r="G8" s="17">
        <f t="shared" si="6"/>
        <v>-0.2561828756</v>
      </c>
      <c r="H8" s="162">
        <f t="shared" ref="H8:O8" si="7">SUM(H3:H7)</f>
        <v>1700000</v>
      </c>
      <c r="I8" s="162">
        <f t="shared" si="7"/>
        <v>153550</v>
      </c>
      <c r="J8" s="162">
        <f t="shared" si="7"/>
        <v>6396000</v>
      </c>
      <c r="K8" s="162">
        <f t="shared" si="7"/>
        <v>9963000</v>
      </c>
      <c r="L8" s="162">
        <f t="shared" si="7"/>
        <v>1282653.008</v>
      </c>
      <c r="M8" s="162">
        <f t="shared" si="7"/>
        <v>52072.10219</v>
      </c>
      <c r="N8" s="162">
        <f t="shared" si="7"/>
        <v>1906487.907</v>
      </c>
      <c r="O8" s="162">
        <f t="shared" si="7"/>
        <v>7410650.01</v>
      </c>
    </row>
    <row r="9" ht="15.75" customHeight="1">
      <c r="A9" s="1" t="s">
        <v>21</v>
      </c>
      <c r="B9" s="1" t="s">
        <v>14</v>
      </c>
      <c r="C9" s="1" t="s">
        <v>22</v>
      </c>
      <c r="D9" s="17">
        <f t="shared" ref="D9:G9" si="8">IF(L9=0,0%,IF(H9=0,100%,L9/H9-1))</f>
        <v>1</v>
      </c>
      <c r="E9" s="17">
        <f t="shared" si="8"/>
        <v>1</v>
      </c>
      <c r="F9" s="17">
        <f t="shared" si="8"/>
        <v>0</v>
      </c>
      <c r="G9" s="17">
        <f t="shared" si="8"/>
        <v>1</v>
      </c>
      <c r="H9" s="19">
        <v>0.0</v>
      </c>
      <c r="I9" s="19">
        <v>0.0</v>
      </c>
      <c r="J9" s="19">
        <v>0.0</v>
      </c>
      <c r="K9" s="19">
        <v>0.0</v>
      </c>
      <c r="L9" s="18">
        <f>VLOOKUP(A9,'תפוקה חודשית מול אשתקד'!A:K,8,0)</f>
        <v>-4439.45472</v>
      </c>
      <c r="M9" s="18">
        <f>VLOOKUP(A9,'תפוקה חודשית מול אשתקד'!A:K,9,0)</f>
        <v>3.487</v>
      </c>
      <c r="N9" s="18">
        <f>VLOOKUP(A9,'תפוקה חודשית מול אשתקד'!A:K,10,0)</f>
        <v>0</v>
      </c>
      <c r="O9" s="18">
        <f>VLOOKUP(A9,'תפוקה חודשית מול אשתקד'!A:K,11,0)</f>
        <v>-8803.69</v>
      </c>
    </row>
    <row r="10" ht="15.75" customHeight="1">
      <c r="A10" s="1" t="s">
        <v>23</v>
      </c>
      <c r="B10" s="1" t="s">
        <v>14</v>
      </c>
      <c r="C10" s="1" t="s">
        <v>22</v>
      </c>
      <c r="D10" s="17">
        <f t="shared" ref="D10:G10" si="9">IF(L10=0,0%,IF(H10=0,100%,L10/H10-1))</f>
        <v>-0.3869832402</v>
      </c>
      <c r="E10" s="17">
        <f t="shared" si="9"/>
        <v>1.663511516</v>
      </c>
      <c r="F10" s="17">
        <f t="shared" si="9"/>
        <v>-0.8446959599</v>
      </c>
      <c r="G10" s="17">
        <f t="shared" si="9"/>
        <v>0.2212812195</v>
      </c>
      <c r="H10" s="19">
        <v>212500.00000000003</v>
      </c>
      <c r="I10" s="19">
        <v>83000.0</v>
      </c>
      <c r="J10" s="19">
        <v>82000.0</v>
      </c>
      <c r="K10" s="19">
        <v>205000.0</v>
      </c>
      <c r="L10" s="18">
        <f>VLOOKUP(A10,'תפוקה חודשית מול אשתקד'!A:K,8,0)</f>
        <v>130266.0615</v>
      </c>
      <c r="M10" s="18">
        <f>VLOOKUP(A10,'תפוקה חודשית מול אשתקד'!A:K,9,0)</f>
        <v>221071.4558</v>
      </c>
      <c r="N10" s="18">
        <f>VLOOKUP(A10,'תפוקה חודשית מול אשתקד'!A:K,10,0)</f>
        <v>12734.93129</v>
      </c>
      <c r="O10" s="18">
        <f>VLOOKUP(A10,'תפוקה חודשית מול אשתקד'!A:K,11,0)</f>
        <v>250362.65</v>
      </c>
    </row>
    <row r="11" ht="15.75" customHeight="1">
      <c r="A11" s="1" t="s">
        <v>24</v>
      </c>
      <c r="B11" s="1" t="s">
        <v>14</v>
      </c>
      <c r="C11" s="1" t="s">
        <v>22</v>
      </c>
      <c r="D11" s="17">
        <f t="shared" ref="D11:G11" si="10">IF(L11=0,0%,IF(H11=0,100%,L11/H11-1))</f>
        <v>-0.9826807194</v>
      </c>
      <c r="E11" s="17">
        <f t="shared" si="10"/>
        <v>-0.9916090409</v>
      </c>
      <c r="F11" s="17">
        <f t="shared" si="10"/>
        <v>1</v>
      </c>
      <c r="G11" s="17">
        <f t="shared" si="10"/>
        <v>1</v>
      </c>
      <c r="H11" s="19">
        <v>42500.0</v>
      </c>
      <c r="I11" s="19">
        <v>16600.0</v>
      </c>
      <c r="J11" s="19">
        <v>0.0</v>
      </c>
      <c r="K11" s="19">
        <v>0.0</v>
      </c>
      <c r="L11" s="18">
        <f>VLOOKUP(A11,'תפוקה חודשית מול אשתקד'!A:K,8,0)</f>
        <v>736.0694244</v>
      </c>
      <c r="M11" s="18">
        <f>VLOOKUP(A11,'תפוקה חודשית מול אשתקד'!A:K,9,0)</f>
        <v>139.2899209</v>
      </c>
      <c r="N11" s="18">
        <f>VLOOKUP(A11,'תפוקה חודשית מול אשתקד'!A:K,10,0)</f>
        <v>230307.3272</v>
      </c>
      <c r="O11" s="18">
        <f>VLOOKUP(A11,'תפוקה חודשית מול אשתקד'!A:K,11,0)</f>
        <v>85265.15</v>
      </c>
    </row>
    <row r="12" ht="15.75" customHeight="1">
      <c r="A12" s="1" t="s">
        <v>25</v>
      </c>
      <c r="B12" s="1" t="s">
        <v>14</v>
      </c>
      <c r="C12" s="1" t="s">
        <v>22</v>
      </c>
      <c r="D12" s="17">
        <f t="shared" ref="D12:G12" si="11">IF(L12=0,0%,IF(H12=0,100%,L12/H12-1))</f>
        <v>1</v>
      </c>
      <c r="E12" s="17">
        <f t="shared" si="11"/>
        <v>1</v>
      </c>
      <c r="F12" s="17">
        <f t="shared" si="11"/>
        <v>1</v>
      </c>
      <c r="G12" s="17">
        <f t="shared" si="11"/>
        <v>1</v>
      </c>
      <c r="H12" s="19">
        <v>0.0</v>
      </c>
      <c r="I12" s="19">
        <v>0.0</v>
      </c>
      <c r="J12" s="19">
        <v>0.0</v>
      </c>
      <c r="K12" s="19">
        <v>0.0</v>
      </c>
      <c r="L12" s="18">
        <f>VLOOKUP(A12,'תפוקה חודשית מול אשתקד'!A:K,8,0)</f>
        <v>63219.57722</v>
      </c>
      <c r="M12" s="18">
        <f>VLOOKUP(A12,'תפוקה חודשית מול אשתקד'!A:K,9,0)</f>
        <v>9426.780112</v>
      </c>
      <c r="N12" s="18">
        <f>VLOOKUP(A12,'תפוקה חודשית מול אשתקד'!A:K,10,0)</f>
        <v>1192833.06</v>
      </c>
      <c r="O12" s="18">
        <f>VLOOKUP(A12,'תפוקה חודשית מול אשתקד'!A:K,11,0)</f>
        <v>416166.46</v>
      </c>
    </row>
    <row r="13" ht="15.75" customHeight="1">
      <c r="A13" s="1" t="s">
        <v>26</v>
      </c>
      <c r="B13" s="1" t="s">
        <v>14</v>
      </c>
      <c r="C13" s="1" t="s">
        <v>22</v>
      </c>
      <c r="D13" s="17">
        <f t="shared" ref="D13:G13" si="12">IF(L13=0,0%,IF(H13=0,100%,L13/H13-1))</f>
        <v>1</v>
      </c>
      <c r="E13" s="17">
        <f t="shared" si="12"/>
        <v>-0.9179630814</v>
      </c>
      <c r="F13" s="17">
        <f t="shared" si="12"/>
        <v>1</v>
      </c>
      <c r="G13" s="17">
        <f t="shared" si="12"/>
        <v>1</v>
      </c>
      <c r="H13" s="19">
        <v>0.0</v>
      </c>
      <c r="I13" s="19">
        <v>49800.0</v>
      </c>
      <c r="J13" s="19">
        <v>0.0</v>
      </c>
      <c r="K13" s="19">
        <v>0.0</v>
      </c>
      <c r="L13" s="18">
        <f>VLOOKUP(A13,'תפוקה חודשית מול אשתקד'!A:K,8,0)</f>
        <v>34081.17919</v>
      </c>
      <c r="M13" s="18">
        <f>VLOOKUP(A13,'תפוקה חודשית מול אשתקד'!A:K,9,0)</f>
        <v>4085.438547</v>
      </c>
      <c r="N13" s="18">
        <f>VLOOKUP(A13,'תפוקה חודשית מול אשתקד'!A:K,10,0)</f>
        <v>2349.83</v>
      </c>
      <c r="O13" s="18">
        <f>VLOOKUP(A13,'תפוקה חודשית מול אשתקד'!A:K,11,0)</f>
        <v>-4433.24</v>
      </c>
    </row>
    <row r="14" ht="15.75" customHeight="1">
      <c r="A14" s="1" t="s">
        <v>27</v>
      </c>
      <c r="B14" s="1" t="s">
        <v>14</v>
      </c>
      <c r="C14" s="1" t="s">
        <v>22</v>
      </c>
      <c r="D14" s="17">
        <f t="shared" ref="D14:G14" si="13">IF(L14=0,0%,IF(H14=0,100%,L14/H14-1))</f>
        <v>-0.7259181051</v>
      </c>
      <c r="E14" s="17">
        <f t="shared" si="13"/>
        <v>0.2561901205</v>
      </c>
      <c r="F14" s="17">
        <f t="shared" si="13"/>
        <v>-0.9970297561</v>
      </c>
      <c r="G14" s="17">
        <f t="shared" si="13"/>
        <v>-1.588990325</v>
      </c>
      <c r="H14" s="19">
        <v>25500.000000000004</v>
      </c>
      <c r="I14" s="19">
        <v>12450.0</v>
      </c>
      <c r="J14" s="19">
        <v>328000.0</v>
      </c>
      <c r="K14" s="19">
        <v>984000.0</v>
      </c>
      <c r="L14" s="18">
        <f>VLOOKUP(A14,'תפוקה חודשית מול אשתקד'!A:K,8,0)</f>
        <v>6989.08832</v>
      </c>
      <c r="M14" s="18">
        <f>VLOOKUP(A14,'תפוקה חודשית מול אשתקד'!A:K,9,0)</f>
        <v>15639.567</v>
      </c>
      <c r="N14" s="18">
        <f>VLOOKUP(A14,'תפוקה חודשית מול אשתקד'!A:K,10,0)</f>
        <v>974.24</v>
      </c>
      <c r="O14" s="18">
        <f>VLOOKUP(A14,'תפוקה חודשית מול אשתקד'!A:K,11,0)</f>
        <v>-579566.48</v>
      </c>
    </row>
    <row r="15" ht="15.75" customHeight="1">
      <c r="A15" s="1" t="s">
        <v>28</v>
      </c>
      <c r="B15" s="1" t="s">
        <v>14</v>
      </c>
      <c r="C15" s="1" t="s">
        <v>22</v>
      </c>
      <c r="D15" s="17">
        <f t="shared" ref="D15:G15" si="14">IF(L15=0,0%,IF(H15=0,100%,L15/H15-1))</f>
        <v>1</v>
      </c>
      <c r="E15" s="17">
        <f t="shared" si="14"/>
        <v>0</v>
      </c>
      <c r="F15" s="17">
        <f t="shared" si="14"/>
        <v>1</v>
      </c>
      <c r="G15" s="17">
        <f t="shared" si="14"/>
        <v>1</v>
      </c>
      <c r="H15" s="19">
        <v>0.0</v>
      </c>
      <c r="I15" s="19">
        <v>0.0</v>
      </c>
      <c r="J15" s="19">
        <v>0.0</v>
      </c>
      <c r="K15" s="19">
        <v>0.0</v>
      </c>
      <c r="L15" s="18">
        <f>VLOOKUP(A15,'תפוקה חודשית מול אשתקד'!A:K,8,0)</f>
        <v>-8037.62</v>
      </c>
      <c r="M15" s="18">
        <f>VLOOKUP(A15,'תפוקה חודשית מול אשתקד'!A:K,9,0)</f>
        <v>0</v>
      </c>
      <c r="N15" s="18">
        <f>VLOOKUP(A15,'תפוקה חודשית מול אשתקד'!A:K,10,0)</f>
        <v>-6369.3</v>
      </c>
      <c r="O15" s="18">
        <f>VLOOKUP(A15,'תפוקה חודשית מול אשתקד'!A:K,11,0)</f>
        <v>338.01</v>
      </c>
    </row>
    <row r="16" ht="15.75" customHeight="1">
      <c r="A16" s="1" t="s">
        <v>29</v>
      </c>
      <c r="B16" s="1" t="s">
        <v>14</v>
      </c>
      <c r="C16" s="1" t="s">
        <v>22</v>
      </c>
      <c r="D16" s="17">
        <f t="shared" ref="D16:G16" si="15">IF(L16=0,0%,IF(H16=0,100%,L16/H16-1))</f>
        <v>1</v>
      </c>
      <c r="E16" s="17">
        <f t="shared" si="15"/>
        <v>1</v>
      </c>
      <c r="F16" s="17">
        <f t="shared" si="15"/>
        <v>1</v>
      </c>
      <c r="G16" s="17">
        <f t="shared" si="15"/>
        <v>1</v>
      </c>
      <c r="H16" s="19">
        <v>0.0</v>
      </c>
      <c r="I16" s="19">
        <v>0.0</v>
      </c>
      <c r="J16" s="19">
        <v>0.0</v>
      </c>
      <c r="K16" s="19">
        <v>0.0</v>
      </c>
      <c r="L16" s="18">
        <f>VLOOKUP(A16,'תפוקה חודשית מול אשתקד'!A:K,8,0)</f>
        <v>16437.59091</v>
      </c>
      <c r="M16" s="18">
        <f>VLOOKUP(A16,'תפוקה חודשית מול אשתקד'!A:K,9,0)</f>
        <v>2060.928</v>
      </c>
      <c r="N16" s="18">
        <f>VLOOKUP(A16,'תפוקה חודשית מול אשתקד'!A:K,10,0)</f>
        <v>19275.24</v>
      </c>
      <c r="O16" s="18">
        <f>VLOOKUP(A16,'תפוקה חודשית מול אשתקד'!A:K,11,0)</f>
        <v>15176.23</v>
      </c>
    </row>
    <row r="17" ht="15.75" customHeight="1">
      <c r="A17" s="1" t="s">
        <v>30</v>
      </c>
      <c r="B17" s="1" t="s">
        <v>14</v>
      </c>
      <c r="C17" s="1" t="s">
        <v>22</v>
      </c>
      <c r="D17" s="17">
        <f t="shared" ref="D17:G17" si="16">IF(L17=0,0%,IF(H17=0,100%,L17/H17-1))</f>
        <v>-0.6082606335</v>
      </c>
      <c r="E17" s="17">
        <f t="shared" si="16"/>
        <v>-0.5361083264</v>
      </c>
      <c r="F17" s="17">
        <f t="shared" si="16"/>
        <v>-0.5174151092</v>
      </c>
      <c r="G17" s="17">
        <f t="shared" si="16"/>
        <v>-1.538262785</v>
      </c>
      <c r="H17" s="19">
        <v>127500.00000000001</v>
      </c>
      <c r="I17" s="19">
        <v>49800.0</v>
      </c>
      <c r="J17" s="19">
        <v>984000.0</v>
      </c>
      <c r="K17" s="19">
        <v>492000.0</v>
      </c>
      <c r="L17" s="18">
        <f>VLOOKUP(A17,'תפוקה חודשית מול אשתקד'!A:K,8,0)</f>
        <v>49946.76923</v>
      </c>
      <c r="M17" s="18">
        <f>VLOOKUP(A17,'תפוקה חודשית מול אשתקד'!A:K,9,0)</f>
        <v>23101.80534</v>
      </c>
      <c r="N17" s="18">
        <f>VLOOKUP(A17,'תפוקה חודשית מול אשתקד'!A:K,10,0)</f>
        <v>474863.5326</v>
      </c>
      <c r="O17" s="18">
        <f>VLOOKUP(A17,'תפוקה חודשית מול אשתקד'!A:K,11,0)</f>
        <v>-264825.29</v>
      </c>
    </row>
    <row r="18" ht="15.75" customHeight="1">
      <c r="A18" s="1" t="s">
        <v>31</v>
      </c>
      <c r="B18" s="1" t="s">
        <v>14</v>
      </c>
      <c r="C18" s="1" t="s">
        <v>22</v>
      </c>
      <c r="D18" s="17">
        <f t="shared" ref="D18:G18" si="17">IF(L18=0,0%,IF(H18=0,100%,L18/H18-1))</f>
        <v>-0.7105435945</v>
      </c>
      <c r="E18" s="17">
        <f t="shared" si="17"/>
        <v>-0.04487727954</v>
      </c>
      <c r="F18" s="17">
        <f t="shared" si="17"/>
        <v>-0.4620718525</v>
      </c>
      <c r="G18" s="17">
        <f t="shared" si="17"/>
        <v>0.7111379085</v>
      </c>
      <c r="H18" s="19">
        <v>255000.00000000003</v>
      </c>
      <c r="I18" s="19">
        <v>29050.0</v>
      </c>
      <c r="J18" s="19">
        <v>2870000.0</v>
      </c>
      <c r="K18" s="19">
        <v>820000.0</v>
      </c>
      <c r="L18" s="18">
        <f>VLOOKUP(A18,'תפוקה חודשית מול אשתקד'!A:K,8,0)</f>
        <v>73811.38339</v>
      </c>
      <c r="M18" s="18">
        <f>VLOOKUP(A18,'תפוקה חודשית מול אשתקד'!A:K,9,0)</f>
        <v>27746.31503</v>
      </c>
      <c r="N18" s="18">
        <f>VLOOKUP(A18,'תפוקה חודשית מול אשתקד'!A:K,10,0)</f>
        <v>1543853.783</v>
      </c>
      <c r="O18" s="18">
        <f>VLOOKUP(A18,'תפוקה חודשית מול אשתקד'!A:K,11,0)</f>
        <v>1403133.085</v>
      </c>
    </row>
    <row r="19" ht="15.75" customHeight="1">
      <c r="A19" s="1" t="s">
        <v>32</v>
      </c>
      <c r="B19" s="1" t="s">
        <v>14</v>
      </c>
      <c r="C19" s="1" t="s">
        <v>22</v>
      </c>
      <c r="D19" s="17">
        <f t="shared" ref="D19:G19" si="18">IF(L19=0,0%,IF(H19=0,100%,L19/H19-1))</f>
        <v>1</v>
      </c>
      <c r="E19" s="17">
        <f t="shared" si="18"/>
        <v>1</v>
      </c>
      <c r="F19" s="17">
        <f t="shared" si="18"/>
        <v>0</v>
      </c>
      <c r="G19" s="17">
        <f t="shared" si="18"/>
        <v>0</v>
      </c>
      <c r="H19" s="19">
        <v>0.0</v>
      </c>
      <c r="I19" s="19">
        <v>0.0</v>
      </c>
      <c r="J19" s="19">
        <v>0.0</v>
      </c>
      <c r="K19" s="19">
        <v>0.0</v>
      </c>
      <c r="L19" s="18">
        <f>VLOOKUP(A19,'תפוקה חודשית מול אשתקד'!A:K,8,0)</f>
        <v>-1198445.616</v>
      </c>
      <c r="M19" s="18">
        <f>VLOOKUP(A19,'תפוקה חודשית מול אשתקד'!A:K,9,0)</f>
        <v>-51743.43243</v>
      </c>
      <c r="N19" s="18">
        <f>VLOOKUP(A19,'תפוקה חודשית מול אשתקד'!A:K,10,0)</f>
        <v>0</v>
      </c>
      <c r="O19" s="18">
        <f>VLOOKUP(A19,'תפוקה חודשית מול אשתקד'!A:K,11,0)</f>
        <v>0</v>
      </c>
    </row>
    <row r="20" ht="15.75" customHeight="1">
      <c r="A20" s="21" t="s">
        <v>33</v>
      </c>
      <c r="B20" s="1" t="s">
        <v>14</v>
      </c>
      <c r="C20" s="1" t="s">
        <v>22</v>
      </c>
      <c r="D20" s="17">
        <f t="shared" ref="D20:G20" si="19">IF(L20=0,0%,IF(H20=0,100%,L20/H20-1))</f>
        <v>0</v>
      </c>
      <c r="E20" s="17">
        <f t="shared" si="19"/>
        <v>0</v>
      </c>
      <c r="F20" s="17">
        <f t="shared" si="19"/>
        <v>0</v>
      </c>
      <c r="G20" s="17">
        <f t="shared" si="19"/>
        <v>0</v>
      </c>
      <c r="H20" s="19"/>
      <c r="I20" s="19"/>
      <c r="J20" s="19"/>
      <c r="K20" s="19"/>
      <c r="L20" s="18" t="str">
        <f>VLOOKUP(A20,'תפוקה חודשית מול אשתקד'!A:K,8,0)</f>
        <v/>
      </c>
      <c r="M20" s="18" t="str">
        <f>VLOOKUP(A20,'תפוקה חודשית מול אשתקד'!A:K,9,0)</f>
        <v/>
      </c>
      <c r="N20" s="18" t="str">
        <f>VLOOKUP(A20,'תפוקה חודשית מול אשתקד'!A:K,10,0)</f>
        <v/>
      </c>
      <c r="O20" s="18" t="str">
        <f>VLOOKUP(A20,'תפוקה חודשית מול אשתקד'!A:K,11,0)</f>
        <v/>
      </c>
    </row>
    <row r="21" ht="15.75" customHeight="1">
      <c r="A21" s="1" t="s">
        <v>34</v>
      </c>
      <c r="B21" s="1" t="s">
        <v>14</v>
      </c>
      <c r="C21" s="1" t="s">
        <v>22</v>
      </c>
      <c r="D21" s="17">
        <f t="shared" ref="D21:G21" si="20">IF(L21=0,0%,IF(H21=0,100%,L21/H21-1))</f>
        <v>0</v>
      </c>
      <c r="E21" s="17">
        <f t="shared" si="20"/>
        <v>0</v>
      </c>
      <c r="F21" s="17">
        <f t="shared" si="20"/>
        <v>0</v>
      </c>
      <c r="G21" s="17">
        <f t="shared" si="20"/>
        <v>0</v>
      </c>
      <c r="H21" s="19">
        <v>0.0</v>
      </c>
      <c r="I21" s="19">
        <v>0.0</v>
      </c>
      <c r="J21" s="19">
        <v>0.0</v>
      </c>
      <c r="K21" s="19">
        <v>0.0</v>
      </c>
      <c r="L21" s="18">
        <f>VLOOKUP(A21,'תפוקה חודשית מול אשתקד'!A:K,8,0)</f>
        <v>0</v>
      </c>
      <c r="M21" s="18">
        <f>VLOOKUP(A21,'תפוקה חודשית מול אשתקד'!A:K,9,0)</f>
        <v>0</v>
      </c>
      <c r="N21" s="18">
        <f>VLOOKUP(A21,'תפוקה חודשית מול אשתקד'!A:K,10,0)</f>
        <v>0</v>
      </c>
      <c r="O21" s="18">
        <f>VLOOKUP(A21,'תפוקה חודשית מול אשתקד'!A:K,11,0)</f>
        <v>0</v>
      </c>
    </row>
    <row r="22" ht="15.75" customHeight="1">
      <c r="A22" s="163" t="s">
        <v>35</v>
      </c>
      <c r="B22" s="164"/>
      <c r="C22" s="154"/>
      <c r="D22" s="17">
        <f t="shared" ref="D22:G22" si="21">IF(L22=0,0%,IF(H22=0,100%,L22/H22-1))</f>
        <v>-2.260082914</v>
      </c>
      <c r="E22" s="17">
        <f t="shared" si="21"/>
        <v>0.0450005581</v>
      </c>
      <c r="F22" s="17">
        <f t="shared" si="21"/>
        <v>-0.1860172035</v>
      </c>
      <c r="G22" s="17">
        <f t="shared" si="21"/>
        <v>-0.4750848121</v>
      </c>
      <c r="H22" s="149">
        <f t="shared" ref="H22:O22" si="22">SUM(H9:H21)</f>
        <v>663000</v>
      </c>
      <c r="I22" s="149">
        <f t="shared" si="22"/>
        <v>240700</v>
      </c>
      <c r="J22" s="149">
        <f t="shared" si="22"/>
        <v>4264000</v>
      </c>
      <c r="K22" s="149">
        <f t="shared" si="22"/>
        <v>2501000</v>
      </c>
      <c r="L22" s="149">
        <f t="shared" si="22"/>
        <v>-835434.9718</v>
      </c>
      <c r="M22" s="149">
        <f t="shared" si="22"/>
        <v>251531.6343</v>
      </c>
      <c r="N22" s="149">
        <f t="shared" si="22"/>
        <v>3470822.644</v>
      </c>
      <c r="O22" s="149">
        <f t="shared" si="22"/>
        <v>1312812.885</v>
      </c>
    </row>
    <row r="23" ht="15.75" customHeight="1">
      <c r="A23" s="23" t="s">
        <v>36</v>
      </c>
      <c r="B23" s="23" t="s">
        <v>37</v>
      </c>
      <c r="C23" s="23" t="s">
        <v>38</v>
      </c>
      <c r="D23" s="17">
        <f t="shared" ref="D23:G23" si="23">IF(L23=0,0%,IF(H23=0,100%,L23/H23-1))</f>
        <v>0.7659675682</v>
      </c>
      <c r="E23" s="17">
        <f t="shared" si="23"/>
        <v>4.955999079</v>
      </c>
      <c r="F23" s="17">
        <f t="shared" si="23"/>
        <v>-1.012219512</v>
      </c>
      <c r="G23" s="17">
        <f t="shared" si="23"/>
        <v>-0.3983083902</v>
      </c>
      <c r="H23" s="19">
        <v>136000.0</v>
      </c>
      <c r="I23" s="19">
        <v>14110.0</v>
      </c>
      <c r="J23" s="19">
        <v>205000.0</v>
      </c>
      <c r="K23" s="19">
        <v>410000.0</v>
      </c>
      <c r="L23" s="18">
        <f>VLOOKUP(A23,'תפוקה חודשית מול אשתקד'!A:K,8,0)</f>
        <v>240171.5893</v>
      </c>
      <c r="M23" s="18">
        <f>VLOOKUP(A23,'תפוקה חודשית מול אשתקד'!A:K,9,0)</f>
        <v>84039.147</v>
      </c>
      <c r="N23" s="18">
        <f>VLOOKUP(A23,'תפוקה חודשית מול אשתקד'!A:K,10,0)</f>
        <v>-2505</v>
      </c>
      <c r="O23" s="18">
        <f>VLOOKUP(A23,'תפוקה חודשית מול אשתקד'!A:K,11,0)</f>
        <v>246693.56</v>
      </c>
    </row>
    <row r="24" ht="15.75" customHeight="1">
      <c r="A24" s="30" t="s">
        <v>39</v>
      </c>
      <c r="B24" s="1" t="s">
        <v>37</v>
      </c>
      <c r="C24" s="23" t="s">
        <v>38</v>
      </c>
      <c r="D24" s="17">
        <f t="shared" ref="D24:G24" si="24">IF(L24=0,0%,IF(H24=0,100%,L24/H24-1))</f>
        <v>0</v>
      </c>
      <c r="E24" s="17">
        <f t="shared" si="24"/>
        <v>1</v>
      </c>
      <c r="F24" s="17">
        <f t="shared" si="24"/>
        <v>0</v>
      </c>
      <c r="G24" s="17">
        <f t="shared" si="24"/>
        <v>0</v>
      </c>
      <c r="H24" s="19">
        <v>0.0</v>
      </c>
      <c r="I24" s="19">
        <v>0.0</v>
      </c>
      <c r="J24" s="19">
        <v>0.0</v>
      </c>
      <c r="K24" s="19">
        <v>0.0</v>
      </c>
      <c r="L24" s="18">
        <f>VLOOKUP(A24,'תפוקה חודשית מול אשתקד'!A:K,8,0)</f>
        <v>0</v>
      </c>
      <c r="M24" s="18">
        <f>VLOOKUP(A24,'תפוקה חודשית מול אשתקד'!A:K,9,0)</f>
        <v>11.8640607</v>
      </c>
      <c r="N24" s="18">
        <f>VLOOKUP(A24,'תפוקה חודשית מול אשתקד'!A:K,10,0)</f>
        <v>0</v>
      </c>
      <c r="O24" s="18">
        <f>VLOOKUP(A24,'תפוקה חודשית מול אשתקד'!A:K,11,0)</f>
        <v>0</v>
      </c>
    </row>
    <row r="25" ht="15.75" customHeight="1">
      <c r="A25" s="30" t="s">
        <v>40</v>
      </c>
      <c r="B25" s="1" t="s">
        <v>37</v>
      </c>
      <c r="C25" s="23" t="s">
        <v>38</v>
      </c>
      <c r="D25" s="17">
        <f t="shared" ref="D25:G25" si="25">IF(L25=0,0%,IF(H25=0,100%,L25/H25-1))</f>
        <v>0.7824309869</v>
      </c>
      <c r="E25" s="17">
        <f t="shared" si="25"/>
        <v>-0.7639942087</v>
      </c>
      <c r="F25" s="17">
        <f t="shared" si="25"/>
        <v>-0.9993780891</v>
      </c>
      <c r="G25" s="17">
        <f t="shared" si="25"/>
        <v>-2.709510976</v>
      </c>
      <c r="H25" s="19">
        <v>8500.0</v>
      </c>
      <c r="I25" s="19">
        <v>4150.0</v>
      </c>
      <c r="J25" s="19">
        <v>24600.0</v>
      </c>
      <c r="K25" s="19">
        <v>8200.0</v>
      </c>
      <c r="L25" s="18">
        <f>VLOOKUP(A25,'תפוקה חודשית מול אשתקד'!A:K,8,0)</f>
        <v>15150.66339</v>
      </c>
      <c r="M25" s="18">
        <f>VLOOKUP(A25,'תפוקה חודשית מול אשתקד'!A:K,9,0)</f>
        <v>979.424034</v>
      </c>
      <c r="N25" s="18">
        <f>VLOOKUP(A25,'תפוקה חודשית מול אשתקד'!A:K,10,0)</f>
        <v>15.29900801</v>
      </c>
      <c r="O25" s="18">
        <f>VLOOKUP(A25,'תפוקה חודשית מול אשתקד'!A:K,11,0)</f>
        <v>-14017.99</v>
      </c>
    </row>
    <row r="26" ht="15.75" customHeight="1">
      <c r="A26" s="1" t="s">
        <v>65</v>
      </c>
      <c r="B26" s="1" t="s">
        <v>66</v>
      </c>
      <c r="C26" s="23" t="s">
        <v>38</v>
      </c>
      <c r="D26" s="17">
        <f t="shared" ref="D26:G26" si="26">IF(L26=0,0%,IF(H26=0,100%,L26/H26-1))</f>
        <v>0</v>
      </c>
      <c r="E26" s="17">
        <f t="shared" si="26"/>
        <v>0</v>
      </c>
      <c r="F26" s="17">
        <f t="shared" si="26"/>
        <v>0</v>
      </c>
      <c r="G26" s="17">
        <f t="shared" si="26"/>
        <v>0</v>
      </c>
      <c r="H26" s="19">
        <v>0.0</v>
      </c>
      <c r="I26" s="19">
        <v>0.0</v>
      </c>
      <c r="J26" s="19">
        <v>0.0</v>
      </c>
      <c r="K26" s="19">
        <v>0.0</v>
      </c>
      <c r="L26" s="18">
        <f>VLOOKUP(A26,'תפוקה חודשית מול אשתקד'!A:K,8,0)</f>
        <v>0</v>
      </c>
      <c r="M26" s="18">
        <f>VLOOKUP(A26,'תפוקה חודשית מול אשתקד'!A:K,9,0)</f>
        <v>0</v>
      </c>
      <c r="N26" s="18">
        <f>VLOOKUP(A26,'תפוקה חודשית מול אשתקד'!A:K,10,0)</f>
        <v>0</v>
      </c>
      <c r="O26" s="18">
        <f>VLOOKUP(A26,'תפוקה חודשית מול אשתקד'!A:K,11,0)</f>
        <v>0</v>
      </c>
    </row>
    <row r="27" ht="15.75" customHeight="1">
      <c r="A27" s="30" t="s">
        <v>41</v>
      </c>
      <c r="B27" s="1" t="s">
        <v>37</v>
      </c>
      <c r="C27" s="23" t="s">
        <v>38</v>
      </c>
      <c r="D27" s="17">
        <f t="shared" ref="D27:G27" si="27">IF(L27=0,0%,IF(H27=0,100%,L27/H27-1))</f>
        <v>-0.4112145466</v>
      </c>
      <c r="E27" s="17">
        <f t="shared" si="27"/>
        <v>-0.1968045353</v>
      </c>
      <c r="F27" s="17">
        <f t="shared" si="27"/>
        <v>-0.05796114634</v>
      </c>
      <c r="G27" s="17">
        <f t="shared" si="27"/>
        <v>0.8385896951</v>
      </c>
      <c r="H27" s="19">
        <v>212500.00000000003</v>
      </c>
      <c r="I27" s="19">
        <v>24900.0</v>
      </c>
      <c r="J27" s="19">
        <v>246000.0</v>
      </c>
      <c r="K27" s="19">
        <v>328000.0</v>
      </c>
      <c r="L27" s="18">
        <f>VLOOKUP(A27,'תפוקה חודשית מול אשתקד'!A:K,8,0)</f>
        <v>125116.9089</v>
      </c>
      <c r="M27" s="18">
        <f>VLOOKUP(A27,'תפוקה חודשית מול אשתקד'!A:K,9,0)</f>
        <v>19999.56707</v>
      </c>
      <c r="N27" s="18">
        <f>VLOOKUP(A27,'תפוקה חודשית מול אשתקד'!A:K,10,0)</f>
        <v>231741.558</v>
      </c>
      <c r="O27" s="18">
        <f>VLOOKUP(A27,'תפוקה חודשית מול אשתקד'!A:K,11,0)</f>
        <v>603057.42</v>
      </c>
    </row>
    <row r="28" ht="15.75" customHeight="1">
      <c r="A28" s="30" t="s">
        <v>42</v>
      </c>
      <c r="B28" s="1" t="s">
        <v>37</v>
      </c>
      <c r="C28" s="23" t="s">
        <v>38</v>
      </c>
      <c r="D28" s="17">
        <f t="shared" ref="D28:G28" si="28">IF(L28=0,0%,IF(H28=0,100%,L28/H28-1))</f>
        <v>0.4174055371</v>
      </c>
      <c r="E28" s="17">
        <f t="shared" si="28"/>
        <v>-1.012322126</v>
      </c>
      <c r="F28" s="17">
        <f t="shared" si="28"/>
        <v>11.19539984</v>
      </c>
      <c r="G28" s="17">
        <f t="shared" si="28"/>
        <v>-0.9999786585</v>
      </c>
      <c r="H28" s="19">
        <v>25500.000000000004</v>
      </c>
      <c r="I28" s="19">
        <v>16600.0</v>
      </c>
      <c r="J28" s="19">
        <v>8200.0</v>
      </c>
      <c r="K28" s="19">
        <v>16400.0</v>
      </c>
      <c r="L28" s="18">
        <f>VLOOKUP(A28,'תפוקה חודשית מול אשתקד'!A:K,8,0)</f>
        <v>36143.8412</v>
      </c>
      <c r="M28" s="18">
        <f>VLOOKUP(A28,'תפוקה חודשית מול אשתקד'!A:K,9,0)</f>
        <v>-204.5472919</v>
      </c>
      <c r="N28" s="18">
        <f>VLOOKUP(A28,'תפוקה חודשית מול אשתקד'!A:K,10,0)</f>
        <v>100002.2787</v>
      </c>
      <c r="O28" s="18">
        <f>VLOOKUP(A28,'תפוקה חודשית מול אשתקד'!A:K,11,0)</f>
        <v>0.35</v>
      </c>
    </row>
    <row r="29" ht="15.75" customHeight="1">
      <c r="A29" s="30" t="s">
        <v>43</v>
      </c>
      <c r="B29" s="1" t="s">
        <v>37</v>
      </c>
      <c r="C29" s="23" t="s">
        <v>38</v>
      </c>
      <c r="D29" s="17">
        <f t="shared" ref="D29:G29" si="29">IF(L29=0,0%,IF(H29=0,100%,L29/H29-1))</f>
        <v>-0.9791537255</v>
      </c>
      <c r="E29" s="17">
        <f t="shared" si="29"/>
        <v>-1.207962678</v>
      </c>
      <c r="F29" s="17">
        <f t="shared" si="29"/>
        <v>-0.5851452846</v>
      </c>
      <c r="G29" s="17">
        <f t="shared" si="29"/>
        <v>-0.9928747967</v>
      </c>
      <c r="H29" s="19">
        <v>25500.000000000004</v>
      </c>
      <c r="I29" s="19">
        <v>12450.0</v>
      </c>
      <c r="J29" s="19">
        <v>123000.0</v>
      </c>
      <c r="K29" s="19">
        <v>24600.0</v>
      </c>
      <c r="L29" s="18">
        <f>VLOOKUP(A29,'תפוקה חודשית מול אשתקד'!A:K,8,0)</f>
        <v>531.58</v>
      </c>
      <c r="M29" s="18">
        <f>VLOOKUP(A29,'תפוקה חודשית מול אשתקד'!A:K,9,0)</f>
        <v>-2589.13534</v>
      </c>
      <c r="N29" s="18">
        <f>VLOOKUP(A29,'תפוקה חודשית מול אשתקד'!A:K,10,0)</f>
        <v>51027.13</v>
      </c>
      <c r="O29" s="18">
        <f>VLOOKUP(A29,'תפוקה חודשית מול אשתקד'!A:K,11,0)</f>
        <v>175.28</v>
      </c>
    </row>
    <row r="30" ht="15.75" customHeight="1">
      <c r="A30" s="1" t="s">
        <v>44</v>
      </c>
      <c r="B30" s="1" t="s">
        <v>37</v>
      </c>
      <c r="C30" s="23" t="s">
        <v>38</v>
      </c>
      <c r="D30" s="17">
        <f t="shared" ref="D30:G30" si="30">IF(L30=0,0%,IF(H30=0,100%,L30/H30-1))</f>
        <v>-0.7491742691</v>
      </c>
      <c r="E30" s="17">
        <f t="shared" si="30"/>
        <v>-0.1460915663</v>
      </c>
      <c r="F30" s="17">
        <f t="shared" si="30"/>
        <v>0.2652178862</v>
      </c>
      <c r="G30" s="17">
        <f t="shared" si="30"/>
        <v>-1.41327222</v>
      </c>
      <c r="H30" s="19">
        <v>148750.0</v>
      </c>
      <c r="I30" s="19">
        <v>12450.0</v>
      </c>
      <c r="J30" s="19">
        <v>246000.0</v>
      </c>
      <c r="K30" s="19">
        <v>410000.0</v>
      </c>
      <c r="L30" s="18">
        <f>VLOOKUP(A30,'תפוקה חודשית מול אשתקד'!A:K,8,0)</f>
        <v>37310.32747</v>
      </c>
      <c r="M30" s="18">
        <f>VLOOKUP(A30,'תפוקה חודשית מול אשתקד'!A:K,9,0)</f>
        <v>10631.16</v>
      </c>
      <c r="N30" s="18">
        <f>VLOOKUP(A30,'תפוקה חודשית מול אשתקד'!A:K,10,0)</f>
        <v>311243.6</v>
      </c>
      <c r="O30" s="18">
        <f>VLOOKUP(A30,'תפוקה חודשית מול אשתקד'!A:K,11,0)</f>
        <v>-169441.61</v>
      </c>
    </row>
    <row r="31" ht="15.75" customHeight="1">
      <c r="A31" s="1" t="s">
        <v>45</v>
      </c>
      <c r="B31" s="1" t="s">
        <v>37</v>
      </c>
      <c r="C31" s="23" t="s">
        <v>38</v>
      </c>
      <c r="D31" s="17">
        <f t="shared" ref="D31:G31" si="31">IF(L31=0,0%,IF(H31=0,100%,L31/H31-1))</f>
        <v>0.1773326486</v>
      </c>
      <c r="E31" s="17">
        <f t="shared" si="31"/>
        <v>-0.4125859496</v>
      </c>
      <c r="F31" s="17">
        <f t="shared" si="31"/>
        <v>-0.6984908537</v>
      </c>
      <c r="G31" s="17">
        <f t="shared" si="31"/>
        <v>-10.56838117</v>
      </c>
      <c r="H31" s="19">
        <v>85000.0</v>
      </c>
      <c r="I31" s="19">
        <v>16600.0</v>
      </c>
      <c r="J31" s="19">
        <v>328000.0</v>
      </c>
      <c r="K31" s="19">
        <v>205000.0</v>
      </c>
      <c r="L31" s="18">
        <f>VLOOKUP(A31,'תפוקה חודשית מול אשתקד'!A:K,8,0)</f>
        <v>100073.2751</v>
      </c>
      <c r="M31" s="18">
        <f>VLOOKUP(A31,'תפוקה חודשית מול אשתקד'!A:K,9,0)</f>
        <v>9751.073236</v>
      </c>
      <c r="N31" s="18">
        <f>VLOOKUP(A31,'תפוקה חודשית מול אשתקד'!A:K,10,0)</f>
        <v>98895</v>
      </c>
      <c r="O31" s="18">
        <f>VLOOKUP(A31,'תפוקה חודשית מול אשתקד'!A:K,11,0)</f>
        <v>-1961518.14</v>
      </c>
    </row>
    <row r="32" ht="15.75" customHeight="1">
      <c r="A32" s="1" t="s">
        <v>46</v>
      </c>
      <c r="B32" s="1" t="s">
        <v>37</v>
      </c>
      <c r="C32" s="23" t="s">
        <v>38</v>
      </c>
      <c r="D32" s="17">
        <f t="shared" ref="D32:G32" si="32">IF(L32=0,0%,IF(H32=0,100%,L32/H32-1))</f>
        <v>0</v>
      </c>
      <c r="E32" s="17">
        <f t="shared" si="32"/>
        <v>1</v>
      </c>
      <c r="F32" s="17">
        <f t="shared" si="32"/>
        <v>0</v>
      </c>
      <c r="G32" s="17">
        <f t="shared" si="32"/>
        <v>0</v>
      </c>
      <c r="H32" s="19">
        <v>0.0</v>
      </c>
      <c r="I32" s="19">
        <v>0.0</v>
      </c>
      <c r="J32" s="19">
        <v>0.0</v>
      </c>
      <c r="K32" s="19">
        <v>0.0</v>
      </c>
      <c r="L32" s="18">
        <f>VLOOKUP(A32,'תפוקה חודשית מול אשתקד'!A:K,8,0)</f>
        <v>0</v>
      </c>
      <c r="M32" s="18">
        <f>VLOOKUP(A32,'תפוקה חודשית מול אשתקד'!A:K,9,0)</f>
        <v>0.03</v>
      </c>
      <c r="N32" s="18">
        <f>VLOOKUP(A32,'תפוקה חודשית מול אשתקד'!A:K,10,0)</f>
        <v>0</v>
      </c>
      <c r="O32" s="18">
        <f>VLOOKUP(A32,'תפוקה חודשית מול אשתקד'!A:K,11,0)</f>
        <v>0</v>
      </c>
    </row>
    <row r="33" ht="15.75" customHeight="1">
      <c r="A33" s="1" t="s">
        <v>47</v>
      </c>
      <c r="B33" s="1" t="s">
        <v>37</v>
      </c>
      <c r="C33" s="23" t="s">
        <v>38</v>
      </c>
      <c r="D33" s="17">
        <f t="shared" ref="D33:G33" si="33">IF(L33=0,0%,IF(H33=0,100%,L33/H33-1))</f>
        <v>1</v>
      </c>
      <c r="E33" s="17">
        <f t="shared" si="33"/>
        <v>1</v>
      </c>
      <c r="F33" s="17">
        <f t="shared" si="33"/>
        <v>1</v>
      </c>
      <c r="G33" s="17">
        <f t="shared" si="33"/>
        <v>1</v>
      </c>
      <c r="H33" s="19">
        <v>0.0</v>
      </c>
      <c r="I33" s="19">
        <v>0.0</v>
      </c>
      <c r="J33" s="19">
        <v>0.0</v>
      </c>
      <c r="K33" s="19">
        <v>0.0</v>
      </c>
      <c r="L33" s="18">
        <f>VLOOKUP(A33,'תפוקה חודשית מול אשתקד'!A:K,8,0)</f>
        <v>667.1004815</v>
      </c>
      <c r="M33" s="18">
        <f>VLOOKUP(A33,'תפוקה חודשית מול אשתקד'!A:K,9,0)</f>
        <v>12.36432485</v>
      </c>
      <c r="N33" s="18">
        <f>VLOOKUP(A33,'תפוקה חודשית מול אשתקד'!A:K,10,0)</f>
        <v>-1854.502745</v>
      </c>
      <c r="O33" s="18">
        <f>VLOOKUP(A33,'תפוקה חודשית מול אשתקד'!A:K,11,0)</f>
        <v>14254.46</v>
      </c>
    </row>
    <row r="34" ht="15.75" customHeight="1">
      <c r="A34" s="1" t="s">
        <v>48</v>
      </c>
      <c r="B34" s="1" t="s">
        <v>37</v>
      </c>
      <c r="C34" s="23" t="s">
        <v>38</v>
      </c>
      <c r="D34" s="17">
        <f t="shared" ref="D34:G34" si="34">IF(L34=0,0%,IF(H34=0,100%,L34/H34-1))</f>
        <v>0</v>
      </c>
      <c r="E34" s="17">
        <f t="shared" si="34"/>
        <v>0</v>
      </c>
      <c r="F34" s="17">
        <f t="shared" si="34"/>
        <v>0</v>
      </c>
      <c r="G34" s="17">
        <f t="shared" si="34"/>
        <v>0</v>
      </c>
      <c r="H34" s="19">
        <v>0.0</v>
      </c>
      <c r="I34" s="19">
        <v>0.0</v>
      </c>
      <c r="J34" s="19">
        <v>0.0</v>
      </c>
      <c r="K34" s="19">
        <v>0.0</v>
      </c>
      <c r="L34" s="18">
        <f>VLOOKUP(A34,'תפוקה חודשית מול אשתקד'!A:K,8,0)</f>
        <v>0</v>
      </c>
      <c r="M34" s="18">
        <f>VLOOKUP(A34,'תפוקה חודשית מול אשתקד'!A:K,9,0)</f>
        <v>0</v>
      </c>
      <c r="N34" s="18">
        <f>VLOOKUP(A34,'תפוקה חודשית מול אשתקד'!A:K,10,0)</f>
        <v>0</v>
      </c>
      <c r="O34" s="18">
        <f>VLOOKUP(A34,'תפוקה חודשית מול אשתקד'!A:K,11,0)</f>
        <v>0</v>
      </c>
    </row>
    <row r="35" ht="15.75" customHeight="1">
      <c r="A35" s="1" t="s">
        <v>49</v>
      </c>
      <c r="B35" s="1" t="s">
        <v>37</v>
      </c>
      <c r="C35" s="23" t="s">
        <v>38</v>
      </c>
      <c r="D35" s="17">
        <f t="shared" ref="D35:G35" si="35">IF(L35=0,0%,IF(H35=0,100%,L35/H35-1))</f>
        <v>0</v>
      </c>
      <c r="E35" s="17">
        <f t="shared" si="35"/>
        <v>1</v>
      </c>
      <c r="F35" s="17">
        <f t="shared" si="35"/>
        <v>0</v>
      </c>
      <c r="G35" s="17">
        <f t="shared" si="35"/>
        <v>0</v>
      </c>
      <c r="H35" s="19">
        <v>0.0</v>
      </c>
      <c r="I35" s="19">
        <v>0.0</v>
      </c>
      <c r="J35" s="19">
        <v>0.0</v>
      </c>
      <c r="K35" s="19">
        <v>0.0</v>
      </c>
      <c r="L35" s="18">
        <f>VLOOKUP(A35,'תפוקה חודשית מול אשתקד'!A:K,8,0)</f>
        <v>0</v>
      </c>
      <c r="M35" s="18">
        <f>VLOOKUP(A35,'תפוקה חודשית מול אשתקד'!A:K,9,0)</f>
        <v>19.909</v>
      </c>
      <c r="N35" s="18">
        <f>VLOOKUP(A35,'תפוקה חודשית מול אשתקד'!A:K,10,0)</f>
        <v>0</v>
      </c>
      <c r="O35" s="18">
        <f>VLOOKUP(A35,'תפוקה חודשית מול אשתקד'!A:K,11,0)</f>
        <v>0</v>
      </c>
    </row>
    <row r="36" ht="15.75" customHeight="1">
      <c r="A36" s="30" t="s">
        <v>50</v>
      </c>
      <c r="B36" s="1" t="s">
        <v>37</v>
      </c>
      <c r="C36" s="23" t="s">
        <v>38</v>
      </c>
      <c r="D36" s="17">
        <f t="shared" ref="D36:G36" si="36">IF(L36=0,0%,IF(H36=0,100%,L36/H36-1))</f>
        <v>0.3134428766</v>
      </c>
      <c r="E36" s="17">
        <f t="shared" si="36"/>
        <v>1.090342109</v>
      </c>
      <c r="F36" s="17">
        <f t="shared" si="36"/>
        <v>0.9134655022</v>
      </c>
      <c r="G36" s="17">
        <f t="shared" si="36"/>
        <v>0.1085111585</v>
      </c>
      <c r="H36" s="19">
        <v>212500.00000000003</v>
      </c>
      <c r="I36" s="19">
        <v>37350.0</v>
      </c>
      <c r="J36" s="19">
        <v>492000.0</v>
      </c>
      <c r="K36" s="19">
        <v>328000.0</v>
      </c>
      <c r="L36" s="18">
        <f>VLOOKUP(A36,'תפוקה חודשית מול אשתקד'!A:K,8,0)</f>
        <v>279106.6113</v>
      </c>
      <c r="M36" s="18">
        <f>VLOOKUP(A36,'תפוקה חודשית מול אשתקד'!A:K,9,0)</f>
        <v>78074.27776</v>
      </c>
      <c r="N36" s="18">
        <f>VLOOKUP(A36,'תפוקה חודשית מול אשתקד'!A:K,10,0)</f>
        <v>941425.0271</v>
      </c>
      <c r="O36" s="18">
        <f>VLOOKUP(A36,'תפוקה חודשית מול אשתקד'!A:K,11,0)</f>
        <v>363591.66</v>
      </c>
    </row>
    <row r="37" ht="15.75" customHeight="1">
      <c r="A37" s="1" t="s">
        <v>51</v>
      </c>
      <c r="B37" s="1" t="s">
        <v>37</v>
      </c>
      <c r="C37" s="23" t="s">
        <v>38</v>
      </c>
      <c r="D37" s="17">
        <f t="shared" ref="D37:G37" si="37">IF(L37=0,0%,IF(H37=0,100%,L37/H37-1))</f>
        <v>0</v>
      </c>
      <c r="E37" s="17">
        <f t="shared" si="37"/>
        <v>0</v>
      </c>
      <c r="F37" s="17">
        <f t="shared" si="37"/>
        <v>0</v>
      </c>
      <c r="G37" s="17">
        <f t="shared" si="37"/>
        <v>0</v>
      </c>
      <c r="H37" s="19">
        <v>0.0</v>
      </c>
      <c r="I37" s="19">
        <v>0.0</v>
      </c>
      <c r="J37" s="19">
        <v>0.0</v>
      </c>
      <c r="K37" s="19">
        <v>0.0</v>
      </c>
      <c r="L37" s="18">
        <f>VLOOKUP(A37,'תפוקה חודשית מול אשתקד'!A:K,8,0)</f>
        <v>0</v>
      </c>
      <c r="M37" s="18">
        <f>VLOOKUP(A37,'תפוקה חודשית מול אשתקד'!A:K,9,0)</f>
        <v>0</v>
      </c>
      <c r="N37" s="18">
        <f>VLOOKUP(A37,'תפוקה חודשית מול אשתקד'!A:K,10,0)</f>
        <v>0</v>
      </c>
      <c r="O37" s="18">
        <f>VLOOKUP(A37,'תפוקה חודשית מול אשתקד'!A:K,11,0)</f>
        <v>0</v>
      </c>
    </row>
    <row r="38" ht="15.75" customHeight="1">
      <c r="A38" s="1" t="s">
        <v>52</v>
      </c>
      <c r="B38" s="1" t="s">
        <v>37</v>
      </c>
      <c r="C38" s="23" t="s">
        <v>38</v>
      </c>
      <c r="D38" s="17">
        <f t="shared" ref="D38:G38" si="38">IF(L38=0,0%,IF(H38=0,100%,L38/H38-1))</f>
        <v>0</v>
      </c>
      <c r="E38" s="17">
        <f t="shared" si="38"/>
        <v>1</v>
      </c>
      <c r="F38" s="17">
        <f t="shared" si="38"/>
        <v>1</v>
      </c>
      <c r="G38" s="17">
        <f t="shared" si="38"/>
        <v>0</v>
      </c>
      <c r="H38" s="19">
        <v>0.0</v>
      </c>
      <c r="I38" s="19">
        <v>0.0</v>
      </c>
      <c r="J38" s="19">
        <v>0.0</v>
      </c>
      <c r="K38" s="19">
        <v>0.0</v>
      </c>
      <c r="L38" s="18">
        <f>VLOOKUP(A38,'תפוקה חודשית מול אשתקד'!A:K,8,0)</f>
        <v>0</v>
      </c>
      <c r="M38" s="18">
        <f>VLOOKUP(A38,'תפוקה חודשית מול אשתקד'!A:K,9,0)</f>
        <v>-10.234</v>
      </c>
      <c r="N38" s="18">
        <f>VLOOKUP(A38,'תפוקה חודשית מול אשתקד'!A:K,10,0)</f>
        <v>1000</v>
      </c>
      <c r="O38" s="18">
        <f>VLOOKUP(A38,'תפוקה חודשית מול אשתקד'!A:K,11,0)</f>
        <v>0</v>
      </c>
    </row>
    <row r="39" ht="15.75" customHeight="1">
      <c r="A39" s="1" t="s">
        <v>53</v>
      </c>
      <c r="B39" s="1" t="s">
        <v>37</v>
      </c>
      <c r="C39" s="23" t="s">
        <v>38</v>
      </c>
      <c r="D39" s="17">
        <f t="shared" ref="D39:G39" si="39">IF(L39=0,0%,IF(H39=0,100%,L39/H39-1))</f>
        <v>1</v>
      </c>
      <c r="E39" s="17">
        <f t="shared" si="39"/>
        <v>0</v>
      </c>
      <c r="F39" s="17">
        <f t="shared" si="39"/>
        <v>0</v>
      </c>
      <c r="G39" s="17">
        <f t="shared" si="39"/>
        <v>0</v>
      </c>
      <c r="H39" s="19">
        <v>0.0</v>
      </c>
      <c r="I39" s="19">
        <v>0.0</v>
      </c>
      <c r="J39" s="19">
        <v>0.0</v>
      </c>
      <c r="K39" s="19">
        <v>0.0</v>
      </c>
      <c r="L39" s="18">
        <f>VLOOKUP(A39,'תפוקה חודשית מול אשתקד'!A:K,8,0)</f>
        <v>25839.29797</v>
      </c>
      <c r="M39" s="18">
        <f>VLOOKUP(A39,'תפוקה חודשית מול אשתקד'!A:K,9,0)</f>
        <v>0</v>
      </c>
      <c r="N39" s="18">
        <f>VLOOKUP(A39,'תפוקה חודשית מול אשתקד'!A:K,10,0)</f>
        <v>0</v>
      </c>
      <c r="O39" s="18">
        <f>VLOOKUP(A39,'תפוקה חודשית מול אשתקד'!A:K,11,0)</f>
        <v>0</v>
      </c>
    </row>
    <row r="40" ht="15.75" customHeight="1">
      <c r="A40" s="1" t="s">
        <v>54</v>
      </c>
      <c r="B40" s="1" t="s">
        <v>37</v>
      </c>
      <c r="C40" s="23" t="s">
        <v>38</v>
      </c>
      <c r="D40" s="17">
        <f t="shared" ref="D40:G40" si="40">IF(L40=0,0%,IF(H40=0,100%,L40/H40-1))</f>
        <v>1</v>
      </c>
      <c r="E40" s="17">
        <f t="shared" si="40"/>
        <v>-0.9906626506</v>
      </c>
      <c r="F40" s="17">
        <f t="shared" si="40"/>
        <v>1</v>
      </c>
      <c r="G40" s="17">
        <f t="shared" si="40"/>
        <v>1</v>
      </c>
      <c r="H40" s="19">
        <v>0.0</v>
      </c>
      <c r="I40" s="19">
        <v>830.0</v>
      </c>
      <c r="J40" s="19">
        <v>0.0</v>
      </c>
      <c r="K40" s="19">
        <v>0.0</v>
      </c>
      <c r="L40" s="18">
        <f>VLOOKUP(A40,'תפוקה חודשית מול אשתקד'!A:K,8,0)</f>
        <v>-1817.57</v>
      </c>
      <c r="M40" s="18">
        <f>VLOOKUP(A40,'תפוקה חודשית מול אשתקד'!A:K,9,0)</f>
        <v>7.75</v>
      </c>
      <c r="N40" s="18">
        <f>VLOOKUP(A40,'תפוקה חודשית מול אשתקד'!A:K,10,0)</f>
        <v>338.56</v>
      </c>
      <c r="O40" s="18">
        <f>VLOOKUP(A40,'תפוקה חודשית מול אשתקד'!A:K,11,0)</f>
        <v>682.12</v>
      </c>
    </row>
    <row r="41" ht="15.75" customHeight="1">
      <c r="A41" s="1" t="s">
        <v>69</v>
      </c>
      <c r="B41" s="1" t="s">
        <v>66</v>
      </c>
      <c r="C41" s="23" t="s">
        <v>38</v>
      </c>
      <c r="D41" s="17">
        <f t="shared" ref="D41:G41" si="41">IF(L41=0,0%,IF(H41=0,100%,L41/H41-1))</f>
        <v>-0.9969688235</v>
      </c>
      <c r="E41" s="17">
        <f t="shared" si="41"/>
        <v>-1.83909759</v>
      </c>
      <c r="F41" s="17">
        <f t="shared" si="41"/>
        <v>0</v>
      </c>
      <c r="G41" s="17">
        <f t="shared" si="41"/>
        <v>0</v>
      </c>
      <c r="H41" s="19">
        <v>34000.0</v>
      </c>
      <c r="I41" s="19">
        <v>8300.0</v>
      </c>
      <c r="J41" s="19">
        <v>82000.0</v>
      </c>
      <c r="K41" s="19">
        <v>82000.0</v>
      </c>
      <c r="L41" s="18">
        <f>VLOOKUP(A41,'תפוקה חודשית מול אשתקד'!A:K,8,0)</f>
        <v>103.06</v>
      </c>
      <c r="M41" s="18">
        <f>VLOOKUP(A41,'תפוקה חודשית מול אשתקד'!A:K,9,0)</f>
        <v>-6964.51</v>
      </c>
      <c r="N41" s="18">
        <f>VLOOKUP(A41,'תפוקה חודשית מול אשתקד'!A:K,10,0)</f>
        <v>0</v>
      </c>
      <c r="O41" s="18">
        <f>VLOOKUP(A41,'תפוקה חודשית מול אשתקד'!A:K,11,0)</f>
        <v>0</v>
      </c>
    </row>
    <row r="42" ht="15.75" customHeight="1">
      <c r="A42" s="1" t="s">
        <v>71</v>
      </c>
      <c r="B42" s="1" t="s">
        <v>66</v>
      </c>
      <c r="C42" s="23" t="s">
        <v>38</v>
      </c>
      <c r="D42" s="17">
        <f t="shared" ref="D42:G42" si="42">IF(L42=0,0%,IF(H42=0,100%,L42/H42-1))</f>
        <v>0</v>
      </c>
      <c r="E42" s="17">
        <f t="shared" si="42"/>
        <v>0</v>
      </c>
      <c r="F42" s="17">
        <f t="shared" si="42"/>
        <v>0</v>
      </c>
      <c r="G42" s="17">
        <f t="shared" si="42"/>
        <v>0</v>
      </c>
      <c r="H42" s="19">
        <v>0.0</v>
      </c>
      <c r="I42" s="19">
        <v>0.0</v>
      </c>
      <c r="J42" s="19">
        <v>0.0</v>
      </c>
      <c r="K42" s="19">
        <v>0.0</v>
      </c>
      <c r="L42" s="18">
        <f>VLOOKUP(A42,'תפוקה חודשית מול אשתקד'!A:K,8,0)</f>
        <v>0</v>
      </c>
      <c r="M42" s="18">
        <f>VLOOKUP(A42,'תפוקה חודשית מול אשתקד'!A:K,9,0)</f>
        <v>0</v>
      </c>
      <c r="N42" s="18">
        <f>VLOOKUP(A42,'תפוקה חודשית מול אשתקד'!A:K,10,0)</f>
        <v>0</v>
      </c>
      <c r="O42" s="18">
        <f>VLOOKUP(A42,'תפוקה חודשית מול אשתקד'!A:K,11,0)</f>
        <v>0</v>
      </c>
    </row>
    <row r="43" ht="15.75" customHeight="1">
      <c r="A43" s="30" t="s">
        <v>55</v>
      </c>
      <c r="B43" s="1" t="s">
        <v>37</v>
      </c>
      <c r="C43" s="23" t="s">
        <v>38</v>
      </c>
      <c r="D43" s="17">
        <f t="shared" ref="D43:G43" si="43">IF(L43=0,0%,IF(H43=0,100%,L43/H43-1))</f>
        <v>1</v>
      </c>
      <c r="E43" s="17">
        <f t="shared" si="43"/>
        <v>1</v>
      </c>
      <c r="F43" s="17">
        <f t="shared" si="43"/>
        <v>1</v>
      </c>
      <c r="G43" s="17">
        <f t="shared" si="43"/>
        <v>1</v>
      </c>
      <c r="H43" s="19">
        <v>0.0</v>
      </c>
      <c r="I43" s="19">
        <v>0.0</v>
      </c>
      <c r="J43" s="19">
        <v>0.0</v>
      </c>
      <c r="K43" s="19">
        <v>0.0</v>
      </c>
      <c r="L43" s="18">
        <f>VLOOKUP(A43,'תפוקה חודשית מול אשתקד'!A:K,8,0)</f>
        <v>121611.494</v>
      </c>
      <c r="M43" s="18">
        <f>VLOOKUP(A43,'תפוקה חודשית מול אשתקד'!A:K,9,0)</f>
        <v>13295.03625</v>
      </c>
      <c r="N43" s="18">
        <f>VLOOKUP(A43,'תפוקה חודשית מול אשתקד'!A:K,10,0)</f>
        <v>330144.1019</v>
      </c>
      <c r="O43" s="18">
        <f>VLOOKUP(A43,'תפוקה חודשית מול אשתקד'!A:K,11,0)</f>
        <v>757967.3</v>
      </c>
    </row>
    <row r="44" ht="15.75" customHeight="1">
      <c r="A44" s="1" t="s">
        <v>56</v>
      </c>
      <c r="B44" s="1" t="s">
        <v>37</v>
      </c>
      <c r="C44" s="23" t="s">
        <v>38</v>
      </c>
      <c r="D44" s="17">
        <f t="shared" ref="D44:G44" si="44">IF(L44=0,0%,IF(H44=0,100%,L44/H44-1))</f>
        <v>0</v>
      </c>
      <c r="E44" s="17">
        <f t="shared" si="44"/>
        <v>-0.9892825448</v>
      </c>
      <c r="F44" s="17">
        <f t="shared" si="44"/>
        <v>0</v>
      </c>
      <c r="G44" s="17">
        <f t="shared" si="44"/>
        <v>0</v>
      </c>
      <c r="H44" s="19">
        <v>25500.000000000004</v>
      </c>
      <c r="I44" s="19">
        <v>6640.0</v>
      </c>
      <c r="J44" s="19">
        <v>24600.0</v>
      </c>
      <c r="K44" s="19">
        <v>24600.0</v>
      </c>
      <c r="L44" s="18">
        <f>VLOOKUP(A44,'תפוקה חודשית מול אשתקד'!A:K,8,0)</f>
        <v>0</v>
      </c>
      <c r="M44" s="18">
        <f>VLOOKUP(A44,'תפוקה חודשית מול אשתקד'!A:K,9,0)</f>
        <v>71.16390251</v>
      </c>
      <c r="N44" s="18">
        <f>VLOOKUP(A44,'תפוקה חודשית מול אשתקד'!A:K,10,0)</f>
        <v>0</v>
      </c>
      <c r="O44" s="18">
        <f>VLOOKUP(A44,'תפוקה חודשית מול אשתקד'!A:K,11,0)</f>
        <v>0</v>
      </c>
    </row>
    <row r="45" ht="15.75" customHeight="1">
      <c r="A45" s="1" t="s">
        <v>57</v>
      </c>
      <c r="B45" s="1" t="s">
        <v>37</v>
      </c>
      <c r="C45" s="23" t="s">
        <v>38</v>
      </c>
      <c r="D45" s="17">
        <f t="shared" ref="D45:G45" si="45">IF(L45=0,0%,IF(H45=0,100%,L45/H45-1))</f>
        <v>-0.9881226953</v>
      </c>
      <c r="E45" s="17">
        <f t="shared" si="45"/>
        <v>0.5892203121</v>
      </c>
      <c r="F45" s="17">
        <f t="shared" si="45"/>
        <v>3.423292683</v>
      </c>
      <c r="G45" s="17">
        <f t="shared" si="45"/>
        <v>1.876711585</v>
      </c>
      <c r="H45" s="19">
        <v>4250.0</v>
      </c>
      <c r="I45" s="19">
        <v>4150.0</v>
      </c>
      <c r="J45" s="19">
        <v>24600.0</v>
      </c>
      <c r="K45" s="19">
        <v>16400.0</v>
      </c>
      <c r="L45" s="18">
        <f>VLOOKUP(A45,'תפוקה חודשית מול אשתקד'!A:K,8,0)</f>
        <v>50.47854501</v>
      </c>
      <c r="M45" s="18">
        <f>VLOOKUP(A45,'תפוקה חודשית מול אשתקד'!A:K,9,0)</f>
        <v>6595.264295</v>
      </c>
      <c r="N45" s="18">
        <f>VLOOKUP(A45,'תפוקה חודשית מול אשתקד'!A:K,10,0)</f>
        <v>108813</v>
      </c>
      <c r="O45" s="18">
        <f>VLOOKUP(A45,'תפוקה חודשית מול אשתקד'!A:K,11,0)</f>
        <v>47178.07</v>
      </c>
    </row>
    <row r="46" ht="15.75" customHeight="1">
      <c r="A46" s="1" t="s">
        <v>67</v>
      </c>
      <c r="B46" s="1" t="s">
        <v>66</v>
      </c>
      <c r="C46" s="23" t="s">
        <v>38</v>
      </c>
      <c r="D46" s="17">
        <f t="shared" ref="D46:G46" si="46">IF(L46=0,0%,IF(H46=0,100%,L46/H46-1))</f>
        <v>0</v>
      </c>
      <c r="E46" s="17">
        <f t="shared" si="46"/>
        <v>0</v>
      </c>
      <c r="F46" s="17">
        <f t="shared" si="46"/>
        <v>0</v>
      </c>
      <c r="G46" s="17">
        <f t="shared" si="46"/>
        <v>0</v>
      </c>
      <c r="H46" s="19">
        <v>0.0</v>
      </c>
      <c r="I46" s="19">
        <v>0.0</v>
      </c>
      <c r="J46" s="19">
        <v>0.0</v>
      </c>
      <c r="K46" s="19">
        <v>0.0</v>
      </c>
      <c r="L46" s="18">
        <f>VLOOKUP(A46,'תפוקה חודשית מול אשתקד'!A:K,8,0)</f>
        <v>0</v>
      </c>
      <c r="M46" s="18">
        <f>VLOOKUP(A46,'תפוקה חודשית מול אשתקד'!A:K,9,0)</f>
        <v>0</v>
      </c>
      <c r="N46" s="18">
        <f>VLOOKUP(A46,'תפוקה חודשית מול אשתקד'!A:K,10,0)</f>
        <v>0</v>
      </c>
      <c r="O46" s="18">
        <f>VLOOKUP(A46,'תפוקה חודשית מול אשתקד'!A:K,11,0)</f>
        <v>0</v>
      </c>
    </row>
    <row r="47" ht="15.75" customHeight="1">
      <c r="A47" s="1" t="s">
        <v>68</v>
      </c>
      <c r="B47" s="1" t="s">
        <v>66</v>
      </c>
      <c r="C47" s="23" t="s">
        <v>38</v>
      </c>
      <c r="D47" s="17">
        <f t="shared" ref="D47:G47" si="47">IF(L47=0,0%,IF(H47=0,100%,L47/H47-1))</f>
        <v>0</v>
      </c>
      <c r="E47" s="17">
        <f t="shared" si="47"/>
        <v>1</v>
      </c>
      <c r="F47" s="17">
        <f t="shared" si="47"/>
        <v>0</v>
      </c>
      <c r="G47" s="17">
        <f t="shared" si="47"/>
        <v>0</v>
      </c>
      <c r="H47" s="19">
        <v>0.0</v>
      </c>
      <c r="I47" s="19">
        <v>0.0</v>
      </c>
      <c r="J47" s="19">
        <v>0.0</v>
      </c>
      <c r="K47" s="19">
        <v>0.0</v>
      </c>
      <c r="L47" s="18">
        <f>VLOOKUP(A47,'תפוקה חודשית מול אשתקד'!A:K,8,0)</f>
        <v>0</v>
      </c>
      <c r="M47" s="18">
        <f>VLOOKUP(A47,'תפוקה חודשית מול אשתקד'!A:K,9,0)</f>
        <v>2305.5</v>
      </c>
      <c r="N47" s="18">
        <f>VLOOKUP(A47,'תפוקה חודשית מול אשתקד'!A:K,10,0)</f>
        <v>0</v>
      </c>
      <c r="O47" s="18">
        <f>VLOOKUP(A47,'תפוקה חודשית מול אשתקד'!A:K,11,0)</f>
        <v>0</v>
      </c>
    </row>
    <row r="48" ht="15.75" customHeight="1">
      <c r="A48" s="21" t="s">
        <v>58</v>
      </c>
      <c r="B48" s="1" t="s">
        <v>37</v>
      </c>
      <c r="C48" s="23" t="s">
        <v>38</v>
      </c>
      <c r="D48" s="17">
        <f t="shared" ref="D48:G48" si="48">IF(L48=0,0%,IF(H48=0,100%,L48/H48-1))</f>
        <v>0</v>
      </c>
      <c r="E48" s="17">
        <f t="shared" si="48"/>
        <v>-0.9959906024</v>
      </c>
      <c r="F48" s="17">
        <f t="shared" si="48"/>
        <v>0</v>
      </c>
      <c r="G48" s="17">
        <f t="shared" si="48"/>
        <v>0</v>
      </c>
      <c r="H48" s="19">
        <v>4250.0</v>
      </c>
      <c r="I48" s="19">
        <v>4150.0</v>
      </c>
      <c r="J48" s="19">
        <v>41000.0</v>
      </c>
      <c r="K48" s="19">
        <v>16400.0</v>
      </c>
      <c r="L48" s="18">
        <f>VLOOKUP(A48,'תפוקה חודשית מול אשתקד'!A:K,8,0)</f>
        <v>0</v>
      </c>
      <c r="M48" s="18">
        <f>VLOOKUP(A48,'תפוקה חודשית מול אשתקד'!A:K,9,0)</f>
        <v>16.639</v>
      </c>
      <c r="N48" s="18">
        <f>VLOOKUP(A48,'תפוקה חודשית מול אשתקד'!A:K,10,0)</f>
        <v>0</v>
      </c>
      <c r="O48" s="18">
        <f>VLOOKUP(A48,'תפוקה חודשית מול אשתקד'!A:K,11,0)</f>
        <v>0</v>
      </c>
    </row>
    <row r="49" ht="15.75" customHeight="1">
      <c r="A49" s="21" t="s">
        <v>59</v>
      </c>
      <c r="B49" s="1" t="s">
        <v>37</v>
      </c>
      <c r="C49" s="23" t="s">
        <v>38</v>
      </c>
      <c r="D49" s="17">
        <f t="shared" ref="D49:G49" si="49">IF(L49=0,0%,IF(H49=0,100%,L49/H49-1))</f>
        <v>-0.1712487059</v>
      </c>
      <c r="E49" s="17">
        <f t="shared" si="49"/>
        <v>-1.002890843</v>
      </c>
      <c r="F49" s="17">
        <f t="shared" si="49"/>
        <v>-0.778059939</v>
      </c>
      <c r="G49" s="17">
        <f t="shared" si="49"/>
        <v>0</v>
      </c>
      <c r="H49" s="19">
        <v>8500.0</v>
      </c>
      <c r="I49" s="19">
        <v>4150.0</v>
      </c>
      <c r="J49" s="19">
        <v>164000.0</v>
      </c>
      <c r="K49" s="19">
        <v>41000.0</v>
      </c>
      <c r="L49" s="18">
        <f>VLOOKUP(A49,'תפוקה חודשית מול אשתקד'!A:K,8,0)</f>
        <v>7044.386</v>
      </c>
      <c r="M49" s="18">
        <f>VLOOKUP(A49,'תפוקה חודשית מול אשתקד'!A:K,9,0)</f>
        <v>-11.997</v>
      </c>
      <c r="N49" s="18">
        <f>VLOOKUP(A49,'תפוקה חודשית מול אשתקד'!A:K,10,0)</f>
        <v>36398.17</v>
      </c>
      <c r="O49" s="18">
        <f>VLOOKUP(A49,'תפוקה חודשית מול אשתקד'!A:K,11,0)</f>
        <v>0</v>
      </c>
    </row>
    <row r="50" ht="15.75" customHeight="1">
      <c r="A50" s="1" t="s">
        <v>60</v>
      </c>
      <c r="B50" s="1" t="s">
        <v>37</v>
      </c>
      <c r="C50" s="1" t="s">
        <v>38</v>
      </c>
      <c r="D50" s="17">
        <f t="shared" ref="D50:G50" si="50">IF(L50=0,0%,IF(H50=0,100%,L50/H50-1))</f>
        <v>1</v>
      </c>
      <c r="E50" s="17">
        <f t="shared" si="50"/>
        <v>1</v>
      </c>
      <c r="F50" s="17">
        <f t="shared" si="50"/>
        <v>1</v>
      </c>
      <c r="G50" s="17">
        <f t="shared" si="50"/>
        <v>1</v>
      </c>
      <c r="H50" s="19">
        <v>0.0</v>
      </c>
      <c r="I50" s="19">
        <v>0.0</v>
      </c>
      <c r="J50" s="19">
        <v>0.0</v>
      </c>
      <c r="K50" s="19">
        <v>0.0</v>
      </c>
      <c r="L50" s="18">
        <f>VLOOKUP(A50,'תפוקה חודשית מול אשתקד'!A:K,8,0)</f>
        <v>-1064.10128</v>
      </c>
      <c r="M50" s="18">
        <f>VLOOKUP(A50,'תפוקה חודשית מול אשתקד'!A:K,9,0)</f>
        <v>2366.48</v>
      </c>
      <c r="N50" s="18">
        <f>VLOOKUP(A50,'תפוקה חודשית מול אשתקד'!A:K,10,0)</f>
        <v>7336.85</v>
      </c>
      <c r="O50" s="18">
        <f>VLOOKUP(A50,'תפוקה חודשית מול אשתקד'!A:K,11,0)</f>
        <v>21832.09</v>
      </c>
    </row>
    <row r="51" ht="15.75" customHeight="1">
      <c r="A51" s="1" t="s">
        <v>61</v>
      </c>
      <c r="B51" s="1" t="s">
        <v>37</v>
      </c>
      <c r="C51" s="1" t="s">
        <v>38</v>
      </c>
      <c r="D51" s="17">
        <f t="shared" ref="D51:G51" si="51">IF(L51=0,0%,IF(H51=0,100%,L51/H51-1))</f>
        <v>1</v>
      </c>
      <c r="E51" s="17">
        <f t="shared" si="51"/>
        <v>1</v>
      </c>
      <c r="F51" s="17">
        <f t="shared" si="51"/>
        <v>0</v>
      </c>
      <c r="G51" s="17">
        <f t="shared" si="51"/>
        <v>1</v>
      </c>
      <c r="H51" s="19">
        <v>0.0</v>
      </c>
      <c r="I51" s="19">
        <v>0.0</v>
      </c>
      <c r="J51" s="19">
        <v>0.0</v>
      </c>
      <c r="K51" s="19">
        <v>0.0</v>
      </c>
      <c r="L51" s="18">
        <f>VLOOKUP(A51,'תפוקה חודשית מול אשתקד'!A:K,8,0)</f>
        <v>-1641.32</v>
      </c>
      <c r="M51" s="18">
        <f>VLOOKUP(A51,'תפוקה חודשית מול אשתקד'!A:K,9,0)</f>
        <v>2234.96</v>
      </c>
      <c r="N51" s="18">
        <f>VLOOKUP(A51,'תפוקה חודשית מול אשתקד'!A:K,10,0)</f>
        <v>0</v>
      </c>
      <c r="O51" s="18">
        <f>VLOOKUP(A51,'תפוקה חודשית מול אשתקד'!A:K,11,0)</f>
        <v>417.57</v>
      </c>
    </row>
    <row r="52" ht="15.75" customHeight="1">
      <c r="A52" s="1" t="s">
        <v>62</v>
      </c>
      <c r="B52" s="1" t="s">
        <v>37</v>
      </c>
      <c r="C52" s="1" t="s">
        <v>38</v>
      </c>
      <c r="D52" s="17">
        <f t="shared" ref="D52:G52" si="52">IF(L52=0,0%,IF(H52=0,100%,L52/H52-1))</f>
        <v>1</v>
      </c>
      <c r="E52" s="17">
        <f t="shared" si="52"/>
        <v>1</v>
      </c>
      <c r="F52" s="17">
        <f t="shared" si="52"/>
        <v>1</v>
      </c>
      <c r="G52" s="17">
        <f t="shared" si="52"/>
        <v>1</v>
      </c>
      <c r="H52" s="19">
        <v>0.0</v>
      </c>
      <c r="I52" s="19">
        <v>0.0</v>
      </c>
      <c r="J52" s="19">
        <v>0.0</v>
      </c>
      <c r="K52" s="19">
        <v>0.0</v>
      </c>
      <c r="L52" s="18">
        <f>VLOOKUP(A52,'תפוקה חודשית מול אשתקד'!A:K,8,0)</f>
        <v>1701.8616</v>
      </c>
      <c r="M52" s="18">
        <f>VLOOKUP(A52,'תפוקה חודשית מול אשתקד'!A:K,9,0)</f>
        <v>6864.485</v>
      </c>
      <c r="N52" s="18">
        <f>VLOOKUP(A52,'תפוקה חודשית מול אשתקד'!A:K,10,0)</f>
        <v>8807.24</v>
      </c>
      <c r="O52" s="18">
        <f>VLOOKUP(A52,'תפוקה חודשית מול אשתקד'!A:K,11,0)</f>
        <v>367.61</v>
      </c>
    </row>
    <row r="53" ht="15.75" customHeight="1">
      <c r="A53" s="1" t="s">
        <v>63</v>
      </c>
      <c r="B53" s="1" t="s">
        <v>37</v>
      </c>
      <c r="C53" s="1" t="s">
        <v>38</v>
      </c>
      <c r="D53" s="17">
        <f t="shared" ref="D53:G53" si="53">IF(L53=0,0%,IF(H53=0,100%,L53/H53-1))</f>
        <v>1</v>
      </c>
      <c r="E53" s="17">
        <f t="shared" si="53"/>
        <v>1</v>
      </c>
      <c r="F53" s="17">
        <f t="shared" si="53"/>
        <v>0</v>
      </c>
      <c r="G53" s="17">
        <f t="shared" si="53"/>
        <v>0</v>
      </c>
      <c r="H53" s="19">
        <v>0.0</v>
      </c>
      <c r="I53" s="19">
        <v>0.0</v>
      </c>
      <c r="J53" s="19">
        <v>0.0</v>
      </c>
      <c r="K53" s="19">
        <v>0.0</v>
      </c>
      <c r="L53" s="18">
        <f>VLOOKUP(A53,'תפוקה חודשית מול אשתקד'!A:K,8,0)</f>
        <v>-6112</v>
      </c>
      <c r="M53" s="18">
        <f>VLOOKUP(A53,'תפוקה חודשית מול אשתקד'!A:K,9,0)</f>
        <v>2.58</v>
      </c>
      <c r="N53" s="18">
        <f>VLOOKUP(A53,'תפוקה חודשית מול אשתקד'!A:K,10,0)</f>
        <v>0</v>
      </c>
      <c r="O53" s="18">
        <f>VLOOKUP(A53,'תפוקה חודשית מול אשתקד'!A:K,11,0)</f>
        <v>0</v>
      </c>
    </row>
    <row r="54" ht="15.75" customHeight="1">
      <c r="A54" s="1" t="s">
        <v>70</v>
      </c>
      <c r="B54" s="1" t="s">
        <v>14</v>
      </c>
      <c r="C54" s="23" t="s">
        <v>38</v>
      </c>
      <c r="D54" s="17">
        <f t="shared" ref="D54:G54" si="54">IF(L54=0,0%,IF(H54=0,100%,L54/H54-1))</f>
        <v>0</v>
      </c>
      <c r="E54" s="17">
        <f t="shared" si="54"/>
        <v>0</v>
      </c>
      <c r="F54" s="17">
        <f t="shared" si="54"/>
        <v>0</v>
      </c>
      <c r="G54" s="17">
        <f t="shared" si="54"/>
        <v>0</v>
      </c>
      <c r="H54" s="19"/>
      <c r="I54" s="19"/>
      <c r="J54" s="19"/>
      <c r="K54" s="19"/>
      <c r="L54" s="18" t="str">
        <f>VLOOKUP(A54,'תפוקה חודשית מול אשתקד'!A:K,8,0)</f>
        <v/>
      </c>
      <c r="M54" s="18" t="str">
        <f>VLOOKUP(A54,'תפוקה חודשית מול אשתקד'!A:K,9,0)</f>
        <v/>
      </c>
      <c r="N54" s="18" t="str">
        <f>VLOOKUP(A54,'תפוקה חודשית מול אשתקד'!A:K,10,0)</f>
        <v/>
      </c>
      <c r="O54" s="18" t="str">
        <f>VLOOKUP(A54,'תפוקה חודשית מול אשתקד'!A:K,11,0)</f>
        <v/>
      </c>
    </row>
    <row r="55" ht="15.75" customHeight="1">
      <c r="A55" s="1" t="s">
        <v>64</v>
      </c>
      <c r="B55" s="1" t="s">
        <v>37</v>
      </c>
      <c r="C55" s="1" t="s">
        <v>38</v>
      </c>
      <c r="D55" s="17">
        <f t="shared" ref="D55:G55" si="55">IF(L55=0,0%,IF(H55=0,100%,L55/H55-1))</f>
        <v>1</v>
      </c>
      <c r="E55" s="17">
        <f t="shared" si="55"/>
        <v>1</v>
      </c>
      <c r="F55" s="17">
        <f t="shared" si="55"/>
        <v>1</v>
      </c>
      <c r="G55" s="17">
        <f t="shared" si="55"/>
        <v>1</v>
      </c>
      <c r="H55" s="19">
        <v>0.0</v>
      </c>
      <c r="I55" s="19">
        <v>0.0</v>
      </c>
      <c r="J55" s="19">
        <v>0.0</v>
      </c>
      <c r="K55" s="19">
        <v>0.0</v>
      </c>
      <c r="L55" s="18">
        <f>VLOOKUP(A55,'תפוקה חודשית מול אשתקד'!A:K,8,0)</f>
        <v>135960</v>
      </c>
      <c r="M55" s="18">
        <f>VLOOKUP(A55,'תפוקה חודשית מול אשתקד'!A:K,9,0)</f>
        <v>5.25</v>
      </c>
      <c r="N55" s="18">
        <f>VLOOKUP(A55,'תפוקה חודשית מול אשתקד'!A:K,10,0)</f>
        <v>4501</v>
      </c>
      <c r="O55" s="18">
        <f>VLOOKUP(A55,'תפוקה חודשית מול אשתקד'!A:K,11,0)</f>
        <v>158635</v>
      </c>
    </row>
    <row r="56" ht="15.75" customHeight="1">
      <c r="A56" s="165" t="s">
        <v>72</v>
      </c>
      <c r="B56" s="164"/>
      <c r="C56" s="154"/>
      <c r="D56" s="17">
        <f t="shared" ref="D56:G56" si="56">IF(L56=0,0%,IF(H56=0,100%,L56/H56-1))</f>
        <v>0.1989766144</v>
      </c>
      <c r="E56" s="17">
        <f t="shared" si="56"/>
        <v>0.3636845969</v>
      </c>
      <c r="F56" s="17">
        <f t="shared" si="56"/>
        <v>0.1086756157</v>
      </c>
      <c r="G56" s="17">
        <f t="shared" si="56"/>
        <v>-0.9634278499</v>
      </c>
      <c r="H56" s="149">
        <f t="shared" ref="H56:O56" si="57">SUM(H23:H55)</f>
        <v>930750</v>
      </c>
      <c r="I56" s="149">
        <f t="shared" si="57"/>
        <v>166830</v>
      </c>
      <c r="J56" s="149">
        <f t="shared" si="57"/>
        <v>2009000</v>
      </c>
      <c r="K56" s="149">
        <f t="shared" si="57"/>
        <v>1910600</v>
      </c>
      <c r="L56" s="149">
        <f t="shared" si="57"/>
        <v>1115947.484</v>
      </c>
      <c r="M56" s="149">
        <f t="shared" si="57"/>
        <v>227503.5013</v>
      </c>
      <c r="N56" s="149">
        <f t="shared" si="57"/>
        <v>2227329.312</v>
      </c>
      <c r="O56" s="149">
        <f t="shared" si="57"/>
        <v>69874.75</v>
      </c>
    </row>
    <row r="57" ht="15.75" customHeight="1">
      <c r="A57" s="30" t="s">
        <v>77</v>
      </c>
      <c r="B57" s="1" t="s">
        <v>74</v>
      </c>
      <c r="C57" s="1" t="s">
        <v>38</v>
      </c>
      <c r="D57" s="17">
        <f t="shared" ref="D57:G57" si="58">IF(L57=0,0%,IF(H57=0,100%,L57/H57-1))</f>
        <v>-0.6045988235</v>
      </c>
      <c r="E57" s="17">
        <f t="shared" si="58"/>
        <v>-0.2571257396</v>
      </c>
      <c r="F57" s="17">
        <f t="shared" si="58"/>
        <v>-0.9716676029</v>
      </c>
      <c r="G57" s="17">
        <f t="shared" si="58"/>
        <v>-13.7019328</v>
      </c>
      <c r="H57" s="19">
        <v>42500.0</v>
      </c>
      <c r="I57" s="19">
        <v>6640.0</v>
      </c>
      <c r="J57" s="19">
        <v>574000.0</v>
      </c>
      <c r="K57" s="19">
        <v>82000.0</v>
      </c>
      <c r="L57" s="18">
        <f>VLOOKUP(A57,'תפוקה חודשית מול אשתקד'!A:K,8,0)</f>
        <v>16804.55</v>
      </c>
      <c r="M57" s="18">
        <f>VLOOKUP(A57,'תפוקה חודשית מול אשתקד'!A:K,9,0)</f>
        <v>4932.685089</v>
      </c>
      <c r="N57" s="18">
        <f>VLOOKUP(A57,'תפוקה חודשית מול אשתקד'!A:K,10,0)</f>
        <v>16262.79595</v>
      </c>
      <c r="O57" s="18">
        <f>VLOOKUP(A57,'תפוקה חודשית מול אשתקד'!A:K,11,0)</f>
        <v>-1041558.49</v>
      </c>
    </row>
    <row r="58" ht="15.75" customHeight="1">
      <c r="A58" s="1" t="s">
        <v>76</v>
      </c>
      <c r="B58" s="1" t="s">
        <v>74</v>
      </c>
      <c r="C58" s="23" t="s">
        <v>38</v>
      </c>
      <c r="D58" s="17">
        <f t="shared" ref="D58:G58" si="59">IF(L58=0,0%,IF(H58=0,100%,L58/H58-1))</f>
        <v>2.773852971</v>
      </c>
      <c r="E58" s="17">
        <f t="shared" si="59"/>
        <v>2.286283821</v>
      </c>
      <c r="F58" s="17">
        <f t="shared" si="59"/>
        <v>-0.5115060976</v>
      </c>
      <c r="G58" s="17">
        <f t="shared" si="59"/>
        <v>-1.409415823</v>
      </c>
      <c r="H58" s="19">
        <v>340000.0</v>
      </c>
      <c r="I58" s="19">
        <v>29050.0</v>
      </c>
      <c r="J58" s="19">
        <v>328000.0</v>
      </c>
      <c r="K58" s="19">
        <v>328000.0</v>
      </c>
      <c r="L58" s="18">
        <f>VLOOKUP(A58,'תפוקה חודשית מול אשתקד'!A:K,8,0)</f>
        <v>1283110.01</v>
      </c>
      <c r="M58" s="18">
        <f>VLOOKUP(A58,'תפוקה חודשית מול אשתקד'!A:K,9,0)</f>
        <v>95466.545</v>
      </c>
      <c r="N58" s="18">
        <f>VLOOKUP(A58,'תפוקה חודשית מול אשתקד'!A:K,10,0)</f>
        <v>160226</v>
      </c>
      <c r="O58" s="18">
        <f>VLOOKUP(A58,'תפוקה חודשית מול אשתקד'!A:K,11,0)</f>
        <v>-134288.39</v>
      </c>
    </row>
    <row r="59" ht="15.75" customHeight="1">
      <c r="A59" s="1" t="s">
        <v>73</v>
      </c>
      <c r="B59" s="1" t="s">
        <v>74</v>
      </c>
      <c r="C59" s="23" t="s">
        <v>38</v>
      </c>
      <c r="D59" s="17">
        <f t="shared" ref="D59:G59" si="60">IF(L59=0,0%,IF(H59=0,100%,L59/H59-1))</f>
        <v>1</v>
      </c>
      <c r="E59" s="17">
        <f t="shared" si="60"/>
        <v>0</v>
      </c>
      <c r="F59" s="17">
        <f t="shared" si="60"/>
        <v>1</v>
      </c>
      <c r="G59" s="17">
        <f t="shared" si="60"/>
        <v>0</v>
      </c>
      <c r="H59" s="19">
        <v>0.0</v>
      </c>
      <c r="I59" s="19">
        <v>3320.0</v>
      </c>
      <c r="J59" s="19">
        <v>0.0</v>
      </c>
      <c r="K59" s="19">
        <v>0.0</v>
      </c>
      <c r="L59" s="18">
        <f>VLOOKUP(A59,'תפוקה חודשית מול אשתקד'!A:K,8,0)</f>
        <v>51361.89</v>
      </c>
      <c r="M59" s="18">
        <f>VLOOKUP(A59,'תפוקה חודשית מול אשתקד'!A:K,9,0)</f>
        <v>0</v>
      </c>
      <c r="N59" s="18">
        <f>VLOOKUP(A59,'תפוקה חודשית מול אשתקד'!A:K,10,0)</f>
        <v>1.73</v>
      </c>
      <c r="O59" s="18">
        <f>VLOOKUP(A59,'תפוקה חודשית מול אשתקד'!A:K,11,0)</f>
        <v>0</v>
      </c>
    </row>
    <row r="60" ht="15.75" customHeight="1">
      <c r="A60" s="23" t="s">
        <v>75</v>
      </c>
      <c r="B60" s="23" t="s">
        <v>74</v>
      </c>
      <c r="C60" s="23" t="s">
        <v>38</v>
      </c>
      <c r="D60" s="17">
        <f t="shared" ref="D60:G60" si="61">IF(L60=0,0%,IF(H60=0,100%,L60/H60-1))</f>
        <v>-0.7960330588</v>
      </c>
      <c r="E60" s="17">
        <f t="shared" si="61"/>
        <v>-0.9947771084</v>
      </c>
      <c r="F60" s="17">
        <f t="shared" si="61"/>
        <v>-0.9756287805</v>
      </c>
      <c r="G60" s="17">
        <f t="shared" si="61"/>
        <v>-0.9843352683</v>
      </c>
      <c r="H60" s="19">
        <v>85000.0</v>
      </c>
      <c r="I60" s="19">
        <v>16600.0</v>
      </c>
      <c r="J60" s="19">
        <v>205000.0</v>
      </c>
      <c r="K60" s="19">
        <v>820000.0</v>
      </c>
      <c r="L60" s="18">
        <f>VLOOKUP(A60,'תפוקה חודשית מול אשתקד'!A:K,8,0)</f>
        <v>17337.19</v>
      </c>
      <c r="M60" s="18">
        <f>VLOOKUP(A60,'תפוקה חודשית מול אשתקד'!A:K,9,0)</f>
        <v>86.7</v>
      </c>
      <c r="N60" s="18">
        <f>VLOOKUP(A60,'תפוקה חודשית מול אשתקד'!A:K,10,0)</f>
        <v>4996.1</v>
      </c>
      <c r="O60" s="18">
        <f>VLOOKUP(A60,'תפוקה חודשית מול אשתקד'!A:K,11,0)</f>
        <v>12845.08</v>
      </c>
    </row>
    <row r="61" ht="15.75" customHeight="1">
      <c r="A61" s="1" t="s">
        <v>78</v>
      </c>
      <c r="B61" s="1" t="s">
        <v>74</v>
      </c>
      <c r="C61" s="1" t="s">
        <v>38</v>
      </c>
      <c r="D61" s="17">
        <f t="shared" ref="D61:G61" si="62">IF(L61=0,0%,IF(H61=0,100%,L61/H61-1))</f>
        <v>0.3874160153</v>
      </c>
      <c r="E61" s="17">
        <f t="shared" si="62"/>
        <v>-1.80198843</v>
      </c>
      <c r="F61" s="17">
        <f t="shared" si="62"/>
        <v>-1.581287171</v>
      </c>
      <c r="G61" s="17">
        <f t="shared" si="62"/>
        <v>4.331289106</v>
      </c>
      <c r="H61" s="19">
        <v>85000.0</v>
      </c>
      <c r="I61" s="19">
        <v>8300.0</v>
      </c>
      <c r="J61" s="19">
        <v>205000.0</v>
      </c>
      <c r="K61" s="19">
        <v>123000.0</v>
      </c>
      <c r="L61" s="18">
        <f>VLOOKUP(A61,'תפוקה חודשית מול אשתקד'!A:K,8,0)</f>
        <v>117930.3613</v>
      </c>
      <c r="M61" s="18">
        <f>VLOOKUP(A61,'תפוקה חודשית מול אשתקד'!A:K,9,0)</f>
        <v>-6656.503969</v>
      </c>
      <c r="N61" s="18">
        <f>VLOOKUP(A61,'תפוקה חודשית מול אשתקד'!A:K,10,0)</f>
        <v>-119163.87</v>
      </c>
      <c r="O61" s="18">
        <f>VLOOKUP(A61,'תפוקה חודשית מול אשתקד'!A:K,11,0)</f>
        <v>655748.56</v>
      </c>
    </row>
    <row r="62" ht="15.75" customHeight="1">
      <c r="A62" s="35" t="s">
        <v>80</v>
      </c>
      <c r="B62" s="1" t="s">
        <v>74</v>
      </c>
      <c r="C62" s="23" t="s">
        <v>38</v>
      </c>
      <c r="D62" s="17">
        <f t="shared" ref="D62:G62" si="63">IF(L62=0,0%,IF(H62=0,100%,L62/H62-1))</f>
        <v>0</v>
      </c>
      <c r="E62" s="17">
        <f t="shared" si="63"/>
        <v>0</v>
      </c>
      <c r="F62" s="17">
        <f t="shared" si="63"/>
        <v>0</v>
      </c>
      <c r="G62" s="17">
        <f t="shared" si="63"/>
        <v>0</v>
      </c>
      <c r="H62" s="19">
        <v>85000.0</v>
      </c>
      <c r="I62" s="19">
        <v>12450.0</v>
      </c>
      <c r="J62" s="19">
        <v>410000.0</v>
      </c>
      <c r="K62" s="19">
        <v>164000.0</v>
      </c>
      <c r="L62" s="18" t="str">
        <f>VLOOKUP(A62,'תפוקה חודשית מול אשתקד'!A:K,8,0)</f>
        <v/>
      </c>
      <c r="M62" s="18" t="str">
        <f>VLOOKUP(A62,'תפוקה חודשית מול אשתקד'!A:K,9,0)</f>
        <v/>
      </c>
      <c r="N62" s="18" t="str">
        <f>VLOOKUP(A62,'תפוקה חודשית מול אשתקד'!A:K,10,0)</f>
        <v/>
      </c>
      <c r="O62" s="18" t="str">
        <f>VLOOKUP(A62,'תפוקה חודשית מול אשתקד'!A:K,11,0)</f>
        <v/>
      </c>
    </row>
    <row r="63" ht="15.75" customHeight="1">
      <c r="A63" s="34" t="s">
        <v>79</v>
      </c>
      <c r="B63" s="1" t="s">
        <v>74</v>
      </c>
      <c r="C63" s="23" t="s">
        <v>38</v>
      </c>
      <c r="D63" s="17">
        <f t="shared" ref="D63:G63" si="64">IF(L63=0,0%,IF(H63=0,100%,L63/H63-1))</f>
        <v>-6.370887059</v>
      </c>
      <c r="E63" s="17">
        <f t="shared" si="64"/>
        <v>-1.072093824</v>
      </c>
      <c r="F63" s="17">
        <f t="shared" si="64"/>
        <v>-0.4820237805</v>
      </c>
      <c r="G63" s="17">
        <f t="shared" si="64"/>
        <v>-7.085669837</v>
      </c>
      <c r="H63" s="19">
        <v>8500.0</v>
      </c>
      <c r="I63" s="19">
        <v>8300.0</v>
      </c>
      <c r="J63" s="19">
        <v>164000.0</v>
      </c>
      <c r="K63" s="19">
        <v>123000.0</v>
      </c>
      <c r="L63" s="18">
        <f>VLOOKUP(A63,'תפוקה חודשית מול אשתקד'!A:K,8,0)</f>
        <v>-45652.54</v>
      </c>
      <c r="M63" s="18">
        <f>VLOOKUP(A63,'תפוקה חודשית מול אשתקד'!A:K,9,0)</f>
        <v>-598.378738</v>
      </c>
      <c r="N63" s="18">
        <f>VLOOKUP(A63,'תפוקה חודשית מול אשתקד'!A:K,10,0)</f>
        <v>84948.1</v>
      </c>
      <c r="O63" s="18">
        <f>VLOOKUP(A63,'תפוקה חודשית מול אשתקד'!A:K,11,0)</f>
        <v>-748537.39</v>
      </c>
    </row>
    <row r="64" ht="15.75" customHeight="1">
      <c r="A64" s="36" t="s">
        <v>81</v>
      </c>
      <c r="B64" s="1" t="s">
        <v>74</v>
      </c>
      <c r="C64" s="23" t="s">
        <v>38</v>
      </c>
      <c r="D64" s="17">
        <f t="shared" ref="D64:G64" si="65">IF(L64=0,0%,IF(H64=0,100%,L64/H64-1))</f>
        <v>0</v>
      </c>
      <c r="E64" s="17">
        <f t="shared" si="65"/>
        <v>0</v>
      </c>
      <c r="F64" s="17">
        <f t="shared" si="65"/>
        <v>0</v>
      </c>
      <c r="G64" s="17">
        <f t="shared" si="65"/>
        <v>0</v>
      </c>
      <c r="H64" s="19"/>
      <c r="I64" s="19"/>
      <c r="J64" s="19"/>
      <c r="K64" s="19"/>
      <c r="L64" s="18" t="str">
        <f>VLOOKUP(A64,'תפוקה חודשית מול אשתקד'!A:K,8,0)</f>
        <v/>
      </c>
      <c r="M64" s="18" t="str">
        <f>VLOOKUP(A64,'תפוקה חודשית מול אשתקד'!A:K,9,0)</f>
        <v/>
      </c>
      <c r="N64" s="18" t="str">
        <f>VLOOKUP(A64,'תפוקה חודשית מול אשתקד'!A:K,10,0)</f>
        <v/>
      </c>
      <c r="O64" s="18" t="str">
        <f>VLOOKUP(A64,'תפוקה חודשית מול אשתקד'!A:K,11,0)</f>
        <v/>
      </c>
    </row>
    <row r="65" ht="15.75" customHeight="1">
      <c r="A65" s="30" t="s">
        <v>82</v>
      </c>
      <c r="B65" s="1" t="s">
        <v>74</v>
      </c>
      <c r="C65" s="23" t="s">
        <v>38</v>
      </c>
      <c r="D65" s="17">
        <f t="shared" ref="D65:G65" si="66">IF(L65=0,0%,IF(H65=0,100%,L65/H65-1))</f>
        <v>0</v>
      </c>
      <c r="E65" s="17">
        <f t="shared" si="66"/>
        <v>0</v>
      </c>
      <c r="F65" s="17">
        <f t="shared" si="66"/>
        <v>0</v>
      </c>
      <c r="G65" s="17">
        <f t="shared" si="66"/>
        <v>0</v>
      </c>
      <c r="H65" s="19">
        <v>0.0</v>
      </c>
      <c r="I65" s="19">
        <v>8300.0</v>
      </c>
      <c r="J65" s="19">
        <v>0.0</v>
      </c>
      <c r="K65" s="19">
        <v>0.0</v>
      </c>
      <c r="L65" s="18">
        <f>VLOOKUP(A65,'תפוקה חודשית מול אשתקד'!A:K,8,0)</f>
        <v>0</v>
      </c>
      <c r="M65" s="18">
        <f>VLOOKUP(A65,'תפוקה חודשית מול אשתקד'!A:K,9,0)</f>
        <v>0</v>
      </c>
      <c r="N65" s="18">
        <f>VLOOKUP(A65,'תפוקה חודשית מול אשתקד'!A:K,10,0)</f>
        <v>0</v>
      </c>
      <c r="O65" s="18">
        <f>VLOOKUP(A65,'תפוקה חודשית מול אשתקד'!A:K,11,0)</f>
        <v>0</v>
      </c>
    </row>
    <row r="66" ht="15.75" customHeight="1">
      <c r="A66" s="165" t="s">
        <v>135</v>
      </c>
      <c r="B66" s="164"/>
      <c r="C66" s="154"/>
      <c r="D66" s="17">
        <f t="shared" ref="D66:G66" si="67">IF(L66=0,0%,IF(H66=0,100%,L66/H66-1))</f>
        <v>1.230482138</v>
      </c>
      <c r="E66" s="17">
        <f t="shared" si="67"/>
        <v>0.002915742056</v>
      </c>
      <c r="F66" s="17">
        <f t="shared" si="67"/>
        <v>-0.9219136501</v>
      </c>
      <c r="G66" s="17">
        <f t="shared" si="67"/>
        <v>-1.765725994</v>
      </c>
      <c r="H66" s="149">
        <f t="shared" ref="H66:O66" si="68">SUM(H57:H65)</f>
        <v>646000</v>
      </c>
      <c r="I66" s="149">
        <f t="shared" si="68"/>
        <v>92960</v>
      </c>
      <c r="J66" s="149">
        <f t="shared" si="68"/>
        <v>1886000</v>
      </c>
      <c r="K66" s="149">
        <f t="shared" si="68"/>
        <v>1640000</v>
      </c>
      <c r="L66" s="149">
        <f t="shared" si="68"/>
        <v>1440891.461</v>
      </c>
      <c r="M66" s="149">
        <f t="shared" si="68"/>
        <v>93231.04738</v>
      </c>
      <c r="N66" s="149">
        <f t="shared" si="68"/>
        <v>147270.856</v>
      </c>
      <c r="O66" s="149">
        <f t="shared" si="68"/>
        <v>-1255790.63</v>
      </c>
    </row>
    <row r="67" ht="15.75" customHeight="1">
      <c r="A67" s="1" t="s">
        <v>84</v>
      </c>
      <c r="B67" s="1" t="s">
        <v>14</v>
      </c>
      <c r="C67" s="1" t="s">
        <v>85</v>
      </c>
      <c r="D67" s="17">
        <f t="shared" ref="D67:G67" si="69">IF(L67=0,0%,IF(H67=0,100%,L67/H67-1))</f>
        <v>0.9265968595</v>
      </c>
      <c r="E67" s="17">
        <f t="shared" si="69"/>
        <v>0.5216599871</v>
      </c>
      <c r="F67" s="17">
        <f t="shared" si="69"/>
        <v>0.1837387139</v>
      </c>
      <c r="G67" s="17">
        <f t="shared" si="69"/>
        <v>0.5110415366</v>
      </c>
      <c r="H67" s="19">
        <v>85000.0</v>
      </c>
      <c r="I67" s="19">
        <v>12450.0</v>
      </c>
      <c r="J67" s="19">
        <v>820000.0</v>
      </c>
      <c r="K67" s="19">
        <v>410000.0</v>
      </c>
      <c r="L67" s="18">
        <f>VLOOKUP(A67,'תפוקה חודשית מול אשתקד'!A:K,8,0)</f>
        <v>163760.7331</v>
      </c>
      <c r="M67" s="18">
        <f>VLOOKUP(A67,'תפוקה חודשית מול אשתקד'!A:K,9,0)</f>
        <v>18944.66684</v>
      </c>
      <c r="N67" s="18">
        <f>VLOOKUP(A67,'תפוקה חודשית מול אשתקד'!A:K,10,0)</f>
        <v>970665.7454</v>
      </c>
      <c r="O67" s="18">
        <f>VLOOKUP(A67,'תפוקה חודשית מול אשתקד'!A:K,11,0)</f>
        <v>619527.03</v>
      </c>
    </row>
    <row r="68" ht="15.75" customHeight="1">
      <c r="A68" s="30" t="s">
        <v>86</v>
      </c>
      <c r="B68" s="1" t="s">
        <v>37</v>
      </c>
      <c r="C68" s="1" t="s">
        <v>87</v>
      </c>
      <c r="D68" s="17">
        <f t="shared" ref="D68:G68" si="70">IF(L68=0,0%,IF(H68=0,100%,L68/H68-1))</f>
        <v>0.3447732978</v>
      </c>
      <c r="E68" s="17">
        <f t="shared" si="70"/>
        <v>0.2094824297</v>
      </c>
      <c r="F68" s="17">
        <f t="shared" si="70"/>
        <v>0.04576995122</v>
      </c>
      <c r="G68" s="17">
        <f t="shared" si="70"/>
        <v>-0.2447697561</v>
      </c>
      <c r="H68" s="19">
        <v>255000.00000000003</v>
      </c>
      <c r="I68" s="19">
        <v>49800.0</v>
      </c>
      <c r="J68" s="19">
        <v>820000.0</v>
      </c>
      <c r="K68" s="19">
        <v>492000.0</v>
      </c>
      <c r="L68" s="18">
        <f>VLOOKUP(A68,'תפוקה חודשית מול אשתקד'!A:K,8,0)</f>
        <v>342917.1909</v>
      </c>
      <c r="M68" s="18">
        <f>VLOOKUP(A68,'תפוקה חודשית מול אשתקד'!A:K,9,0)</f>
        <v>60232.225</v>
      </c>
      <c r="N68" s="18">
        <f>VLOOKUP(A68,'תפוקה חודשית מול אשתקד'!A:K,10,0)</f>
        <v>857531.36</v>
      </c>
      <c r="O68" s="18">
        <f>VLOOKUP(A68,'תפוקה חודשית מול אשתקד'!A:K,11,0)</f>
        <v>371573.28</v>
      </c>
    </row>
    <row r="69" ht="15.75" customHeight="1">
      <c r="A69" s="1" t="s">
        <v>88</v>
      </c>
      <c r="B69" s="1" t="s">
        <v>14</v>
      </c>
      <c r="C69" s="1" t="s">
        <v>87</v>
      </c>
      <c r="D69" s="17">
        <f t="shared" ref="D69:G69" si="71">IF(L69=0,0%,IF(H69=0,100%,L69/H69-1))</f>
        <v>1</v>
      </c>
      <c r="E69" s="17">
        <f t="shared" si="71"/>
        <v>1</v>
      </c>
      <c r="F69" s="17">
        <f t="shared" si="71"/>
        <v>1</v>
      </c>
      <c r="G69" s="17">
        <f t="shared" si="71"/>
        <v>0</v>
      </c>
      <c r="H69" s="19">
        <v>0.0</v>
      </c>
      <c r="I69" s="19">
        <v>0.0</v>
      </c>
      <c r="J69" s="19">
        <v>0.0</v>
      </c>
      <c r="K69" s="19">
        <v>0.0</v>
      </c>
      <c r="L69" s="18">
        <f>VLOOKUP(A69,'תפוקה חודשית מול אשתקד'!A:K,8,0)</f>
        <v>1265.49</v>
      </c>
      <c r="M69" s="18">
        <f>VLOOKUP(A69,'תפוקה חודשית מול אשתקד'!A:K,9,0)</f>
        <v>1526.653233</v>
      </c>
      <c r="N69" s="18">
        <f>VLOOKUP(A69,'תפוקה חודשית מול אשתקד'!A:K,10,0)</f>
        <v>17331.18</v>
      </c>
      <c r="O69" s="18">
        <f>VLOOKUP(A69,'תפוקה חודשית מול אשתקד'!A:K,11,0)</f>
        <v>0</v>
      </c>
    </row>
    <row r="70" ht="15.75" customHeight="1">
      <c r="A70" s="1" t="s">
        <v>89</v>
      </c>
      <c r="B70" s="1" t="s">
        <v>37</v>
      </c>
      <c r="C70" s="1" t="s">
        <v>87</v>
      </c>
      <c r="D70" s="17">
        <f t="shared" ref="D70:G70" si="72">IF(L70=0,0%,IF(H70=0,100%,L70/H70-1))</f>
        <v>1</v>
      </c>
      <c r="E70" s="17">
        <f t="shared" si="72"/>
        <v>1</v>
      </c>
      <c r="F70" s="17">
        <f t="shared" si="72"/>
        <v>1</v>
      </c>
      <c r="G70" s="17">
        <f t="shared" si="72"/>
        <v>1</v>
      </c>
      <c r="H70" s="19">
        <v>0.0</v>
      </c>
      <c r="I70" s="19">
        <v>0.0</v>
      </c>
      <c r="J70" s="19">
        <v>0.0</v>
      </c>
      <c r="K70" s="19">
        <v>0.0</v>
      </c>
      <c r="L70" s="18">
        <f>VLOOKUP(A70,'תפוקה חודשית מול אשתקד'!A:K,8,0)</f>
        <v>79316.15738</v>
      </c>
      <c r="M70" s="18">
        <f>VLOOKUP(A70,'תפוקה חודשית מול אשתקד'!A:K,9,0)</f>
        <v>-1.306545931</v>
      </c>
      <c r="N70" s="18">
        <f>VLOOKUP(A70,'תפוקה חודשית מול אשתקד'!A:K,10,0)</f>
        <v>32604.63</v>
      </c>
      <c r="O70" s="18">
        <f>VLOOKUP(A70,'תפוקה חודשית מול אשתקד'!A:K,11,0)</f>
        <v>672703.02</v>
      </c>
    </row>
    <row r="71" ht="15.75" customHeight="1">
      <c r="A71" s="1" t="s">
        <v>90</v>
      </c>
      <c r="B71" s="1" t="s">
        <v>37</v>
      </c>
      <c r="C71" s="1" t="s">
        <v>87</v>
      </c>
      <c r="D71" s="17">
        <f t="shared" ref="D71:G71" si="73">IF(L71=0,0%,IF(H71=0,100%,L71/H71-1))</f>
        <v>0</v>
      </c>
      <c r="E71" s="17">
        <f t="shared" si="73"/>
        <v>-0.693606988</v>
      </c>
      <c r="F71" s="17">
        <f t="shared" si="73"/>
        <v>0</v>
      </c>
      <c r="G71" s="17">
        <f t="shared" si="73"/>
        <v>0</v>
      </c>
      <c r="H71" s="19">
        <v>17000.0</v>
      </c>
      <c r="I71" s="19">
        <v>8300.0</v>
      </c>
      <c r="J71" s="19">
        <v>41000.0</v>
      </c>
      <c r="K71" s="19">
        <v>49200.0</v>
      </c>
      <c r="L71" s="18">
        <f>VLOOKUP(A71,'תפוקה חודשית מול אשתקד'!A:K,8,0)</f>
        <v>0</v>
      </c>
      <c r="M71" s="18">
        <f>VLOOKUP(A71,'תפוקה חודשית מול אשתקד'!A:K,9,0)</f>
        <v>2543.062</v>
      </c>
      <c r="N71" s="18">
        <f>VLOOKUP(A71,'תפוקה חודשית מול אשתקד'!A:K,10,0)</f>
        <v>0</v>
      </c>
      <c r="O71" s="18">
        <f>VLOOKUP(A71,'תפוקה חודשית מול אשתקד'!A:K,11,0)</f>
        <v>0</v>
      </c>
    </row>
    <row r="72" ht="15.75" customHeight="1">
      <c r="A72" s="1" t="s">
        <v>91</v>
      </c>
      <c r="B72" s="1" t="s">
        <v>37</v>
      </c>
      <c r="C72" s="1" t="s">
        <v>87</v>
      </c>
      <c r="D72" s="17">
        <f t="shared" ref="D72:G72" si="74">IF(L72=0,0%,IF(H72=0,100%,L72/H72-1))</f>
        <v>0.8634634452</v>
      </c>
      <c r="E72" s="17">
        <f t="shared" si="74"/>
        <v>0.03355109189</v>
      </c>
      <c r="F72" s="17">
        <f t="shared" si="74"/>
        <v>-0.05181992378</v>
      </c>
      <c r="G72" s="17">
        <f t="shared" si="74"/>
        <v>5.80007874</v>
      </c>
      <c r="H72" s="19">
        <v>85000.0</v>
      </c>
      <c r="I72" s="19">
        <v>12450.0</v>
      </c>
      <c r="J72" s="19">
        <v>656000.0</v>
      </c>
      <c r="K72" s="19">
        <v>492000.0</v>
      </c>
      <c r="L72" s="18">
        <f>VLOOKUP(A72,'תפוקה חודשית מול אשתקד'!A:K,8,0)</f>
        <v>158394.3928</v>
      </c>
      <c r="M72" s="18">
        <f>VLOOKUP(A72,'תפוקה חודשית מול אשתקד'!A:K,9,0)</f>
        <v>12867.71109</v>
      </c>
      <c r="N72" s="18">
        <f>VLOOKUP(A72,'תפוקה חודשית מול אשתקד'!A:K,10,0)</f>
        <v>622006.13</v>
      </c>
      <c r="O72" s="18">
        <f>VLOOKUP(A72,'תפוקה חודשית מול אשתקד'!A:K,11,0)</f>
        <v>3345638.74</v>
      </c>
    </row>
    <row r="73" ht="15.75" customHeight="1">
      <c r="A73" s="37" t="s">
        <v>92</v>
      </c>
      <c r="B73" s="1" t="s">
        <v>37</v>
      </c>
      <c r="C73" s="1" t="s">
        <v>87</v>
      </c>
      <c r="D73" s="17">
        <f t="shared" ref="D73:G73" si="75">IF(L73=0,0%,IF(H73=0,100%,L73/H73-1))</f>
        <v>0.1817623711</v>
      </c>
      <c r="E73" s="17">
        <f t="shared" si="75"/>
        <v>-0.1512589991</v>
      </c>
      <c r="F73" s="17">
        <f t="shared" si="75"/>
        <v>0.5828471345</v>
      </c>
      <c r="G73" s="17">
        <f t="shared" si="75"/>
        <v>3.682620854</v>
      </c>
      <c r="H73" s="19">
        <v>255000.00000000003</v>
      </c>
      <c r="I73" s="19">
        <v>20750.0</v>
      </c>
      <c r="J73" s="19">
        <v>1640000.0</v>
      </c>
      <c r="K73" s="19">
        <v>492000.0</v>
      </c>
      <c r="L73" s="18">
        <f>VLOOKUP(A73,'תפוקה חודשית מול אשתקד'!A:K,8,0)</f>
        <v>301349.4046</v>
      </c>
      <c r="M73" s="18">
        <f>VLOOKUP(A73,'תפוקה חודשית מול אשתקד'!A:K,9,0)</f>
        <v>17611.37577</v>
      </c>
      <c r="N73" s="18">
        <f>VLOOKUP(A73,'תפוקה חודשית מול אשתקד'!A:K,10,0)</f>
        <v>2595869.301</v>
      </c>
      <c r="O73" s="18">
        <f>VLOOKUP(A73,'תפוקה חודשית מול אשתקד'!A:K,11,0)</f>
        <v>2303849.46</v>
      </c>
    </row>
    <row r="74" ht="15.75" customHeight="1">
      <c r="A74" s="1" t="s">
        <v>93</v>
      </c>
      <c r="B74" s="1" t="s">
        <v>37</v>
      </c>
      <c r="C74" s="1" t="s">
        <v>87</v>
      </c>
      <c r="D74" s="17">
        <f t="shared" ref="D74:G74" si="76">IF(L74=0,0%,IF(H74=0,100%,L74/H74-1))</f>
        <v>-1.488926353</v>
      </c>
      <c r="E74" s="17">
        <f t="shared" si="76"/>
        <v>-0.8171903614</v>
      </c>
      <c r="F74" s="17">
        <f t="shared" si="76"/>
        <v>0</v>
      </c>
      <c r="G74" s="17">
        <f t="shared" si="76"/>
        <v>0</v>
      </c>
      <c r="H74" s="19">
        <v>42500.0</v>
      </c>
      <c r="I74" s="19">
        <v>12450.0</v>
      </c>
      <c r="J74" s="19">
        <v>82000.0</v>
      </c>
      <c r="K74" s="19">
        <v>164000.0</v>
      </c>
      <c r="L74" s="18">
        <f>VLOOKUP(A74,'תפוקה חודשית מול אשתקד'!A:K,8,0)</f>
        <v>-20779.37</v>
      </c>
      <c r="M74" s="18">
        <f>VLOOKUP(A74,'תפוקה חודשית מול אשתקד'!A:K,9,0)</f>
        <v>2275.98</v>
      </c>
      <c r="N74" s="18">
        <f>VLOOKUP(A74,'תפוקה חודשית מול אשתקד'!A:K,10,0)</f>
        <v>0</v>
      </c>
      <c r="O74" s="18">
        <f>VLOOKUP(A74,'תפוקה חודשית מול אשתקד'!A:K,11,0)</f>
        <v>0</v>
      </c>
    </row>
    <row r="75" ht="15.75" customHeight="1">
      <c r="A75" s="145" t="s">
        <v>94</v>
      </c>
      <c r="B75" s="147"/>
      <c r="C75" s="166"/>
      <c r="D75" s="17">
        <f t="shared" ref="D75:G75" si="77">IF(L75=0,0%,IF(H75=0,100%,L75/H75-1))</f>
        <v>0.3877268409</v>
      </c>
      <c r="E75" s="17">
        <f t="shared" si="77"/>
        <v>-0.001718008691</v>
      </c>
      <c r="F75" s="17">
        <f t="shared" si="77"/>
        <v>0.2554837019</v>
      </c>
      <c r="G75" s="17">
        <f t="shared" si="77"/>
        <v>2.483846956</v>
      </c>
      <c r="H75" s="167">
        <f t="shared" ref="H75:O75" si="78">SUM(H67:H74)</f>
        <v>739500</v>
      </c>
      <c r="I75" s="167">
        <f t="shared" si="78"/>
        <v>116200</v>
      </c>
      <c r="J75" s="167">
        <f t="shared" si="78"/>
        <v>4059000</v>
      </c>
      <c r="K75" s="167">
        <f t="shared" si="78"/>
        <v>2099200</v>
      </c>
      <c r="L75" s="167">
        <f t="shared" si="78"/>
        <v>1026223.999</v>
      </c>
      <c r="M75" s="167">
        <f t="shared" si="78"/>
        <v>116000.3674</v>
      </c>
      <c r="N75" s="167">
        <f t="shared" si="78"/>
        <v>5096008.346</v>
      </c>
      <c r="O75" s="167">
        <f t="shared" si="78"/>
        <v>7313291.53</v>
      </c>
    </row>
    <row r="76" ht="15.75" customHeight="1">
      <c r="A76" s="145" t="s">
        <v>95</v>
      </c>
      <c r="B76" s="147"/>
      <c r="C76" s="166"/>
      <c r="D76" s="17">
        <f t="shared" ref="D76:G76" si="79">IF(L76=0,0%,IF(H76=0,100%,L76/H76-1))</f>
        <v>-0.1386908201</v>
      </c>
      <c r="E76" s="17">
        <f t="shared" si="79"/>
        <v>-0.03882081871</v>
      </c>
      <c r="F76" s="17">
        <f t="shared" si="79"/>
        <v>-0.3097711902</v>
      </c>
      <c r="G76" s="17">
        <f t="shared" si="79"/>
        <v>-0.1801367717</v>
      </c>
      <c r="H76" s="167">
        <f t="shared" ref="H76:O76" si="80">H75+H66+H56+H22+H8</f>
        <v>4679250</v>
      </c>
      <c r="I76" s="167">
        <f t="shared" si="80"/>
        <v>770240</v>
      </c>
      <c r="J76" s="167">
        <f t="shared" si="80"/>
        <v>18614000</v>
      </c>
      <c r="K76" s="167">
        <f t="shared" si="80"/>
        <v>18113800</v>
      </c>
      <c r="L76" s="167">
        <f t="shared" si="80"/>
        <v>4030280.98</v>
      </c>
      <c r="M76" s="167">
        <f t="shared" si="80"/>
        <v>740338.6526</v>
      </c>
      <c r="N76" s="167">
        <f t="shared" si="80"/>
        <v>12847919.07</v>
      </c>
      <c r="O76" s="167">
        <f t="shared" si="80"/>
        <v>14850838.55</v>
      </c>
    </row>
    <row r="77" ht="15.75" customHeight="1">
      <c r="A77" s="157"/>
      <c r="B77" s="157"/>
      <c r="C77" s="157"/>
      <c r="D77" s="16"/>
      <c r="E77" s="16"/>
      <c r="F77" s="16"/>
      <c r="G77" s="16"/>
      <c r="H77" s="16"/>
      <c r="I77" s="16"/>
      <c r="J77" s="16"/>
      <c r="K77" s="16"/>
      <c r="L77" s="41"/>
      <c r="M77" s="41"/>
      <c r="N77" s="41"/>
      <c r="O77" s="41"/>
    </row>
    <row r="78" ht="15.75" customHeight="1">
      <c r="A78" s="157"/>
      <c r="B78" s="157"/>
      <c r="C78" s="157"/>
      <c r="D78" s="10"/>
      <c r="E78" s="10"/>
      <c r="F78" s="10"/>
      <c r="G78" s="10"/>
      <c r="H78" s="16"/>
      <c r="I78" s="16"/>
      <c r="J78" s="16"/>
      <c r="K78" s="41"/>
    </row>
    <row r="79" ht="15.75" customHeight="1">
      <c r="A79" s="157"/>
      <c r="B79" s="10"/>
      <c r="C79" s="10"/>
      <c r="D79" s="10"/>
      <c r="E79" s="10"/>
      <c r="F79" s="10"/>
      <c r="G79" s="10"/>
      <c r="H79" s="16"/>
      <c r="I79" s="16"/>
      <c r="J79" s="16"/>
      <c r="K79" s="16"/>
    </row>
    <row r="80" ht="15.75" customHeight="1">
      <c r="A80" s="157"/>
      <c r="B80" s="10"/>
      <c r="C80" s="10"/>
      <c r="D80" s="10"/>
      <c r="E80" s="10"/>
      <c r="F80" s="10"/>
      <c r="G80" s="10"/>
      <c r="H80" s="16"/>
      <c r="I80" s="16"/>
      <c r="J80" s="16"/>
      <c r="K80" s="16"/>
    </row>
    <row r="81" ht="15.75" customHeight="1">
      <c r="A81" s="157"/>
      <c r="B81" s="157"/>
      <c r="C81" s="157"/>
      <c r="D81" s="10"/>
      <c r="E81" s="10"/>
      <c r="F81" s="10"/>
      <c r="G81" s="10"/>
      <c r="H81" s="16"/>
      <c r="I81" s="16"/>
      <c r="J81" s="16"/>
    </row>
    <row r="82" ht="15.75" customHeight="1">
      <c r="A82" s="157"/>
      <c r="B82" s="157"/>
      <c r="C82" s="157"/>
      <c r="D82" s="10"/>
      <c r="E82" s="10"/>
      <c r="F82" s="10"/>
      <c r="G82" s="10"/>
      <c r="H82" s="10"/>
      <c r="I82" s="10"/>
      <c r="J82" s="10"/>
      <c r="L82" s="41"/>
      <c r="M82" s="41"/>
      <c r="N82" s="41"/>
      <c r="O82" s="41"/>
    </row>
    <row r="83" ht="15.75" customHeight="1">
      <c r="A83" s="157"/>
      <c r="B83" s="157"/>
      <c r="C83" s="157"/>
      <c r="D83" s="10"/>
      <c r="E83" s="10"/>
      <c r="F83" s="10"/>
      <c r="G83" s="10"/>
      <c r="H83" s="10"/>
      <c r="I83" s="10"/>
      <c r="J83" s="10"/>
    </row>
    <row r="84" ht="15.75" customHeight="1">
      <c r="A84" s="157"/>
      <c r="B84" s="157"/>
      <c r="C84" s="157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57"/>
      <c r="B85" s="157"/>
      <c r="C85" s="157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57"/>
      <c r="B86" s="157"/>
      <c r="C86" s="157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57"/>
      <c r="B87" s="157"/>
      <c r="C87" s="157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57"/>
      <c r="B88" s="157"/>
      <c r="C88" s="157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57"/>
      <c r="B89" s="157"/>
      <c r="C89" s="157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57"/>
      <c r="B90" s="157"/>
      <c r="C90" s="15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57"/>
      <c r="B91" s="157"/>
      <c r="C91" s="157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57"/>
      <c r="B92" s="157"/>
      <c r="C92" s="157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57"/>
      <c r="B93" s="157"/>
      <c r="C93" s="157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57"/>
      <c r="B94" s="157"/>
      <c r="C94" s="157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57"/>
      <c r="B95" s="157"/>
      <c r="C95" s="157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57"/>
      <c r="B96" s="157"/>
      <c r="C96" s="157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57"/>
      <c r="B97" s="157"/>
      <c r="C97" s="157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57"/>
      <c r="B98" s="157"/>
      <c r="C98" s="157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57"/>
      <c r="B99" s="157"/>
      <c r="C99" s="157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57"/>
      <c r="B100" s="157"/>
      <c r="C100" s="15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57"/>
      <c r="B101" s="157"/>
      <c r="C101" s="15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57"/>
      <c r="B102" s="157"/>
      <c r="C102" s="157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57"/>
      <c r="B103" s="157"/>
      <c r="C103" s="157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57"/>
      <c r="B104" s="157"/>
      <c r="C104" s="15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57"/>
      <c r="B105" s="157"/>
      <c r="C105" s="157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57"/>
      <c r="B106" s="157"/>
      <c r="C106" s="157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57"/>
      <c r="B107" s="157"/>
      <c r="C107" s="157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57"/>
      <c r="B108" s="157"/>
      <c r="C108" s="157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57"/>
      <c r="B109" s="157"/>
      <c r="C109" s="15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57"/>
      <c r="B110" s="157"/>
      <c r="C110" s="157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57"/>
      <c r="B111" s="157"/>
      <c r="C111" s="157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57"/>
      <c r="B112" s="157"/>
      <c r="C112" s="157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57"/>
      <c r="B113" s="157"/>
      <c r="C113" s="157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57"/>
      <c r="B114" s="157"/>
      <c r="C114" s="157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57"/>
      <c r="B115" s="157"/>
      <c r="C115" s="157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57"/>
      <c r="B116" s="157"/>
      <c r="C116" s="157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57"/>
      <c r="B117" s="157"/>
      <c r="C117" s="157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15.75" customHeight="1">
      <c r="A118" s="157"/>
      <c r="B118" s="157"/>
      <c r="C118" s="157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15.75" customHeight="1">
      <c r="A119" s="157"/>
      <c r="B119" s="157"/>
      <c r="C119" s="157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15.75" customHeight="1">
      <c r="A120" s="157"/>
      <c r="B120" s="157"/>
      <c r="C120" s="157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15.75" customHeight="1">
      <c r="A121" s="157"/>
      <c r="B121" s="157"/>
      <c r="C121" s="157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15.75" customHeight="1">
      <c r="A122" s="157"/>
      <c r="B122" s="157"/>
      <c r="C122" s="157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15.75" customHeight="1">
      <c r="A123" s="157"/>
      <c r="B123" s="157"/>
      <c r="C123" s="157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15.75" customHeight="1">
      <c r="A124" s="157"/>
      <c r="B124" s="157"/>
      <c r="C124" s="157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15.75" customHeight="1">
      <c r="A125" s="157"/>
      <c r="B125" s="157"/>
      <c r="C125" s="157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15.75" customHeight="1">
      <c r="A126" s="157"/>
      <c r="B126" s="157"/>
      <c r="C126" s="157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15.75" customHeight="1">
      <c r="A127" s="157"/>
      <c r="B127" s="157"/>
      <c r="C127" s="157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15.75" customHeight="1">
      <c r="A128" s="157"/>
      <c r="B128" s="157"/>
      <c r="C128" s="15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57"/>
      <c r="B129" s="157"/>
      <c r="C129" s="157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57"/>
      <c r="B130" s="157"/>
      <c r="C130" s="157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57"/>
      <c r="B131" s="157"/>
      <c r="C131" s="157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57"/>
      <c r="B132" s="157"/>
      <c r="C132" s="157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57"/>
      <c r="B133" s="157"/>
      <c r="C133" s="157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57"/>
      <c r="B134" s="157"/>
      <c r="C134" s="157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57"/>
      <c r="B135" s="157"/>
      <c r="C135" s="157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57"/>
      <c r="B136" s="157"/>
      <c r="C136" s="157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57"/>
      <c r="B137" s="157"/>
      <c r="C137" s="157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57"/>
      <c r="B138" s="157"/>
      <c r="C138" s="157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57"/>
      <c r="B139" s="157"/>
      <c r="C139" s="157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57"/>
      <c r="B140" s="157"/>
      <c r="C140" s="157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57"/>
      <c r="B141" s="157"/>
      <c r="C141" s="157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57"/>
      <c r="B142" s="157"/>
      <c r="C142" s="157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57"/>
      <c r="B143" s="157"/>
      <c r="C143" s="157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57"/>
      <c r="B144" s="157"/>
      <c r="C144" s="157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57"/>
      <c r="B145" s="157"/>
      <c r="C145" s="157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57"/>
      <c r="B146" s="157"/>
      <c r="C146" s="157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57"/>
      <c r="B147" s="157"/>
      <c r="C147" s="157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57"/>
      <c r="B148" s="157"/>
      <c r="C148" s="157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57"/>
      <c r="B149" s="157"/>
      <c r="C149" s="157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57"/>
      <c r="B150" s="157"/>
      <c r="C150" s="157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57"/>
      <c r="B151" s="157"/>
      <c r="C151" s="157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57"/>
      <c r="B152" s="157"/>
      <c r="C152" s="157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57"/>
      <c r="B153" s="157"/>
      <c r="C153" s="157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57"/>
      <c r="B154" s="157"/>
      <c r="C154" s="157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57"/>
      <c r="B155" s="157"/>
      <c r="C155" s="157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57"/>
      <c r="B156" s="157"/>
      <c r="C156" s="157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57"/>
      <c r="B157" s="157"/>
      <c r="C157" s="157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57"/>
      <c r="B158" s="157"/>
      <c r="C158" s="157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57"/>
      <c r="B159" s="157"/>
      <c r="C159" s="15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57"/>
      <c r="B160" s="157"/>
      <c r="C160" s="15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57"/>
      <c r="B161" s="157"/>
      <c r="C161" s="157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57"/>
      <c r="B162" s="157"/>
      <c r="C162" s="157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57"/>
      <c r="B163" s="157"/>
      <c r="C163" s="157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57"/>
      <c r="B164" s="157"/>
      <c r="C164" s="157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57"/>
      <c r="B165" s="157"/>
      <c r="C165" s="157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57"/>
      <c r="B166" s="157"/>
      <c r="C166" s="157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57"/>
      <c r="B167" s="157"/>
      <c r="C167" s="157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57"/>
      <c r="B168" s="157"/>
      <c r="C168" s="157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57"/>
      <c r="B169" s="157"/>
      <c r="C169" s="157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57"/>
      <c r="B170" s="157"/>
      <c r="C170" s="157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57"/>
      <c r="B171" s="157"/>
      <c r="C171" s="157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57"/>
      <c r="B172" s="157"/>
      <c r="C172" s="157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57"/>
      <c r="B173" s="157"/>
      <c r="C173" s="157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57"/>
      <c r="B174" s="157"/>
      <c r="C174" s="157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57"/>
      <c r="B175" s="157"/>
      <c r="C175" s="157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57"/>
      <c r="B176" s="157"/>
      <c r="C176" s="157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57"/>
      <c r="B177" s="157"/>
      <c r="C177" s="157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57"/>
      <c r="B178" s="157"/>
      <c r="C178" s="157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57"/>
      <c r="B179" s="157"/>
      <c r="C179" s="157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57"/>
      <c r="B180" s="157"/>
      <c r="C180" s="157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57"/>
      <c r="B181" s="157"/>
      <c r="C181" s="157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57"/>
      <c r="B182" s="157"/>
      <c r="C182" s="157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57"/>
      <c r="B183" s="157"/>
      <c r="C183" s="157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57"/>
      <c r="B184" s="157"/>
      <c r="C184" s="157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57"/>
      <c r="B185" s="157"/>
      <c r="C185" s="157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57"/>
      <c r="B186" s="157"/>
      <c r="C186" s="157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57"/>
      <c r="B187" s="157"/>
      <c r="C187" s="157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57"/>
      <c r="B188" s="157"/>
      <c r="C188" s="157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57"/>
      <c r="B189" s="157"/>
      <c r="C189" s="157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57"/>
      <c r="B190" s="157"/>
      <c r="C190" s="157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57"/>
      <c r="B191" s="157"/>
      <c r="C191" s="157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57"/>
      <c r="B192" s="157"/>
      <c r="C192" s="157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57"/>
      <c r="B193" s="157"/>
      <c r="C193" s="157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57"/>
      <c r="B194" s="157"/>
      <c r="C194" s="157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57"/>
      <c r="B195" s="157"/>
      <c r="C195" s="157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57"/>
      <c r="B196" s="157"/>
      <c r="C196" s="157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57"/>
      <c r="B197" s="157"/>
      <c r="C197" s="157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57"/>
      <c r="B198" s="157"/>
      <c r="C198" s="157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57"/>
      <c r="B199" s="157"/>
      <c r="C199" s="157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57"/>
      <c r="B200" s="157"/>
      <c r="C200" s="157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57"/>
      <c r="B201" s="157"/>
      <c r="C201" s="157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57"/>
      <c r="B202" s="157"/>
      <c r="C202" s="157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57"/>
      <c r="B203" s="157"/>
      <c r="C203" s="157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57"/>
      <c r="B204" s="157"/>
      <c r="C204" s="157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57"/>
      <c r="B205" s="157"/>
      <c r="C205" s="157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57"/>
      <c r="B206" s="157"/>
      <c r="C206" s="157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57"/>
      <c r="B207" s="157"/>
      <c r="C207" s="157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57"/>
      <c r="B208" s="157"/>
      <c r="C208" s="157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57"/>
      <c r="B209" s="157"/>
      <c r="C209" s="157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57"/>
      <c r="B210" s="157"/>
      <c r="C210" s="157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57"/>
      <c r="B211" s="157"/>
      <c r="C211" s="157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57"/>
      <c r="B212" s="157"/>
      <c r="C212" s="157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57"/>
      <c r="B213" s="157"/>
      <c r="C213" s="157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57"/>
      <c r="B214" s="157"/>
      <c r="C214" s="157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57"/>
      <c r="B215" s="157"/>
      <c r="C215" s="157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57"/>
      <c r="B216" s="157"/>
      <c r="C216" s="157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57"/>
      <c r="B217" s="157"/>
      <c r="C217" s="157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57"/>
      <c r="B218" s="157"/>
      <c r="C218" s="157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57"/>
      <c r="B219" s="157"/>
      <c r="C219" s="157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57"/>
      <c r="B220" s="157"/>
      <c r="C220" s="157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57"/>
      <c r="B221" s="157"/>
      <c r="C221" s="157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57"/>
      <c r="B222" s="157"/>
      <c r="C222" s="157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57"/>
      <c r="B223" s="157"/>
      <c r="C223" s="157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57"/>
      <c r="B224" s="157"/>
      <c r="C224" s="157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57"/>
      <c r="B225" s="157"/>
      <c r="C225" s="157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57"/>
      <c r="B226" s="157"/>
      <c r="C226" s="157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57"/>
      <c r="B227" s="157"/>
      <c r="C227" s="157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57"/>
      <c r="B228" s="157"/>
      <c r="C228" s="157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57"/>
      <c r="B229" s="157"/>
      <c r="C229" s="157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57"/>
      <c r="B230" s="157"/>
      <c r="C230" s="157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57"/>
      <c r="B231" s="157"/>
      <c r="C231" s="157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57"/>
      <c r="B232" s="157"/>
      <c r="C232" s="157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57"/>
      <c r="B233" s="157"/>
      <c r="C233" s="157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57"/>
      <c r="B234" s="157"/>
      <c r="C234" s="157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57"/>
      <c r="B235" s="157"/>
      <c r="C235" s="157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57"/>
      <c r="B236" s="157"/>
      <c r="C236" s="157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57"/>
      <c r="B237" s="157"/>
      <c r="C237" s="157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57"/>
      <c r="B238" s="157"/>
      <c r="C238" s="157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57"/>
      <c r="B239" s="157"/>
      <c r="C239" s="157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57"/>
      <c r="B240" s="157"/>
      <c r="C240" s="157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57"/>
      <c r="B241" s="157"/>
      <c r="C241" s="157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57"/>
      <c r="B242" s="157"/>
      <c r="C242" s="157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57"/>
      <c r="B243" s="157"/>
      <c r="C243" s="157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57"/>
      <c r="B244" s="157"/>
      <c r="C244" s="157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57"/>
      <c r="B245" s="157"/>
      <c r="C245" s="157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57"/>
      <c r="B246" s="157"/>
      <c r="C246" s="157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57"/>
      <c r="B247" s="157"/>
      <c r="C247" s="157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57"/>
      <c r="B248" s="157"/>
      <c r="C248" s="157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57"/>
      <c r="B249" s="157"/>
      <c r="C249" s="157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57"/>
      <c r="B250" s="157"/>
      <c r="C250" s="157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57"/>
      <c r="B251" s="157"/>
      <c r="C251" s="157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57"/>
      <c r="B252" s="157"/>
      <c r="C252" s="157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57"/>
      <c r="B253" s="157"/>
      <c r="C253" s="157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57"/>
      <c r="B254" s="157"/>
      <c r="C254" s="157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57"/>
      <c r="B255" s="157"/>
      <c r="C255" s="157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57"/>
      <c r="B256" s="157"/>
      <c r="C256" s="157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57"/>
      <c r="B257" s="157"/>
      <c r="C257" s="157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57"/>
      <c r="B258" s="157"/>
      <c r="C258" s="157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57"/>
      <c r="B259" s="157"/>
      <c r="C259" s="157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57"/>
      <c r="B260" s="157"/>
      <c r="C260" s="157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57"/>
      <c r="B261" s="157"/>
      <c r="C261" s="157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57"/>
      <c r="B262" s="157"/>
      <c r="C262" s="157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57"/>
      <c r="B263" s="157"/>
      <c r="C263" s="157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57"/>
      <c r="B264" s="157"/>
      <c r="C264" s="157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57"/>
      <c r="B265" s="157"/>
      <c r="C265" s="157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57"/>
      <c r="B266" s="157"/>
      <c r="C266" s="157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57"/>
      <c r="B267" s="157"/>
      <c r="C267" s="157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57"/>
      <c r="B268" s="157"/>
      <c r="C268" s="157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57"/>
      <c r="B269" s="157"/>
      <c r="C269" s="157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57"/>
      <c r="B270" s="157"/>
      <c r="C270" s="157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57"/>
      <c r="B271" s="157"/>
      <c r="C271" s="157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57"/>
      <c r="B272" s="157"/>
      <c r="C272" s="157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57"/>
      <c r="B273" s="157"/>
      <c r="C273" s="157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57"/>
      <c r="B274" s="157"/>
      <c r="C274" s="157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57"/>
      <c r="B275" s="157"/>
      <c r="C275" s="157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57"/>
      <c r="B276" s="157"/>
      <c r="C276" s="157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57"/>
      <c r="B277" s="157"/>
      <c r="C277" s="157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57"/>
      <c r="B278" s="157"/>
      <c r="C278" s="157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57"/>
      <c r="B279" s="157"/>
      <c r="C279" s="157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57"/>
      <c r="B280" s="157"/>
      <c r="C280" s="157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57"/>
      <c r="B281" s="157"/>
      <c r="C281" s="157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57"/>
      <c r="B282" s="157"/>
      <c r="C282" s="157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57"/>
      <c r="B283" s="157"/>
      <c r="C283" s="157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57"/>
      <c r="B284" s="157"/>
      <c r="C284" s="157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57"/>
      <c r="B285" s="157"/>
      <c r="C285" s="157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57"/>
      <c r="B286" s="157"/>
      <c r="C286" s="157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57"/>
      <c r="B287" s="157"/>
      <c r="C287" s="157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57"/>
      <c r="B288" s="157"/>
      <c r="C288" s="157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57"/>
      <c r="B289" s="157"/>
      <c r="C289" s="157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57"/>
      <c r="B290" s="157"/>
      <c r="C290" s="157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57"/>
      <c r="B291" s="157"/>
      <c r="C291" s="157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57"/>
      <c r="B292" s="157"/>
      <c r="C292" s="157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57"/>
      <c r="B293" s="157"/>
      <c r="C293" s="157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57"/>
      <c r="B294" s="157"/>
      <c r="C294" s="157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57"/>
      <c r="B295" s="157"/>
      <c r="C295" s="157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57"/>
      <c r="B296" s="157"/>
      <c r="C296" s="157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57"/>
      <c r="B297" s="157"/>
      <c r="C297" s="157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57"/>
      <c r="B298" s="157"/>
      <c r="C298" s="157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57"/>
      <c r="B299" s="157"/>
      <c r="C299" s="157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57"/>
      <c r="B300" s="157"/>
      <c r="C300" s="157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57"/>
      <c r="B301" s="157"/>
      <c r="C301" s="157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57"/>
      <c r="B302" s="157"/>
      <c r="C302" s="157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57"/>
      <c r="B303" s="157"/>
      <c r="C303" s="157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57"/>
      <c r="B304" s="157"/>
      <c r="C304" s="157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57"/>
      <c r="B305" s="157"/>
      <c r="C305" s="157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57"/>
      <c r="B306" s="157"/>
      <c r="C306" s="157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57"/>
      <c r="B307" s="157"/>
      <c r="C307" s="157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57"/>
      <c r="B308" s="157"/>
      <c r="C308" s="157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57"/>
      <c r="B309" s="157"/>
      <c r="C309" s="157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57"/>
      <c r="B310" s="157"/>
      <c r="C310" s="157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57"/>
      <c r="B311" s="157"/>
      <c r="C311" s="157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57"/>
      <c r="B312" s="157"/>
      <c r="C312" s="157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57"/>
      <c r="B313" s="157"/>
      <c r="C313" s="157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57"/>
      <c r="B314" s="157"/>
      <c r="C314" s="157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57"/>
      <c r="B315" s="157"/>
      <c r="C315" s="157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57"/>
      <c r="B316" s="157"/>
      <c r="C316" s="157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57"/>
      <c r="B317" s="157"/>
      <c r="C317" s="157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57"/>
      <c r="B318" s="157"/>
      <c r="C318" s="157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57"/>
      <c r="B319" s="157"/>
      <c r="C319" s="157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57"/>
      <c r="B320" s="157"/>
      <c r="C320" s="157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57"/>
      <c r="B321" s="157"/>
      <c r="C321" s="157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57"/>
      <c r="B322" s="157"/>
      <c r="C322" s="157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57"/>
      <c r="B323" s="157"/>
      <c r="C323" s="157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57"/>
      <c r="B324" s="157"/>
      <c r="C324" s="157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57"/>
      <c r="B325" s="157"/>
      <c r="C325" s="157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57"/>
      <c r="B326" s="157"/>
      <c r="C326" s="157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57"/>
      <c r="B327" s="157"/>
      <c r="C327" s="157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57"/>
      <c r="B328" s="157"/>
      <c r="C328" s="157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57"/>
      <c r="B329" s="157"/>
      <c r="C329" s="157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57"/>
      <c r="B330" s="157"/>
      <c r="C330" s="157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57"/>
      <c r="B331" s="157"/>
      <c r="C331" s="157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57"/>
      <c r="B332" s="157"/>
      <c r="C332" s="157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57"/>
      <c r="B333" s="157"/>
      <c r="C333" s="157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57"/>
      <c r="B334" s="157"/>
      <c r="C334" s="157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57"/>
      <c r="B335" s="157"/>
      <c r="C335" s="157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57"/>
      <c r="B336" s="157"/>
      <c r="C336" s="157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57"/>
      <c r="B337" s="157"/>
      <c r="C337" s="157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57"/>
      <c r="B338" s="157"/>
      <c r="C338" s="157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57"/>
      <c r="B339" s="157"/>
      <c r="C339" s="157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57"/>
      <c r="B340" s="157"/>
      <c r="C340" s="157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57"/>
      <c r="B341" s="157"/>
      <c r="C341" s="157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57"/>
      <c r="B342" s="157"/>
      <c r="C342" s="157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57"/>
      <c r="B343" s="157"/>
      <c r="C343" s="157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57"/>
      <c r="B344" s="157"/>
      <c r="C344" s="157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57"/>
      <c r="B345" s="157"/>
      <c r="C345" s="157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57"/>
      <c r="B346" s="157"/>
      <c r="C346" s="157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57"/>
      <c r="B347" s="157"/>
      <c r="C347" s="157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57"/>
      <c r="B348" s="157"/>
      <c r="C348" s="157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57"/>
      <c r="B349" s="157"/>
      <c r="C349" s="157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57"/>
      <c r="B350" s="157"/>
      <c r="C350" s="157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57"/>
      <c r="B351" s="157"/>
      <c r="C351" s="157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57"/>
      <c r="B352" s="157"/>
      <c r="C352" s="157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57"/>
      <c r="B353" s="157"/>
      <c r="C353" s="157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57"/>
      <c r="B354" s="157"/>
      <c r="C354" s="157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57"/>
      <c r="B355" s="157"/>
      <c r="C355" s="157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57"/>
      <c r="B356" s="157"/>
      <c r="C356" s="157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57"/>
      <c r="B357" s="157"/>
      <c r="C357" s="157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57"/>
      <c r="B358" s="157"/>
      <c r="C358" s="157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57"/>
      <c r="B359" s="157"/>
      <c r="C359" s="157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57"/>
      <c r="B360" s="157"/>
      <c r="C360" s="157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57"/>
      <c r="B361" s="157"/>
      <c r="C361" s="157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57"/>
      <c r="B362" s="157"/>
      <c r="C362" s="157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57"/>
      <c r="B363" s="157"/>
      <c r="C363" s="157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57"/>
      <c r="B364" s="157"/>
      <c r="C364" s="157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57"/>
      <c r="B365" s="157"/>
      <c r="C365" s="157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57"/>
      <c r="B366" s="157"/>
      <c r="C366" s="157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57"/>
      <c r="B367" s="157"/>
      <c r="C367" s="157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57"/>
      <c r="B368" s="157"/>
      <c r="C368" s="157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57"/>
      <c r="B369" s="157"/>
      <c r="C369" s="157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57"/>
      <c r="B370" s="157"/>
      <c r="C370" s="157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57"/>
      <c r="B371" s="157"/>
      <c r="C371" s="157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57"/>
      <c r="B372" s="157"/>
      <c r="C372" s="157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57"/>
      <c r="B373" s="157"/>
      <c r="C373" s="157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57"/>
      <c r="B374" s="157"/>
      <c r="C374" s="157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57"/>
      <c r="B375" s="157"/>
      <c r="C375" s="157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57"/>
      <c r="B376" s="157"/>
      <c r="C376" s="157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57"/>
      <c r="B377" s="157"/>
      <c r="C377" s="157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57"/>
      <c r="B378" s="157"/>
      <c r="C378" s="157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57"/>
      <c r="B379" s="157"/>
      <c r="C379" s="157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57"/>
      <c r="B380" s="157"/>
      <c r="C380" s="157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57"/>
      <c r="B381" s="157"/>
      <c r="C381" s="157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57"/>
      <c r="B382" s="157"/>
      <c r="C382" s="157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57"/>
      <c r="B383" s="157"/>
      <c r="C383" s="157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57"/>
      <c r="B384" s="157"/>
      <c r="C384" s="157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57"/>
      <c r="B385" s="157"/>
      <c r="C385" s="157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57"/>
      <c r="B386" s="157"/>
      <c r="C386" s="157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57"/>
      <c r="B387" s="157"/>
      <c r="C387" s="157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57"/>
      <c r="B388" s="157"/>
      <c r="C388" s="157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57"/>
      <c r="B389" s="157"/>
      <c r="C389" s="157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57"/>
      <c r="B390" s="157"/>
      <c r="C390" s="157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57"/>
      <c r="B391" s="157"/>
      <c r="C391" s="157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57"/>
      <c r="B392" s="157"/>
      <c r="C392" s="157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57"/>
      <c r="B393" s="157"/>
      <c r="C393" s="157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57"/>
      <c r="B394" s="157"/>
      <c r="C394" s="157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57"/>
      <c r="B395" s="157"/>
      <c r="C395" s="157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57"/>
      <c r="B396" s="157"/>
      <c r="C396" s="157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57"/>
      <c r="B397" s="157"/>
      <c r="C397" s="157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57"/>
      <c r="B398" s="157"/>
      <c r="C398" s="157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57"/>
      <c r="B399" s="157"/>
      <c r="C399" s="157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57"/>
      <c r="B400" s="157"/>
      <c r="C400" s="157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57"/>
      <c r="B401" s="157"/>
      <c r="C401" s="157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57"/>
      <c r="B402" s="157"/>
      <c r="C402" s="157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57"/>
      <c r="B403" s="157"/>
      <c r="C403" s="157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57"/>
      <c r="B404" s="157"/>
      <c r="C404" s="157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57"/>
      <c r="B405" s="157"/>
      <c r="C405" s="157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57"/>
      <c r="B406" s="157"/>
      <c r="C406" s="157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57"/>
      <c r="B407" s="157"/>
      <c r="C407" s="157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57"/>
      <c r="B408" s="157"/>
      <c r="C408" s="157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57"/>
      <c r="B409" s="157"/>
      <c r="C409" s="157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57"/>
      <c r="B410" s="157"/>
      <c r="C410" s="157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57"/>
      <c r="B411" s="157"/>
      <c r="C411" s="157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57"/>
      <c r="B412" s="157"/>
      <c r="C412" s="157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57"/>
      <c r="B413" s="157"/>
      <c r="C413" s="157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57"/>
      <c r="B414" s="157"/>
      <c r="C414" s="157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ht="15.75" customHeight="1">
      <c r="A415" s="157"/>
      <c r="B415" s="157"/>
      <c r="C415" s="157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ht="15.75" customHeight="1">
      <c r="A416" s="157"/>
      <c r="B416" s="157"/>
      <c r="C416" s="157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ht="15.75" customHeight="1">
      <c r="A417" s="157"/>
      <c r="B417" s="157"/>
      <c r="C417" s="157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ht="15.75" customHeight="1">
      <c r="A418" s="157"/>
      <c r="B418" s="157"/>
      <c r="C418" s="157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ht="15.75" customHeight="1">
      <c r="A419" s="157"/>
      <c r="B419" s="157"/>
      <c r="C419" s="157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ht="15.75" customHeight="1">
      <c r="A420" s="157"/>
      <c r="B420" s="157"/>
      <c r="C420" s="157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ht="15.75" customHeight="1">
      <c r="A421" s="157"/>
      <c r="B421" s="157"/>
      <c r="C421" s="157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ht="15.75" customHeight="1">
      <c r="A422" s="157"/>
      <c r="B422" s="157"/>
      <c r="C422" s="157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ht="15.75" customHeight="1">
      <c r="A423" s="157"/>
      <c r="B423" s="157"/>
      <c r="C423" s="157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ht="15.75" customHeight="1">
      <c r="A424" s="157"/>
      <c r="B424" s="157"/>
      <c r="C424" s="157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ht="15.75" customHeight="1">
      <c r="A425" s="157"/>
      <c r="B425" s="157"/>
      <c r="C425" s="157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ht="15.75" customHeight="1">
      <c r="A426" s="157"/>
      <c r="B426" s="157"/>
      <c r="C426" s="157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ht="15.75" customHeight="1">
      <c r="A427" s="157"/>
      <c r="B427" s="157"/>
      <c r="C427" s="157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ht="15.75" customHeight="1">
      <c r="A428" s="157"/>
      <c r="B428" s="157"/>
      <c r="C428" s="157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ht="15.75" customHeight="1">
      <c r="A429" s="157"/>
      <c r="B429" s="157"/>
      <c r="C429" s="157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ht="15.75" customHeight="1">
      <c r="A430" s="157"/>
      <c r="B430" s="157"/>
      <c r="C430" s="157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ht="15.75" customHeight="1">
      <c r="A431" s="157"/>
      <c r="B431" s="157"/>
      <c r="C431" s="157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ht="15.75" customHeight="1">
      <c r="A432" s="157"/>
      <c r="B432" s="157"/>
      <c r="C432" s="157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ht="15.75" customHeight="1">
      <c r="A433" s="157"/>
      <c r="B433" s="157"/>
      <c r="C433" s="157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ht="15.75" customHeight="1">
      <c r="A434" s="157"/>
      <c r="B434" s="157"/>
      <c r="C434" s="157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ht="15.75" customHeight="1">
      <c r="A435" s="157"/>
      <c r="B435" s="157"/>
      <c r="C435" s="157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ht="15.75" customHeight="1">
      <c r="A436" s="157"/>
      <c r="B436" s="157"/>
      <c r="C436" s="157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ht="15.75" customHeight="1">
      <c r="A437" s="157"/>
      <c r="B437" s="157"/>
      <c r="C437" s="157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ht="15.75" customHeight="1">
      <c r="A438" s="157"/>
      <c r="B438" s="157"/>
      <c r="C438" s="157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ht="15.75" customHeight="1">
      <c r="A439" s="157"/>
      <c r="B439" s="157"/>
      <c r="C439" s="157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ht="15.75" customHeight="1">
      <c r="A440" s="157"/>
      <c r="B440" s="157"/>
      <c r="C440" s="157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ht="15.75" customHeight="1">
      <c r="A441" s="157"/>
      <c r="B441" s="157"/>
      <c r="C441" s="157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ht="15.75" customHeight="1">
      <c r="A442" s="157"/>
      <c r="B442" s="157"/>
      <c r="C442" s="157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ht="15.75" customHeight="1">
      <c r="A443" s="157"/>
      <c r="B443" s="157"/>
      <c r="C443" s="157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ht="15.75" customHeight="1">
      <c r="A444" s="157"/>
      <c r="B444" s="157"/>
      <c r="C444" s="157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ht="15.75" customHeight="1">
      <c r="A445" s="157"/>
      <c r="B445" s="157"/>
      <c r="C445" s="157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ht="15.75" customHeight="1">
      <c r="A446" s="157"/>
      <c r="B446" s="157"/>
      <c r="C446" s="157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ht="15.75" customHeight="1">
      <c r="A447" s="157"/>
      <c r="B447" s="157"/>
      <c r="C447" s="157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ht="15.75" customHeight="1">
      <c r="A448" s="157"/>
      <c r="B448" s="157"/>
      <c r="C448" s="157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ht="15.75" customHeight="1">
      <c r="A449" s="157"/>
      <c r="B449" s="157"/>
      <c r="C449" s="157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ht="15.75" customHeight="1">
      <c r="A450" s="157"/>
      <c r="B450" s="157"/>
      <c r="C450" s="157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ht="15.75" customHeight="1">
      <c r="A451" s="157"/>
      <c r="B451" s="157"/>
      <c r="C451" s="157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ht="15.75" customHeight="1">
      <c r="A452" s="157"/>
      <c r="B452" s="157"/>
      <c r="C452" s="157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ht="15.75" customHeight="1">
      <c r="A453" s="157"/>
      <c r="B453" s="157"/>
      <c r="C453" s="157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ht="15.75" customHeight="1">
      <c r="A454" s="157"/>
      <c r="B454" s="157"/>
      <c r="C454" s="157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ht="15.75" customHeight="1">
      <c r="A455" s="157"/>
      <c r="B455" s="157"/>
      <c r="C455" s="157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ht="15.75" customHeight="1">
      <c r="A456" s="157"/>
      <c r="B456" s="157"/>
      <c r="C456" s="157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ht="15.75" customHeight="1">
      <c r="A457" s="157"/>
      <c r="B457" s="157"/>
      <c r="C457" s="157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ht="15.75" customHeight="1">
      <c r="A458" s="157"/>
      <c r="B458" s="157"/>
      <c r="C458" s="157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ht="15.75" customHeight="1">
      <c r="A459" s="157"/>
      <c r="B459" s="157"/>
      <c r="C459" s="157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ht="15.75" customHeight="1">
      <c r="A460" s="157"/>
      <c r="B460" s="157"/>
      <c r="C460" s="157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ht="15.75" customHeight="1">
      <c r="A461" s="157"/>
      <c r="B461" s="157"/>
      <c r="C461" s="157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ht="15.75" customHeight="1">
      <c r="A462" s="157"/>
      <c r="B462" s="157"/>
      <c r="C462" s="157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ht="15.75" customHeight="1">
      <c r="A463" s="157"/>
      <c r="B463" s="157"/>
      <c r="C463" s="157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ht="15.75" customHeight="1">
      <c r="A464" s="157"/>
      <c r="B464" s="157"/>
      <c r="C464" s="157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ht="15.75" customHeight="1">
      <c r="A465" s="157"/>
      <c r="B465" s="157"/>
      <c r="C465" s="157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ht="15.75" customHeight="1">
      <c r="A466" s="157"/>
      <c r="B466" s="157"/>
      <c r="C466" s="157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ht="15.75" customHeight="1">
      <c r="A467" s="157"/>
      <c r="B467" s="157"/>
      <c r="C467" s="157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ht="15.75" customHeight="1">
      <c r="A468" s="157"/>
      <c r="B468" s="157"/>
      <c r="C468" s="157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ht="15.75" customHeight="1">
      <c r="A469" s="157"/>
      <c r="B469" s="157"/>
      <c r="C469" s="157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ht="15.75" customHeight="1">
      <c r="A470" s="157"/>
      <c r="B470" s="157"/>
      <c r="C470" s="157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ht="15.75" customHeight="1">
      <c r="A471" s="157"/>
      <c r="B471" s="157"/>
      <c r="C471" s="157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ht="15.75" customHeight="1">
      <c r="A472" s="157"/>
      <c r="B472" s="157"/>
      <c r="C472" s="157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ht="15.75" customHeight="1">
      <c r="A473" s="157"/>
      <c r="B473" s="157"/>
      <c r="C473" s="157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ht="15.75" customHeight="1">
      <c r="A474" s="157"/>
      <c r="B474" s="157"/>
      <c r="C474" s="157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ht="15.75" customHeight="1">
      <c r="A475" s="157"/>
      <c r="B475" s="157"/>
      <c r="C475" s="157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ht="15.75" customHeight="1">
      <c r="A476" s="157"/>
      <c r="B476" s="157"/>
      <c r="C476" s="157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ht="15.75" customHeight="1">
      <c r="A477" s="157"/>
      <c r="B477" s="157"/>
      <c r="C477" s="157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ht="15.75" customHeight="1">
      <c r="A478" s="157"/>
      <c r="B478" s="157"/>
      <c r="C478" s="157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ht="15.75" customHeight="1">
      <c r="A479" s="157"/>
      <c r="B479" s="157"/>
      <c r="C479" s="157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ht="15.75" customHeight="1">
      <c r="A480" s="157"/>
      <c r="B480" s="157"/>
      <c r="C480" s="157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ht="15.75" customHeight="1">
      <c r="A481" s="157"/>
      <c r="B481" s="157"/>
      <c r="C481" s="157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ht="15.75" customHeight="1">
      <c r="A482" s="157"/>
      <c r="B482" s="157"/>
      <c r="C482" s="157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ht="15.75" customHeight="1">
      <c r="A483" s="157"/>
      <c r="B483" s="157"/>
      <c r="C483" s="157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ht="15.75" customHeight="1">
      <c r="A484" s="157"/>
      <c r="B484" s="157"/>
      <c r="C484" s="157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ht="15.75" customHeight="1">
      <c r="A485" s="157"/>
      <c r="B485" s="157"/>
      <c r="C485" s="157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ht="15.75" customHeight="1">
      <c r="A486" s="157"/>
      <c r="B486" s="157"/>
      <c r="C486" s="157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ht="15.75" customHeight="1">
      <c r="A487" s="157"/>
      <c r="B487" s="157"/>
      <c r="C487" s="157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ht="15.75" customHeight="1">
      <c r="A488" s="157"/>
      <c r="B488" s="157"/>
      <c r="C488" s="157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ht="15.75" customHeight="1">
      <c r="A489" s="157"/>
      <c r="B489" s="157"/>
      <c r="C489" s="157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ht="15.75" customHeight="1">
      <c r="A490" s="157"/>
      <c r="B490" s="157"/>
      <c r="C490" s="157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ht="15.75" customHeight="1">
      <c r="A491" s="157"/>
      <c r="B491" s="157"/>
      <c r="C491" s="157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ht="15.75" customHeight="1">
      <c r="A492" s="157"/>
      <c r="B492" s="157"/>
      <c r="C492" s="157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ht="15.75" customHeight="1">
      <c r="A493" s="157"/>
      <c r="B493" s="157"/>
      <c r="C493" s="157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ht="15.75" customHeight="1">
      <c r="A494" s="157"/>
      <c r="B494" s="157"/>
      <c r="C494" s="157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ht="15.75" customHeight="1">
      <c r="A495" s="157"/>
      <c r="B495" s="157"/>
      <c r="C495" s="157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ht="15.75" customHeight="1">
      <c r="A496" s="157"/>
      <c r="B496" s="157"/>
      <c r="C496" s="157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ht="15.75" customHeight="1">
      <c r="A497" s="157"/>
      <c r="B497" s="157"/>
      <c r="C497" s="157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ht="15.75" customHeight="1">
      <c r="A498" s="157"/>
      <c r="B498" s="157"/>
      <c r="C498" s="157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ht="15.75" customHeight="1">
      <c r="A499" s="157"/>
      <c r="B499" s="157"/>
      <c r="C499" s="157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ht="15.75" customHeight="1">
      <c r="A500" s="157"/>
      <c r="B500" s="157"/>
      <c r="C500" s="157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ht="15.75" customHeight="1">
      <c r="A501" s="157"/>
      <c r="B501" s="157"/>
      <c r="C501" s="157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ht="15.75" customHeight="1">
      <c r="A502" s="157"/>
      <c r="B502" s="157"/>
      <c r="C502" s="157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ht="15.75" customHeight="1">
      <c r="A503" s="157"/>
      <c r="B503" s="157"/>
      <c r="C503" s="157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ht="15.75" customHeight="1">
      <c r="A504" s="157"/>
      <c r="B504" s="157"/>
      <c r="C504" s="157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ht="15.75" customHeight="1">
      <c r="A505" s="157"/>
      <c r="B505" s="157"/>
      <c r="C505" s="157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ht="15.75" customHeight="1">
      <c r="A506" s="157"/>
      <c r="B506" s="157"/>
      <c r="C506" s="157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ht="15.75" customHeight="1">
      <c r="A507" s="157"/>
      <c r="B507" s="157"/>
      <c r="C507" s="157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ht="15.75" customHeight="1">
      <c r="A508" s="157"/>
      <c r="B508" s="157"/>
      <c r="C508" s="157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ht="15.75" customHeight="1">
      <c r="A509" s="157"/>
      <c r="B509" s="157"/>
      <c r="C509" s="157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ht="15.75" customHeight="1">
      <c r="A510" s="157"/>
      <c r="B510" s="157"/>
      <c r="C510" s="157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ht="15.75" customHeight="1">
      <c r="A511" s="157"/>
      <c r="B511" s="157"/>
      <c r="C511" s="157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ht="15.75" customHeight="1">
      <c r="A512" s="157"/>
      <c r="B512" s="157"/>
      <c r="C512" s="157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ht="15.75" customHeight="1">
      <c r="A513" s="157"/>
      <c r="B513" s="157"/>
      <c r="C513" s="157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ht="15.75" customHeight="1">
      <c r="A514" s="157"/>
      <c r="B514" s="157"/>
      <c r="C514" s="157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ht="15.75" customHeight="1">
      <c r="A515" s="157"/>
      <c r="B515" s="157"/>
      <c r="C515" s="157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ht="15.75" customHeight="1">
      <c r="A516" s="157"/>
      <c r="B516" s="157"/>
      <c r="C516" s="157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ht="15.75" customHeight="1">
      <c r="A517" s="157"/>
      <c r="B517" s="157"/>
      <c r="C517" s="157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ht="15.75" customHeight="1">
      <c r="A518" s="157"/>
      <c r="B518" s="157"/>
      <c r="C518" s="157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ht="15.75" customHeight="1">
      <c r="A519" s="157"/>
      <c r="B519" s="157"/>
      <c r="C519" s="157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ht="15.75" customHeight="1">
      <c r="A520" s="157"/>
      <c r="B520" s="157"/>
      <c r="C520" s="157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ht="15.75" customHeight="1">
      <c r="A521" s="157"/>
      <c r="B521" s="157"/>
      <c r="C521" s="157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ht="15.75" customHeight="1">
      <c r="A522" s="157"/>
      <c r="B522" s="157"/>
      <c r="C522" s="157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ht="15.75" customHeight="1">
      <c r="A523" s="157"/>
      <c r="B523" s="157"/>
      <c r="C523" s="157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ht="15.75" customHeight="1">
      <c r="A524" s="157"/>
      <c r="B524" s="157"/>
      <c r="C524" s="157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ht="15.75" customHeight="1">
      <c r="A525" s="157"/>
      <c r="B525" s="157"/>
      <c r="C525" s="157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ht="15.75" customHeight="1">
      <c r="A526" s="157"/>
      <c r="B526" s="157"/>
      <c r="C526" s="157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ht="15.75" customHeight="1">
      <c r="A527" s="157"/>
      <c r="B527" s="157"/>
      <c r="C527" s="157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ht="15.75" customHeight="1">
      <c r="A528" s="157"/>
      <c r="B528" s="157"/>
      <c r="C528" s="157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ht="15.75" customHeight="1">
      <c r="A529" s="157"/>
      <c r="B529" s="157"/>
      <c r="C529" s="157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ht="15.75" customHeight="1">
      <c r="A530" s="157"/>
      <c r="B530" s="157"/>
      <c r="C530" s="157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ht="15.75" customHeight="1">
      <c r="A531" s="157"/>
      <c r="B531" s="157"/>
      <c r="C531" s="157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ht="15.75" customHeight="1">
      <c r="A532" s="157"/>
      <c r="B532" s="157"/>
      <c r="C532" s="157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ht="15.75" customHeight="1">
      <c r="A533" s="157"/>
      <c r="B533" s="157"/>
      <c r="C533" s="157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ht="15.75" customHeight="1">
      <c r="A534" s="157"/>
      <c r="B534" s="157"/>
      <c r="C534" s="157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ht="15.75" customHeight="1">
      <c r="A535" s="157"/>
      <c r="B535" s="157"/>
      <c r="C535" s="157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ht="15.75" customHeight="1">
      <c r="A536" s="157"/>
      <c r="B536" s="157"/>
      <c r="C536" s="157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ht="15.75" customHeight="1">
      <c r="A537" s="157"/>
      <c r="B537" s="157"/>
      <c r="C537" s="157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ht="15.75" customHeight="1">
      <c r="A538" s="157"/>
      <c r="B538" s="157"/>
      <c r="C538" s="157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ht="15.75" customHeight="1">
      <c r="A539" s="157"/>
      <c r="B539" s="157"/>
      <c r="C539" s="157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ht="15.75" customHeight="1">
      <c r="A540" s="157"/>
      <c r="B540" s="157"/>
      <c r="C540" s="157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ht="15.75" customHeight="1">
      <c r="A541" s="157"/>
      <c r="B541" s="157"/>
      <c r="C541" s="157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ht="15.75" customHeight="1">
      <c r="A542" s="157"/>
      <c r="B542" s="157"/>
      <c r="C542" s="157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ht="15.75" customHeight="1">
      <c r="A543" s="157"/>
      <c r="B543" s="157"/>
      <c r="C543" s="157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ht="15.75" customHeight="1">
      <c r="A544" s="157"/>
      <c r="B544" s="157"/>
      <c r="C544" s="157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ht="15.75" customHeight="1">
      <c r="A545" s="157"/>
      <c r="B545" s="157"/>
      <c r="C545" s="157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ht="15.75" customHeight="1">
      <c r="A546" s="157"/>
      <c r="B546" s="157"/>
      <c r="C546" s="157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ht="15.75" customHeight="1">
      <c r="A547" s="157"/>
      <c r="B547" s="157"/>
      <c r="C547" s="157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ht="15.75" customHeight="1">
      <c r="A548" s="157"/>
      <c r="B548" s="157"/>
      <c r="C548" s="157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ht="15.75" customHeight="1">
      <c r="A549" s="157"/>
      <c r="B549" s="157"/>
      <c r="C549" s="157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ht="15.75" customHeight="1">
      <c r="A550" s="157"/>
      <c r="B550" s="157"/>
      <c r="C550" s="157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ht="15.75" customHeight="1">
      <c r="A551" s="157"/>
      <c r="B551" s="157"/>
      <c r="C551" s="157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ht="15.75" customHeight="1">
      <c r="A552" s="157"/>
      <c r="B552" s="157"/>
      <c r="C552" s="157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ht="15.75" customHeight="1">
      <c r="A553" s="157"/>
      <c r="B553" s="157"/>
      <c r="C553" s="157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ht="15.75" customHeight="1">
      <c r="A554" s="157"/>
      <c r="B554" s="157"/>
      <c r="C554" s="157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ht="15.75" customHeight="1">
      <c r="A555" s="157"/>
      <c r="B555" s="157"/>
      <c r="C555" s="157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ht="15.75" customHeight="1">
      <c r="A556" s="157"/>
      <c r="B556" s="157"/>
      <c r="C556" s="157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ht="15.75" customHeight="1">
      <c r="A557" s="157"/>
      <c r="B557" s="157"/>
      <c r="C557" s="157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ht="15.75" customHeight="1">
      <c r="A558" s="157"/>
      <c r="B558" s="157"/>
      <c r="C558" s="157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ht="15.75" customHeight="1">
      <c r="A559" s="157"/>
      <c r="B559" s="157"/>
      <c r="C559" s="157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ht="15.75" customHeight="1">
      <c r="A560" s="157"/>
      <c r="B560" s="157"/>
      <c r="C560" s="157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ht="15.75" customHeight="1">
      <c r="A561" s="157"/>
      <c r="B561" s="157"/>
      <c r="C561" s="157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ht="15.75" customHeight="1">
      <c r="A562" s="157"/>
      <c r="B562" s="157"/>
      <c r="C562" s="157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ht="15.75" customHeight="1">
      <c r="A563" s="157"/>
      <c r="B563" s="157"/>
      <c r="C563" s="157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ht="15.75" customHeight="1">
      <c r="A564" s="157"/>
      <c r="B564" s="157"/>
      <c r="C564" s="157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ht="15.75" customHeight="1">
      <c r="A565" s="157"/>
      <c r="B565" s="157"/>
      <c r="C565" s="157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ht="15.75" customHeight="1">
      <c r="A566" s="157"/>
      <c r="B566" s="157"/>
      <c r="C566" s="157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ht="15.75" customHeight="1">
      <c r="A567" s="157"/>
      <c r="B567" s="157"/>
      <c r="C567" s="157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ht="15.75" customHeight="1">
      <c r="A568" s="157"/>
      <c r="B568" s="157"/>
      <c r="C568" s="157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ht="15.75" customHeight="1">
      <c r="A569" s="157"/>
      <c r="B569" s="157"/>
      <c r="C569" s="157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ht="15.75" customHeight="1">
      <c r="A570" s="157"/>
      <c r="B570" s="157"/>
      <c r="C570" s="157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ht="15.75" customHeight="1">
      <c r="A571" s="157"/>
      <c r="B571" s="157"/>
      <c r="C571" s="157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ht="15.75" customHeight="1">
      <c r="A572" s="157"/>
      <c r="B572" s="157"/>
      <c r="C572" s="157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ht="15.75" customHeight="1">
      <c r="A573" s="157"/>
      <c r="B573" s="157"/>
      <c r="C573" s="157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ht="15.75" customHeight="1">
      <c r="A574" s="157"/>
      <c r="B574" s="157"/>
      <c r="C574" s="157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ht="15.75" customHeight="1">
      <c r="A575" s="157"/>
      <c r="B575" s="157"/>
      <c r="C575" s="157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ht="15.75" customHeight="1">
      <c r="A576" s="157"/>
      <c r="B576" s="157"/>
      <c r="C576" s="157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ht="15.75" customHeight="1">
      <c r="A577" s="157"/>
      <c r="B577" s="157"/>
      <c r="C577" s="157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ht="15.75" customHeight="1">
      <c r="A578" s="157"/>
      <c r="B578" s="157"/>
      <c r="C578" s="157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ht="15.75" customHeight="1">
      <c r="A579" s="157"/>
      <c r="B579" s="157"/>
      <c r="C579" s="157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ht="15.75" customHeight="1">
      <c r="A580" s="157"/>
      <c r="B580" s="157"/>
      <c r="C580" s="157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ht="15.75" customHeight="1">
      <c r="A581" s="157"/>
      <c r="B581" s="157"/>
      <c r="C581" s="157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ht="15.75" customHeight="1">
      <c r="A582" s="157"/>
      <c r="B582" s="157"/>
      <c r="C582" s="157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ht="15.75" customHeight="1">
      <c r="A583" s="157"/>
      <c r="B583" s="157"/>
      <c r="C583" s="157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ht="15.75" customHeight="1">
      <c r="A584" s="157"/>
      <c r="B584" s="157"/>
      <c r="C584" s="157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ht="15.75" customHeight="1">
      <c r="A585" s="157"/>
      <c r="B585" s="157"/>
      <c r="C585" s="157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ht="15.75" customHeight="1">
      <c r="A586" s="157"/>
      <c r="B586" s="157"/>
      <c r="C586" s="157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ht="15.75" customHeight="1">
      <c r="A587" s="157"/>
      <c r="B587" s="157"/>
      <c r="C587" s="157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ht="15.75" customHeight="1">
      <c r="A588" s="157"/>
      <c r="B588" s="157"/>
      <c r="C588" s="157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ht="15.75" customHeight="1">
      <c r="A589" s="157"/>
      <c r="B589" s="157"/>
      <c r="C589" s="157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ht="15.75" customHeight="1">
      <c r="A590" s="157"/>
      <c r="B590" s="157"/>
      <c r="C590" s="157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ht="15.75" customHeight="1">
      <c r="A591" s="157"/>
      <c r="B591" s="157"/>
      <c r="C591" s="157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ht="15.75" customHeight="1">
      <c r="A592" s="157"/>
      <c r="B592" s="157"/>
      <c r="C592" s="157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ht="15.75" customHeight="1">
      <c r="A593" s="157"/>
      <c r="B593" s="157"/>
      <c r="C593" s="157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ht="15.75" customHeight="1">
      <c r="A594" s="157"/>
      <c r="B594" s="157"/>
      <c r="C594" s="157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ht="15.75" customHeight="1">
      <c r="A595" s="157"/>
      <c r="B595" s="157"/>
      <c r="C595" s="157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ht="15.75" customHeight="1">
      <c r="A596" s="157"/>
      <c r="B596" s="157"/>
      <c r="C596" s="157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ht="15.75" customHeight="1">
      <c r="A597" s="157"/>
      <c r="B597" s="157"/>
      <c r="C597" s="157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ht="15.75" customHeight="1">
      <c r="A598" s="157"/>
      <c r="B598" s="157"/>
      <c r="C598" s="157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ht="15.75" customHeight="1">
      <c r="A599" s="157"/>
      <c r="B599" s="157"/>
      <c r="C599" s="157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ht="15.75" customHeight="1">
      <c r="A600" s="157"/>
      <c r="B600" s="157"/>
      <c r="C600" s="157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ht="15.75" customHeight="1">
      <c r="A601" s="157"/>
      <c r="B601" s="157"/>
      <c r="C601" s="157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ht="15.75" customHeight="1">
      <c r="A602" s="157"/>
      <c r="B602" s="157"/>
      <c r="C602" s="157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ht="15.75" customHeight="1">
      <c r="A603" s="157"/>
      <c r="B603" s="157"/>
      <c r="C603" s="157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ht="15.75" customHeight="1">
      <c r="A604" s="157"/>
      <c r="B604" s="157"/>
      <c r="C604" s="157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ht="15.75" customHeight="1">
      <c r="A605" s="157"/>
      <c r="B605" s="157"/>
      <c r="C605" s="157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ht="15.75" customHeight="1">
      <c r="A606" s="157"/>
      <c r="B606" s="157"/>
      <c r="C606" s="157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ht="15.75" customHeight="1">
      <c r="A607" s="157"/>
      <c r="B607" s="157"/>
      <c r="C607" s="157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ht="15.75" customHeight="1">
      <c r="A608" s="157"/>
      <c r="B608" s="157"/>
      <c r="C608" s="157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ht="15.75" customHeight="1">
      <c r="A609" s="157"/>
      <c r="B609" s="157"/>
      <c r="C609" s="157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ht="15.75" customHeight="1">
      <c r="A610" s="157"/>
      <c r="B610" s="157"/>
      <c r="C610" s="157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ht="15.75" customHeight="1">
      <c r="A611" s="157"/>
      <c r="B611" s="157"/>
      <c r="C611" s="157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ht="15.75" customHeight="1">
      <c r="A612" s="157"/>
      <c r="B612" s="157"/>
      <c r="C612" s="157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ht="15.75" customHeight="1">
      <c r="A613" s="157"/>
      <c r="B613" s="157"/>
      <c r="C613" s="157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ht="15.75" customHeight="1">
      <c r="A614" s="157"/>
      <c r="B614" s="157"/>
      <c r="C614" s="157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ht="15.75" customHeight="1">
      <c r="A615" s="157"/>
      <c r="B615" s="157"/>
      <c r="C615" s="157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ht="15.75" customHeight="1">
      <c r="A616" s="157"/>
      <c r="B616" s="157"/>
      <c r="C616" s="157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ht="15.75" customHeight="1">
      <c r="A617" s="157"/>
      <c r="B617" s="157"/>
      <c r="C617" s="157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ht="15.75" customHeight="1">
      <c r="A618" s="157"/>
      <c r="B618" s="157"/>
      <c r="C618" s="157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ht="15.75" customHeight="1">
      <c r="A619" s="157"/>
      <c r="B619" s="157"/>
      <c r="C619" s="157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ht="15.75" customHeight="1">
      <c r="A620" s="157"/>
      <c r="B620" s="157"/>
      <c r="C620" s="157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ht="15.75" customHeight="1">
      <c r="A621" s="157"/>
      <c r="B621" s="157"/>
      <c r="C621" s="157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ht="15.75" customHeight="1">
      <c r="A622" s="157"/>
      <c r="B622" s="157"/>
      <c r="C622" s="157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ht="15.75" customHeight="1">
      <c r="A623" s="157"/>
      <c r="B623" s="157"/>
      <c r="C623" s="157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ht="15.75" customHeight="1">
      <c r="A624" s="157"/>
      <c r="B624" s="157"/>
      <c r="C624" s="157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ht="15.75" customHeight="1">
      <c r="A625" s="157"/>
      <c r="B625" s="157"/>
      <c r="C625" s="157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ht="15.75" customHeight="1">
      <c r="A626" s="157"/>
      <c r="B626" s="157"/>
      <c r="C626" s="157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ht="15.75" customHeight="1">
      <c r="A627" s="157"/>
      <c r="B627" s="157"/>
      <c r="C627" s="157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ht="15.75" customHeight="1">
      <c r="A628" s="157"/>
      <c r="B628" s="157"/>
      <c r="C628" s="157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ht="15.75" customHeight="1">
      <c r="A629" s="157"/>
      <c r="B629" s="157"/>
      <c r="C629" s="157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ht="15.75" customHeight="1">
      <c r="A630" s="157"/>
      <c r="B630" s="157"/>
      <c r="C630" s="157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ht="15.75" customHeight="1">
      <c r="A631" s="157"/>
      <c r="B631" s="157"/>
      <c r="C631" s="157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ht="15.75" customHeight="1">
      <c r="A632" s="157"/>
      <c r="B632" s="157"/>
      <c r="C632" s="157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ht="15.75" customHeight="1">
      <c r="A633" s="157"/>
      <c r="B633" s="157"/>
      <c r="C633" s="157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ht="15.75" customHeight="1">
      <c r="A634" s="157"/>
      <c r="B634" s="157"/>
      <c r="C634" s="157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ht="15.75" customHeight="1">
      <c r="A635" s="157"/>
      <c r="B635" s="157"/>
      <c r="C635" s="157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ht="15.75" customHeight="1">
      <c r="A636" s="157"/>
      <c r="B636" s="157"/>
      <c r="C636" s="157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ht="15.75" customHeight="1">
      <c r="A637" s="157"/>
      <c r="B637" s="157"/>
      <c r="C637" s="157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ht="15.75" customHeight="1">
      <c r="A638" s="157"/>
      <c r="B638" s="157"/>
      <c r="C638" s="157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ht="15.75" customHeight="1">
      <c r="A639" s="157"/>
      <c r="B639" s="157"/>
      <c r="C639" s="157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ht="15.75" customHeight="1">
      <c r="A640" s="157"/>
      <c r="B640" s="157"/>
      <c r="C640" s="157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ht="15.75" customHeight="1">
      <c r="A641" s="157"/>
      <c r="B641" s="157"/>
      <c r="C641" s="157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ht="15.75" customHeight="1">
      <c r="A642" s="157"/>
      <c r="B642" s="157"/>
      <c r="C642" s="157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ht="15.75" customHeight="1">
      <c r="A643" s="157"/>
      <c r="B643" s="157"/>
      <c r="C643" s="157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ht="15.75" customHeight="1">
      <c r="A644" s="157"/>
      <c r="B644" s="157"/>
      <c r="C644" s="157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ht="15.75" customHeight="1">
      <c r="A645" s="157"/>
      <c r="B645" s="157"/>
      <c r="C645" s="157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ht="15.75" customHeight="1">
      <c r="A646" s="157"/>
      <c r="B646" s="157"/>
      <c r="C646" s="157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ht="15.75" customHeight="1">
      <c r="A647" s="157"/>
      <c r="B647" s="157"/>
      <c r="C647" s="157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ht="15.75" customHeight="1">
      <c r="A648" s="157"/>
      <c r="B648" s="157"/>
      <c r="C648" s="157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ht="15.75" customHeight="1">
      <c r="A649" s="157"/>
      <c r="B649" s="157"/>
      <c r="C649" s="157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ht="15.75" customHeight="1">
      <c r="A650" s="157"/>
      <c r="B650" s="157"/>
      <c r="C650" s="157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ht="15.75" customHeight="1">
      <c r="A651" s="157"/>
      <c r="B651" s="157"/>
      <c r="C651" s="157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ht="15.75" customHeight="1">
      <c r="A652" s="157"/>
      <c r="B652" s="157"/>
      <c r="C652" s="157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ht="15.75" customHeight="1">
      <c r="A653" s="157"/>
      <c r="B653" s="157"/>
      <c r="C653" s="157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ht="15.75" customHeight="1">
      <c r="A654" s="157"/>
      <c r="B654" s="157"/>
      <c r="C654" s="157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ht="15.75" customHeight="1">
      <c r="A655" s="157"/>
      <c r="B655" s="157"/>
      <c r="C655" s="157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ht="15.75" customHeight="1">
      <c r="A656" s="157"/>
      <c r="B656" s="157"/>
      <c r="C656" s="157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ht="15.75" customHeight="1">
      <c r="A657" s="157"/>
      <c r="B657" s="157"/>
      <c r="C657" s="157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ht="15.75" customHeight="1">
      <c r="A658" s="157"/>
      <c r="B658" s="157"/>
      <c r="C658" s="157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ht="15.75" customHeight="1">
      <c r="A659" s="157"/>
      <c r="B659" s="157"/>
      <c r="C659" s="157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ht="15.75" customHeight="1">
      <c r="A660" s="157"/>
      <c r="B660" s="157"/>
      <c r="C660" s="157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ht="15.75" customHeight="1">
      <c r="A661" s="157"/>
      <c r="B661" s="157"/>
      <c r="C661" s="157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ht="15.75" customHeight="1">
      <c r="A662" s="157"/>
      <c r="B662" s="157"/>
      <c r="C662" s="157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ht="15.75" customHeight="1">
      <c r="A663" s="157"/>
      <c r="B663" s="157"/>
      <c r="C663" s="157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ht="15.75" customHeight="1">
      <c r="A664" s="157"/>
      <c r="B664" s="157"/>
      <c r="C664" s="157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ht="15.75" customHeight="1">
      <c r="A665" s="157"/>
      <c r="B665" s="157"/>
      <c r="C665" s="157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ht="15.75" customHeight="1">
      <c r="A666" s="157"/>
      <c r="B666" s="157"/>
      <c r="C666" s="157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ht="15.75" customHeight="1">
      <c r="A667" s="157"/>
      <c r="B667" s="157"/>
      <c r="C667" s="157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ht="15.75" customHeight="1">
      <c r="A668" s="157"/>
      <c r="B668" s="157"/>
      <c r="C668" s="157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ht="15.75" customHeight="1">
      <c r="A669" s="157"/>
      <c r="B669" s="157"/>
      <c r="C669" s="157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ht="15.75" customHeight="1">
      <c r="A670" s="157"/>
      <c r="B670" s="157"/>
      <c r="C670" s="157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ht="15.75" customHeight="1">
      <c r="A671" s="157"/>
      <c r="B671" s="157"/>
      <c r="C671" s="157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ht="15.75" customHeight="1">
      <c r="A672" s="157"/>
      <c r="B672" s="157"/>
      <c r="C672" s="157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ht="15.75" customHeight="1">
      <c r="A673" s="157"/>
      <c r="B673" s="157"/>
      <c r="C673" s="157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ht="15.75" customHeight="1">
      <c r="A674" s="157"/>
      <c r="B674" s="157"/>
      <c r="C674" s="157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ht="15.75" customHeight="1">
      <c r="A675" s="157"/>
      <c r="B675" s="157"/>
      <c r="C675" s="157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ht="15.75" customHeight="1">
      <c r="A676" s="157"/>
      <c r="B676" s="157"/>
      <c r="C676" s="157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ht="15.75" customHeight="1">
      <c r="A677" s="157"/>
      <c r="B677" s="157"/>
      <c r="C677" s="157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ht="15.75" customHeight="1">
      <c r="A678" s="157"/>
      <c r="B678" s="157"/>
      <c r="C678" s="157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ht="15.75" customHeight="1">
      <c r="A679" s="157"/>
      <c r="B679" s="157"/>
      <c r="C679" s="157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ht="15.75" customHeight="1">
      <c r="A680" s="157"/>
      <c r="B680" s="157"/>
      <c r="C680" s="157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ht="15.75" customHeight="1">
      <c r="A681" s="157"/>
      <c r="B681" s="157"/>
      <c r="C681" s="157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ht="15.75" customHeight="1">
      <c r="A682" s="157"/>
      <c r="B682" s="157"/>
      <c r="C682" s="157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ht="15.75" customHeight="1">
      <c r="A683" s="157"/>
      <c r="B683" s="157"/>
      <c r="C683" s="157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ht="15.75" customHeight="1">
      <c r="A684" s="157"/>
      <c r="B684" s="157"/>
      <c r="C684" s="157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ht="15.75" customHeight="1">
      <c r="A685" s="157"/>
      <c r="B685" s="157"/>
      <c r="C685" s="157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ht="15.75" customHeight="1">
      <c r="A686" s="157"/>
      <c r="B686" s="157"/>
      <c r="C686" s="157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ht="15.75" customHeight="1">
      <c r="A687" s="157"/>
      <c r="B687" s="157"/>
      <c r="C687" s="157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ht="15.75" customHeight="1">
      <c r="A688" s="157"/>
      <c r="B688" s="157"/>
      <c r="C688" s="157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ht="15.75" customHeight="1">
      <c r="A689" s="157"/>
      <c r="B689" s="157"/>
      <c r="C689" s="157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ht="15.75" customHeight="1">
      <c r="A690" s="157"/>
      <c r="B690" s="157"/>
      <c r="C690" s="157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ht="15.75" customHeight="1">
      <c r="A691" s="157"/>
      <c r="B691" s="157"/>
      <c r="C691" s="157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ht="15.75" customHeight="1">
      <c r="A692" s="157"/>
      <c r="B692" s="157"/>
      <c r="C692" s="157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ht="15.75" customHeight="1">
      <c r="A693" s="157"/>
      <c r="B693" s="157"/>
      <c r="C693" s="157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ht="15.75" customHeight="1">
      <c r="A694" s="157"/>
      <c r="B694" s="157"/>
      <c r="C694" s="157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ht="15.75" customHeight="1">
      <c r="A695" s="157"/>
      <c r="B695" s="157"/>
      <c r="C695" s="157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ht="15.75" customHeight="1">
      <c r="A696" s="157"/>
      <c r="B696" s="157"/>
      <c r="C696" s="157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ht="15.75" customHeight="1">
      <c r="A697" s="157"/>
      <c r="B697" s="157"/>
      <c r="C697" s="157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ht="15.75" customHeight="1">
      <c r="A698" s="157"/>
      <c r="B698" s="157"/>
      <c r="C698" s="157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ht="15.75" customHeight="1">
      <c r="A699" s="157"/>
      <c r="B699" s="157"/>
      <c r="C699" s="157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ht="15.75" customHeight="1">
      <c r="A700" s="157"/>
      <c r="B700" s="157"/>
      <c r="C700" s="157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ht="15.75" customHeight="1">
      <c r="A701" s="157"/>
      <c r="B701" s="157"/>
      <c r="C701" s="157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ht="15.75" customHeight="1">
      <c r="A702" s="157"/>
      <c r="B702" s="157"/>
      <c r="C702" s="157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ht="15.75" customHeight="1">
      <c r="A703" s="157"/>
      <c r="B703" s="157"/>
      <c r="C703" s="157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ht="15.75" customHeight="1">
      <c r="A704" s="157"/>
      <c r="B704" s="157"/>
      <c r="C704" s="157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ht="15.75" customHeight="1">
      <c r="A705" s="157"/>
      <c r="B705" s="157"/>
      <c r="C705" s="157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ht="15.75" customHeight="1">
      <c r="A706" s="157"/>
      <c r="B706" s="157"/>
      <c r="C706" s="157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ht="15.75" customHeight="1">
      <c r="A707" s="157"/>
      <c r="B707" s="157"/>
      <c r="C707" s="157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ht="15.75" customHeight="1">
      <c r="A708" s="157"/>
      <c r="B708" s="157"/>
      <c r="C708" s="157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ht="15.75" customHeight="1">
      <c r="A709" s="157"/>
      <c r="B709" s="157"/>
      <c r="C709" s="157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ht="15.75" customHeight="1">
      <c r="A710" s="157"/>
      <c r="B710" s="157"/>
      <c r="C710" s="157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ht="15.75" customHeight="1">
      <c r="A711" s="157"/>
      <c r="B711" s="157"/>
      <c r="C711" s="157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ht="15.75" customHeight="1">
      <c r="A712" s="157"/>
      <c r="B712" s="157"/>
      <c r="C712" s="157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ht="15.75" customHeight="1">
      <c r="A713" s="157"/>
      <c r="B713" s="157"/>
      <c r="C713" s="157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ht="15.75" customHeight="1">
      <c r="A714" s="157"/>
      <c r="B714" s="157"/>
      <c r="C714" s="157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ht="15.75" customHeight="1">
      <c r="A715" s="157"/>
      <c r="B715" s="157"/>
      <c r="C715" s="157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ht="15.75" customHeight="1">
      <c r="A716" s="157"/>
      <c r="B716" s="157"/>
      <c r="C716" s="157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ht="15.75" customHeight="1">
      <c r="A717" s="157"/>
      <c r="B717" s="157"/>
      <c r="C717" s="157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ht="15.75" customHeight="1">
      <c r="A718" s="157"/>
      <c r="B718" s="157"/>
      <c r="C718" s="157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ht="15.75" customHeight="1">
      <c r="A719" s="157"/>
      <c r="B719" s="157"/>
      <c r="C719" s="157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ht="15.75" customHeight="1">
      <c r="A720" s="157"/>
      <c r="B720" s="157"/>
      <c r="C720" s="157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ht="15.75" customHeight="1">
      <c r="A721" s="157"/>
      <c r="B721" s="157"/>
      <c r="C721" s="157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ht="15.75" customHeight="1">
      <c r="A722" s="157"/>
      <c r="B722" s="157"/>
      <c r="C722" s="157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ht="15.75" customHeight="1">
      <c r="A723" s="157"/>
      <c r="B723" s="157"/>
      <c r="C723" s="157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ht="15.75" customHeight="1">
      <c r="A724" s="157"/>
      <c r="B724" s="157"/>
      <c r="C724" s="157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ht="15.75" customHeight="1">
      <c r="A725" s="157"/>
      <c r="B725" s="157"/>
      <c r="C725" s="157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ht="15.75" customHeight="1">
      <c r="A726" s="157"/>
      <c r="B726" s="157"/>
      <c r="C726" s="157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ht="15.75" customHeight="1">
      <c r="A727" s="157"/>
      <c r="B727" s="157"/>
      <c r="C727" s="157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ht="15.75" customHeight="1">
      <c r="A728" s="157"/>
      <c r="B728" s="157"/>
      <c r="C728" s="157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ht="15.75" customHeight="1">
      <c r="A729" s="157"/>
      <c r="B729" s="157"/>
      <c r="C729" s="157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ht="15.75" customHeight="1">
      <c r="A730" s="157"/>
      <c r="B730" s="157"/>
      <c r="C730" s="157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ht="15.75" customHeight="1">
      <c r="A731" s="157"/>
      <c r="B731" s="157"/>
      <c r="C731" s="157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ht="15.75" customHeight="1">
      <c r="A732" s="157"/>
      <c r="B732" s="157"/>
      <c r="C732" s="157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ht="15.75" customHeight="1">
      <c r="A733" s="157"/>
      <c r="B733" s="157"/>
      <c r="C733" s="157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ht="15.75" customHeight="1">
      <c r="A734" s="157"/>
      <c r="B734" s="157"/>
      <c r="C734" s="157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ht="15.75" customHeight="1">
      <c r="A735" s="157"/>
      <c r="B735" s="157"/>
      <c r="C735" s="157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ht="15.75" customHeight="1">
      <c r="A736" s="157"/>
      <c r="B736" s="157"/>
      <c r="C736" s="157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ht="15.75" customHeight="1">
      <c r="A737" s="157"/>
      <c r="B737" s="157"/>
      <c r="C737" s="157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ht="15.75" customHeight="1">
      <c r="A738" s="157"/>
      <c r="B738" s="157"/>
      <c r="C738" s="157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ht="15.75" customHeight="1">
      <c r="A739" s="157"/>
      <c r="B739" s="157"/>
      <c r="C739" s="157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ht="15.75" customHeight="1">
      <c r="A740" s="157"/>
      <c r="B740" s="157"/>
      <c r="C740" s="157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ht="15.75" customHeight="1">
      <c r="A741" s="157"/>
      <c r="B741" s="157"/>
      <c r="C741" s="157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ht="15.75" customHeight="1">
      <c r="A742" s="157"/>
      <c r="B742" s="157"/>
      <c r="C742" s="157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ht="15.75" customHeight="1">
      <c r="A743" s="157"/>
      <c r="B743" s="157"/>
      <c r="C743" s="157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ht="15.75" customHeight="1">
      <c r="A744" s="157"/>
      <c r="B744" s="157"/>
      <c r="C744" s="157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ht="15.75" customHeight="1">
      <c r="A745" s="157"/>
      <c r="B745" s="157"/>
      <c r="C745" s="157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ht="15.75" customHeight="1">
      <c r="A746" s="157"/>
      <c r="B746" s="157"/>
      <c r="C746" s="157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ht="15.75" customHeight="1">
      <c r="A747" s="157"/>
      <c r="B747" s="157"/>
      <c r="C747" s="157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ht="15.75" customHeight="1">
      <c r="A748" s="157"/>
      <c r="B748" s="157"/>
      <c r="C748" s="157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ht="15.75" customHeight="1">
      <c r="A749" s="157"/>
      <c r="B749" s="157"/>
      <c r="C749" s="157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ht="15.75" customHeight="1">
      <c r="A750" s="157"/>
      <c r="B750" s="157"/>
      <c r="C750" s="157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ht="15.75" customHeight="1">
      <c r="A751" s="157"/>
      <c r="B751" s="157"/>
      <c r="C751" s="157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ht="15.75" customHeight="1">
      <c r="A752" s="157"/>
      <c r="B752" s="157"/>
      <c r="C752" s="157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ht="15.75" customHeight="1">
      <c r="A753" s="157"/>
      <c r="B753" s="157"/>
      <c r="C753" s="157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ht="15.75" customHeight="1">
      <c r="A754" s="157"/>
      <c r="B754" s="157"/>
      <c r="C754" s="157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ht="15.75" customHeight="1">
      <c r="A755" s="157"/>
      <c r="B755" s="157"/>
      <c r="C755" s="157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ht="15.75" customHeight="1">
      <c r="A756" s="157"/>
      <c r="B756" s="157"/>
      <c r="C756" s="157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ht="15.75" customHeight="1">
      <c r="A757" s="157"/>
      <c r="B757" s="157"/>
      <c r="C757" s="157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ht="15.75" customHeight="1">
      <c r="A758" s="157"/>
      <c r="B758" s="157"/>
      <c r="C758" s="157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ht="15.75" customHeight="1">
      <c r="A759" s="157"/>
      <c r="B759" s="157"/>
      <c r="C759" s="157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ht="15.75" customHeight="1">
      <c r="A760" s="157"/>
      <c r="B760" s="157"/>
      <c r="C760" s="157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ht="15.75" customHeight="1">
      <c r="A761" s="157"/>
      <c r="B761" s="157"/>
      <c r="C761" s="157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ht="15.75" customHeight="1">
      <c r="A762" s="157"/>
      <c r="B762" s="157"/>
      <c r="C762" s="157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ht="15.75" customHeight="1">
      <c r="A763" s="157"/>
      <c r="B763" s="157"/>
      <c r="C763" s="157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ht="15.75" customHeight="1">
      <c r="A764" s="157"/>
      <c r="B764" s="157"/>
      <c r="C764" s="157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ht="15.75" customHeight="1">
      <c r="A765" s="157"/>
      <c r="B765" s="157"/>
      <c r="C765" s="157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ht="15.75" customHeight="1">
      <c r="A766" s="157"/>
      <c r="B766" s="157"/>
      <c r="C766" s="157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ht="15.75" customHeight="1">
      <c r="A767" s="157"/>
      <c r="B767" s="157"/>
      <c r="C767" s="157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ht="15.75" customHeight="1">
      <c r="A768" s="157"/>
      <c r="B768" s="157"/>
      <c r="C768" s="157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ht="15.75" customHeight="1">
      <c r="A769" s="157"/>
      <c r="B769" s="157"/>
      <c r="C769" s="157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ht="15.75" customHeight="1">
      <c r="A770" s="157"/>
      <c r="B770" s="157"/>
      <c r="C770" s="157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ht="15.75" customHeight="1">
      <c r="A771" s="157"/>
      <c r="B771" s="157"/>
      <c r="C771" s="157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ht="15.75" customHeight="1">
      <c r="A772" s="157"/>
      <c r="B772" s="157"/>
      <c r="C772" s="157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ht="15.75" customHeight="1">
      <c r="A773" s="157"/>
      <c r="B773" s="157"/>
      <c r="C773" s="157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ht="15.75" customHeight="1">
      <c r="A774" s="157"/>
      <c r="B774" s="157"/>
      <c r="C774" s="157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ht="15.75" customHeight="1">
      <c r="A775" s="157"/>
      <c r="B775" s="157"/>
      <c r="C775" s="157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ht="15.75" customHeight="1">
      <c r="A776" s="157"/>
      <c r="B776" s="157"/>
      <c r="C776" s="157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ht="15.75" customHeight="1">
      <c r="A777" s="157"/>
      <c r="B777" s="157"/>
      <c r="C777" s="157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ht="15.75" customHeight="1">
      <c r="A778" s="157"/>
      <c r="B778" s="157"/>
      <c r="C778" s="157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ht="15.75" customHeight="1">
      <c r="A779" s="157"/>
      <c r="B779" s="157"/>
      <c r="C779" s="157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ht="15.75" customHeight="1">
      <c r="A780" s="157"/>
      <c r="B780" s="157"/>
      <c r="C780" s="157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ht="15.75" customHeight="1">
      <c r="A781" s="157"/>
      <c r="B781" s="157"/>
      <c r="C781" s="157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ht="15.75" customHeight="1">
      <c r="A782" s="157"/>
      <c r="B782" s="157"/>
      <c r="C782" s="157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ht="15.75" customHeight="1">
      <c r="A783" s="157"/>
      <c r="B783" s="157"/>
      <c r="C783" s="157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ht="15.75" customHeight="1">
      <c r="A784" s="157"/>
      <c r="B784" s="157"/>
      <c r="C784" s="157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ht="15.75" customHeight="1">
      <c r="A785" s="157"/>
      <c r="B785" s="157"/>
      <c r="C785" s="157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ht="15.75" customHeight="1">
      <c r="A786" s="157"/>
      <c r="B786" s="157"/>
      <c r="C786" s="157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ht="15.75" customHeight="1">
      <c r="A787" s="157"/>
      <c r="B787" s="157"/>
      <c r="C787" s="157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ht="15.75" customHeight="1">
      <c r="A788" s="157"/>
      <c r="B788" s="157"/>
      <c r="C788" s="157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ht="15.75" customHeight="1">
      <c r="A789" s="157"/>
      <c r="B789" s="157"/>
      <c r="C789" s="157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ht="15.75" customHeight="1">
      <c r="A790" s="157"/>
      <c r="B790" s="157"/>
      <c r="C790" s="157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ht="15.75" customHeight="1">
      <c r="A791" s="157"/>
      <c r="B791" s="157"/>
      <c r="C791" s="157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ht="15.75" customHeight="1">
      <c r="A792" s="157"/>
      <c r="B792" s="157"/>
      <c r="C792" s="157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ht="15.75" customHeight="1">
      <c r="A793" s="157"/>
      <c r="B793" s="157"/>
      <c r="C793" s="157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ht="15.75" customHeight="1">
      <c r="A794" s="157"/>
      <c r="B794" s="157"/>
      <c r="C794" s="157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ht="15.75" customHeight="1">
      <c r="A795" s="157"/>
      <c r="B795" s="157"/>
      <c r="C795" s="157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ht="15.75" customHeight="1">
      <c r="A796" s="157"/>
      <c r="B796" s="157"/>
      <c r="C796" s="157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ht="15.75" customHeight="1">
      <c r="A797" s="157"/>
      <c r="B797" s="157"/>
      <c r="C797" s="157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ht="15.75" customHeight="1">
      <c r="A798" s="157"/>
      <c r="B798" s="157"/>
      <c r="C798" s="157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ht="15.75" customHeight="1">
      <c r="A799" s="157"/>
      <c r="B799" s="157"/>
      <c r="C799" s="157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ht="15.75" customHeight="1">
      <c r="A800" s="157"/>
      <c r="B800" s="157"/>
      <c r="C800" s="157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ht="15.75" customHeight="1">
      <c r="A801" s="157"/>
      <c r="B801" s="157"/>
      <c r="C801" s="157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ht="15.75" customHeight="1">
      <c r="A802" s="157"/>
      <c r="B802" s="157"/>
      <c r="C802" s="157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ht="15.75" customHeight="1">
      <c r="A803" s="157"/>
      <c r="B803" s="157"/>
      <c r="C803" s="157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ht="15.75" customHeight="1">
      <c r="A804" s="157"/>
      <c r="B804" s="157"/>
      <c r="C804" s="157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ht="15.75" customHeight="1">
      <c r="A805" s="157"/>
      <c r="B805" s="157"/>
      <c r="C805" s="157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ht="15.75" customHeight="1">
      <c r="A806" s="157"/>
      <c r="B806" s="157"/>
      <c r="C806" s="157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ht="15.75" customHeight="1">
      <c r="A807" s="157"/>
      <c r="B807" s="157"/>
      <c r="C807" s="157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ht="15.75" customHeight="1">
      <c r="A808" s="157"/>
      <c r="B808" s="157"/>
      <c r="C808" s="157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ht="15.75" customHeight="1">
      <c r="A809" s="157"/>
      <c r="B809" s="157"/>
      <c r="C809" s="157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ht="15.75" customHeight="1">
      <c r="A810" s="157"/>
      <c r="B810" s="157"/>
      <c r="C810" s="157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ht="15.75" customHeight="1">
      <c r="A811" s="157"/>
      <c r="B811" s="157"/>
      <c r="C811" s="157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ht="15.75" customHeight="1">
      <c r="A812" s="157"/>
      <c r="B812" s="157"/>
      <c r="C812" s="157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ht="15.75" customHeight="1">
      <c r="A813" s="157"/>
      <c r="B813" s="157"/>
      <c r="C813" s="157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ht="15.75" customHeight="1">
      <c r="A814" s="157"/>
      <c r="B814" s="157"/>
      <c r="C814" s="157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ht="15.75" customHeight="1">
      <c r="A815" s="157"/>
      <c r="B815" s="157"/>
      <c r="C815" s="157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ht="15.75" customHeight="1">
      <c r="A816" s="157"/>
      <c r="B816" s="157"/>
      <c r="C816" s="157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ht="15.75" customHeight="1">
      <c r="A817" s="157"/>
      <c r="B817" s="157"/>
      <c r="C817" s="157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ht="15.75" customHeight="1">
      <c r="A818" s="157"/>
      <c r="B818" s="157"/>
      <c r="C818" s="157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ht="15.75" customHeight="1">
      <c r="A819" s="157"/>
      <c r="B819" s="157"/>
      <c r="C819" s="157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ht="15.75" customHeight="1">
      <c r="A820" s="157"/>
      <c r="B820" s="157"/>
      <c r="C820" s="157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ht="15.75" customHeight="1">
      <c r="A821" s="157"/>
      <c r="B821" s="157"/>
      <c r="C821" s="157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ht="15.75" customHeight="1">
      <c r="A822" s="157"/>
      <c r="B822" s="157"/>
      <c r="C822" s="157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ht="15.75" customHeight="1">
      <c r="A823" s="157"/>
      <c r="B823" s="157"/>
      <c r="C823" s="157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ht="15.75" customHeight="1">
      <c r="A824" s="157"/>
      <c r="B824" s="157"/>
      <c r="C824" s="157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ht="15.75" customHeight="1">
      <c r="A825" s="157"/>
      <c r="B825" s="157"/>
      <c r="C825" s="157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ht="15.75" customHeight="1">
      <c r="A826" s="157"/>
      <c r="B826" s="157"/>
      <c r="C826" s="157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ht="15.75" customHeight="1">
      <c r="A827" s="157"/>
      <c r="B827" s="157"/>
      <c r="C827" s="157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ht="15.75" customHeight="1">
      <c r="A828" s="157"/>
      <c r="B828" s="157"/>
      <c r="C828" s="157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ht="15.75" customHeight="1">
      <c r="A829" s="157"/>
      <c r="B829" s="157"/>
      <c r="C829" s="157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ht="15.75" customHeight="1">
      <c r="A830" s="157"/>
      <c r="B830" s="157"/>
      <c r="C830" s="157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ht="15.75" customHeight="1">
      <c r="A831" s="157"/>
      <c r="B831" s="157"/>
      <c r="C831" s="157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ht="15.75" customHeight="1">
      <c r="A832" s="157"/>
      <c r="B832" s="157"/>
      <c r="C832" s="157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ht="15.75" customHeight="1">
      <c r="A833" s="157"/>
      <c r="B833" s="157"/>
      <c r="C833" s="157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ht="15.75" customHeight="1">
      <c r="A834" s="157"/>
      <c r="B834" s="157"/>
      <c r="C834" s="157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ht="15.75" customHeight="1">
      <c r="A835" s="157"/>
      <c r="B835" s="157"/>
      <c r="C835" s="157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ht="15.75" customHeight="1">
      <c r="A836" s="157"/>
      <c r="B836" s="157"/>
      <c r="C836" s="157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ht="15.75" customHeight="1">
      <c r="A837" s="157"/>
      <c r="B837" s="157"/>
      <c r="C837" s="157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ht="15.75" customHeight="1">
      <c r="A838" s="157"/>
      <c r="B838" s="157"/>
      <c r="C838" s="157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ht="15.75" customHeight="1">
      <c r="A839" s="157"/>
      <c r="B839" s="157"/>
      <c r="C839" s="157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ht="15.75" customHeight="1">
      <c r="A840" s="157"/>
      <c r="B840" s="157"/>
      <c r="C840" s="157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ht="15.75" customHeight="1">
      <c r="A841" s="157"/>
      <c r="B841" s="157"/>
      <c r="C841" s="157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ht="15.75" customHeight="1">
      <c r="A842" s="157"/>
      <c r="B842" s="157"/>
      <c r="C842" s="157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ht="15.75" customHeight="1">
      <c r="A843" s="157"/>
      <c r="B843" s="157"/>
      <c r="C843" s="157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ht="15.75" customHeight="1">
      <c r="A844" s="157"/>
      <c r="B844" s="157"/>
      <c r="C844" s="157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ht="15.75" customHeight="1">
      <c r="A845" s="157"/>
      <c r="B845" s="157"/>
      <c r="C845" s="157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ht="15.75" customHeight="1">
      <c r="A846" s="157"/>
      <c r="B846" s="157"/>
      <c r="C846" s="157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ht="15.75" customHeight="1">
      <c r="A847" s="157"/>
      <c r="B847" s="157"/>
      <c r="C847" s="157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ht="15.75" customHeight="1">
      <c r="A848" s="157"/>
      <c r="B848" s="157"/>
      <c r="C848" s="157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ht="15.75" customHeight="1">
      <c r="A849" s="157"/>
      <c r="B849" s="157"/>
      <c r="C849" s="157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ht="15.75" customHeight="1">
      <c r="A850" s="157"/>
      <c r="B850" s="157"/>
      <c r="C850" s="157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ht="15.75" customHeight="1">
      <c r="A851" s="157"/>
      <c r="B851" s="157"/>
      <c r="C851" s="157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ht="15.75" customHeight="1">
      <c r="A852" s="157"/>
      <c r="B852" s="157"/>
      <c r="C852" s="157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ht="15.75" customHeight="1">
      <c r="A853" s="157"/>
      <c r="B853" s="157"/>
      <c r="C853" s="157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ht="15.75" customHeight="1">
      <c r="A854" s="157"/>
      <c r="B854" s="157"/>
      <c r="C854" s="157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ht="15.75" customHeight="1">
      <c r="A855" s="157"/>
      <c r="B855" s="157"/>
      <c r="C855" s="157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ht="15.75" customHeight="1">
      <c r="A856" s="157"/>
      <c r="B856" s="157"/>
      <c r="C856" s="157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ht="15.75" customHeight="1">
      <c r="A857" s="157"/>
      <c r="B857" s="157"/>
      <c r="C857" s="157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ht="15.75" customHeight="1">
      <c r="A858" s="157"/>
      <c r="B858" s="157"/>
      <c r="C858" s="157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ht="15.75" customHeight="1">
      <c r="A859" s="157"/>
      <c r="B859" s="157"/>
      <c r="C859" s="157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ht="15.75" customHeight="1">
      <c r="A860" s="157"/>
      <c r="B860" s="157"/>
      <c r="C860" s="157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ht="15.75" customHeight="1">
      <c r="A861" s="157"/>
      <c r="B861" s="157"/>
      <c r="C861" s="157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ht="15.75" customHeight="1">
      <c r="A862" s="157"/>
      <c r="B862" s="157"/>
      <c r="C862" s="157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ht="15.75" customHeight="1">
      <c r="A863" s="157"/>
      <c r="B863" s="157"/>
      <c r="C863" s="157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ht="15.75" customHeight="1">
      <c r="A864" s="157"/>
      <c r="B864" s="157"/>
      <c r="C864" s="157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ht="15.75" customHeight="1">
      <c r="A865" s="157"/>
      <c r="B865" s="157"/>
      <c r="C865" s="157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ht="15.75" customHeight="1">
      <c r="A866" s="157"/>
      <c r="B866" s="157"/>
      <c r="C866" s="157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ht="15.75" customHeight="1">
      <c r="A867" s="157"/>
      <c r="B867" s="157"/>
      <c r="C867" s="157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ht="15.75" customHeight="1">
      <c r="A868" s="157"/>
      <c r="B868" s="157"/>
      <c r="C868" s="157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ht="15.75" customHeight="1">
      <c r="A869" s="157"/>
      <c r="B869" s="157"/>
      <c r="C869" s="157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ht="15.75" customHeight="1">
      <c r="A870" s="157"/>
      <c r="B870" s="157"/>
      <c r="C870" s="157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ht="15.75" customHeight="1">
      <c r="A871" s="157"/>
      <c r="B871" s="157"/>
      <c r="C871" s="157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ht="15.75" customHeight="1">
      <c r="A872" s="157"/>
      <c r="B872" s="157"/>
      <c r="C872" s="157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ht="15.75" customHeight="1">
      <c r="A873" s="157"/>
      <c r="B873" s="157"/>
      <c r="C873" s="157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ht="15.75" customHeight="1">
      <c r="A874" s="157"/>
      <c r="B874" s="157"/>
      <c r="C874" s="157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ht="15.75" customHeight="1">
      <c r="A875" s="157"/>
      <c r="B875" s="157"/>
      <c r="C875" s="157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ht="15.75" customHeight="1">
      <c r="A876" s="157"/>
      <c r="B876" s="157"/>
      <c r="C876" s="157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ht="15.75" customHeight="1">
      <c r="A877" s="157"/>
      <c r="B877" s="157"/>
      <c r="C877" s="157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ht="15.75" customHeight="1">
      <c r="A878" s="157"/>
      <c r="B878" s="157"/>
      <c r="C878" s="157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ht="15.75" customHeight="1">
      <c r="A879" s="157"/>
      <c r="B879" s="157"/>
      <c r="C879" s="157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ht="15.75" customHeight="1">
      <c r="A880" s="157"/>
      <c r="B880" s="157"/>
      <c r="C880" s="157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ht="15.75" customHeight="1">
      <c r="A881" s="157"/>
      <c r="B881" s="157"/>
      <c r="C881" s="157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ht="15.75" customHeight="1">
      <c r="A882" s="157"/>
      <c r="B882" s="157"/>
      <c r="C882" s="157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ht="15.75" customHeight="1">
      <c r="A883" s="157"/>
      <c r="B883" s="157"/>
      <c r="C883" s="157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ht="15.75" customHeight="1">
      <c r="A884" s="157"/>
      <c r="B884" s="157"/>
      <c r="C884" s="157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ht="15.75" customHeight="1">
      <c r="A885" s="157"/>
      <c r="B885" s="157"/>
      <c r="C885" s="157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ht="15.75" customHeight="1">
      <c r="A886" s="157"/>
      <c r="B886" s="157"/>
      <c r="C886" s="157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ht="15.75" customHeight="1">
      <c r="A887" s="157"/>
      <c r="B887" s="157"/>
      <c r="C887" s="157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ht="15.75" customHeight="1">
      <c r="A888" s="157"/>
      <c r="B888" s="157"/>
      <c r="C888" s="157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ht="15.75" customHeight="1">
      <c r="A889" s="157"/>
      <c r="B889" s="157"/>
      <c r="C889" s="157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ht="15.75" customHeight="1">
      <c r="A890" s="157"/>
      <c r="B890" s="157"/>
      <c r="C890" s="157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ht="15.75" customHeight="1">
      <c r="A891" s="157"/>
      <c r="B891" s="157"/>
      <c r="C891" s="157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ht="15.75" customHeight="1">
      <c r="A892" s="157"/>
      <c r="B892" s="157"/>
      <c r="C892" s="157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ht="15.75" customHeight="1">
      <c r="A893" s="157"/>
      <c r="B893" s="157"/>
      <c r="C893" s="157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ht="15.75" customHeight="1">
      <c r="A894" s="157"/>
      <c r="B894" s="157"/>
      <c r="C894" s="157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ht="15.75" customHeight="1">
      <c r="A895" s="157"/>
      <c r="B895" s="157"/>
      <c r="C895" s="157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ht="15.75" customHeight="1">
      <c r="A896" s="157"/>
      <c r="B896" s="157"/>
      <c r="C896" s="157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ht="15.75" customHeight="1">
      <c r="A897" s="157"/>
      <c r="B897" s="157"/>
      <c r="C897" s="157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ht="15.75" customHeight="1">
      <c r="A898" s="157"/>
      <c r="B898" s="157"/>
      <c r="C898" s="157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ht="15.75" customHeight="1">
      <c r="A899" s="157"/>
      <c r="B899" s="157"/>
      <c r="C899" s="157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ht="15.75" customHeight="1">
      <c r="A900" s="157"/>
      <c r="B900" s="157"/>
      <c r="C900" s="157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ht="15.75" customHeight="1">
      <c r="A901" s="157"/>
      <c r="B901" s="157"/>
      <c r="C901" s="157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ht="15.75" customHeight="1">
      <c r="A902" s="157"/>
      <c r="B902" s="157"/>
      <c r="C902" s="157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ht="15.75" customHeight="1">
      <c r="A903" s="157"/>
      <c r="B903" s="157"/>
      <c r="C903" s="157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ht="15.75" customHeight="1">
      <c r="A904" s="157"/>
      <c r="B904" s="157"/>
      <c r="C904" s="157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ht="15.75" customHeight="1">
      <c r="A905" s="157"/>
      <c r="B905" s="157"/>
      <c r="C905" s="157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ht="15.75" customHeight="1">
      <c r="A906" s="157"/>
      <c r="B906" s="157"/>
      <c r="C906" s="157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ht="15.75" customHeight="1">
      <c r="A907" s="157"/>
      <c r="B907" s="157"/>
      <c r="C907" s="157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ht="15.75" customHeight="1">
      <c r="A908" s="157"/>
      <c r="B908" s="157"/>
      <c r="C908" s="157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ht="15.75" customHeight="1">
      <c r="A909" s="157"/>
      <c r="B909" s="157"/>
      <c r="C909" s="157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ht="15.75" customHeight="1">
      <c r="A910" s="157"/>
      <c r="B910" s="157"/>
      <c r="C910" s="157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ht="15.75" customHeight="1">
      <c r="A911" s="157"/>
      <c r="B911" s="157"/>
      <c r="C911" s="157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ht="15.75" customHeight="1">
      <c r="A912" s="157"/>
      <c r="B912" s="157"/>
      <c r="C912" s="157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ht="15.75" customHeight="1">
      <c r="A913" s="157"/>
      <c r="B913" s="157"/>
      <c r="C913" s="157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ht="15.75" customHeight="1">
      <c r="A914" s="157"/>
      <c r="B914" s="157"/>
      <c r="C914" s="157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ht="15.75" customHeight="1">
      <c r="A915" s="157"/>
      <c r="B915" s="157"/>
      <c r="C915" s="157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ht="15.75" customHeight="1">
      <c r="A916" s="157"/>
      <c r="B916" s="157"/>
      <c r="C916" s="157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ht="15.75" customHeight="1">
      <c r="A917" s="157"/>
      <c r="B917" s="157"/>
      <c r="C917" s="157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ht="15.75" customHeight="1">
      <c r="A918" s="157"/>
      <c r="B918" s="157"/>
      <c r="C918" s="157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ht="15.75" customHeight="1">
      <c r="A919" s="157"/>
      <c r="B919" s="157"/>
      <c r="C919" s="157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ht="15.75" customHeight="1">
      <c r="A920" s="157"/>
      <c r="B920" s="157"/>
      <c r="C920" s="157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ht="15.75" customHeight="1">
      <c r="A921" s="157"/>
      <c r="B921" s="157"/>
      <c r="C921" s="157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ht="15.75" customHeight="1">
      <c r="A922" s="157"/>
      <c r="B922" s="157"/>
      <c r="C922" s="157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ht="15.75" customHeight="1">
      <c r="A923" s="157"/>
      <c r="B923" s="157"/>
      <c r="C923" s="157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ht="15.75" customHeight="1">
      <c r="A924" s="157"/>
      <c r="B924" s="157"/>
      <c r="C924" s="157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ht="15.75" customHeight="1">
      <c r="A925" s="157"/>
      <c r="B925" s="157"/>
      <c r="C925" s="157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ht="15.75" customHeight="1">
      <c r="A926" s="157"/>
      <c r="B926" s="157"/>
      <c r="C926" s="157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ht="15.75" customHeight="1">
      <c r="A927" s="157"/>
      <c r="B927" s="157"/>
      <c r="C927" s="157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ht="15.75" customHeight="1">
      <c r="A928" s="157"/>
      <c r="B928" s="157"/>
      <c r="C928" s="157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ht="15.75" customHeight="1">
      <c r="A929" s="157"/>
      <c r="B929" s="157"/>
      <c r="C929" s="157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ht="15.75" customHeight="1">
      <c r="A930" s="157"/>
      <c r="B930" s="157"/>
      <c r="C930" s="157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ht="15.75" customHeight="1">
      <c r="A931" s="157"/>
      <c r="B931" s="157"/>
      <c r="C931" s="157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ht="15.75" customHeight="1">
      <c r="A932" s="157"/>
      <c r="B932" s="157"/>
      <c r="C932" s="157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ht="15.75" customHeight="1">
      <c r="A933" s="157"/>
      <c r="B933" s="157"/>
      <c r="C933" s="157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ht="15.75" customHeight="1">
      <c r="A934" s="157"/>
      <c r="B934" s="157"/>
      <c r="C934" s="157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ht="15.75" customHeight="1">
      <c r="A935" s="157"/>
      <c r="B935" s="157"/>
      <c r="C935" s="157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ht="15.75" customHeight="1">
      <c r="A936" s="157"/>
      <c r="B936" s="157"/>
      <c r="C936" s="157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ht="15.75" customHeight="1">
      <c r="A937" s="157"/>
      <c r="B937" s="157"/>
      <c r="C937" s="157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ht="15.75" customHeight="1">
      <c r="A938" s="157"/>
      <c r="B938" s="157"/>
      <c r="C938" s="157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ht="15.75" customHeight="1">
      <c r="A939" s="157"/>
      <c r="B939" s="157"/>
      <c r="C939" s="157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ht="15.75" customHeight="1">
      <c r="A940" s="157"/>
      <c r="B940" s="157"/>
      <c r="C940" s="157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ht="15.75" customHeight="1">
      <c r="A941" s="157"/>
      <c r="B941" s="157"/>
      <c r="C941" s="157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ht="15.75" customHeight="1">
      <c r="A942" s="157"/>
      <c r="B942" s="157"/>
      <c r="C942" s="157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ht="15.75" customHeight="1">
      <c r="A943" s="157"/>
      <c r="B943" s="157"/>
      <c r="C943" s="157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ht="15.75" customHeight="1">
      <c r="A944" s="157"/>
      <c r="B944" s="157"/>
      <c r="C944" s="157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ht="15.75" customHeight="1">
      <c r="A945" s="157"/>
      <c r="B945" s="157"/>
      <c r="C945" s="157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ht="15.75" customHeight="1">
      <c r="A946" s="157"/>
      <c r="B946" s="157"/>
      <c r="C946" s="157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ht="15.75" customHeight="1">
      <c r="A947" s="157"/>
      <c r="B947" s="157"/>
      <c r="C947" s="157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ht="15.75" customHeight="1">
      <c r="A948" s="157"/>
      <c r="B948" s="157"/>
      <c r="C948" s="157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ht="15.75" customHeight="1">
      <c r="A949" s="157"/>
      <c r="B949" s="157"/>
      <c r="C949" s="157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ht="15.75" customHeight="1">
      <c r="A950" s="157"/>
      <c r="B950" s="157"/>
      <c r="C950" s="157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ht="15.75" customHeight="1">
      <c r="A951" s="157"/>
      <c r="B951" s="157"/>
      <c r="C951" s="157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ht="15.75" customHeight="1">
      <c r="A952" s="157"/>
      <c r="B952" s="157"/>
      <c r="C952" s="157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ht="15.75" customHeight="1">
      <c r="A953" s="157"/>
      <c r="B953" s="157"/>
      <c r="C953" s="157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ht="15.75" customHeight="1">
      <c r="A954" s="157"/>
      <c r="B954" s="157"/>
      <c r="C954" s="157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ht="15.75" customHeight="1">
      <c r="A955" s="157"/>
      <c r="B955" s="157"/>
      <c r="C955" s="157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ht="15.75" customHeight="1">
      <c r="A956" s="157"/>
      <c r="B956" s="157"/>
      <c r="C956" s="157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ht="15.75" customHeight="1">
      <c r="A957" s="157"/>
      <c r="B957" s="157"/>
      <c r="C957" s="157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ht="15.75" customHeight="1">
      <c r="A958" s="157"/>
      <c r="B958" s="157"/>
      <c r="C958" s="157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ht="15.75" customHeight="1">
      <c r="A959" s="157"/>
      <c r="B959" s="157"/>
      <c r="C959" s="157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ht="15.75" customHeight="1">
      <c r="A960" s="157"/>
      <c r="B960" s="157"/>
      <c r="C960" s="157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ht="15.75" customHeight="1">
      <c r="A961" s="157"/>
      <c r="B961" s="157"/>
      <c r="C961" s="157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ht="15.75" customHeight="1">
      <c r="A962" s="157"/>
      <c r="B962" s="157"/>
      <c r="C962" s="157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ht="15.75" customHeight="1">
      <c r="A963" s="157"/>
      <c r="B963" s="157"/>
      <c r="C963" s="157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ht="15.75" customHeight="1">
      <c r="A964" s="157"/>
      <c r="B964" s="157"/>
      <c r="C964" s="157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ht="15.75" customHeight="1">
      <c r="A965" s="157"/>
      <c r="B965" s="157"/>
      <c r="C965" s="157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ht="15.75" customHeight="1">
      <c r="A966" s="157"/>
      <c r="B966" s="157"/>
      <c r="C966" s="157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ht="15.75" customHeight="1">
      <c r="A967" s="157"/>
      <c r="B967" s="157"/>
      <c r="C967" s="157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ht="15.75" customHeight="1">
      <c r="A968" s="157"/>
      <c r="B968" s="157"/>
      <c r="C968" s="157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ht="15.75" customHeight="1">
      <c r="A969" s="157"/>
      <c r="B969" s="157"/>
      <c r="C969" s="157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ht="15.75" customHeight="1">
      <c r="A970" s="157"/>
      <c r="B970" s="157"/>
      <c r="C970" s="157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ht="15.75" customHeight="1">
      <c r="A971" s="157"/>
      <c r="B971" s="157"/>
      <c r="C971" s="157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ht="15.75" customHeight="1">
      <c r="A972" s="157"/>
      <c r="B972" s="157"/>
      <c r="C972" s="157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ht="15.75" customHeight="1">
      <c r="A973" s="157"/>
      <c r="B973" s="157"/>
      <c r="C973" s="157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ht="15.75" customHeight="1">
      <c r="A974" s="157"/>
      <c r="B974" s="157"/>
      <c r="C974" s="157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ht="15.75" customHeight="1">
      <c r="A975" s="157"/>
      <c r="B975" s="157"/>
      <c r="C975" s="157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ht="15.75" customHeight="1">
      <c r="A976" s="157"/>
      <c r="B976" s="157"/>
      <c r="C976" s="157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ht="15.75" customHeight="1">
      <c r="A977" s="157"/>
      <c r="B977" s="157"/>
      <c r="C977" s="157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ht="15.75" customHeight="1">
      <c r="A978" s="157"/>
      <c r="B978" s="157"/>
      <c r="C978" s="157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ht="15.75" customHeight="1">
      <c r="A979" s="157"/>
      <c r="B979" s="157"/>
      <c r="C979" s="157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ht="15.75" customHeight="1">
      <c r="A980" s="157"/>
      <c r="B980" s="157"/>
      <c r="C980" s="157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ht="15.75" customHeight="1">
      <c r="A981" s="157"/>
      <c r="B981" s="157"/>
      <c r="C981" s="157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ht="15.75" customHeight="1">
      <c r="A982" s="157"/>
      <c r="B982" s="157"/>
      <c r="C982" s="157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ht="15.75" customHeight="1">
      <c r="A983" s="157"/>
      <c r="B983" s="157"/>
      <c r="C983" s="157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ht="15.75" customHeight="1">
      <c r="A984" s="157"/>
      <c r="B984" s="157"/>
      <c r="C984" s="157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ht="15.75" customHeight="1">
      <c r="A985" s="157"/>
      <c r="B985" s="157"/>
      <c r="C985" s="157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ht="15.75" customHeight="1">
      <c r="A986" s="157"/>
      <c r="B986" s="157"/>
      <c r="C986" s="157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ht="15.75" customHeight="1">
      <c r="A987" s="157"/>
      <c r="B987" s="157"/>
      <c r="C987" s="157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ht="15.75" customHeight="1">
      <c r="A988" s="157"/>
      <c r="B988" s="157"/>
      <c r="C988" s="157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ht="15.75" customHeight="1">
      <c r="A989" s="157"/>
      <c r="B989" s="157"/>
      <c r="C989" s="157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ht="15.75" customHeight="1">
      <c r="A990" s="157"/>
      <c r="B990" s="157"/>
      <c r="C990" s="157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ht="15.75" customHeight="1">
      <c r="A991" s="157"/>
      <c r="B991" s="157"/>
      <c r="C991" s="157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ht="15.75" customHeight="1">
      <c r="A992" s="157"/>
      <c r="B992" s="157"/>
      <c r="C992" s="157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ht="15.75" customHeight="1">
      <c r="A993" s="157"/>
      <c r="B993" s="157"/>
      <c r="C993" s="157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ht="15.75" customHeight="1">
      <c r="A994" s="157"/>
      <c r="B994" s="157"/>
      <c r="C994" s="157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ht="15.75" customHeight="1">
      <c r="A995" s="157"/>
      <c r="B995" s="157"/>
      <c r="C995" s="157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ht="15.75" customHeight="1">
      <c r="A996" s="157"/>
      <c r="B996" s="157"/>
      <c r="C996" s="157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ht="15.75" customHeight="1">
      <c r="A997" s="157"/>
      <c r="B997" s="157"/>
      <c r="C997" s="157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ht="15.75" customHeight="1">
      <c r="A998" s="157"/>
      <c r="B998" s="157"/>
      <c r="C998" s="157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ht="15.75" customHeight="1">
      <c r="A999" s="157"/>
      <c r="B999" s="157"/>
      <c r="C999" s="157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ht="15.75" customHeight="1">
      <c r="A1000" s="157"/>
      <c r="B1000" s="157"/>
      <c r="C1000" s="157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</sheetData>
  <mergeCells count="3">
    <mergeCell ref="D1:G1"/>
    <mergeCell ref="H1:K1"/>
    <mergeCell ref="L1:O1"/>
  </mergeCells>
  <conditionalFormatting sqref="B79:C80 D1 D2:G78 D81:G1000 E79:G80">
    <cfRule type="cellIs" dxfId="0" priority="1" operator="lessThan">
      <formula>-0.0001</formula>
    </cfRule>
  </conditionalFormatting>
  <conditionalFormatting sqref="B79:C80 D3:G78 D81:G1000 E79:G80">
    <cfRule type="cellIs" dxfId="1" priority="2" operator="greaterThan">
      <formula>0.1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11.43"/>
    <col customWidth="1" min="3" max="3" width="14.57"/>
    <col customWidth="1" min="4" max="4" width="26.43"/>
    <col customWidth="1" min="5" max="5" width="27.43"/>
    <col customWidth="1" min="6" max="26" width="21.71"/>
  </cols>
  <sheetData>
    <row r="1" ht="15.75" customHeight="1">
      <c r="A1" s="11" t="s">
        <v>3</v>
      </c>
      <c r="B1" s="168" t="s">
        <v>136</v>
      </c>
      <c r="C1" s="169" t="s">
        <v>137</v>
      </c>
      <c r="D1" s="170" t="s">
        <v>138</v>
      </c>
      <c r="E1" s="171" t="s">
        <v>139</v>
      </c>
    </row>
    <row r="2" ht="15.75" customHeight="1">
      <c r="A2" s="30" t="s">
        <v>43</v>
      </c>
      <c r="B2" s="17">
        <f t="shared" ref="B2:B69" si="1">IF(D2=0,0%,IF(E2=0,100%,D2/E2-1))</f>
        <v>0.003850262021</v>
      </c>
      <c r="C2" s="127">
        <f t="shared" ref="C2:C69" si="2">D2-E2</f>
        <v>191.368336</v>
      </c>
      <c r="D2" s="128">
        <f>VLOOKUP(A2,'תפוקה מצטברת מול אשתקד'!A:K,9,0)</f>
        <v>49894.047</v>
      </c>
      <c r="E2" s="172">
        <f>VLOOKUP(A2,'תפוקה מצטברת מול אשתקד'!A:O,13,0)</f>
        <v>49702.67866</v>
      </c>
    </row>
    <row r="3" ht="15.75" customHeight="1">
      <c r="A3" s="1" t="s">
        <v>51</v>
      </c>
      <c r="B3" s="17">
        <f t="shared" si="1"/>
        <v>0</v>
      </c>
      <c r="C3" s="127">
        <f t="shared" si="2"/>
        <v>-2399.63</v>
      </c>
      <c r="D3" s="128">
        <f>VLOOKUP(A3,'תפוקה מצטברת מול אשתקד'!A:K,9,0)</f>
        <v>0</v>
      </c>
      <c r="E3" s="172">
        <f>VLOOKUP(A3,'תפוקה מצטברת מול אשתקד'!A:O,13,0)</f>
        <v>2399.63</v>
      </c>
    </row>
    <row r="4" ht="15.75" customHeight="1">
      <c r="A4" s="1" t="s">
        <v>71</v>
      </c>
      <c r="B4" s="17">
        <f t="shared" si="1"/>
        <v>0</v>
      </c>
      <c r="C4" s="127">
        <f t="shared" si="2"/>
        <v>0</v>
      </c>
      <c r="D4" s="128">
        <f>VLOOKUP(A4,'תפוקה מצטברת מול אשתקד'!A:K,9,0)</f>
        <v>0</v>
      </c>
      <c r="E4" s="172">
        <f>VLOOKUP(A4,'תפוקה מצטברת מול אשתקד'!A:O,13,0)</f>
        <v>0</v>
      </c>
    </row>
    <row r="5" ht="15.75" customHeight="1">
      <c r="A5" s="1" t="s">
        <v>44</v>
      </c>
      <c r="B5" s="17">
        <f t="shared" si="1"/>
        <v>-0.1787686737</v>
      </c>
      <c r="C5" s="127">
        <f t="shared" si="2"/>
        <v>-15748.46006</v>
      </c>
      <c r="D5" s="128">
        <f>VLOOKUP(A5,'תפוקה מצטברת מול אשתקד'!A:K,9,0)</f>
        <v>72345.61</v>
      </c>
      <c r="E5" s="172">
        <f>VLOOKUP(A5,'תפוקה מצטברת מול אשתקד'!A:O,13,0)</f>
        <v>88094.07006</v>
      </c>
    </row>
    <row r="6" ht="15.75" customHeight="1">
      <c r="A6" s="1" t="s">
        <v>59</v>
      </c>
      <c r="B6" s="17">
        <f t="shared" si="1"/>
        <v>-1.886251761</v>
      </c>
      <c r="C6" s="127">
        <f t="shared" si="2"/>
        <v>-8610.23</v>
      </c>
      <c r="D6" s="128">
        <f>VLOOKUP(A6,'תפוקה מצטברת מול אשתקד'!A:K,9,0)</f>
        <v>-4045.5</v>
      </c>
      <c r="E6" s="172">
        <f>VLOOKUP(A6,'תפוקה מצטברת מול אשתקד'!A:O,13,0)</f>
        <v>4564.73</v>
      </c>
      <c r="F6" s="173"/>
    </row>
    <row r="7" ht="15.75" customHeight="1">
      <c r="A7" s="1" t="s">
        <v>65</v>
      </c>
      <c r="B7" s="17">
        <f t="shared" si="1"/>
        <v>0</v>
      </c>
      <c r="C7" s="127">
        <f t="shared" si="2"/>
        <v>0</v>
      </c>
      <c r="D7" s="128">
        <f>VLOOKUP(A7,'תפוקה מצטברת מול אשתקד'!A:K,9,0)</f>
        <v>0</v>
      </c>
      <c r="E7" s="172">
        <f>VLOOKUP(A7,'תפוקה מצטברת מול אשתקד'!A:O,13,0)</f>
        <v>0</v>
      </c>
    </row>
    <row r="8" ht="15.75" customHeight="1">
      <c r="A8" s="1" t="s">
        <v>18</v>
      </c>
      <c r="B8" s="17">
        <f t="shared" si="1"/>
        <v>1</v>
      </c>
      <c r="C8" s="127">
        <f t="shared" si="2"/>
        <v>40998.67849</v>
      </c>
      <c r="D8" s="128">
        <f>VLOOKUP(A8,'תפוקה מצטברת מול אשתקד'!A:K,9,0)</f>
        <v>40998.67849</v>
      </c>
      <c r="E8" s="172">
        <f>VLOOKUP(A8,'תפוקה מצטברת מול אשתקד'!A:O,13,0)</f>
        <v>0</v>
      </c>
    </row>
    <row r="9" ht="15.75" customHeight="1">
      <c r="A9" s="30" t="s">
        <v>50</v>
      </c>
      <c r="B9" s="17">
        <f t="shared" si="1"/>
        <v>-0.3556459634</v>
      </c>
      <c r="C9" s="127">
        <f t="shared" si="2"/>
        <v>-149050.8127</v>
      </c>
      <c r="D9" s="128">
        <f>VLOOKUP(A9,'תפוקה מצטברת מול אשתקד'!A:K,9,0)</f>
        <v>270048.0329</v>
      </c>
      <c r="E9" s="172">
        <f>VLOOKUP(A9,'תפוקה מצטברת מול אשתקד'!A:O,13,0)</f>
        <v>419098.8456</v>
      </c>
    </row>
    <row r="10" ht="15.75" customHeight="1">
      <c r="A10" s="1" t="s">
        <v>30</v>
      </c>
      <c r="B10" s="17">
        <f t="shared" si="1"/>
        <v>0.4462707489</v>
      </c>
      <c r="C10" s="127">
        <f t="shared" si="2"/>
        <v>73714.77299</v>
      </c>
      <c r="D10" s="128">
        <f>VLOOKUP(A10,'תפוקה מצטברת מול אשתקד'!A:K,9,0)</f>
        <v>238894.2591</v>
      </c>
      <c r="E10" s="172">
        <f>VLOOKUP(A10,'תפוקה מצטברת מול אשתקד'!A:O,13,0)</f>
        <v>165179.4862</v>
      </c>
    </row>
    <row r="11" ht="15.75" customHeight="1">
      <c r="A11" s="1" t="s">
        <v>48</v>
      </c>
      <c r="B11" s="17">
        <f t="shared" si="1"/>
        <v>0</v>
      </c>
      <c r="C11" s="127">
        <f t="shared" si="2"/>
        <v>-7.46</v>
      </c>
      <c r="D11" s="128">
        <f>VLOOKUP(A11,'תפוקה מצטברת מול אשתקד'!A:K,9,0)</f>
        <v>0</v>
      </c>
      <c r="E11" s="172">
        <f>VLOOKUP(A11,'תפוקה מצטברת מול אשתקד'!A:O,13,0)</f>
        <v>7.46</v>
      </c>
    </row>
    <row r="12" ht="15.75" customHeight="1">
      <c r="A12" s="1" t="s">
        <v>58</v>
      </c>
      <c r="B12" s="17">
        <f t="shared" si="1"/>
        <v>1</v>
      </c>
      <c r="C12" s="127">
        <f t="shared" si="2"/>
        <v>5611.478</v>
      </c>
      <c r="D12" s="128">
        <f>VLOOKUP(A12,'תפוקה מצטברת מול אשתקד'!A:K,9,0)</f>
        <v>5611.478</v>
      </c>
      <c r="E12" s="172">
        <f>VLOOKUP(A12,'תפוקה מצטברת מול אשתקד'!A:O,13,0)</f>
        <v>0</v>
      </c>
    </row>
    <row r="13" ht="15.75" customHeight="1">
      <c r="A13" s="1" t="s">
        <v>34</v>
      </c>
      <c r="B13" s="17">
        <f t="shared" si="1"/>
        <v>0</v>
      </c>
      <c r="C13" s="127">
        <f t="shared" si="2"/>
        <v>-4120.683044</v>
      </c>
      <c r="D13" s="128">
        <f>VLOOKUP(A13,'תפוקה מצטברת מול אשתקד'!A:K,9,0)</f>
        <v>0</v>
      </c>
      <c r="E13" s="172">
        <f>VLOOKUP(A13,'תפוקה מצטברת מול אשתקד'!A:O,13,0)</f>
        <v>4120.683044</v>
      </c>
    </row>
    <row r="14" ht="15.75" customHeight="1">
      <c r="A14" s="1" t="s">
        <v>61</v>
      </c>
      <c r="B14" s="17">
        <f t="shared" si="1"/>
        <v>10.78350628</v>
      </c>
      <c r="C14" s="127">
        <f t="shared" si="2"/>
        <v>20825.97</v>
      </c>
      <c r="D14" s="128">
        <f>VLOOKUP(A14,'תפוקה מצטברת מול אשתקד'!A:K,9,0)</f>
        <v>22757.25</v>
      </c>
      <c r="E14" s="172">
        <f>VLOOKUP(A14,'תפוקה מצטברת מול אשתקד'!A:O,13,0)</f>
        <v>1931.28</v>
      </c>
    </row>
    <row r="15" ht="15.75" customHeight="1">
      <c r="A15" s="1" t="s">
        <v>84</v>
      </c>
      <c r="B15" s="17">
        <f t="shared" si="1"/>
        <v>2.353092647</v>
      </c>
      <c r="C15" s="127">
        <f t="shared" si="2"/>
        <v>32759.67221</v>
      </c>
      <c r="D15" s="128">
        <f>VLOOKUP(A15,'תפוקה מצטברת מול אשתקד'!A:K,9,0)</f>
        <v>46681.63667</v>
      </c>
      <c r="E15" s="172">
        <f>VLOOKUP(A15,'תפוקה מצטברת מול אשתקד'!A:O,13,0)</f>
        <v>13921.96446</v>
      </c>
    </row>
    <row r="16" ht="15.75" customHeight="1">
      <c r="A16" s="1" t="s">
        <v>73</v>
      </c>
      <c r="B16" s="17">
        <f t="shared" si="1"/>
        <v>0</v>
      </c>
      <c r="C16" s="127">
        <f t="shared" si="2"/>
        <v>-2470.26</v>
      </c>
      <c r="D16" s="128">
        <f>VLOOKUP(A16,'תפוקה מצטברת מול אשתקד'!A:K,9,0)</f>
        <v>0</v>
      </c>
      <c r="E16" s="172">
        <f>VLOOKUP(A16,'תפוקה מצטברת מול אשתקד'!A:O,13,0)</f>
        <v>2470.26</v>
      </c>
    </row>
    <row r="17" ht="15.75" customHeight="1">
      <c r="A17" s="23" t="s">
        <v>60</v>
      </c>
      <c r="B17" s="17">
        <f t="shared" si="1"/>
        <v>0.9299082234</v>
      </c>
      <c r="C17" s="127">
        <f t="shared" si="2"/>
        <v>1938.31</v>
      </c>
      <c r="D17" s="128">
        <f>VLOOKUP(A17,'תפוקה מצטברת מול אשתקד'!A:K,9,0)</f>
        <v>4022.72</v>
      </c>
      <c r="E17" s="172">
        <f>VLOOKUP(A17,'תפוקה מצטברת מול אשתקד'!A:O,13,0)</f>
        <v>2084.41</v>
      </c>
    </row>
    <row r="18" ht="15.75" customHeight="1">
      <c r="A18" s="1" t="s">
        <v>45</v>
      </c>
      <c r="B18" s="17">
        <f t="shared" si="1"/>
        <v>-0.05082124375</v>
      </c>
      <c r="C18" s="127">
        <f t="shared" si="2"/>
        <v>-5241.875427</v>
      </c>
      <c r="D18" s="128">
        <f>VLOOKUP(A18,'תפוקה מצטברת מול אשתקד'!A:K,9,0)</f>
        <v>97901.51581</v>
      </c>
      <c r="E18" s="172">
        <f>VLOOKUP(A18,'תפוקה מצטברת מול אשתקד'!A:O,13,0)</f>
        <v>103143.3912</v>
      </c>
    </row>
    <row r="19" ht="15.75" customHeight="1">
      <c r="A19" s="1" t="s">
        <v>78</v>
      </c>
      <c r="B19" s="17">
        <f t="shared" si="1"/>
        <v>-0.2621476408</v>
      </c>
      <c r="C19" s="127">
        <f t="shared" si="2"/>
        <v>-8832.873743</v>
      </c>
      <c r="D19" s="128">
        <f>VLOOKUP(A19,'תפוקה מצטברת מול אשתקד'!A:K,9,0)</f>
        <v>24861.39761</v>
      </c>
      <c r="E19" s="172">
        <f>VLOOKUP(A19,'תפוקה מצטברת מול אשתקד'!A:O,13,0)</f>
        <v>33694.27136</v>
      </c>
    </row>
    <row r="20" ht="15.75" customHeight="1">
      <c r="A20" s="1" t="s">
        <v>64</v>
      </c>
      <c r="B20" s="17">
        <f t="shared" si="1"/>
        <v>-7.30754267</v>
      </c>
      <c r="C20" s="127">
        <f t="shared" si="2"/>
        <v>3791.7867</v>
      </c>
      <c r="D20" s="128">
        <f>VLOOKUP(A20,'תפוקה מצטברת מול אשתקד'!A:K,9,0)</f>
        <v>3272.9</v>
      </c>
      <c r="E20" s="172">
        <f>VLOOKUP(A20,'תפוקה מצטברת מול אשתקד'!A:O,13,0)</f>
        <v>-518.8866998</v>
      </c>
    </row>
    <row r="21" ht="15.75" customHeight="1">
      <c r="A21" s="1" t="s">
        <v>63</v>
      </c>
      <c r="B21" s="17">
        <f t="shared" si="1"/>
        <v>-1.071213801</v>
      </c>
      <c r="C21" s="127">
        <f t="shared" si="2"/>
        <v>13086.73305</v>
      </c>
      <c r="D21" s="128">
        <f>VLOOKUP(A21,'תפוקה מצטברת מול אשתקד'!A:K,9,0)</f>
        <v>870</v>
      </c>
      <c r="E21" s="172">
        <f>VLOOKUP(A21,'תפוקה מצטברת מול אשתקד'!A:O,13,0)</f>
        <v>-12216.73305</v>
      </c>
    </row>
    <row r="22" ht="15.75" customHeight="1">
      <c r="A22" s="21" t="s">
        <v>33</v>
      </c>
      <c r="B22" s="17">
        <f t="shared" si="1"/>
        <v>1</v>
      </c>
      <c r="C22" s="127">
        <f t="shared" si="2"/>
        <v>8429.59</v>
      </c>
      <c r="D22" s="128">
        <f>VLOOKUP(A22,'תפוקה מצטברת מול אשתקד'!A:K,9,0)</f>
        <v>8429.59</v>
      </c>
      <c r="E22" s="172">
        <f>VLOOKUP(A22,'תפוקה מצטברת מול אשתקד'!A:O,13,0)</f>
        <v>0</v>
      </c>
    </row>
    <row r="23" ht="15.75" customHeight="1">
      <c r="A23" s="30" t="s">
        <v>55</v>
      </c>
      <c r="B23" s="17">
        <f t="shared" si="1"/>
        <v>-0.03190689634</v>
      </c>
      <c r="C23" s="127">
        <f t="shared" si="2"/>
        <v>-1436.843718</v>
      </c>
      <c r="D23" s="128">
        <f>VLOOKUP(A23,'תפוקה מצטברת מול אשתקד'!A:K,9,0)</f>
        <v>43595.54374</v>
      </c>
      <c r="E23" s="172">
        <f>VLOOKUP(A23,'תפוקה מצטברת מול אשתקד'!A:O,13,0)</f>
        <v>45032.38746</v>
      </c>
    </row>
    <row r="24" ht="15.75" customHeight="1">
      <c r="A24" s="1" t="s">
        <v>31</v>
      </c>
      <c r="B24" s="17">
        <f t="shared" si="1"/>
        <v>-0.02439987683</v>
      </c>
      <c r="C24" s="127">
        <f t="shared" si="2"/>
        <v>-3764.418277</v>
      </c>
      <c r="D24" s="128">
        <f>VLOOKUP(A24,'תפוקה מצטברת מול אשתקד'!A:K,9,0)</f>
        <v>150515.7981</v>
      </c>
      <c r="E24" s="172">
        <f>VLOOKUP(A24,'תפוקה מצטברת מול אשתקד'!A:O,13,0)</f>
        <v>154280.2164</v>
      </c>
    </row>
    <row r="25" ht="15.75" customHeight="1">
      <c r="A25" s="1" t="s">
        <v>53</v>
      </c>
      <c r="B25" s="17">
        <f t="shared" si="1"/>
        <v>0</v>
      </c>
      <c r="C25" s="127">
        <f t="shared" si="2"/>
        <v>0</v>
      </c>
      <c r="D25" s="128">
        <f>VLOOKUP(A25,'תפוקה מצטברת מול אשתקד'!A:K,9,0)</f>
        <v>0</v>
      </c>
      <c r="E25" s="172">
        <f>VLOOKUP(A25,'תפוקה מצטברת מול אשתקד'!A:O,13,0)</f>
        <v>0</v>
      </c>
    </row>
    <row r="26" ht="15.75" customHeight="1">
      <c r="A26" s="30" t="s">
        <v>86</v>
      </c>
      <c r="B26" s="17">
        <f t="shared" si="1"/>
        <v>0.09160663325</v>
      </c>
      <c r="C26" s="127">
        <f t="shared" si="2"/>
        <v>37360.36288</v>
      </c>
      <c r="D26" s="128">
        <f>VLOOKUP(A26,'תפוקה מצטברת מול אשתקד'!A:K,9,0)</f>
        <v>445195.053</v>
      </c>
      <c r="E26" s="172">
        <f>VLOOKUP(A26,'תפוקה מצטברת מול אשתקד'!A:O,13,0)</f>
        <v>407834.6901</v>
      </c>
    </row>
    <row r="27" ht="15.75" customHeight="1">
      <c r="A27" s="36" t="s">
        <v>81</v>
      </c>
      <c r="B27" s="17">
        <f t="shared" si="1"/>
        <v>1</v>
      </c>
      <c r="C27" s="127">
        <f t="shared" si="2"/>
        <v>36068.21565</v>
      </c>
      <c r="D27" s="128">
        <f>VLOOKUP(A27,'תפוקה מצטברת מול אשתקד'!A:K,9,0)</f>
        <v>36068.21565</v>
      </c>
      <c r="E27" s="172">
        <f>VLOOKUP(A27,'תפוקה מצטברת מול אשתקד'!A:O,13,0)</f>
        <v>0</v>
      </c>
    </row>
    <row r="28" ht="15.75" customHeight="1">
      <c r="A28" s="1" t="s">
        <v>90</v>
      </c>
      <c r="B28" s="17">
        <f t="shared" si="1"/>
        <v>0.7144972503</v>
      </c>
      <c r="C28" s="127">
        <f t="shared" si="2"/>
        <v>32410.97915</v>
      </c>
      <c r="D28" s="128">
        <f>VLOOKUP(A28,'תפוקה מצטברת מול אשתקד'!A:K,9,0)</f>
        <v>77772.916</v>
      </c>
      <c r="E28" s="172">
        <f>VLOOKUP(A28,'תפוקה מצטברת מול אשתקד'!A:O,13,0)</f>
        <v>45361.93685</v>
      </c>
    </row>
    <row r="29" ht="15.75" customHeight="1">
      <c r="A29" s="30" t="s">
        <v>82</v>
      </c>
      <c r="B29" s="17">
        <f t="shared" si="1"/>
        <v>0</v>
      </c>
      <c r="C29" s="127">
        <f t="shared" si="2"/>
        <v>0</v>
      </c>
      <c r="D29" s="128">
        <f>VLOOKUP(A29,'תפוקה מצטברת מול אשתקד'!A:K,9,0)</f>
        <v>0</v>
      </c>
      <c r="E29" s="172">
        <f>VLOOKUP(A29,'תפוקה מצטברת מול אשתקד'!A:O,13,0)</f>
        <v>0</v>
      </c>
    </row>
    <row r="30" ht="15.75" customHeight="1">
      <c r="A30" s="1" t="s">
        <v>13</v>
      </c>
      <c r="B30" s="17">
        <f t="shared" si="1"/>
        <v>-0.6620767574</v>
      </c>
      <c r="C30" s="127">
        <f t="shared" si="2"/>
        <v>-556719.1145</v>
      </c>
      <c r="D30" s="128">
        <f>VLOOKUP(A30,'תפוקה מצטברת מול אשתקד'!A:K,9,0)</f>
        <v>284148.8185</v>
      </c>
      <c r="E30" s="172">
        <f>VLOOKUP(A30,'תפוקה מצטברת מול אשתקד'!A:O,13,0)</f>
        <v>840867.9329</v>
      </c>
    </row>
    <row r="31" ht="15.75" customHeight="1">
      <c r="A31" s="1" t="s">
        <v>93</v>
      </c>
      <c r="B31" s="17">
        <f t="shared" si="1"/>
        <v>0.02762218882</v>
      </c>
      <c r="C31" s="127">
        <f t="shared" si="2"/>
        <v>683.6484698</v>
      </c>
      <c r="D31" s="128">
        <f>VLOOKUP(A31,'תפוקה מצטברת מול אשתקד'!A:K,9,0)</f>
        <v>25433.623</v>
      </c>
      <c r="E31" s="172">
        <f>VLOOKUP(A31,'תפוקה מצטברת מול אשתקד'!A:O,13,0)</f>
        <v>24749.97453</v>
      </c>
    </row>
    <row r="32" ht="15.75" customHeight="1">
      <c r="A32" s="1" t="s">
        <v>70</v>
      </c>
      <c r="B32" s="17">
        <f t="shared" si="1"/>
        <v>1</v>
      </c>
      <c r="C32" s="127">
        <f t="shared" si="2"/>
        <v>1144.09133</v>
      </c>
      <c r="D32" s="128">
        <f>VLOOKUP(A32,'תפוקה מצטברת מול אשתקד'!A:K,9,0)</f>
        <v>1144.09133</v>
      </c>
      <c r="E32" s="172">
        <f>VLOOKUP(A32,'תפוקה מצטברת מול אשתקד'!A:O,13,0)</f>
        <v>0</v>
      </c>
    </row>
    <row r="33" ht="15.75" customHeight="1">
      <c r="A33" s="174" t="s">
        <v>79</v>
      </c>
      <c r="B33" s="17">
        <f t="shared" si="1"/>
        <v>1</v>
      </c>
      <c r="C33" s="127">
        <f t="shared" si="2"/>
        <v>7893.1615</v>
      </c>
      <c r="D33" s="128">
        <f>VLOOKUP(A33,'תפוקה מצטברת מול אשתקד'!A:K,9,0)</f>
        <v>7893.1615</v>
      </c>
      <c r="E33" s="172">
        <f>VLOOKUP(A33,'תפוקה מצטברת מול אשתקד'!A:O,13,0)</f>
        <v>0</v>
      </c>
    </row>
    <row r="34" ht="15.75" customHeight="1">
      <c r="A34" s="1" t="s">
        <v>19</v>
      </c>
      <c r="B34" s="17">
        <f t="shared" si="1"/>
        <v>-0.5783905857</v>
      </c>
      <c r="C34" s="127">
        <f t="shared" si="2"/>
        <v>-2439.557505</v>
      </c>
      <c r="D34" s="128">
        <f>VLOOKUP(A34,'תפוקה מצטברת מול אשתקד'!A:K,9,0)</f>
        <v>1778.28</v>
      </c>
      <c r="E34" s="172">
        <f>VLOOKUP(A34,'תפוקה מצטברת מול אשתקד'!A:O,13,0)</f>
        <v>4217.837505</v>
      </c>
    </row>
    <row r="35" ht="15.75" customHeight="1">
      <c r="A35" s="1" t="s">
        <v>88</v>
      </c>
      <c r="B35" s="17">
        <f t="shared" si="1"/>
        <v>-1.001534474</v>
      </c>
      <c r="C35" s="127">
        <f t="shared" si="2"/>
        <v>-27969.86561</v>
      </c>
      <c r="D35" s="128">
        <f>VLOOKUP(A35,'תפוקה מצטברת מול אשתקד'!A:K,9,0)</f>
        <v>-42.85328351</v>
      </c>
      <c r="E35" s="172">
        <f>VLOOKUP(A35,'תפוקה מצטברת מול אשתקד'!A:O,13,0)</f>
        <v>27927.01232</v>
      </c>
    </row>
    <row r="36" ht="15.75" customHeight="1">
      <c r="A36" s="1" t="s">
        <v>54</v>
      </c>
      <c r="B36" s="17">
        <f t="shared" si="1"/>
        <v>2.436082813</v>
      </c>
      <c r="C36" s="127">
        <f t="shared" si="2"/>
        <v>1853.25</v>
      </c>
      <c r="D36" s="128">
        <f>VLOOKUP(A36,'תפוקה מצטברת מול אשתקד'!A:K,9,0)</f>
        <v>2614</v>
      </c>
      <c r="E36" s="172">
        <f>VLOOKUP(A36,'תפוקה מצטברת מול אשתקד'!A:O,13,0)</f>
        <v>760.75</v>
      </c>
    </row>
    <row r="37" ht="15.75" customHeight="1">
      <c r="A37" s="1" t="s">
        <v>91</v>
      </c>
      <c r="B37" s="17">
        <f t="shared" si="1"/>
        <v>0.385831336</v>
      </c>
      <c r="C37" s="127">
        <f t="shared" si="2"/>
        <v>20590.84009</v>
      </c>
      <c r="D37" s="128">
        <f>VLOOKUP(A37,'תפוקה מצטברת מול אשתקד'!A:K,9,0)</f>
        <v>73958.3045</v>
      </c>
      <c r="E37" s="172">
        <f>VLOOKUP(A37,'תפוקה מצטברת מול אשתקד'!A:O,13,0)</f>
        <v>53367.46441</v>
      </c>
    </row>
    <row r="38" ht="15.75" customHeight="1">
      <c r="A38" s="1" t="s">
        <v>21</v>
      </c>
      <c r="B38" s="17">
        <f t="shared" si="1"/>
        <v>0.677054772</v>
      </c>
      <c r="C38" s="127">
        <f t="shared" si="2"/>
        <v>473.612</v>
      </c>
      <c r="D38" s="128">
        <f>VLOOKUP(A38,'תפוקה מצטברת מול אשתקד'!A:K,9,0)</f>
        <v>1173.13</v>
      </c>
      <c r="E38" s="172">
        <f>VLOOKUP(A38,'תפוקה מצטברת מול אשתקד'!A:O,13,0)</f>
        <v>699.518</v>
      </c>
    </row>
    <row r="39" ht="15.75" customHeight="1">
      <c r="A39" s="1" t="s">
        <v>17</v>
      </c>
      <c r="B39" s="17">
        <f t="shared" si="1"/>
        <v>1</v>
      </c>
      <c r="C39" s="127">
        <f t="shared" si="2"/>
        <v>53005.69616</v>
      </c>
      <c r="D39" s="128">
        <f>VLOOKUP(A39,'תפוקה מצטברת מול אשתקד'!A:K,9,0)</f>
        <v>53005.69616</v>
      </c>
      <c r="E39" s="172">
        <f>VLOOKUP(A39,'תפוקה מצטברת מול אשתקד'!A:O,13,0)</f>
        <v>0</v>
      </c>
    </row>
    <row r="40" ht="15.75" customHeight="1">
      <c r="A40" s="1" t="s">
        <v>89</v>
      </c>
      <c r="B40" s="17">
        <f t="shared" si="1"/>
        <v>-1.039838479</v>
      </c>
      <c r="C40" s="127">
        <f t="shared" si="2"/>
        <v>-7712.170053</v>
      </c>
      <c r="D40" s="128">
        <f>VLOOKUP(A40,'תפוקה מצטברת מול אשתקד'!A:K,9,0)</f>
        <v>-295.4700458</v>
      </c>
      <c r="E40" s="172">
        <f>VLOOKUP(A40,'תפוקה מצטברת מול אשתקד'!A:O,13,0)</f>
        <v>7416.700007</v>
      </c>
    </row>
    <row r="41" ht="15.75" customHeight="1">
      <c r="A41" s="30" t="s">
        <v>39</v>
      </c>
      <c r="B41" s="17">
        <f t="shared" si="1"/>
        <v>-0.7827264086</v>
      </c>
      <c r="C41" s="127">
        <f t="shared" si="2"/>
        <v>-11109.39539</v>
      </c>
      <c r="D41" s="128">
        <f>VLOOKUP(A41,'תפוקה מצטברת מול אשתקד'!A:K,9,0)</f>
        <v>3083.808349</v>
      </c>
      <c r="E41" s="172">
        <f>VLOOKUP(A41,'תפוקה מצטברת מול אשתקד'!A:O,13,0)</f>
        <v>14193.20374</v>
      </c>
    </row>
    <row r="42" ht="15.75" customHeight="1">
      <c r="A42" s="1" t="s">
        <v>75</v>
      </c>
      <c r="B42" s="17">
        <f t="shared" si="1"/>
        <v>-0.7602590668</v>
      </c>
      <c r="C42" s="127">
        <f t="shared" si="2"/>
        <v>-92662.86461</v>
      </c>
      <c r="D42" s="128">
        <f>VLOOKUP(A42,'תפוקה מצטברת מול אשתקד'!A:K,9,0)</f>
        <v>29220.41</v>
      </c>
      <c r="E42" s="172">
        <f>VLOOKUP(A42,'תפוקה מצטברת מול אשתקד'!A:O,13,0)</f>
        <v>121883.2746</v>
      </c>
    </row>
    <row r="43" ht="15.75" customHeight="1">
      <c r="A43" s="1" t="s">
        <v>69</v>
      </c>
      <c r="B43" s="17">
        <f t="shared" si="1"/>
        <v>1</v>
      </c>
      <c r="C43" s="127">
        <f t="shared" si="2"/>
        <v>10877.9</v>
      </c>
      <c r="D43" s="128">
        <f>VLOOKUP(A43,'תפוקה מצטברת מול אשתקד'!A:K,9,0)</f>
        <v>10877.9</v>
      </c>
      <c r="E43" s="172">
        <f>VLOOKUP(A43,'תפוקה מצטברת מול אשתקד'!A:O,13,0)</f>
        <v>0</v>
      </c>
    </row>
    <row r="44" ht="15.75" customHeight="1">
      <c r="A44" s="1" t="s">
        <v>23</v>
      </c>
      <c r="B44" s="17">
        <f t="shared" si="1"/>
        <v>1.005248999</v>
      </c>
      <c r="C44" s="127">
        <f t="shared" si="2"/>
        <v>512958.4448</v>
      </c>
      <c r="D44" s="128">
        <f>VLOOKUP(A44,'תפוקה מצטברת מול אשתקד'!A:K,9,0)</f>
        <v>1023238.43</v>
      </c>
      <c r="E44" s="172">
        <f>VLOOKUP(A44,'תפוקה מצטברת מול אשתקד'!A:O,13,0)</f>
        <v>510279.9855</v>
      </c>
    </row>
    <row r="45" ht="15.75" customHeight="1">
      <c r="A45" s="1" t="s">
        <v>27</v>
      </c>
      <c r="B45" s="17">
        <f t="shared" si="1"/>
        <v>0.1934914375</v>
      </c>
      <c r="C45" s="127">
        <f t="shared" si="2"/>
        <v>7180.68672</v>
      </c>
      <c r="D45" s="128">
        <f>VLOOKUP(A45,'תפוקה מצטברת מול אשתקד'!A:K,9,0)</f>
        <v>44291.821</v>
      </c>
      <c r="E45" s="172">
        <f>VLOOKUP(A45,'תפוקה מצטברת מול אשתקד'!A:O,13,0)</f>
        <v>37111.13428</v>
      </c>
    </row>
    <row r="46" ht="15.75" customHeight="1">
      <c r="A46" s="23" t="s">
        <v>28</v>
      </c>
      <c r="B46" s="17">
        <f t="shared" si="1"/>
        <v>0</v>
      </c>
      <c r="C46" s="127">
        <f t="shared" si="2"/>
        <v>-552.0850493</v>
      </c>
      <c r="D46" s="128">
        <f>VLOOKUP(A46,'תפוקה מצטברת מול אשתקד'!A:K,9,0)</f>
        <v>0</v>
      </c>
      <c r="E46" s="172">
        <f>VLOOKUP(A46,'תפוקה מצטברת מול אשתקד'!A:O,13,0)</f>
        <v>552.0850493</v>
      </c>
    </row>
    <row r="47" ht="15.75" customHeight="1">
      <c r="A47" s="30" t="s">
        <v>77</v>
      </c>
      <c r="B47" s="17">
        <f t="shared" si="1"/>
        <v>-4.42281089</v>
      </c>
      <c r="C47" s="127">
        <f t="shared" si="2"/>
        <v>12065.28429</v>
      </c>
      <c r="D47" s="128">
        <f>VLOOKUP(A47,'תפוקה מצטברת מול אשתקד'!A:K,9,0)</f>
        <v>9337.316811</v>
      </c>
      <c r="E47" s="172">
        <f>VLOOKUP(A47,'תפוקה מצטברת מול אשתקד'!A:O,13,0)</f>
        <v>-2727.967483</v>
      </c>
    </row>
    <row r="48" ht="15.75" customHeight="1">
      <c r="A48" s="1" t="s">
        <v>56</v>
      </c>
      <c r="B48" s="17">
        <f t="shared" si="1"/>
        <v>-0.4161999905</v>
      </c>
      <c r="C48" s="127">
        <f t="shared" si="2"/>
        <v>-15992.65171</v>
      </c>
      <c r="D48" s="128">
        <f>VLOOKUP(A48,'תפוקה מצטברת מול אשתקד'!A:K,9,0)</f>
        <v>22432.74973</v>
      </c>
      <c r="E48" s="172">
        <f>VLOOKUP(A48,'תפוקה מצטברת מול אשתקד'!A:O,13,0)</f>
        <v>38425.40145</v>
      </c>
    </row>
    <row r="49" ht="15.75" customHeight="1">
      <c r="A49" s="126" t="s">
        <v>92</v>
      </c>
      <c r="B49" s="17">
        <f t="shared" si="1"/>
        <v>0.2904285562</v>
      </c>
      <c r="C49" s="127">
        <f t="shared" si="2"/>
        <v>48621.21812</v>
      </c>
      <c r="D49" s="128">
        <f>VLOOKUP(A49,'תפוקה מצטברת מול אשתקד'!A:K,9,0)</f>
        <v>216033.1929</v>
      </c>
      <c r="E49" s="172">
        <f>VLOOKUP(A49,'תפוקה מצטברת מול אשתקד'!A:O,13,0)</f>
        <v>167411.9748</v>
      </c>
    </row>
    <row r="50" ht="15.75" customHeight="1">
      <c r="A50" s="1" t="s">
        <v>76</v>
      </c>
      <c r="B50" s="17">
        <f t="shared" si="1"/>
        <v>-0.2626904674</v>
      </c>
      <c r="C50" s="127">
        <f t="shared" si="2"/>
        <v>-36851.57042</v>
      </c>
      <c r="D50" s="128">
        <f>VLOOKUP(A50,'תפוקה מצטברת מול אשתקד'!A:K,9,0)</f>
        <v>103433.575</v>
      </c>
      <c r="E50" s="172">
        <f>VLOOKUP(A50,'תפוקה מצטברת מול אשתקד'!A:O,13,0)</f>
        <v>140285.1454</v>
      </c>
    </row>
    <row r="51" ht="15.75" customHeight="1">
      <c r="A51" s="1" t="s">
        <v>49</v>
      </c>
      <c r="B51" s="17">
        <f t="shared" si="1"/>
        <v>9.216742077</v>
      </c>
      <c r="C51" s="127">
        <f t="shared" si="2"/>
        <v>5984.744</v>
      </c>
      <c r="D51" s="128">
        <f>VLOOKUP(A51,'תפוקה מצטברת מול אשתקד'!A:K,9,0)</f>
        <v>6634.078</v>
      </c>
      <c r="E51" s="172">
        <f>VLOOKUP(A51,'תפוקה מצטברת מול אשתקד'!A:O,13,0)</f>
        <v>649.334</v>
      </c>
    </row>
    <row r="52" ht="15.75" customHeight="1">
      <c r="A52" s="21" t="s">
        <v>36</v>
      </c>
      <c r="B52" s="17">
        <f t="shared" si="1"/>
        <v>-0.01550917903</v>
      </c>
      <c r="C52" s="127">
        <f t="shared" si="2"/>
        <v>-1978.569659</v>
      </c>
      <c r="D52" s="128">
        <f>VLOOKUP(A52,'תפוקה מצטברת מול אשתקד'!A:K,9,0)</f>
        <v>125595.537</v>
      </c>
      <c r="E52" s="172">
        <f>VLOOKUP(A52,'תפוקה מצטברת מול אשתקד'!A:O,13,0)</f>
        <v>127574.1067</v>
      </c>
    </row>
    <row r="53" ht="15.75" customHeight="1">
      <c r="A53" s="21" t="s">
        <v>29</v>
      </c>
      <c r="B53" s="17">
        <f t="shared" si="1"/>
        <v>1.038348262</v>
      </c>
      <c r="C53" s="127">
        <f t="shared" si="2"/>
        <v>20048.963</v>
      </c>
      <c r="D53" s="128">
        <f>VLOOKUP(A53,'תפוקה מצטברת מול אשתקד'!A:K,9,0)</f>
        <v>39357.478</v>
      </c>
      <c r="E53" s="172">
        <f>VLOOKUP(A53,'תפוקה מצטברת מול אשתקד'!A:O,13,0)</f>
        <v>19308.515</v>
      </c>
    </row>
    <row r="54" ht="15.75" customHeight="1">
      <c r="A54" s="1" t="s">
        <v>32</v>
      </c>
      <c r="B54" s="17">
        <f t="shared" si="1"/>
        <v>0.1579920456</v>
      </c>
      <c r="C54" s="127">
        <f t="shared" si="2"/>
        <v>1289.569618</v>
      </c>
      <c r="D54" s="128">
        <f>VLOOKUP(A54,'תפוקה מצטברת מול אשתקד'!A:K,9,0)</f>
        <v>9451.813565</v>
      </c>
      <c r="E54" s="172">
        <f>VLOOKUP(A54,'תפוקה מצטברת מול אשתקד'!A:O,13,0)</f>
        <v>8162.243947</v>
      </c>
    </row>
    <row r="55" ht="15.75" customHeight="1">
      <c r="A55" s="35" t="s">
        <v>80</v>
      </c>
      <c r="B55" s="17">
        <f t="shared" si="1"/>
        <v>0</v>
      </c>
      <c r="C55" s="127">
        <f t="shared" si="2"/>
        <v>0</v>
      </c>
      <c r="D55" s="128">
        <f>VLOOKUP(A55,'תפוקה מצטברת מול אשתקד'!A:K,9,0)</f>
        <v>0</v>
      </c>
      <c r="E55" s="172">
        <f>VLOOKUP(A55,'תפוקה מצטברת מול אשתקד'!A:O,13,0)</f>
        <v>0</v>
      </c>
    </row>
    <row r="56" ht="15.75" customHeight="1">
      <c r="A56" s="1" t="s">
        <v>68</v>
      </c>
      <c r="B56" s="17">
        <f t="shared" si="1"/>
        <v>0.06554783541</v>
      </c>
      <c r="C56" s="127">
        <f t="shared" si="2"/>
        <v>141.8242612</v>
      </c>
      <c r="D56" s="128">
        <f>VLOOKUP(A56,'תפוקה מצטברת מול אשתקד'!A:K,9,0)</f>
        <v>2305.5</v>
      </c>
      <c r="E56" s="172">
        <f>VLOOKUP(A56,'תפוקה מצטברת מול אשתקד'!A:O,13,0)</f>
        <v>2163.675739</v>
      </c>
    </row>
    <row r="57" ht="15.75" customHeight="1">
      <c r="A57" s="1" t="s">
        <v>25</v>
      </c>
      <c r="B57" s="17">
        <f t="shared" si="1"/>
        <v>39.42196554</v>
      </c>
      <c r="C57" s="127">
        <f t="shared" si="2"/>
        <v>15607.235</v>
      </c>
      <c r="D57" s="128">
        <f>VLOOKUP(A57,'תפוקה מצטברת מול אשתקד'!A:K,9,0)</f>
        <v>16003.137</v>
      </c>
      <c r="E57" s="172">
        <f>VLOOKUP(A57,'תפוקה מצטברת מול אשתקד'!A:O,13,0)</f>
        <v>395.902</v>
      </c>
    </row>
    <row r="58" ht="15.75" customHeight="1">
      <c r="A58" s="1" t="s">
        <v>52</v>
      </c>
      <c r="B58" s="17">
        <f t="shared" si="1"/>
        <v>0.2075337697</v>
      </c>
      <c r="C58" s="127">
        <f t="shared" si="2"/>
        <v>-593.108911</v>
      </c>
      <c r="D58" s="128">
        <f>VLOOKUP(A58,'תפוקה מצטברת מול אשתקד'!A:K,9,0)</f>
        <v>-3451</v>
      </c>
      <c r="E58" s="172">
        <f>VLOOKUP(A58,'תפוקה מצטברת מול אשתקד'!A:O,13,0)</f>
        <v>-2857.891089</v>
      </c>
    </row>
    <row r="59" ht="15.75" customHeight="1">
      <c r="A59" s="1" t="s">
        <v>24</v>
      </c>
      <c r="B59" s="17">
        <f t="shared" si="1"/>
        <v>-0.5010626409</v>
      </c>
      <c r="C59" s="127">
        <f t="shared" si="2"/>
        <v>-40769.35738</v>
      </c>
      <c r="D59" s="128">
        <f>VLOOKUP(A59,'תפוקה מצטברת מול אשתקד'!A:K,9,0)</f>
        <v>40596.43216</v>
      </c>
      <c r="E59" s="172">
        <f>VLOOKUP(A59,'תפוקה מצטברת מול אשתקד'!A:O,13,0)</f>
        <v>81365.78954</v>
      </c>
    </row>
    <row r="60" ht="15.75" customHeight="1">
      <c r="A60" s="1" t="s">
        <v>62</v>
      </c>
      <c r="B60" s="17">
        <f t="shared" si="1"/>
        <v>-0.1442562456</v>
      </c>
      <c r="C60" s="127">
        <f t="shared" si="2"/>
        <v>-2400.100253</v>
      </c>
      <c r="D60" s="128">
        <f>VLOOKUP(A60,'תפוקה מצטברת מול אשתקד'!A:K,9,0)</f>
        <v>14237.656</v>
      </c>
      <c r="E60" s="172">
        <f>VLOOKUP(A60,'תפוקה מצטברת מול אשתקד'!A:O,13,0)</f>
        <v>16637.75625</v>
      </c>
    </row>
    <row r="61" ht="15.75" customHeight="1">
      <c r="A61" s="1" t="s">
        <v>26</v>
      </c>
      <c r="B61" s="17">
        <f t="shared" si="1"/>
        <v>-0.329092808</v>
      </c>
      <c r="C61" s="127">
        <f t="shared" si="2"/>
        <v>-70133.94224</v>
      </c>
      <c r="D61" s="128">
        <f>VLOOKUP(A61,'תפוקה מצטברת מול אשתקד'!A:K,9,0)</f>
        <v>142979.0172</v>
      </c>
      <c r="E61" s="172">
        <f>VLOOKUP(A61,'תפוקה מצטברת מול אשתקד'!A:O,13,0)</f>
        <v>213112.9594</v>
      </c>
    </row>
    <row r="62" ht="15.75" customHeight="1">
      <c r="A62" s="30" t="s">
        <v>40</v>
      </c>
      <c r="B62" s="17">
        <f t="shared" si="1"/>
        <v>-0.4326187515</v>
      </c>
      <c r="C62" s="127">
        <f t="shared" si="2"/>
        <v>-9763.160051</v>
      </c>
      <c r="D62" s="128">
        <f>VLOOKUP(A62,'תפוקה מצטברת מול אשתקד'!A:K,9,0)</f>
        <v>12804.42403</v>
      </c>
      <c r="E62" s="172">
        <f>VLOOKUP(A62,'תפוקה מצטברת מול אשתקד'!A:O,13,0)</f>
        <v>22567.58409</v>
      </c>
    </row>
    <row r="63" ht="15.75" customHeight="1">
      <c r="A63" s="1" t="s">
        <v>46</v>
      </c>
      <c r="B63" s="17">
        <f t="shared" si="1"/>
        <v>-0.9944126027</v>
      </c>
      <c r="C63" s="127">
        <f t="shared" si="2"/>
        <v>-1738.808</v>
      </c>
      <c r="D63" s="128">
        <f>VLOOKUP(A63,'תפוקה מצטברת מול אשתקד'!A:K,9,0)</f>
        <v>9.77</v>
      </c>
      <c r="E63" s="172">
        <f>VLOOKUP(A63,'תפוקה מצטברת מול אשתקד'!A:O,13,0)</f>
        <v>1748.578</v>
      </c>
    </row>
    <row r="64" ht="15.75" customHeight="1">
      <c r="A64" s="1" t="s">
        <v>16</v>
      </c>
      <c r="B64" s="17">
        <f t="shared" si="1"/>
        <v>-0.4227216221</v>
      </c>
      <c r="C64" s="127">
        <f t="shared" si="2"/>
        <v>-2893.409206</v>
      </c>
      <c r="D64" s="128">
        <f>VLOOKUP(A64,'תפוקה מצטברת מול אשתקד'!A:K,9,0)</f>
        <v>3951.306216</v>
      </c>
      <c r="E64" s="172">
        <f>VLOOKUP(A64,'תפוקה מצטברת מול אשתקד'!A:O,13,0)</f>
        <v>6844.715422</v>
      </c>
    </row>
    <row r="65" ht="15.75" customHeight="1">
      <c r="A65" s="30" t="s">
        <v>41</v>
      </c>
      <c r="B65" s="17">
        <f t="shared" si="1"/>
        <v>0.02197905903</v>
      </c>
      <c r="C65" s="127">
        <f t="shared" si="2"/>
        <v>2274.878394</v>
      </c>
      <c r="D65" s="128">
        <f>VLOOKUP(A65,'תפוקה מצטברת מול אשתקד'!A:K,9,0)</f>
        <v>105776.9615</v>
      </c>
      <c r="E65" s="172">
        <f>VLOOKUP(A65,'תפוקה מצטברת מול אשתקד'!A:O,13,0)</f>
        <v>103502.0831</v>
      </c>
    </row>
    <row r="66" ht="15.75" customHeight="1">
      <c r="A66" s="30" t="s">
        <v>42</v>
      </c>
      <c r="B66" s="17">
        <f t="shared" si="1"/>
        <v>0.02580820021</v>
      </c>
      <c r="C66" s="127">
        <f t="shared" si="2"/>
        <v>1463.141533</v>
      </c>
      <c r="D66" s="128">
        <f>VLOOKUP(A66,'תפוקה מצטברת מול אשתקד'!A:K,9,0)</f>
        <v>58156.03453</v>
      </c>
      <c r="E66" s="172">
        <f>VLOOKUP(A66,'תפוקה מצטברת מול אשתקד'!A:O,13,0)</f>
        <v>56692.893</v>
      </c>
    </row>
    <row r="67" ht="15.75" customHeight="1">
      <c r="A67" s="175" t="s">
        <v>67</v>
      </c>
      <c r="B67" s="17">
        <f t="shared" si="1"/>
        <v>0</v>
      </c>
      <c r="C67" s="127">
        <f t="shared" si="2"/>
        <v>-1133.459676</v>
      </c>
      <c r="D67" s="128">
        <f>VLOOKUP(A67,'תפוקה מצטברת מול אשתקד'!A:K,9,0)</f>
        <v>0</v>
      </c>
      <c r="E67" s="172">
        <f>VLOOKUP(A67,'תפוקה מצטברת מול אשתקד'!A:O,13,0)</f>
        <v>1133.459676</v>
      </c>
    </row>
    <row r="68" ht="15.75" customHeight="1">
      <c r="A68" s="1" t="s">
        <v>57</v>
      </c>
      <c r="B68" s="17">
        <f t="shared" si="1"/>
        <v>2.111393724</v>
      </c>
      <c r="C68" s="127">
        <f t="shared" si="2"/>
        <v>21415.84754</v>
      </c>
      <c r="D68" s="128">
        <f>VLOOKUP(A68,'תפוקה מצטברת מול אשתקד'!A:K,9,0)</f>
        <v>31558.83854</v>
      </c>
      <c r="E68" s="172">
        <f>VLOOKUP(A68,'תפוקה מצטברת מול אשתקד'!A:O,13,0)</f>
        <v>10142.991</v>
      </c>
    </row>
    <row r="69" ht="15.75" customHeight="1">
      <c r="A69" s="1" t="s">
        <v>47</v>
      </c>
      <c r="B69" s="17">
        <f t="shared" si="1"/>
        <v>0.002241933241</v>
      </c>
      <c r="C69" s="127">
        <f t="shared" si="2"/>
        <v>10.90549051</v>
      </c>
      <c r="D69" s="128">
        <f>VLOOKUP(A69,'תפוקה מצטברת מול אשתקד'!A:K,9,0)</f>
        <v>4875.229867</v>
      </c>
      <c r="E69" s="172">
        <f>VLOOKUP(A69,'תפוקה מצטברת מול אשתקד'!A:O,13,0)</f>
        <v>4864.324376</v>
      </c>
    </row>
    <row r="70" ht="15.75" customHeight="1">
      <c r="A70" s="176"/>
      <c r="B70" s="173"/>
      <c r="C70" s="173"/>
      <c r="D70" s="173"/>
      <c r="E70" s="173"/>
    </row>
    <row r="71" ht="15.75" customHeight="1">
      <c r="A71" s="176"/>
      <c r="B71" s="173"/>
      <c r="C71" s="173"/>
      <c r="D71" s="173"/>
      <c r="E71" s="173"/>
    </row>
    <row r="72" ht="15.75" customHeight="1">
      <c r="A72" s="176"/>
      <c r="B72" s="173"/>
      <c r="C72" s="173"/>
      <c r="D72" s="173"/>
      <c r="E72" s="173"/>
    </row>
    <row r="73" ht="15.75" customHeight="1">
      <c r="A73" s="176"/>
      <c r="B73" s="173"/>
      <c r="C73" s="173"/>
      <c r="D73" s="173"/>
      <c r="E73" s="173"/>
    </row>
    <row r="74" ht="15.75" customHeight="1">
      <c r="A74" s="176"/>
      <c r="B74" s="173"/>
      <c r="C74" s="173"/>
      <c r="D74" s="173"/>
      <c r="E74" s="173"/>
    </row>
    <row r="75" ht="15.75" customHeight="1">
      <c r="A75" s="176"/>
      <c r="B75" s="173"/>
      <c r="C75" s="173"/>
      <c r="D75" s="173"/>
      <c r="E75" s="173"/>
    </row>
    <row r="76" ht="15.75" customHeight="1">
      <c r="A76" s="176"/>
      <c r="B76" s="173"/>
      <c r="C76" s="173"/>
      <c r="D76" s="173"/>
      <c r="E76" s="173"/>
    </row>
    <row r="77" ht="15.75" customHeight="1">
      <c r="A77" s="176"/>
      <c r="B77" s="173"/>
      <c r="C77" s="173"/>
      <c r="D77" s="173"/>
      <c r="E77" s="173"/>
    </row>
    <row r="78" ht="15.75" customHeight="1">
      <c r="A78" s="176"/>
      <c r="B78" s="173"/>
      <c r="C78" s="173"/>
      <c r="D78" s="173"/>
      <c r="E78" s="173"/>
    </row>
    <row r="79" ht="15.75" customHeight="1">
      <c r="A79" s="176"/>
      <c r="B79" s="173"/>
      <c r="C79" s="173"/>
      <c r="D79" s="173"/>
      <c r="E79" s="173"/>
    </row>
    <row r="80" ht="15.75" customHeight="1">
      <c r="A80" s="176"/>
      <c r="B80" s="173"/>
      <c r="C80" s="173"/>
      <c r="D80" s="173"/>
      <c r="E80" s="173"/>
    </row>
    <row r="81" ht="15.75" customHeight="1">
      <c r="A81" s="176"/>
      <c r="B81" s="173"/>
      <c r="C81" s="173"/>
      <c r="D81" s="173"/>
      <c r="E81" s="173"/>
    </row>
    <row r="82" ht="15.75" customHeight="1">
      <c r="A82" s="176"/>
      <c r="B82" s="173"/>
      <c r="C82" s="173"/>
      <c r="D82" s="173"/>
      <c r="E82" s="173"/>
    </row>
    <row r="83" ht="15.75" customHeight="1">
      <c r="A83" s="176"/>
      <c r="B83" s="173"/>
      <c r="C83" s="173"/>
      <c r="D83" s="173"/>
      <c r="E83" s="173"/>
    </row>
    <row r="84" ht="15.75" customHeight="1">
      <c r="A84" s="176"/>
      <c r="B84" s="173"/>
      <c r="C84" s="173"/>
      <c r="D84" s="173"/>
      <c r="E84" s="173"/>
    </row>
    <row r="85" ht="15.75" customHeight="1">
      <c r="A85" s="176"/>
      <c r="B85" s="173"/>
      <c r="C85" s="173"/>
      <c r="D85" s="173"/>
      <c r="E85" s="173"/>
    </row>
    <row r="86" ht="15.75" customHeight="1">
      <c r="A86" s="176"/>
      <c r="B86" s="173"/>
      <c r="C86" s="173"/>
      <c r="D86" s="173"/>
      <c r="E86" s="173"/>
    </row>
    <row r="87" ht="15.75" customHeight="1">
      <c r="A87" s="176"/>
      <c r="B87" s="173"/>
      <c r="C87" s="173"/>
      <c r="D87" s="173"/>
      <c r="E87" s="173"/>
    </row>
    <row r="88" ht="15.75" customHeight="1">
      <c r="A88" s="176"/>
      <c r="B88" s="173"/>
      <c r="C88" s="173"/>
      <c r="D88" s="173"/>
      <c r="E88" s="173"/>
    </row>
    <row r="89" ht="15.75" customHeight="1">
      <c r="A89" s="176"/>
      <c r="B89" s="173"/>
      <c r="C89" s="173"/>
      <c r="D89" s="173"/>
      <c r="E89" s="173"/>
    </row>
    <row r="90" ht="15.75" customHeight="1">
      <c r="A90" s="176"/>
      <c r="B90" s="173"/>
      <c r="C90" s="173"/>
      <c r="D90" s="173"/>
      <c r="E90" s="173"/>
    </row>
    <row r="91" ht="15.75" customHeight="1">
      <c r="A91" s="176"/>
      <c r="B91" s="173"/>
      <c r="C91" s="173"/>
      <c r="D91" s="173"/>
      <c r="E91" s="173"/>
    </row>
    <row r="92" ht="15.75" customHeight="1">
      <c r="A92" s="176"/>
      <c r="B92" s="173"/>
      <c r="C92" s="173"/>
      <c r="D92" s="173"/>
      <c r="E92" s="173"/>
    </row>
    <row r="93" ht="15.75" customHeight="1">
      <c r="A93" s="176"/>
      <c r="B93" s="173"/>
      <c r="C93" s="173"/>
      <c r="D93" s="173"/>
      <c r="E93" s="173"/>
    </row>
    <row r="94" ht="15.75" customHeight="1">
      <c r="A94" s="176"/>
      <c r="B94" s="173"/>
      <c r="C94" s="173"/>
      <c r="D94" s="173"/>
      <c r="E94" s="173"/>
    </row>
    <row r="95" ht="15.75" customHeight="1">
      <c r="A95" s="176"/>
      <c r="B95" s="173"/>
      <c r="C95" s="173"/>
      <c r="D95" s="173"/>
      <c r="E95" s="173"/>
    </row>
    <row r="96" ht="15.75" customHeight="1">
      <c r="A96" s="176"/>
      <c r="B96" s="173"/>
      <c r="C96" s="173"/>
      <c r="D96" s="173"/>
      <c r="E96" s="173"/>
    </row>
    <row r="97" ht="15.75" customHeight="1">
      <c r="A97" s="176"/>
      <c r="B97" s="173"/>
      <c r="C97" s="173"/>
      <c r="D97" s="173"/>
      <c r="E97" s="173"/>
    </row>
    <row r="98" ht="15.75" customHeight="1">
      <c r="A98" s="176"/>
      <c r="B98" s="173"/>
      <c r="C98" s="173"/>
      <c r="D98" s="173"/>
      <c r="E98" s="173"/>
    </row>
    <row r="99" ht="15.75" customHeight="1">
      <c r="A99" s="176"/>
      <c r="B99" s="173"/>
      <c r="C99" s="173"/>
      <c r="D99" s="173"/>
      <c r="E99" s="173"/>
    </row>
    <row r="100" ht="15.75" customHeight="1">
      <c r="A100" s="176"/>
      <c r="B100" s="173"/>
      <c r="C100" s="173"/>
      <c r="D100" s="173"/>
      <c r="E100" s="173"/>
    </row>
    <row r="101" ht="15.75" customHeight="1">
      <c r="A101" s="176"/>
      <c r="B101" s="173"/>
      <c r="C101" s="173"/>
      <c r="D101" s="173"/>
      <c r="E101" s="173"/>
    </row>
    <row r="102" ht="15.75" customHeight="1">
      <c r="A102" s="176"/>
      <c r="B102" s="173"/>
      <c r="C102" s="173"/>
      <c r="D102" s="173"/>
      <c r="E102" s="173"/>
    </row>
    <row r="103" ht="15.75" customHeight="1">
      <c r="A103" s="176"/>
      <c r="B103" s="173"/>
      <c r="C103" s="173"/>
      <c r="D103" s="173"/>
      <c r="E103" s="173"/>
    </row>
    <row r="104" ht="15.75" customHeight="1">
      <c r="A104" s="176"/>
      <c r="B104" s="173"/>
      <c r="C104" s="173"/>
      <c r="D104" s="173"/>
      <c r="E104" s="173"/>
    </row>
    <row r="105" ht="15.75" customHeight="1">
      <c r="A105" s="176"/>
      <c r="B105" s="173"/>
      <c r="C105" s="173"/>
      <c r="D105" s="173"/>
      <c r="E105" s="173"/>
    </row>
    <row r="106" ht="15.75" customHeight="1">
      <c r="A106" s="176"/>
      <c r="B106" s="173"/>
      <c r="C106" s="173"/>
      <c r="D106" s="173"/>
      <c r="E106" s="173"/>
    </row>
    <row r="107" ht="15.75" customHeight="1">
      <c r="A107" s="176"/>
      <c r="B107" s="173"/>
      <c r="C107" s="173"/>
      <c r="D107" s="173"/>
      <c r="E107" s="173"/>
    </row>
    <row r="108" ht="15.75" customHeight="1">
      <c r="A108" s="176"/>
      <c r="B108" s="173"/>
      <c r="C108" s="173"/>
      <c r="D108" s="173"/>
      <c r="E108" s="173"/>
    </row>
    <row r="109" ht="15.75" customHeight="1">
      <c r="A109" s="176"/>
      <c r="B109" s="173"/>
      <c r="C109" s="173"/>
      <c r="D109" s="173"/>
      <c r="E109" s="173"/>
    </row>
    <row r="110" ht="15.75" customHeight="1">
      <c r="A110" s="176"/>
      <c r="B110" s="173"/>
      <c r="C110" s="173"/>
      <c r="D110" s="173"/>
      <c r="E110" s="173"/>
    </row>
    <row r="111" ht="15.75" customHeight="1">
      <c r="A111" s="176"/>
      <c r="B111" s="173"/>
      <c r="C111" s="173"/>
      <c r="D111" s="173"/>
      <c r="E111" s="173"/>
    </row>
    <row r="112" ht="15.75" customHeight="1">
      <c r="A112" s="176"/>
      <c r="B112" s="173"/>
      <c r="C112" s="173"/>
      <c r="D112" s="173"/>
      <c r="E112" s="173"/>
    </row>
    <row r="113" ht="15.75" customHeight="1">
      <c r="A113" s="176"/>
      <c r="B113" s="173"/>
      <c r="C113" s="173"/>
      <c r="D113" s="173"/>
      <c r="E113" s="173"/>
    </row>
    <row r="114" ht="15.75" customHeight="1">
      <c r="A114" s="176"/>
      <c r="B114" s="173"/>
      <c r="C114" s="173"/>
      <c r="D114" s="173"/>
      <c r="E114" s="173"/>
    </row>
    <row r="115" ht="15.75" customHeight="1">
      <c r="A115" s="176"/>
      <c r="B115" s="173"/>
      <c r="C115" s="173"/>
      <c r="D115" s="173"/>
      <c r="E115" s="173"/>
    </row>
    <row r="116" ht="15.75" customHeight="1">
      <c r="A116" s="176"/>
      <c r="B116" s="173"/>
      <c r="C116" s="173"/>
      <c r="D116" s="173"/>
      <c r="E116" s="173"/>
    </row>
    <row r="117" ht="15.75" customHeight="1">
      <c r="A117" s="176"/>
      <c r="B117" s="173"/>
      <c r="C117" s="173"/>
      <c r="D117" s="173"/>
      <c r="E117" s="173"/>
    </row>
    <row r="118" ht="15.75" customHeight="1">
      <c r="A118" s="176"/>
      <c r="B118" s="173"/>
      <c r="C118" s="173"/>
      <c r="D118" s="173"/>
      <c r="E118" s="173"/>
    </row>
    <row r="119" ht="15.75" customHeight="1">
      <c r="A119" s="176"/>
      <c r="B119" s="173"/>
      <c r="C119" s="173"/>
      <c r="D119" s="173"/>
      <c r="E119" s="173"/>
    </row>
    <row r="120" ht="15.75" customHeight="1">
      <c r="A120" s="176"/>
      <c r="B120" s="173"/>
      <c r="C120" s="173"/>
      <c r="D120" s="173"/>
      <c r="E120" s="173"/>
    </row>
    <row r="121" ht="15.75" customHeight="1">
      <c r="A121" s="176"/>
      <c r="B121" s="173"/>
      <c r="C121" s="173"/>
      <c r="D121" s="173"/>
      <c r="E121" s="173"/>
    </row>
    <row r="122" ht="15.75" customHeight="1">
      <c r="A122" s="176"/>
      <c r="B122" s="173"/>
      <c r="C122" s="173"/>
      <c r="D122" s="173"/>
      <c r="E122" s="173"/>
    </row>
    <row r="123" ht="15.75" customHeight="1">
      <c r="A123" s="176"/>
      <c r="B123" s="173"/>
      <c r="C123" s="173"/>
      <c r="D123" s="173"/>
      <c r="E123" s="173"/>
    </row>
    <row r="124" ht="15.75" customHeight="1">
      <c r="A124" s="176"/>
      <c r="B124" s="173"/>
      <c r="C124" s="173"/>
      <c r="D124" s="173"/>
      <c r="E124" s="173"/>
    </row>
    <row r="125" ht="15.75" customHeight="1">
      <c r="A125" s="176"/>
      <c r="B125" s="173"/>
      <c r="C125" s="173"/>
      <c r="D125" s="173"/>
      <c r="E125" s="173"/>
    </row>
    <row r="126" ht="15.75" customHeight="1">
      <c r="A126" s="176"/>
      <c r="B126" s="173"/>
      <c r="C126" s="173"/>
      <c r="D126" s="173"/>
      <c r="E126" s="173"/>
    </row>
    <row r="127" ht="15.75" customHeight="1">
      <c r="A127" s="176"/>
      <c r="B127" s="173"/>
      <c r="C127" s="173"/>
      <c r="D127" s="173"/>
      <c r="E127" s="173"/>
    </row>
    <row r="128" ht="15.75" customHeight="1">
      <c r="A128" s="176"/>
      <c r="B128" s="173"/>
      <c r="C128" s="173"/>
      <c r="D128" s="173"/>
      <c r="E128" s="173"/>
    </row>
    <row r="129" ht="15.75" customHeight="1">
      <c r="A129" s="176"/>
      <c r="B129" s="173"/>
      <c r="C129" s="173"/>
      <c r="D129" s="173"/>
      <c r="E129" s="173"/>
    </row>
    <row r="130" ht="15.75" customHeight="1">
      <c r="A130" s="176"/>
      <c r="B130" s="173"/>
      <c r="C130" s="173"/>
      <c r="D130" s="173"/>
      <c r="E130" s="173"/>
    </row>
    <row r="131" ht="15.75" customHeight="1">
      <c r="A131" s="176"/>
      <c r="B131" s="173"/>
      <c r="C131" s="173"/>
      <c r="D131" s="173"/>
      <c r="E131" s="173"/>
    </row>
    <row r="132" ht="15.75" customHeight="1">
      <c r="A132" s="176"/>
      <c r="B132" s="173"/>
      <c r="C132" s="173"/>
      <c r="D132" s="173"/>
      <c r="E132" s="173"/>
    </row>
    <row r="133" ht="15.75" customHeight="1">
      <c r="A133" s="176"/>
      <c r="B133" s="173"/>
      <c r="C133" s="173"/>
      <c r="D133" s="173"/>
      <c r="E133" s="173"/>
    </row>
    <row r="134" ht="15.75" customHeight="1">
      <c r="A134" s="176"/>
      <c r="B134" s="173"/>
      <c r="C134" s="173"/>
      <c r="D134" s="173"/>
      <c r="E134" s="173"/>
    </row>
    <row r="135" ht="15.75" customHeight="1">
      <c r="A135" s="176"/>
      <c r="B135" s="173"/>
      <c r="C135" s="173"/>
      <c r="D135" s="173"/>
      <c r="E135" s="173"/>
    </row>
    <row r="136" ht="15.75" customHeight="1">
      <c r="A136" s="176"/>
      <c r="B136" s="173"/>
      <c r="C136" s="173"/>
      <c r="D136" s="173"/>
      <c r="E136" s="173"/>
    </row>
    <row r="137" ht="15.75" customHeight="1">
      <c r="A137" s="176"/>
      <c r="B137" s="173"/>
      <c r="C137" s="173"/>
      <c r="D137" s="173"/>
      <c r="E137" s="173"/>
    </row>
    <row r="138" ht="15.75" customHeight="1">
      <c r="A138" s="176"/>
      <c r="B138" s="173"/>
      <c r="C138" s="173"/>
      <c r="D138" s="173"/>
      <c r="E138" s="173"/>
    </row>
    <row r="139" ht="15.75" customHeight="1">
      <c r="A139" s="176"/>
      <c r="B139" s="173"/>
      <c r="C139" s="173"/>
      <c r="D139" s="173"/>
      <c r="E139" s="173"/>
    </row>
    <row r="140" ht="15.75" customHeight="1">
      <c r="A140" s="176"/>
      <c r="B140" s="173"/>
      <c r="C140" s="173"/>
      <c r="D140" s="173"/>
      <c r="E140" s="173"/>
    </row>
    <row r="141" ht="15.75" customHeight="1">
      <c r="A141" s="176"/>
      <c r="B141" s="173"/>
      <c r="C141" s="173"/>
      <c r="D141" s="173"/>
      <c r="E141" s="173"/>
    </row>
    <row r="142" ht="15.75" customHeight="1">
      <c r="A142" s="176"/>
      <c r="B142" s="173"/>
      <c r="C142" s="173"/>
      <c r="D142" s="173"/>
      <c r="E142" s="173"/>
    </row>
    <row r="143" ht="15.75" customHeight="1">
      <c r="A143" s="176"/>
      <c r="B143" s="173"/>
      <c r="C143" s="173"/>
      <c r="D143" s="173"/>
      <c r="E143" s="173"/>
    </row>
    <row r="144" ht="15.75" customHeight="1">
      <c r="A144" s="176"/>
      <c r="B144" s="173"/>
      <c r="C144" s="173"/>
      <c r="D144" s="173"/>
      <c r="E144" s="173"/>
    </row>
    <row r="145" ht="15.75" customHeight="1">
      <c r="A145" s="176"/>
      <c r="B145" s="173"/>
      <c r="C145" s="173"/>
      <c r="D145" s="173"/>
      <c r="E145" s="173"/>
    </row>
    <row r="146" ht="15.75" customHeight="1">
      <c r="A146" s="176"/>
      <c r="B146" s="173"/>
      <c r="C146" s="173"/>
      <c r="D146" s="173"/>
      <c r="E146" s="173"/>
    </row>
    <row r="147" ht="15.75" customHeight="1">
      <c r="A147" s="176"/>
      <c r="B147" s="173"/>
      <c r="C147" s="173"/>
      <c r="D147" s="173"/>
      <c r="E147" s="173"/>
    </row>
    <row r="148" ht="15.75" customHeight="1">
      <c r="A148" s="176"/>
      <c r="B148" s="173"/>
      <c r="C148" s="173"/>
      <c r="D148" s="173"/>
      <c r="E148" s="173"/>
    </row>
    <row r="149" ht="15.75" customHeight="1">
      <c r="A149" s="176"/>
      <c r="B149" s="173"/>
      <c r="C149" s="173"/>
      <c r="D149" s="173"/>
      <c r="E149" s="173"/>
    </row>
    <row r="150" ht="15.75" customHeight="1">
      <c r="A150" s="176"/>
      <c r="B150" s="173"/>
      <c r="C150" s="173"/>
      <c r="D150" s="173"/>
      <c r="E150" s="173"/>
    </row>
    <row r="151" ht="15.75" customHeight="1">
      <c r="A151" s="176"/>
      <c r="B151" s="173"/>
      <c r="C151" s="173"/>
      <c r="D151" s="173"/>
      <c r="E151" s="173"/>
    </row>
    <row r="152" ht="15.75" customHeight="1">
      <c r="A152" s="176"/>
      <c r="B152" s="173"/>
      <c r="C152" s="173"/>
      <c r="D152" s="173"/>
      <c r="E152" s="173"/>
    </row>
    <row r="153" ht="15.75" customHeight="1">
      <c r="A153" s="176"/>
      <c r="B153" s="173"/>
      <c r="C153" s="173"/>
      <c r="D153" s="173"/>
      <c r="E153" s="173"/>
    </row>
    <row r="154" ht="15.75" customHeight="1">
      <c r="A154" s="176"/>
      <c r="B154" s="173"/>
      <c r="C154" s="173"/>
      <c r="D154" s="173"/>
      <c r="E154" s="173"/>
    </row>
    <row r="155" ht="15.75" customHeight="1">
      <c r="A155" s="176"/>
      <c r="B155" s="173"/>
      <c r="C155" s="173"/>
      <c r="D155" s="173"/>
      <c r="E155" s="173"/>
    </row>
    <row r="156" ht="15.75" customHeight="1">
      <c r="A156" s="176"/>
      <c r="B156" s="173"/>
      <c r="C156" s="173"/>
      <c r="D156" s="173"/>
      <c r="E156" s="173"/>
    </row>
    <row r="157" ht="15.75" customHeight="1">
      <c r="A157" s="176"/>
      <c r="B157" s="173"/>
      <c r="C157" s="173"/>
      <c r="D157" s="173"/>
      <c r="E157" s="173"/>
    </row>
    <row r="158" ht="15.75" customHeight="1">
      <c r="A158" s="176"/>
      <c r="B158" s="173"/>
      <c r="C158" s="173"/>
      <c r="D158" s="173"/>
      <c r="E158" s="173"/>
    </row>
    <row r="159" ht="15.75" customHeight="1">
      <c r="A159" s="176"/>
      <c r="B159" s="173"/>
      <c r="C159" s="173"/>
      <c r="D159" s="173"/>
      <c r="E159" s="173"/>
    </row>
    <row r="160" ht="15.75" customHeight="1">
      <c r="A160" s="176"/>
      <c r="B160" s="173"/>
      <c r="C160" s="173"/>
      <c r="D160" s="173"/>
      <c r="E160" s="173"/>
    </row>
    <row r="161" ht="15.75" customHeight="1">
      <c r="A161" s="176"/>
      <c r="B161" s="173"/>
      <c r="C161" s="173"/>
      <c r="D161" s="173"/>
      <c r="E161" s="173"/>
    </row>
    <row r="162" ht="15.75" customHeight="1">
      <c r="A162" s="176"/>
      <c r="B162" s="173"/>
      <c r="C162" s="173"/>
      <c r="D162" s="173"/>
      <c r="E162" s="173"/>
    </row>
    <row r="163" ht="15.75" customHeight="1">
      <c r="A163" s="176"/>
      <c r="B163" s="173"/>
      <c r="C163" s="173"/>
      <c r="D163" s="173"/>
      <c r="E163" s="173"/>
    </row>
    <row r="164" ht="15.75" customHeight="1">
      <c r="A164" s="176"/>
      <c r="B164" s="173"/>
      <c r="C164" s="173"/>
      <c r="D164" s="173"/>
      <c r="E164" s="173"/>
    </row>
    <row r="165" ht="15.75" customHeight="1">
      <c r="A165" s="176"/>
      <c r="B165" s="173"/>
      <c r="C165" s="173"/>
      <c r="D165" s="173"/>
      <c r="E165" s="173"/>
    </row>
    <row r="166" ht="15.75" customHeight="1">
      <c r="A166" s="176"/>
      <c r="B166" s="173"/>
      <c r="C166" s="173"/>
      <c r="D166" s="173"/>
      <c r="E166" s="173"/>
    </row>
    <row r="167" ht="15.75" customHeight="1">
      <c r="A167" s="176"/>
      <c r="B167" s="173"/>
      <c r="C167" s="173"/>
      <c r="D167" s="173"/>
      <c r="E167" s="173"/>
    </row>
    <row r="168" ht="15.75" customHeight="1">
      <c r="A168" s="176"/>
      <c r="B168" s="173"/>
      <c r="C168" s="173"/>
      <c r="D168" s="173"/>
      <c r="E168" s="173"/>
    </row>
    <row r="169" ht="15.75" customHeight="1">
      <c r="A169" s="176"/>
      <c r="B169" s="173"/>
      <c r="C169" s="173"/>
      <c r="D169" s="173"/>
      <c r="E169" s="173"/>
    </row>
    <row r="170" ht="15.75" customHeight="1">
      <c r="A170" s="176"/>
      <c r="B170" s="173"/>
      <c r="C170" s="173"/>
      <c r="D170" s="173"/>
      <c r="E170" s="173"/>
    </row>
    <row r="171" ht="15.75" customHeight="1">
      <c r="A171" s="176"/>
      <c r="B171" s="173"/>
      <c r="C171" s="173"/>
      <c r="D171" s="173"/>
      <c r="E171" s="173"/>
    </row>
    <row r="172" ht="15.75" customHeight="1">
      <c r="A172" s="176"/>
      <c r="B172" s="173"/>
      <c r="C172" s="173"/>
      <c r="D172" s="173"/>
      <c r="E172" s="173"/>
    </row>
    <row r="173" ht="15.75" customHeight="1">
      <c r="A173" s="176"/>
      <c r="B173" s="173"/>
      <c r="C173" s="173"/>
      <c r="D173" s="173"/>
      <c r="E173" s="173"/>
    </row>
    <row r="174" ht="15.75" customHeight="1">
      <c r="A174" s="176"/>
      <c r="B174" s="173"/>
      <c r="C174" s="173"/>
      <c r="D174" s="173"/>
      <c r="E174" s="173"/>
    </row>
    <row r="175" ht="15.75" customHeight="1">
      <c r="A175" s="176"/>
      <c r="B175" s="173"/>
      <c r="C175" s="173"/>
      <c r="D175" s="173"/>
      <c r="E175" s="173"/>
    </row>
    <row r="176" ht="15.75" customHeight="1">
      <c r="A176" s="176"/>
      <c r="B176" s="173"/>
      <c r="C176" s="173"/>
      <c r="D176" s="173"/>
      <c r="E176" s="173"/>
    </row>
    <row r="177" ht="15.75" customHeight="1">
      <c r="A177" s="176"/>
      <c r="B177" s="173"/>
      <c r="C177" s="173"/>
      <c r="D177" s="173"/>
      <c r="E177" s="173"/>
    </row>
    <row r="178" ht="15.75" customHeight="1">
      <c r="A178" s="176"/>
      <c r="B178" s="173"/>
      <c r="C178" s="173"/>
      <c r="D178" s="173"/>
      <c r="E178" s="173"/>
    </row>
    <row r="179" ht="15.75" customHeight="1">
      <c r="A179" s="176"/>
      <c r="B179" s="173"/>
      <c r="C179" s="173"/>
      <c r="D179" s="173"/>
      <c r="E179" s="173"/>
    </row>
    <row r="180" ht="15.75" customHeight="1">
      <c r="A180" s="176"/>
      <c r="B180" s="173"/>
      <c r="C180" s="173"/>
      <c r="D180" s="173"/>
      <c r="E180" s="173"/>
    </row>
    <row r="181" ht="15.75" customHeight="1">
      <c r="A181" s="176"/>
      <c r="B181" s="173"/>
      <c r="C181" s="173"/>
      <c r="D181" s="173"/>
      <c r="E181" s="173"/>
    </row>
    <row r="182" ht="15.75" customHeight="1">
      <c r="A182" s="176"/>
      <c r="B182" s="173"/>
      <c r="C182" s="173"/>
      <c r="D182" s="173"/>
      <c r="E182" s="173"/>
    </row>
    <row r="183" ht="15.75" customHeight="1">
      <c r="A183" s="176"/>
      <c r="B183" s="173"/>
      <c r="C183" s="173"/>
      <c r="D183" s="173"/>
      <c r="E183" s="173"/>
    </row>
    <row r="184" ht="15.75" customHeight="1">
      <c r="A184" s="176"/>
      <c r="B184" s="173"/>
      <c r="C184" s="173"/>
      <c r="D184" s="173"/>
      <c r="E184" s="173"/>
    </row>
    <row r="185" ht="15.75" customHeight="1">
      <c r="A185" s="176"/>
      <c r="B185" s="173"/>
      <c r="C185" s="173"/>
      <c r="D185" s="173"/>
      <c r="E185" s="173"/>
    </row>
    <row r="186" ht="15.75" customHeight="1">
      <c r="A186" s="176"/>
      <c r="B186" s="173"/>
      <c r="C186" s="173"/>
      <c r="D186" s="173"/>
      <c r="E186" s="173"/>
    </row>
    <row r="187" ht="15.75" customHeight="1">
      <c r="A187" s="176"/>
      <c r="B187" s="173"/>
      <c r="C187" s="173"/>
      <c r="D187" s="173"/>
      <c r="E187" s="173"/>
    </row>
    <row r="188" ht="15.75" customHeight="1">
      <c r="A188" s="176"/>
      <c r="B188" s="173"/>
      <c r="C188" s="173"/>
      <c r="D188" s="173"/>
      <c r="E188" s="173"/>
    </row>
    <row r="189" ht="15.75" customHeight="1">
      <c r="A189" s="176"/>
      <c r="B189" s="173"/>
      <c r="C189" s="173"/>
      <c r="D189" s="173"/>
      <c r="E189" s="173"/>
    </row>
    <row r="190" ht="15.75" customHeight="1">
      <c r="A190" s="176"/>
      <c r="B190" s="173"/>
      <c r="C190" s="173"/>
      <c r="D190" s="173"/>
      <c r="E190" s="173"/>
    </row>
    <row r="191" ht="15.75" customHeight="1">
      <c r="A191" s="176"/>
      <c r="B191" s="173"/>
      <c r="C191" s="173"/>
      <c r="D191" s="173"/>
      <c r="E191" s="173"/>
    </row>
    <row r="192" ht="15.75" customHeight="1">
      <c r="A192" s="176"/>
      <c r="B192" s="173"/>
      <c r="C192" s="173"/>
      <c r="D192" s="173"/>
      <c r="E192" s="173"/>
    </row>
    <row r="193" ht="15.75" customHeight="1">
      <c r="A193" s="176"/>
      <c r="B193" s="173"/>
      <c r="C193" s="173"/>
      <c r="D193" s="173"/>
      <c r="E193" s="173"/>
    </row>
    <row r="194" ht="15.75" customHeight="1">
      <c r="A194" s="176"/>
      <c r="B194" s="173"/>
      <c r="C194" s="173"/>
      <c r="D194" s="173"/>
      <c r="E194" s="173"/>
    </row>
    <row r="195" ht="15.75" customHeight="1">
      <c r="A195" s="176"/>
      <c r="B195" s="173"/>
      <c r="C195" s="173"/>
      <c r="D195" s="173"/>
      <c r="E195" s="173"/>
    </row>
    <row r="196" ht="15.75" customHeight="1">
      <c r="A196" s="176"/>
      <c r="B196" s="173"/>
      <c r="C196" s="173"/>
      <c r="D196" s="173"/>
      <c r="E196" s="173"/>
    </row>
    <row r="197" ht="15.75" customHeight="1">
      <c r="A197" s="176"/>
      <c r="B197" s="173"/>
      <c r="C197" s="173"/>
      <c r="D197" s="173"/>
      <c r="E197" s="173"/>
    </row>
    <row r="198" ht="15.75" customHeight="1">
      <c r="A198" s="176"/>
      <c r="B198" s="173"/>
      <c r="C198" s="173"/>
      <c r="D198" s="173"/>
      <c r="E198" s="173"/>
    </row>
    <row r="199" ht="15.75" customHeight="1">
      <c r="A199" s="176"/>
      <c r="B199" s="173"/>
      <c r="C199" s="173"/>
      <c r="D199" s="173"/>
      <c r="E199" s="173"/>
    </row>
    <row r="200" ht="15.75" customHeight="1">
      <c r="A200" s="176"/>
      <c r="B200" s="173"/>
      <c r="C200" s="173"/>
      <c r="D200" s="173"/>
      <c r="E200" s="173"/>
    </row>
    <row r="201" ht="15.75" customHeight="1">
      <c r="A201" s="176"/>
      <c r="B201" s="173"/>
      <c r="C201" s="173"/>
      <c r="D201" s="173"/>
      <c r="E201" s="173"/>
    </row>
    <row r="202" ht="15.75" customHeight="1">
      <c r="A202" s="176"/>
      <c r="B202" s="173"/>
      <c r="C202" s="173"/>
      <c r="D202" s="173"/>
      <c r="E202" s="173"/>
    </row>
    <row r="203" ht="15.75" customHeight="1">
      <c r="A203" s="176"/>
      <c r="B203" s="173"/>
      <c r="C203" s="173"/>
      <c r="D203" s="173"/>
      <c r="E203" s="173"/>
    </row>
    <row r="204" ht="15.75" customHeight="1">
      <c r="A204" s="176"/>
      <c r="B204" s="173"/>
      <c r="C204" s="173"/>
      <c r="D204" s="173"/>
      <c r="E204" s="173"/>
    </row>
    <row r="205" ht="15.75" customHeight="1">
      <c r="A205" s="176"/>
      <c r="B205" s="173"/>
      <c r="C205" s="173"/>
      <c r="D205" s="173"/>
      <c r="E205" s="173"/>
    </row>
    <row r="206" ht="15.75" customHeight="1">
      <c r="A206" s="176"/>
      <c r="B206" s="173"/>
      <c r="C206" s="173"/>
      <c r="D206" s="173"/>
      <c r="E206" s="173"/>
    </row>
    <row r="207" ht="15.75" customHeight="1">
      <c r="A207" s="176"/>
      <c r="B207" s="173"/>
      <c r="C207" s="173"/>
      <c r="D207" s="173"/>
      <c r="E207" s="173"/>
    </row>
    <row r="208" ht="15.75" customHeight="1">
      <c r="A208" s="176"/>
      <c r="B208" s="173"/>
      <c r="C208" s="173"/>
      <c r="D208" s="173"/>
      <c r="E208" s="173"/>
    </row>
    <row r="209" ht="15.75" customHeight="1">
      <c r="A209" s="176"/>
      <c r="B209" s="173"/>
      <c r="C209" s="173"/>
      <c r="D209" s="173"/>
      <c r="E209" s="173"/>
    </row>
    <row r="210" ht="15.75" customHeight="1">
      <c r="A210" s="176"/>
      <c r="B210" s="173"/>
      <c r="C210" s="173"/>
      <c r="D210" s="173"/>
      <c r="E210" s="173"/>
    </row>
    <row r="211" ht="15.75" customHeight="1">
      <c r="A211" s="176"/>
      <c r="B211" s="173"/>
      <c r="C211" s="173"/>
      <c r="D211" s="173"/>
      <c r="E211" s="173"/>
    </row>
    <row r="212" ht="15.75" customHeight="1">
      <c r="A212" s="176"/>
      <c r="B212" s="173"/>
      <c r="C212" s="173"/>
      <c r="D212" s="173"/>
      <c r="E212" s="173"/>
    </row>
    <row r="213" ht="15.75" customHeight="1">
      <c r="A213" s="176"/>
      <c r="B213" s="173"/>
      <c r="C213" s="173"/>
      <c r="D213" s="173"/>
      <c r="E213" s="173"/>
    </row>
    <row r="214" ht="15.75" customHeight="1">
      <c r="A214" s="176"/>
      <c r="B214" s="173"/>
      <c r="C214" s="173"/>
      <c r="D214" s="173"/>
      <c r="E214" s="173"/>
    </row>
    <row r="215" ht="15.75" customHeight="1">
      <c r="A215" s="176"/>
      <c r="B215" s="173"/>
      <c r="C215" s="173"/>
      <c r="D215" s="173"/>
      <c r="E215" s="173"/>
    </row>
    <row r="216" ht="15.75" customHeight="1">
      <c r="A216" s="176"/>
      <c r="B216" s="173"/>
      <c r="C216" s="173"/>
      <c r="D216" s="173"/>
      <c r="E216" s="173"/>
    </row>
    <row r="217" ht="15.75" customHeight="1">
      <c r="A217" s="176"/>
      <c r="B217" s="173"/>
      <c r="C217" s="173"/>
      <c r="D217" s="173"/>
      <c r="E217" s="173"/>
    </row>
    <row r="218" ht="15.75" customHeight="1">
      <c r="A218" s="176"/>
      <c r="B218" s="173"/>
      <c r="C218" s="173"/>
      <c r="D218" s="173"/>
      <c r="E218" s="173"/>
    </row>
    <row r="219" ht="15.75" customHeight="1">
      <c r="A219" s="176"/>
      <c r="B219" s="173"/>
      <c r="C219" s="173"/>
      <c r="D219" s="173"/>
      <c r="E219" s="173"/>
    </row>
    <row r="220" ht="15.75" customHeight="1">
      <c r="A220" s="176"/>
      <c r="B220" s="173"/>
      <c r="C220" s="173"/>
      <c r="D220" s="173"/>
      <c r="E220" s="173"/>
    </row>
    <row r="221" ht="15.75" customHeight="1">
      <c r="A221" s="176"/>
      <c r="B221" s="173"/>
      <c r="C221" s="173"/>
      <c r="D221" s="173"/>
      <c r="E221" s="173"/>
    </row>
    <row r="222" ht="15.75" customHeight="1">
      <c r="A222" s="176"/>
      <c r="B222" s="173"/>
      <c r="C222" s="173"/>
      <c r="D222" s="173"/>
      <c r="E222" s="173"/>
    </row>
    <row r="223" ht="15.75" customHeight="1">
      <c r="A223" s="176"/>
      <c r="B223" s="173"/>
      <c r="C223" s="173"/>
      <c r="D223" s="173"/>
      <c r="E223" s="173"/>
    </row>
    <row r="224" ht="15.75" customHeight="1">
      <c r="A224" s="176"/>
      <c r="B224" s="173"/>
      <c r="C224" s="173"/>
      <c r="D224" s="173"/>
      <c r="E224" s="173"/>
    </row>
    <row r="225" ht="15.75" customHeight="1">
      <c r="A225" s="176"/>
      <c r="B225" s="173"/>
      <c r="C225" s="173"/>
      <c r="D225" s="173"/>
      <c r="E225" s="173"/>
    </row>
    <row r="226" ht="15.75" customHeight="1">
      <c r="A226" s="176"/>
      <c r="B226" s="173"/>
      <c r="C226" s="173"/>
      <c r="D226" s="173"/>
      <c r="E226" s="173"/>
    </row>
    <row r="227" ht="15.75" customHeight="1">
      <c r="A227" s="176"/>
      <c r="B227" s="173"/>
      <c r="C227" s="173"/>
      <c r="D227" s="173"/>
      <c r="E227" s="173"/>
    </row>
    <row r="228" ht="15.75" customHeight="1">
      <c r="A228" s="176"/>
      <c r="B228" s="173"/>
      <c r="C228" s="173"/>
      <c r="D228" s="173"/>
      <c r="E228" s="173"/>
    </row>
    <row r="229" ht="15.75" customHeight="1">
      <c r="A229" s="176"/>
      <c r="B229" s="173"/>
      <c r="C229" s="173"/>
      <c r="D229" s="173"/>
      <c r="E229" s="173"/>
    </row>
    <row r="230" ht="15.75" customHeight="1">
      <c r="A230" s="176"/>
      <c r="B230" s="173"/>
      <c r="C230" s="173"/>
      <c r="D230" s="173"/>
      <c r="E230" s="173"/>
    </row>
    <row r="231" ht="15.75" customHeight="1">
      <c r="A231" s="176"/>
      <c r="B231" s="173"/>
      <c r="C231" s="173"/>
      <c r="D231" s="173"/>
      <c r="E231" s="173"/>
    </row>
    <row r="232" ht="15.75" customHeight="1">
      <c r="A232" s="176"/>
      <c r="B232" s="173"/>
      <c r="C232" s="173"/>
      <c r="D232" s="173"/>
      <c r="E232" s="173"/>
    </row>
    <row r="233" ht="15.75" customHeight="1">
      <c r="A233" s="176"/>
      <c r="B233" s="173"/>
      <c r="C233" s="173"/>
      <c r="D233" s="173"/>
      <c r="E233" s="173"/>
    </row>
    <row r="234" ht="15.75" customHeight="1">
      <c r="A234" s="176"/>
      <c r="B234" s="173"/>
      <c r="C234" s="173"/>
      <c r="D234" s="173"/>
      <c r="E234" s="173"/>
    </row>
    <row r="235" ht="15.75" customHeight="1">
      <c r="A235" s="176"/>
      <c r="B235" s="173"/>
      <c r="C235" s="173"/>
      <c r="D235" s="173"/>
      <c r="E235" s="173"/>
    </row>
    <row r="236" ht="15.75" customHeight="1">
      <c r="A236" s="176"/>
      <c r="B236" s="173"/>
      <c r="C236" s="173"/>
      <c r="D236" s="173"/>
      <c r="E236" s="173"/>
    </row>
    <row r="237" ht="15.75" customHeight="1">
      <c r="A237" s="176"/>
      <c r="B237" s="173"/>
      <c r="C237" s="173"/>
      <c r="D237" s="173"/>
      <c r="E237" s="173"/>
    </row>
    <row r="238" ht="15.75" customHeight="1">
      <c r="A238" s="176"/>
      <c r="B238" s="173"/>
      <c r="C238" s="173"/>
      <c r="D238" s="173"/>
      <c r="E238" s="173"/>
    </row>
    <row r="239" ht="15.75" customHeight="1">
      <c r="A239" s="176"/>
      <c r="B239" s="173"/>
      <c r="C239" s="173"/>
      <c r="D239" s="173"/>
      <c r="E239" s="173"/>
    </row>
    <row r="240" ht="15.75" customHeight="1">
      <c r="A240" s="176"/>
      <c r="B240" s="173"/>
      <c r="C240" s="173"/>
      <c r="D240" s="173"/>
      <c r="E240" s="173"/>
    </row>
    <row r="241" ht="15.75" customHeight="1">
      <c r="A241" s="176"/>
      <c r="B241" s="173"/>
      <c r="C241" s="173"/>
      <c r="D241" s="173"/>
      <c r="E241" s="173"/>
    </row>
    <row r="242" ht="15.75" customHeight="1">
      <c r="A242" s="176"/>
      <c r="B242" s="173"/>
      <c r="C242" s="173"/>
      <c r="D242" s="173"/>
      <c r="E242" s="173"/>
    </row>
    <row r="243" ht="15.75" customHeight="1">
      <c r="A243" s="176"/>
      <c r="B243" s="173"/>
      <c r="C243" s="173"/>
      <c r="D243" s="173"/>
      <c r="E243" s="173"/>
    </row>
    <row r="244" ht="15.75" customHeight="1">
      <c r="A244" s="176"/>
      <c r="B244" s="173"/>
      <c r="C244" s="173"/>
      <c r="D244" s="173"/>
      <c r="E244" s="173"/>
    </row>
    <row r="245" ht="15.75" customHeight="1">
      <c r="A245" s="176"/>
      <c r="B245" s="173"/>
      <c r="C245" s="173"/>
      <c r="D245" s="173"/>
      <c r="E245" s="173"/>
    </row>
    <row r="246" ht="15.75" customHeight="1">
      <c r="A246" s="176"/>
      <c r="B246" s="173"/>
      <c r="C246" s="173"/>
      <c r="D246" s="173"/>
      <c r="E246" s="173"/>
    </row>
    <row r="247" ht="15.75" customHeight="1">
      <c r="A247" s="176"/>
      <c r="B247" s="173"/>
      <c r="C247" s="173"/>
      <c r="D247" s="173"/>
      <c r="E247" s="173"/>
    </row>
    <row r="248" ht="15.75" customHeight="1">
      <c r="A248" s="176"/>
      <c r="B248" s="173"/>
      <c r="C248" s="173"/>
      <c r="D248" s="173"/>
      <c r="E248" s="173"/>
    </row>
    <row r="249" ht="15.75" customHeight="1">
      <c r="A249" s="176"/>
      <c r="B249" s="173"/>
      <c r="C249" s="173"/>
      <c r="D249" s="173"/>
      <c r="E249" s="173"/>
    </row>
    <row r="250" ht="15.75" customHeight="1">
      <c r="A250" s="176"/>
      <c r="B250" s="173"/>
      <c r="C250" s="173"/>
      <c r="D250" s="173"/>
      <c r="E250" s="173"/>
    </row>
    <row r="251" ht="15.75" customHeight="1">
      <c r="A251" s="176"/>
      <c r="B251" s="173"/>
      <c r="C251" s="173"/>
      <c r="D251" s="173"/>
      <c r="E251" s="173"/>
    </row>
    <row r="252" ht="15.75" customHeight="1">
      <c r="A252" s="176"/>
      <c r="B252" s="173"/>
      <c r="C252" s="173"/>
      <c r="D252" s="173"/>
      <c r="E252" s="173"/>
    </row>
    <row r="253" ht="15.75" customHeight="1">
      <c r="A253" s="176"/>
      <c r="B253" s="173"/>
      <c r="C253" s="173"/>
      <c r="D253" s="173"/>
      <c r="E253" s="173"/>
    </row>
    <row r="254" ht="15.75" customHeight="1">
      <c r="A254" s="176"/>
      <c r="B254" s="173"/>
      <c r="C254" s="173"/>
      <c r="D254" s="173"/>
      <c r="E254" s="173"/>
    </row>
    <row r="255" ht="15.75" customHeight="1">
      <c r="A255" s="176"/>
      <c r="B255" s="173"/>
      <c r="C255" s="173"/>
      <c r="D255" s="173"/>
      <c r="E255" s="173"/>
    </row>
    <row r="256" ht="15.75" customHeight="1">
      <c r="A256" s="176"/>
      <c r="B256" s="173"/>
      <c r="C256" s="173"/>
      <c r="D256" s="173"/>
      <c r="E256" s="173"/>
    </row>
    <row r="257" ht="15.75" customHeight="1">
      <c r="A257" s="176"/>
      <c r="B257" s="173"/>
      <c r="C257" s="173"/>
      <c r="D257" s="173"/>
      <c r="E257" s="173"/>
    </row>
    <row r="258" ht="15.75" customHeight="1">
      <c r="A258" s="176"/>
      <c r="B258" s="173"/>
      <c r="C258" s="173"/>
      <c r="D258" s="173"/>
      <c r="E258" s="173"/>
    </row>
    <row r="259" ht="15.75" customHeight="1">
      <c r="A259" s="176"/>
      <c r="B259" s="173"/>
      <c r="C259" s="173"/>
      <c r="D259" s="173"/>
      <c r="E259" s="173"/>
    </row>
    <row r="260" ht="15.75" customHeight="1">
      <c r="A260" s="176"/>
      <c r="B260" s="173"/>
      <c r="C260" s="173"/>
      <c r="D260" s="173"/>
      <c r="E260" s="173"/>
    </row>
    <row r="261" ht="15.75" customHeight="1">
      <c r="A261" s="176"/>
      <c r="B261" s="173"/>
      <c r="C261" s="173"/>
      <c r="D261" s="173"/>
      <c r="E261" s="173"/>
    </row>
    <row r="262" ht="15.75" customHeight="1">
      <c r="A262" s="176"/>
      <c r="B262" s="173"/>
      <c r="C262" s="173"/>
      <c r="D262" s="173"/>
      <c r="E262" s="173"/>
    </row>
    <row r="263" ht="15.75" customHeight="1">
      <c r="A263" s="176"/>
      <c r="B263" s="173"/>
      <c r="C263" s="173"/>
      <c r="D263" s="173"/>
      <c r="E263" s="173"/>
    </row>
    <row r="264" ht="15.75" customHeight="1">
      <c r="A264" s="176"/>
      <c r="B264" s="173"/>
      <c r="C264" s="173"/>
      <c r="D264" s="173"/>
      <c r="E264" s="173"/>
    </row>
    <row r="265" ht="15.75" customHeight="1">
      <c r="A265" s="176"/>
      <c r="B265" s="173"/>
      <c r="C265" s="173"/>
      <c r="D265" s="173"/>
      <c r="E265" s="173"/>
    </row>
    <row r="266" ht="15.75" customHeight="1">
      <c r="A266" s="176"/>
      <c r="B266" s="173"/>
      <c r="C266" s="173"/>
      <c r="D266" s="173"/>
      <c r="E266" s="173"/>
    </row>
    <row r="267" ht="15.75" customHeight="1">
      <c r="A267" s="176"/>
      <c r="B267" s="173"/>
      <c r="C267" s="173"/>
      <c r="D267" s="173"/>
      <c r="E267" s="173"/>
    </row>
    <row r="268" ht="15.75" customHeight="1">
      <c r="A268" s="176"/>
      <c r="B268" s="173"/>
      <c r="C268" s="173"/>
      <c r="D268" s="173"/>
      <c r="E268" s="173"/>
    </row>
    <row r="269" ht="15.75" customHeight="1">
      <c r="A269" s="176"/>
      <c r="B269" s="173"/>
      <c r="C269" s="173"/>
      <c r="D269" s="173"/>
      <c r="E269" s="173"/>
    </row>
    <row r="270" ht="15.75" customHeight="1">
      <c r="A270" s="176"/>
      <c r="B270" s="173"/>
      <c r="C270" s="173"/>
      <c r="D270" s="173"/>
      <c r="E270" s="173"/>
    </row>
    <row r="271" ht="15.75" customHeight="1">
      <c r="A271" s="176"/>
      <c r="B271" s="173"/>
      <c r="C271" s="173"/>
      <c r="D271" s="173"/>
      <c r="E271" s="173"/>
    </row>
    <row r="272" ht="15.75" customHeight="1">
      <c r="A272" s="176"/>
      <c r="B272" s="173"/>
      <c r="C272" s="173"/>
      <c r="D272" s="173"/>
      <c r="E272" s="173"/>
    </row>
    <row r="273" ht="15.75" customHeight="1">
      <c r="A273" s="176"/>
      <c r="B273" s="173"/>
      <c r="C273" s="173"/>
      <c r="D273" s="173"/>
      <c r="E273" s="173"/>
    </row>
    <row r="274" ht="15.75" customHeight="1">
      <c r="A274" s="176"/>
      <c r="B274" s="173"/>
      <c r="C274" s="173"/>
      <c r="D274" s="173"/>
      <c r="E274" s="173"/>
    </row>
    <row r="275" ht="15.75" customHeight="1">
      <c r="A275" s="176"/>
      <c r="B275" s="173"/>
      <c r="C275" s="173"/>
      <c r="D275" s="173"/>
      <c r="E275" s="173"/>
    </row>
    <row r="276" ht="15.75" customHeight="1">
      <c r="A276" s="176"/>
      <c r="B276" s="173"/>
      <c r="C276" s="173"/>
      <c r="D276" s="173"/>
      <c r="E276" s="173"/>
    </row>
    <row r="277" ht="15.75" customHeight="1">
      <c r="A277" s="176"/>
      <c r="B277" s="173"/>
      <c r="C277" s="173"/>
      <c r="D277" s="173"/>
      <c r="E277" s="173"/>
    </row>
    <row r="278" ht="15.75" customHeight="1">
      <c r="A278" s="176"/>
      <c r="B278" s="173"/>
      <c r="C278" s="173"/>
      <c r="D278" s="173"/>
      <c r="E278" s="173"/>
    </row>
    <row r="279" ht="15.75" customHeight="1">
      <c r="A279" s="176"/>
      <c r="B279" s="173"/>
      <c r="C279" s="173"/>
      <c r="D279" s="173"/>
      <c r="E279" s="173"/>
    </row>
    <row r="280" ht="15.75" customHeight="1">
      <c r="A280" s="176"/>
      <c r="B280" s="173"/>
      <c r="C280" s="173"/>
      <c r="D280" s="173"/>
      <c r="E280" s="173"/>
    </row>
    <row r="281" ht="15.75" customHeight="1">
      <c r="A281" s="176"/>
      <c r="B281" s="173"/>
      <c r="C281" s="173"/>
      <c r="D281" s="173"/>
      <c r="E281" s="173"/>
    </row>
    <row r="282" ht="15.75" customHeight="1">
      <c r="A282" s="176"/>
      <c r="B282" s="173"/>
      <c r="C282" s="173"/>
      <c r="D282" s="173"/>
      <c r="E282" s="173"/>
    </row>
    <row r="283" ht="15.75" customHeight="1">
      <c r="A283" s="176"/>
      <c r="B283" s="173"/>
      <c r="C283" s="173"/>
      <c r="D283" s="173"/>
      <c r="E283" s="173"/>
    </row>
    <row r="284" ht="15.75" customHeight="1">
      <c r="A284" s="176"/>
      <c r="B284" s="173"/>
      <c r="C284" s="173"/>
      <c r="D284" s="173"/>
      <c r="E284" s="173"/>
    </row>
    <row r="285" ht="15.75" customHeight="1">
      <c r="A285" s="176"/>
      <c r="B285" s="173"/>
      <c r="C285" s="173"/>
      <c r="D285" s="173"/>
      <c r="E285" s="173"/>
    </row>
    <row r="286" ht="15.75" customHeight="1">
      <c r="A286" s="176"/>
      <c r="B286" s="173"/>
      <c r="C286" s="173"/>
      <c r="D286" s="173"/>
      <c r="E286" s="173"/>
    </row>
    <row r="287" ht="15.75" customHeight="1">
      <c r="A287" s="176"/>
      <c r="B287" s="173"/>
      <c r="C287" s="173"/>
      <c r="D287" s="173"/>
      <c r="E287" s="173"/>
    </row>
    <row r="288" ht="15.75" customHeight="1">
      <c r="A288" s="176"/>
      <c r="B288" s="173"/>
      <c r="C288" s="173"/>
      <c r="D288" s="173"/>
      <c r="E288" s="173"/>
    </row>
    <row r="289" ht="15.75" customHeight="1">
      <c r="A289" s="176"/>
      <c r="B289" s="173"/>
      <c r="C289" s="173"/>
      <c r="D289" s="173"/>
      <c r="E289" s="173"/>
    </row>
    <row r="290" ht="15.75" customHeight="1">
      <c r="A290" s="176"/>
      <c r="B290" s="173"/>
      <c r="C290" s="173"/>
      <c r="D290" s="173"/>
      <c r="E290" s="173"/>
    </row>
    <row r="291" ht="15.75" customHeight="1">
      <c r="A291" s="176"/>
      <c r="B291" s="173"/>
      <c r="C291" s="173"/>
      <c r="D291" s="173"/>
      <c r="E291" s="173"/>
    </row>
    <row r="292" ht="15.75" customHeight="1">
      <c r="A292" s="176"/>
      <c r="B292" s="173"/>
      <c r="C292" s="173"/>
      <c r="D292" s="173"/>
      <c r="E292" s="173"/>
    </row>
    <row r="293" ht="15.75" customHeight="1">
      <c r="A293" s="176"/>
      <c r="B293" s="173"/>
      <c r="C293" s="173"/>
      <c r="D293" s="173"/>
      <c r="E293" s="173"/>
    </row>
    <row r="294" ht="15.75" customHeight="1">
      <c r="A294" s="176"/>
      <c r="B294" s="173"/>
      <c r="C294" s="173"/>
      <c r="D294" s="173"/>
      <c r="E294" s="173"/>
    </row>
    <row r="295" ht="15.75" customHeight="1">
      <c r="A295" s="176"/>
      <c r="B295" s="173"/>
      <c r="C295" s="173"/>
      <c r="D295" s="173"/>
      <c r="E295" s="173"/>
    </row>
    <row r="296" ht="15.75" customHeight="1">
      <c r="A296" s="176"/>
      <c r="B296" s="173"/>
      <c r="C296" s="173"/>
      <c r="D296" s="173"/>
      <c r="E296" s="173"/>
    </row>
    <row r="297" ht="15.75" customHeight="1">
      <c r="A297" s="176"/>
      <c r="B297" s="173"/>
      <c r="C297" s="173"/>
      <c r="D297" s="173"/>
      <c r="E297" s="173"/>
    </row>
    <row r="298" ht="15.75" customHeight="1">
      <c r="A298" s="176"/>
      <c r="B298" s="173"/>
      <c r="C298" s="173"/>
      <c r="D298" s="173"/>
      <c r="E298" s="173"/>
    </row>
    <row r="299" ht="15.75" customHeight="1">
      <c r="A299" s="176"/>
      <c r="B299" s="173"/>
      <c r="C299" s="173"/>
      <c r="D299" s="173"/>
      <c r="E299" s="173"/>
    </row>
    <row r="300" ht="15.75" customHeight="1">
      <c r="A300" s="176"/>
      <c r="B300" s="173"/>
      <c r="C300" s="173"/>
      <c r="D300" s="173"/>
      <c r="E300" s="173"/>
    </row>
    <row r="301" ht="15.75" customHeight="1">
      <c r="A301" s="176"/>
      <c r="B301" s="173"/>
      <c r="C301" s="173"/>
      <c r="D301" s="173"/>
      <c r="E301" s="173"/>
    </row>
    <row r="302" ht="15.75" customHeight="1">
      <c r="A302" s="176"/>
      <c r="B302" s="173"/>
      <c r="C302" s="173"/>
      <c r="D302" s="173"/>
      <c r="E302" s="173"/>
    </row>
    <row r="303" ht="15.75" customHeight="1">
      <c r="A303" s="176"/>
      <c r="B303" s="173"/>
      <c r="C303" s="173"/>
      <c r="D303" s="173"/>
      <c r="E303" s="173"/>
    </row>
    <row r="304" ht="15.75" customHeight="1">
      <c r="A304" s="176"/>
      <c r="B304" s="173"/>
      <c r="C304" s="173"/>
      <c r="D304" s="173"/>
      <c r="E304" s="173"/>
    </row>
    <row r="305" ht="15.75" customHeight="1">
      <c r="A305" s="176"/>
      <c r="B305" s="173"/>
      <c r="C305" s="173"/>
      <c r="D305" s="173"/>
      <c r="E305" s="173"/>
    </row>
    <row r="306" ht="15.75" customHeight="1">
      <c r="A306" s="176"/>
      <c r="B306" s="173"/>
      <c r="C306" s="173"/>
      <c r="D306" s="173"/>
      <c r="E306" s="173"/>
    </row>
    <row r="307" ht="15.75" customHeight="1">
      <c r="A307" s="176"/>
      <c r="B307" s="173"/>
      <c r="C307" s="173"/>
      <c r="D307" s="173"/>
      <c r="E307" s="173"/>
    </row>
    <row r="308" ht="15.75" customHeight="1">
      <c r="A308" s="176"/>
      <c r="B308" s="173"/>
      <c r="C308" s="173"/>
      <c r="D308" s="173"/>
      <c r="E308" s="173"/>
    </row>
    <row r="309" ht="15.75" customHeight="1">
      <c r="A309" s="176"/>
      <c r="B309" s="173"/>
      <c r="C309" s="173"/>
      <c r="D309" s="173"/>
      <c r="E309" s="173"/>
    </row>
    <row r="310" ht="15.75" customHeight="1">
      <c r="A310" s="176"/>
      <c r="B310" s="173"/>
      <c r="C310" s="173"/>
      <c r="D310" s="173"/>
      <c r="E310" s="173"/>
    </row>
    <row r="311" ht="15.75" customHeight="1">
      <c r="A311" s="176"/>
      <c r="B311" s="173"/>
      <c r="C311" s="173"/>
      <c r="D311" s="173"/>
      <c r="E311" s="173"/>
    </row>
    <row r="312" ht="15.75" customHeight="1">
      <c r="A312" s="176"/>
      <c r="B312" s="173"/>
      <c r="C312" s="173"/>
      <c r="D312" s="173"/>
      <c r="E312" s="173"/>
    </row>
    <row r="313" ht="15.75" customHeight="1">
      <c r="A313" s="176"/>
      <c r="B313" s="173"/>
      <c r="C313" s="173"/>
      <c r="D313" s="173"/>
      <c r="E313" s="173"/>
    </row>
    <row r="314" ht="15.75" customHeight="1">
      <c r="A314" s="176"/>
      <c r="B314" s="173"/>
      <c r="C314" s="173"/>
      <c r="D314" s="173"/>
      <c r="E314" s="173"/>
    </row>
    <row r="315" ht="15.75" customHeight="1">
      <c r="A315" s="176"/>
      <c r="B315" s="173"/>
      <c r="C315" s="173"/>
      <c r="D315" s="173"/>
      <c r="E315" s="173"/>
    </row>
    <row r="316" ht="15.75" customHeight="1">
      <c r="A316" s="176"/>
      <c r="B316" s="173"/>
      <c r="C316" s="173"/>
      <c r="D316" s="173"/>
      <c r="E316" s="173"/>
    </row>
    <row r="317" ht="15.75" customHeight="1">
      <c r="A317" s="176"/>
      <c r="B317" s="173"/>
      <c r="C317" s="173"/>
      <c r="D317" s="173"/>
      <c r="E317" s="173"/>
    </row>
    <row r="318" ht="15.75" customHeight="1">
      <c r="A318" s="176"/>
      <c r="B318" s="173"/>
      <c r="C318" s="173"/>
      <c r="D318" s="173"/>
      <c r="E318" s="173"/>
    </row>
    <row r="319" ht="15.75" customHeight="1">
      <c r="A319" s="176"/>
      <c r="B319" s="173"/>
      <c r="C319" s="173"/>
      <c r="D319" s="173"/>
      <c r="E319" s="173"/>
    </row>
    <row r="320" ht="15.75" customHeight="1">
      <c r="A320" s="176"/>
      <c r="B320" s="173"/>
      <c r="C320" s="173"/>
      <c r="D320" s="173"/>
      <c r="E320" s="173"/>
    </row>
    <row r="321" ht="15.75" customHeight="1">
      <c r="A321" s="176"/>
      <c r="B321" s="173"/>
      <c r="C321" s="173"/>
      <c r="D321" s="173"/>
      <c r="E321" s="173"/>
    </row>
    <row r="322" ht="15.75" customHeight="1">
      <c r="A322" s="176"/>
      <c r="B322" s="173"/>
      <c r="C322" s="173"/>
      <c r="D322" s="173"/>
      <c r="E322" s="173"/>
    </row>
    <row r="323" ht="15.75" customHeight="1">
      <c r="A323" s="176"/>
      <c r="B323" s="173"/>
      <c r="C323" s="173"/>
      <c r="D323" s="173"/>
      <c r="E323" s="173"/>
    </row>
    <row r="324" ht="15.75" customHeight="1">
      <c r="A324" s="176"/>
      <c r="B324" s="173"/>
      <c r="C324" s="173"/>
      <c r="D324" s="173"/>
      <c r="E324" s="173"/>
    </row>
    <row r="325" ht="15.75" customHeight="1">
      <c r="A325" s="176"/>
      <c r="B325" s="173"/>
      <c r="C325" s="173"/>
      <c r="D325" s="173"/>
      <c r="E325" s="173"/>
    </row>
    <row r="326" ht="15.75" customHeight="1">
      <c r="A326" s="176"/>
      <c r="B326" s="173"/>
      <c r="C326" s="173"/>
      <c r="D326" s="173"/>
      <c r="E326" s="173"/>
    </row>
    <row r="327" ht="15.75" customHeight="1">
      <c r="A327" s="176"/>
      <c r="B327" s="173"/>
      <c r="C327" s="173"/>
      <c r="D327" s="173"/>
      <c r="E327" s="173"/>
    </row>
    <row r="328" ht="15.75" customHeight="1">
      <c r="A328" s="176"/>
      <c r="B328" s="173"/>
      <c r="C328" s="173"/>
      <c r="D328" s="173"/>
      <c r="E328" s="173"/>
    </row>
    <row r="329" ht="15.75" customHeight="1">
      <c r="A329" s="176"/>
      <c r="B329" s="173"/>
      <c r="C329" s="173"/>
      <c r="D329" s="173"/>
      <c r="E329" s="173"/>
    </row>
    <row r="330" ht="15.75" customHeight="1">
      <c r="A330" s="176"/>
      <c r="B330" s="173"/>
      <c r="C330" s="173"/>
      <c r="D330" s="173"/>
      <c r="E330" s="173"/>
    </row>
    <row r="331" ht="15.75" customHeight="1">
      <c r="A331" s="176"/>
      <c r="B331" s="173"/>
      <c r="C331" s="173"/>
      <c r="D331" s="173"/>
      <c r="E331" s="173"/>
    </row>
    <row r="332" ht="15.75" customHeight="1">
      <c r="A332" s="176"/>
      <c r="B332" s="173"/>
      <c r="C332" s="173"/>
      <c r="D332" s="173"/>
      <c r="E332" s="173"/>
    </row>
    <row r="333" ht="15.75" customHeight="1">
      <c r="A333" s="176"/>
      <c r="B333" s="173"/>
      <c r="C333" s="173"/>
      <c r="D333" s="173"/>
      <c r="E333" s="173"/>
    </row>
    <row r="334" ht="15.75" customHeight="1">
      <c r="A334" s="176"/>
      <c r="B334" s="173"/>
      <c r="C334" s="173"/>
      <c r="D334" s="173"/>
      <c r="E334" s="173"/>
    </row>
    <row r="335" ht="15.75" customHeight="1">
      <c r="A335" s="176"/>
      <c r="B335" s="173"/>
      <c r="C335" s="173"/>
      <c r="D335" s="173"/>
      <c r="E335" s="173"/>
    </row>
    <row r="336" ht="15.75" customHeight="1">
      <c r="A336" s="176"/>
      <c r="B336" s="173"/>
      <c r="C336" s="173"/>
      <c r="D336" s="173"/>
      <c r="E336" s="173"/>
    </row>
    <row r="337" ht="15.75" customHeight="1">
      <c r="A337" s="176"/>
      <c r="B337" s="173"/>
      <c r="C337" s="173"/>
      <c r="D337" s="173"/>
      <c r="E337" s="173"/>
    </row>
    <row r="338" ht="15.75" customHeight="1">
      <c r="A338" s="176"/>
      <c r="B338" s="173"/>
      <c r="C338" s="173"/>
      <c r="D338" s="173"/>
      <c r="E338" s="173"/>
    </row>
    <row r="339" ht="15.75" customHeight="1">
      <c r="A339" s="176"/>
      <c r="B339" s="173"/>
      <c r="C339" s="173"/>
      <c r="D339" s="173"/>
      <c r="E339" s="173"/>
    </row>
    <row r="340" ht="15.75" customHeight="1">
      <c r="A340" s="176"/>
      <c r="B340" s="173"/>
      <c r="C340" s="173"/>
      <c r="D340" s="173"/>
      <c r="E340" s="173"/>
    </row>
    <row r="341" ht="15.75" customHeight="1">
      <c r="A341" s="176"/>
      <c r="B341" s="173"/>
      <c r="C341" s="173"/>
      <c r="D341" s="173"/>
      <c r="E341" s="173"/>
    </row>
    <row r="342" ht="15.75" customHeight="1">
      <c r="A342" s="176"/>
      <c r="B342" s="173"/>
      <c r="C342" s="173"/>
      <c r="D342" s="173"/>
      <c r="E342" s="173"/>
    </row>
    <row r="343" ht="15.75" customHeight="1">
      <c r="A343" s="176"/>
      <c r="B343" s="173"/>
      <c r="C343" s="173"/>
      <c r="D343" s="173"/>
      <c r="E343" s="173"/>
    </row>
    <row r="344" ht="15.75" customHeight="1">
      <c r="A344" s="176"/>
      <c r="B344" s="173"/>
      <c r="C344" s="173"/>
      <c r="D344" s="173"/>
      <c r="E344" s="173"/>
    </row>
    <row r="345" ht="15.75" customHeight="1">
      <c r="A345" s="176"/>
      <c r="B345" s="173"/>
      <c r="C345" s="173"/>
      <c r="D345" s="173"/>
      <c r="E345" s="173"/>
    </row>
    <row r="346" ht="15.75" customHeight="1">
      <c r="A346" s="176"/>
      <c r="B346" s="173"/>
      <c r="C346" s="173"/>
      <c r="D346" s="173"/>
      <c r="E346" s="173"/>
    </row>
    <row r="347" ht="15.75" customHeight="1">
      <c r="A347" s="176"/>
      <c r="B347" s="173"/>
      <c r="C347" s="173"/>
      <c r="D347" s="173"/>
      <c r="E347" s="173"/>
    </row>
    <row r="348" ht="15.75" customHeight="1">
      <c r="A348" s="176"/>
      <c r="B348" s="173"/>
      <c r="C348" s="173"/>
      <c r="D348" s="173"/>
      <c r="E348" s="173"/>
    </row>
    <row r="349" ht="15.75" customHeight="1">
      <c r="A349" s="176"/>
      <c r="B349" s="173"/>
      <c r="C349" s="173"/>
      <c r="D349" s="173"/>
      <c r="E349" s="173"/>
    </row>
    <row r="350" ht="15.75" customHeight="1">
      <c r="A350" s="176"/>
      <c r="B350" s="173"/>
      <c r="C350" s="173"/>
      <c r="D350" s="173"/>
      <c r="E350" s="173"/>
    </row>
    <row r="351" ht="15.75" customHeight="1">
      <c r="A351" s="176"/>
      <c r="B351" s="173"/>
      <c r="C351" s="173"/>
      <c r="D351" s="173"/>
      <c r="E351" s="173"/>
    </row>
    <row r="352" ht="15.75" customHeight="1">
      <c r="A352" s="176"/>
      <c r="B352" s="173"/>
      <c r="C352" s="173"/>
      <c r="D352" s="173"/>
      <c r="E352" s="173"/>
    </row>
    <row r="353" ht="15.75" customHeight="1">
      <c r="A353" s="176"/>
      <c r="B353" s="173"/>
      <c r="C353" s="173"/>
      <c r="D353" s="173"/>
      <c r="E353" s="173"/>
    </row>
    <row r="354" ht="15.75" customHeight="1">
      <c r="A354" s="176"/>
      <c r="B354" s="173"/>
      <c r="C354" s="173"/>
      <c r="D354" s="173"/>
      <c r="E354" s="173"/>
    </row>
    <row r="355" ht="15.75" customHeight="1">
      <c r="A355" s="176"/>
      <c r="B355" s="173"/>
      <c r="C355" s="173"/>
      <c r="D355" s="173"/>
      <c r="E355" s="173"/>
    </row>
    <row r="356" ht="15.75" customHeight="1">
      <c r="A356" s="176"/>
      <c r="B356" s="173"/>
      <c r="C356" s="173"/>
      <c r="D356" s="173"/>
      <c r="E356" s="173"/>
    </row>
    <row r="357" ht="15.75" customHeight="1">
      <c r="A357" s="176"/>
      <c r="B357" s="173"/>
      <c r="C357" s="173"/>
      <c r="D357" s="173"/>
      <c r="E357" s="173"/>
    </row>
    <row r="358" ht="15.75" customHeight="1">
      <c r="A358" s="176"/>
      <c r="B358" s="173"/>
      <c r="C358" s="173"/>
      <c r="D358" s="173"/>
      <c r="E358" s="173"/>
    </row>
    <row r="359" ht="15.75" customHeight="1">
      <c r="A359" s="176"/>
      <c r="B359" s="173"/>
      <c r="C359" s="173"/>
      <c r="D359" s="173"/>
      <c r="E359" s="173"/>
    </row>
    <row r="360" ht="15.75" customHeight="1">
      <c r="A360" s="176"/>
      <c r="B360" s="173"/>
      <c r="C360" s="173"/>
      <c r="D360" s="173"/>
      <c r="E360" s="173"/>
    </row>
    <row r="361" ht="15.75" customHeight="1">
      <c r="A361" s="176"/>
      <c r="B361" s="173"/>
      <c r="C361" s="173"/>
      <c r="D361" s="173"/>
      <c r="E361" s="173"/>
    </row>
    <row r="362" ht="15.75" customHeight="1">
      <c r="A362" s="176"/>
      <c r="B362" s="173"/>
      <c r="C362" s="173"/>
      <c r="D362" s="173"/>
      <c r="E362" s="173"/>
    </row>
    <row r="363" ht="15.75" customHeight="1">
      <c r="A363" s="176"/>
      <c r="B363" s="173"/>
      <c r="C363" s="173"/>
      <c r="D363" s="173"/>
      <c r="E363" s="173"/>
    </row>
    <row r="364" ht="15.75" customHeight="1">
      <c r="A364" s="176"/>
      <c r="B364" s="173"/>
      <c r="C364" s="173"/>
      <c r="D364" s="173"/>
      <c r="E364" s="173"/>
    </row>
    <row r="365" ht="15.75" customHeight="1">
      <c r="A365" s="176"/>
      <c r="B365" s="173"/>
      <c r="C365" s="173"/>
      <c r="D365" s="173"/>
      <c r="E365" s="173"/>
    </row>
    <row r="366" ht="15.75" customHeight="1">
      <c r="A366" s="176"/>
      <c r="B366" s="173"/>
      <c r="C366" s="173"/>
      <c r="D366" s="173"/>
      <c r="E366" s="173"/>
    </row>
    <row r="367" ht="15.75" customHeight="1">
      <c r="A367" s="176"/>
      <c r="B367" s="173"/>
      <c r="C367" s="173"/>
      <c r="D367" s="173"/>
      <c r="E367" s="173"/>
    </row>
    <row r="368" ht="15.75" customHeight="1">
      <c r="A368" s="176"/>
      <c r="B368" s="173"/>
      <c r="C368" s="173"/>
      <c r="D368" s="173"/>
      <c r="E368" s="173"/>
    </row>
    <row r="369" ht="15.75" customHeight="1">
      <c r="A369" s="176"/>
      <c r="B369" s="173"/>
      <c r="C369" s="173"/>
      <c r="D369" s="173"/>
      <c r="E369" s="173"/>
    </row>
    <row r="370" ht="15.75" customHeight="1">
      <c r="A370" s="176"/>
      <c r="B370" s="173"/>
      <c r="C370" s="173"/>
      <c r="D370" s="173"/>
      <c r="E370" s="173"/>
    </row>
    <row r="371" ht="15.75" customHeight="1">
      <c r="A371" s="176"/>
      <c r="B371" s="173"/>
      <c r="C371" s="173"/>
      <c r="D371" s="173"/>
      <c r="E371" s="173"/>
    </row>
    <row r="372" ht="15.75" customHeight="1">
      <c r="A372" s="176"/>
      <c r="B372" s="173"/>
      <c r="C372" s="173"/>
      <c r="D372" s="173"/>
      <c r="E372" s="173"/>
    </row>
    <row r="373" ht="15.75" customHeight="1">
      <c r="A373" s="176"/>
      <c r="B373" s="173"/>
      <c r="C373" s="173"/>
      <c r="D373" s="173"/>
      <c r="E373" s="173"/>
    </row>
    <row r="374" ht="15.75" customHeight="1">
      <c r="A374" s="176"/>
      <c r="B374" s="173"/>
      <c r="C374" s="173"/>
      <c r="D374" s="173"/>
      <c r="E374" s="173"/>
    </row>
    <row r="375" ht="15.75" customHeight="1">
      <c r="A375" s="176"/>
      <c r="B375" s="173"/>
      <c r="C375" s="173"/>
      <c r="D375" s="173"/>
      <c r="E375" s="173"/>
    </row>
    <row r="376" ht="15.75" customHeight="1">
      <c r="A376" s="176"/>
      <c r="B376" s="173"/>
      <c r="C376" s="173"/>
      <c r="D376" s="173"/>
      <c r="E376" s="173"/>
    </row>
    <row r="377" ht="15.75" customHeight="1">
      <c r="A377" s="176"/>
      <c r="B377" s="173"/>
      <c r="C377" s="173"/>
      <c r="D377" s="173"/>
      <c r="E377" s="173"/>
    </row>
    <row r="378" ht="15.75" customHeight="1">
      <c r="A378" s="176"/>
      <c r="B378" s="173"/>
      <c r="C378" s="173"/>
      <c r="D378" s="173"/>
      <c r="E378" s="173"/>
    </row>
    <row r="379" ht="15.75" customHeight="1">
      <c r="A379" s="176"/>
      <c r="B379" s="173"/>
      <c r="C379" s="173"/>
      <c r="D379" s="173"/>
      <c r="E379" s="173"/>
    </row>
    <row r="380" ht="15.75" customHeight="1">
      <c r="A380" s="176"/>
      <c r="B380" s="173"/>
      <c r="C380" s="173"/>
      <c r="D380" s="173"/>
      <c r="E380" s="173"/>
    </row>
    <row r="381" ht="15.75" customHeight="1">
      <c r="A381" s="176"/>
      <c r="B381" s="173"/>
      <c r="C381" s="173"/>
      <c r="D381" s="173"/>
      <c r="E381" s="173"/>
    </row>
    <row r="382" ht="15.75" customHeight="1">
      <c r="A382" s="176"/>
      <c r="B382" s="173"/>
      <c r="C382" s="173"/>
      <c r="D382" s="173"/>
      <c r="E382" s="173"/>
    </row>
    <row r="383" ht="15.75" customHeight="1">
      <c r="A383" s="176"/>
      <c r="B383" s="173"/>
      <c r="C383" s="173"/>
      <c r="D383" s="173"/>
      <c r="E383" s="173"/>
    </row>
    <row r="384" ht="15.75" customHeight="1">
      <c r="A384" s="176"/>
      <c r="B384" s="173"/>
      <c r="C384" s="173"/>
      <c r="D384" s="173"/>
      <c r="E384" s="173"/>
    </row>
    <row r="385" ht="15.75" customHeight="1">
      <c r="A385" s="176"/>
      <c r="B385" s="173"/>
      <c r="C385" s="173"/>
      <c r="D385" s="173"/>
      <c r="E385" s="173"/>
    </row>
    <row r="386" ht="15.75" customHeight="1">
      <c r="A386" s="176"/>
      <c r="B386" s="173"/>
      <c r="C386" s="173"/>
      <c r="D386" s="173"/>
      <c r="E386" s="173"/>
    </row>
    <row r="387" ht="15.75" customHeight="1">
      <c r="A387" s="176"/>
      <c r="B387" s="173"/>
      <c r="C387" s="173"/>
      <c r="D387" s="173"/>
      <c r="E387" s="173"/>
    </row>
    <row r="388" ht="15.75" customHeight="1">
      <c r="A388" s="176"/>
      <c r="B388" s="173"/>
      <c r="C388" s="173"/>
      <c r="D388" s="173"/>
      <c r="E388" s="173"/>
    </row>
    <row r="389" ht="15.75" customHeight="1">
      <c r="A389" s="176"/>
      <c r="B389" s="173"/>
      <c r="C389" s="173"/>
      <c r="D389" s="173"/>
      <c r="E389" s="173"/>
    </row>
    <row r="390" ht="15.75" customHeight="1">
      <c r="A390" s="176"/>
      <c r="B390" s="173"/>
      <c r="C390" s="173"/>
      <c r="D390" s="173"/>
      <c r="E390" s="173"/>
    </row>
    <row r="391" ht="15.75" customHeight="1">
      <c r="A391" s="176"/>
      <c r="B391" s="173"/>
      <c r="C391" s="173"/>
      <c r="D391" s="173"/>
      <c r="E391" s="173"/>
    </row>
    <row r="392" ht="15.75" customHeight="1">
      <c r="A392" s="176"/>
      <c r="B392" s="173"/>
      <c r="C392" s="173"/>
      <c r="D392" s="173"/>
      <c r="E392" s="173"/>
    </row>
    <row r="393" ht="15.75" customHeight="1">
      <c r="A393" s="176"/>
      <c r="B393" s="173"/>
      <c r="C393" s="173"/>
      <c r="D393" s="173"/>
      <c r="E393" s="173"/>
    </row>
    <row r="394" ht="15.75" customHeight="1">
      <c r="A394" s="176"/>
      <c r="B394" s="173"/>
      <c r="C394" s="173"/>
      <c r="D394" s="173"/>
      <c r="E394" s="173"/>
    </row>
    <row r="395" ht="15.75" customHeight="1">
      <c r="A395" s="176"/>
      <c r="B395" s="173"/>
      <c r="C395" s="173"/>
      <c r="D395" s="173"/>
      <c r="E395" s="173"/>
    </row>
    <row r="396" ht="15.75" customHeight="1">
      <c r="A396" s="176"/>
      <c r="B396" s="173"/>
      <c r="C396" s="173"/>
      <c r="D396" s="173"/>
      <c r="E396" s="173"/>
    </row>
    <row r="397" ht="15.75" customHeight="1">
      <c r="A397" s="176"/>
      <c r="B397" s="173"/>
      <c r="C397" s="173"/>
      <c r="D397" s="173"/>
      <c r="E397" s="173"/>
    </row>
    <row r="398" ht="15.75" customHeight="1">
      <c r="A398" s="176"/>
      <c r="B398" s="173"/>
      <c r="C398" s="173"/>
      <c r="D398" s="173"/>
      <c r="E398" s="173"/>
    </row>
    <row r="399" ht="15.75" customHeight="1">
      <c r="A399" s="176"/>
      <c r="B399" s="173"/>
      <c r="C399" s="173"/>
      <c r="D399" s="173"/>
      <c r="E399" s="173"/>
    </row>
    <row r="400" ht="15.75" customHeight="1">
      <c r="A400" s="176"/>
      <c r="B400" s="173"/>
      <c r="C400" s="173"/>
      <c r="D400" s="173"/>
      <c r="E400" s="173"/>
    </row>
    <row r="401" ht="15.75" customHeight="1">
      <c r="A401" s="176"/>
      <c r="B401" s="173"/>
      <c r="C401" s="173"/>
      <c r="D401" s="173"/>
      <c r="E401" s="173"/>
    </row>
    <row r="402" ht="15.75" customHeight="1">
      <c r="A402" s="176"/>
      <c r="B402" s="173"/>
      <c r="C402" s="173"/>
      <c r="D402" s="173"/>
      <c r="E402" s="173"/>
    </row>
    <row r="403" ht="15.75" customHeight="1">
      <c r="A403" s="176"/>
      <c r="B403" s="173"/>
      <c r="C403" s="173"/>
      <c r="D403" s="173"/>
      <c r="E403" s="173"/>
    </row>
    <row r="404" ht="15.75" customHeight="1">
      <c r="A404" s="176"/>
      <c r="B404" s="173"/>
      <c r="C404" s="173"/>
      <c r="D404" s="173"/>
      <c r="E404" s="173"/>
    </row>
    <row r="405" ht="15.75" customHeight="1">
      <c r="A405" s="176"/>
      <c r="B405" s="173"/>
      <c r="C405" s="173"/>
      <c r="D405" s="173"/>
      <c r="E405" s="173"/>
    </row>
    <row r="406" ht="15.75" customHeight="1">
      <c r="A406" s="176"/>
      <c r="B406" s="173"/>
      <c r="C406" s="173"/>
      <c r="D406" s="173"/>
      <c r="E406" s="173"/>
    </row>
    <row r="407" ht="15.75" customHeight="1">
      <c r="A407" s="176"/>
      <c r="B407" s="173"/>
      <c r="C407" s="173"/>
      <c r="D407" s="173"/>
      <c r="E407" s="173"/>
    </row>
    <row r="408" ht="15.75" customHeight="1">
      <c r="A408" s="176"/>
      <c r="B408" s="173"/>
      <c r="C408" s="173"/>
      <c r="D408" s="173"/>
      <c r="E408" s="173"/>
    </row>
    <row r="409" ht="15.75" customHeight="1">
      <c r="A409" s="176"/>
      <c r="B409" s="173"/>
      <c r="C409" s="173"/>
      <c r="D409" s="173"/>
      <c r="E409" s="173"/>
    </row>
    <row r="410" ht="15.75" customHeight="1">
      <c r="A410" s="176"/>
      <c r="B410" s="173"/>
      <c r="C410" s="173"/>
      <c r="D410" s="173"/>
      <c r="E410" s="173"/>
    </row>
    <row r="411" ht="15.75" customHeight="1">
      <c r="A411" s="176"/>
      <c r="B411" s="173"/>
      <c r="C411" s="173"/>
      <c r="D411" s="173"/>
      <c r="E411" s="173"/>
    </row>
    <row r="412" ht="15.75" customHeight="1">
      <c r="A412" s="176"/>
      <c r="B412" s="173"/>
      <c r="C412" s="173"/>
      <c r="D412" s="173"/>
      <c r="E412" s="173"/>
    </row>
    <row r="413" ht="15.75" customHeight="1">
      <c r="A413" s="176"/>
      <c r="B413" s="173"/>
      <c r="C413" s="173"/>
      <c r="D413" s="173"/>
      <c r="E413" s="173"/>
    </row>
    <row r="414" ht="15.75" customHeight="1">
      <c r="A414" s="176"/>
      <c r="B414" s="173"/>
      <c r="C414" s="173"/>
      <c r="D414" s="173"/>
      <c r="E414" s="173"/>
    </row>
    <row r="415" ht="15.75" customHeight="1">
      <c r="A415" s="176"/>
      <c r="B415" s="173"/>
      <c r="C415" s="173"/>
      <c r="D415" s="173"/>
      <c r="E415" s="173"/>
    </row>
    <row r="416" ht="15.75" customHeight="1">
      <c r="A416" s="176"/>
      <c r="B416" s="173"/>
      <c r="C416" s="173"/>
      <c r="D416" s="173"/>
      <c r="E416" s="173"/>
    </row>
    <row r="417" ht="15.75" customHeight="1">
      <c r="A417" s="176"/>
      <c r="B417" s="173"/>
      <c r="C417" s="173"/>
      <c r="D417" s="173"/>
      <c r="E417" s="173"/>
    </row>
    <row r="418" ht="15.75" customHeight="1">
      <c r="A418" s="176"/>
      <c r="B418" s="173"/>
      <c r="C418" s="173"/>
      <c r="D418" s="173"/>
      <c r="E418" s="173"/>
    </row>
    <row r="419" ht="15.75" customHeight="1">
      <c r="A419" s="176"/>
      <c r="B419" s="173"/>
      <c r="C419" s="173"/>
      <c r="D419" s="173"/>
      <c r="E419" s="173"/>
    </row>
    <row r="420" ht="15.75" customHeight="1">
      <c r="A420" s="176"/>
      <c r="B420" s="173"/>
      <c r="C420" s="173"/>
      <c r="D420" s="173"/>
      <c r="E420" s="173"/>
    </row>
    <row r="421" ht="15.75" customHeight="1">
      <c r="A421" s="176"/>
      <c r="B421" s="173"/>
      <c r="C421" s="173"/>
      <c r="D421" s="173"/>
      <c r="E421" s="173"/>
    </row>
    <row r="422" ht="15.75" customHeight="1">
      <c r="A422" s="176"/>
      <c r="B422" s="173"/>
      <c r="C422" s="173"/>
      <c r="D422" s="173"/>
      <c r="E422" s="173"/>
    </row>
    <row r="423" ht="15.75" customHeight="1">
      <c r="A423" s="176"/>
      <c r="B423" s="173"/>
      <c r="C423" s="173"/>
      <c r="D423" s="173"/>
      <c r="E423" s="173"/>
    </row>
    <row r="424" ht="15.75" customHeight="1">
      <c r="A424" s="176"/>
      <c r="B424" s="173"/>
      <c r="C424" s="173"/>
      <c r="D424" s="173"/>
      <c r="E424" s="173"/>
    </row>
    <row r="425" ht="15.75" customHeight="1">
      <c r="A425" s="176"/>
      <c r="B425" s="173"/>
      <c r="C425" s="173"/>
      <c r="D425" s="173"/>
      <c r="E425" s="173"/>
    </row>
    <row r="426" ht="15.75" customHeight="1">
      <c r="A426" s="176"/>
      <c r="B426" s="173"/>
      <c r="C426" s="173"/>
      <c r="D426" s="173"/>
      <c r="E426" s="173"/>
    </row>
    <row r="427" ht="15.75" customHeight="1">
      <c r="A427" s="176"/>
      <c r="B427" s="173"/>
      <c r="C427" s="173"/>
      <c r="D427" s="173"/>
      <c r="E427" s="173"/>
    </row>
    <row r="428" ht="15.75" customHeight="1">
      <c r="A428" s="176"/>
      <c r="B428" s="173"/>
      <c r="C428" s="173"/>
      <c r="D428" s="173"/>
      <c r="E428" s="173"/>
    </row>
    <row r="429" ht="15.75" customHeight="1">
      <c r="A429" s="176"/>
      <c r="B429" s="173"/>
      <c r="C429" s="173"/>
      <c r="D429" s="173"/>
      <c r="E429" s="173"/>
    </row>
    <row r="430" ht="15.75" customHeight="1">
      <c r="A430" s="176"/>
      <c r="B430" s="173"/>
      <c r="C430" s="173"/>
      <c r="D430" s="173"/>
      <c r="E430" s="173"/>
    </row>
    <row r="431" ht="15.75" customHeight="1">
      <c r="A431" s="176"/>
      <c r="B431" s="173"/>
      <c r="C431" s="173"/>
      <c r="D431" s="173"/>
      <c r="E431" s="173"/>
    </row>
    <row r="432" ht="15.75" customHeight="1">
      <c r="A432" s="176"/>
      <c r="B432" s="173"/>
      <c r="C432" s="173"/>
      <c r="D432" s="173"/>
      <c r="E432" s="173"/>
    </row>
    <row r="433" ht="15.75" customHeight="1">
      <c r="A433" s="176"/>
      <c r="B433" s="173"/>
      <c r="C433" s="173"/>
      <c r="D433" s="173"/>
      <c r="E433" s="173"/>
    </row>
    <row r="434" ht="15.75" customHeight="1">
      <c r="A434" s="176"/>
      <c r="B434" s="173"/>
      <c r="C434" s="173"/>
      <c r="D434" s="173"/>
      <c r="E434" s="173"/>
    </row>
    <row r="435" ht="15.75" customHeight="1">
      <c r="A435" s="176"/>
      <c r="B435" s="173"/>
      <c r="C435" s="173"/>
      <c r="D435" s="173"/>
      <c r="E435" s="173"/>
    </row>
    <row r="436" ht="15.75" customHeight="1">
      <c r="A436" s="176"/>
      <c r="B436" s="173"/>
      <c r="C436" s="173"/>
      <c r="D436" s="173"/>
      <c r="E436" s="173"/>
    </row>
    <row r="437" ht="15.75" customHeight="1">
      <c r="A437" s="176"/>
      <c r="B437" s="173"/>
      <c r="C437" s="173"/>
      <c r="D437" s="173"/>
      <c r="E437" s="173"/>
    </row>
    <row r="438" ht="15.75" customHeight="1">
      <c r="A438" s="176"/>
      <c r="B438" s="173"/>
      <c r="C438" s="173"/>
      <c r="D438" s="173"/>
      <c r="E438" s="173"/>
    </row>
    <row r="439" ht="15.75" customHeight="1">
      <c r="A439" s="176"/>
      <c r="B439" s="173"/>
      <c r="C439" s="173"/>
      <c r="D439" s="173"/>
      <c r="E439" s="173"/>
    </row>
    <row r="440" ht="15.75" customHeight="1">
      <c r="A440" s="176"/>
      <c r="B440" s="173"/>
      <c r="C440" s="173"/>
      <c r="D440" s="173"/>
      <c r="E440" s="173"/>
    </row>
    <row r="441" ht="15.75" customHeight="1">
      <c r="A441" s="176"/>
      <c r="B441" s="173"/>
      <c r="C441" s="173"/>
      <c r="D441" s="173"/>
      <c r="E441" s="173"/>
    </row>
    <row r="442" ht="15.75" customHeight="1">
      <c r="A442" s="176"/>
      <c r="B442" s="173"/>
      <c r="C442" s="173"/>
      <c r="D442" s="173"/>
      <c r="E442" s="173"/>
    </row>
    <row r="443" ht="15.75" customHeight="1">
      <c r="A443" s="176"/>
      <c r="B443" s="173"/>
      <c r="C443" s="173"/>
      <c r="D443" s="173"/>
      <c r="E443" s="173"/>
    </row>
    <row r="444" ht="15.75" customHeight="1">
      <c r="A444" s="176"/>
      <c r="B444" s="173"/>
      <c r="C444" s="173"/>
      <c r="D444" s="173"/>
      <c r="E444" s="173"/>
    </row>
    <row r="445" ht="15.75" customHeight="1">
      <c r="A445" s="176"/>
      <c r="B445" s="173"/>
      <c r="C445" s="173"/>
      <c r="D445" s="173"/>
      <c r="E445" s="173"/>
    </row>
    <row r="446" ht="15.75" customHeight="1">
      <c r="A446" s="176"/>
      <c r="B446" s="173"/>
      <c r="C446" s="173"/>
      <c r="D446" s="173"/>
      <c r="E446" s="173"/>
    </row>
    <row r="447" ht="15.75" customHeight="1">
      <c r="A447" s="176"/>
      <c r="B447" s="173"/>
      <c r="C447" s="173"/>
      <c r="D447" s="173"/>
      <c r="E447" s="173"/>
    </row>
    <row r="448" ht="15.75" customHeight="1">
      <c r="A448" s="176"/>
      <c r="B448" s="173"/>
      <c r="C448" s="173"/>
      <c r="D448" s="173"/>
      <c r="E448" s="173"/>
    </row>
    <row r="449" ht="15.75" customHeight="1">
      <c r="A449" s="176"/>
      <c r="B449" s="173"/>
      <c r="C449" s="173"/>
      <c r="D449" s="173"/>
      <c r="E449" s="173"/>
    </row>
    <row r="450" ht="15.75" customHeight="1">
      <c r="A450" s="176"/>
      <c r="B450" s="173"/>
      <c r="C450" s="173"/>
      <c r="D450" s="173"/>
      <c r="E450" s="173"/>
    </row>
    <row r="451" ht="15.75" customHeight="1">
      <c r="A451" s="176"/>
      <c r="B451" s="173"/>
      <c r="C451" s="173"/>
      <c r="D451" s="173"/>
      <c r="E451" s="173"/>
    </row>
    <row r="452" ht="15.75" customHeight="1">
      <c r="A452" s="176"/>
      <c r="B452" s="173"/>
      <c r="C452" s="173"/>
      <c r="D452" s="173"/>
      <c r="E452" s="173"/>
    </row>
    <row r="453" ht="15.75" customHeight="1">
      <c r="A453" s="176"/>
      <c r="B453" s="173"/>
      <c r="C453" s="173"/>
      <c r="D453" s="173"/>
      <c r="E453" s="173"/>
    </row>
    <row r="454" ht="15.75" customHeight="1">
      <c r="A454" s="176"/>
      <c r="B454" s="173"/>
      <c r="C454" s="173"/>
      <c r="D454" s="173"/>
      <c r="E454" s="173"/>
    </row>
    <row r="455" ht="15.75" customHeight="1">
      <c r="A455" s="176"/>
      <c r="B455" s="173"/>
      <c r="C455" s="173"/>
      <c r="D455" s="173"/>
      <c r="E455" s="173"/>
    </row>
    <row r="456" ht="15.75" customHeight="1">
      <c r="A456" s="176"/>
      <c r="B456" s="173"/>
      <c r="C456" s="173"/>
      <c r="D456" s="173"/>
      <c r="E456" s="173"/>
    </row>
    <row r="457" ht="15.75" customHeight="1">
      <c r="A457" s="176"/>
      <c r="B457" s="173"/>
      <c r="C457" s="173"/>
      <c r="D457" s="173"/>
      <c r="E457" s="173"/>
    </row>
    <row r="458" ht="15.75" customHeight="1">
      <c r="A458" s="176"/>
      <c r="B458" s="173"/>
      <c r="C458" s="173"/>
      <c r="D458" s="173"/>
      <c r="E458" s="173"/>
    </row>
    <row r="459" ht="15.75" customHeight="1">
      <c r="A459" s="176"/>
      <c r="B459" s="173"/>
      <c r="C459" s="173"/>
      <c r="D459" s="173"/>
      <c r="E459" s="173"/>
    </row>
    <row r="460" ht="15.75" customHeight="1">
      <c r="A460" s="176"/>
      <c r="B460" s="173"/>
      <c r="C460" s="173"/>
      <c r="D460" s="173"/>
      <c r="E460" s="173"/>
    </row>
    <row r="461" ht="15.75" customHeight="1">
      <c r="A461" s="176"/>
      <c r="B461" s="173"/>
      <c r="C461" s="173"/>
      <c r="D461" s="173"/>
      <c r="E461" s="173"/>
    </row>
    <row r="462" ht="15.75" customHeight="1">
      <c r="A462" s="176"/>
      <c r="B462" s="173"/>
      <c r="C462" s="173"/>
      <c r="D462" s="173"/>
      <c r="E462" s="173"/>
    </row>
    <row r="463" ht="15.75" customHeight="1">
      <c r="A463" s="176"/>
      <c r="B463" s="173"/>
      <c r="C463" s="173"/>
      <c r="D463" s="173"/>
      <c r="E463" s="173"/>
    </row>
    <row r="464" ht="15.75" customHeight="1">
      <c r="A464" s="176"/>
      <c r="B464" s="173"/>
      <c r="C464" s="173"/>
      <c r="D464" s="173"/>
      <c r="E464" s="173"/>
    </row>
    <row r="465" ht="15.75" customHeight="1">
      <c r="A465" s="176"/>
      <c r="B465" s="173"/>
      <c r="C465" s="173"/>
      <c r="D465" s="173"/>
      <c r="E465" s="173"/>
    </row>
    <row r="466" ht="15.75" customHeight="1">
      <c r="A466" s="176"/>
      <c r="B466" s="173"/>
      <c r="C466" s="173"/>
      <c r="D466" s="173"/>
      <c r="E466" s="173"/>
    </row>
    <row r="467" ht="15.75" customHeight="1">
      <c r="A467" s="176"/>
      <c r="B467" s="173"/>
      <c r="C467" s="173"/>
      <c r="D467" s="173"/>
      <c r="E467" s="173"/>
    </row>
    <row r="468" ht="15.75" customHeight="1">
      <c r="A468" s="176"/>
      <c r="B468" s="173"/>
      <c r="C468" s="173"/>
      <c r="D468" s="173"/>
      <c r="E468" s="173"/>
    </row>
    <row r="469" ht="15.75" customHeight="1">
      <c r="A469" s="176"/>
      <c r="B469" s="173"/>
      <c r="C469" s="173"/>
      <c r="D469" s="173"/>
      <c r="E469" s="173"/>
    </row>
    <row r="470" ht="15.75" customHeight="1">
      <c r="A470" s="176"/>
      <c r="B470" s="173"/>
      <c r="C470" s="173"/>
      <c r="D470" s="173"/>
      <c r="E470" s="173"/>
    </row>
    <row r="471" ht="15.75" customHeight="1">
      <c r="A471" s="176"/>
      <c r="B471" s="173"/>
      <c r="C471" s="173"/>
      <c r="D471" s="173"/>
      <c r="E471" s="173"/>
    </row>
    <row r="472" ht="15.75" customHeight="1">
      <c r="A472" s="176"/>
      <c r="B472" s="173"/>
      <c r="C472" s="173"/>
      <c r="D472" s="173"/>
      <c r="E472" s="173"/>
    </row>
    <row r="473" ht="15.75" customHeight="1">
      <c r="A473" s="176"/>
      <c r="B473" s="173"/>
      <c r="C473" s="173"/>
      <c r="D473" s="173"/>
      <c r="E473" s="173"/>
    </row>
    <row r="474" ht="15.75" customHeight="1">
      <c r="A474" s="176"/>
      <c r="B474" s="173"/>
      <c r="C474" s="173"/>
      <c r="D474" s="173"/>
      <c r="E474" s="173"/>
    </row>
    <row r="475" ht="15.75" customHeight="1">
      <c r="A475" s="176"/>
      <c r="B475" s="173"/>
      <c r="C475" s="173"/>
      <c r="D475" s="173"/>
      <c r="E475" s="173"/>
    </row>
    <row r="476" ht="15.75" customHeight="1">
      <c r="A476" s="176"/>
      <c r="B476" s="173"/>
      <c r="C476" s="173"/>
      <c r="D476" s="173"/>
      <c r="E476" s="173"/>
    </row>
    <row r="477" ht="15.75" customHeight="1">
      <c r="A477" s="176"/>
      <c r="B477" s="173"/>
      <c r="C477" s="173"/>
      <c r="D477" s="173"/>
      <c r="E477" s="173"/>
    </row>
    <row r="478" ht="15.75" customHeight="1">
      <c r="A478" s="176"/>
      <c r="B478" s="173"/>
      <c r="C478" s="173"/>
      <c r="D478" s="173"/>
      <c r="E478" s="173"/>
    </row>
    <row r="479" ht="15.75" customHeight="1">
      <c r="A479" s="176"/>
      <c r="B479" s="173"/>
      <c r="C479" s="173"/>
      <c r="D479" s="173"/>
      <c r="E479" s="173"/>
    </row>
    <row r="480" ht="15.75" customHeight="1">
      <c r="A480" s="176"/>
      <c r="B480" s="173"/>
      <c r="C480" s="173"/>
      <c r="D480" s="173"/>
      <c r="E480" s="173"/>
    </row>
    <row r="481" ht="15.75" customHeight="1">
      <c r="A481" s="176"/>
      <c r="B481" s="173"/>
      <c r="C481" s="173"/>
      <c r="D481" s="173"/>
      <c r="E481" s="173"/>
    </row>
    <row r="482" ht="15.75" customHeight="1">
      <c r="A482" s="176"/>
      <c r="B482" s="173"/>
      <c r="C482" s="173"/>
      <c r="D482" s="173"/>
      <c r="E482" s="173"/>
    </row>
    <row r="483" ht="15.75" customHeight="1">
      <c r="A483" s="176"/>
      <c r="B483" s="173"/>
      <c r="C483" s="173"/>
      <c r="D483" s="173"/>
      <c r="E483" s="173"/>
    </row>
    <row r="484" ht="15.75" customHeight="1">
      <c r="A484" s="176"/>
      <c r="B484" s="173"/>
      <c r="C484" s="173"/>
      <c r="D484" s="173"/>
      <c r="E484" s="173"/>
    </row>
    <row r="485" ht="15.75" customHeight="1">
      <c r="A485" s="176"/>
      <c r="B485" s="173"/>
      <c r="C485" s="173"/>
      <c r="D485" s="173"/>
      <c r="E485" s="173"/>
    </row>
    <row r="486" ht="15.75" customHeight="1">
      <c r="A486" s="176"/>
      <c r="B486" s="173"/>
      <c r="C486" s="173"/>
      <c r="D486" s="173"/>
      <c r="E486" s="173"/>
    </row>
    <row r="487" ht="15.75" customHeight="1">
      <c r="A487" s="176"/>
      <c r="B487" s="173"/>
      <c r="C487" s="173"/>
      <c r="D487" s="173"/>
      <c r="E487" s="173"/>
    </row>
    <row r="488" ht="15.75" customHeight="1">
      <c r="A488" s="176"/>
      <c r="B488" s="173"/>
      <c r="C488" s="173"/>
      <c r="D488" s="173"/>
      <c r="E488" s="173"/>
    </row>
    <row r="489" ht="15.75" customHeight="1">
      <c r="A489" s="176"/>
      <c r="B489" s="173"/>
      <c r="C489" s="173"/>
      <c r="D489" s="173"/>
      <c r="E489" s="173"/>
    </row>
    <row r="490" ht="15.75" customHeight="1">
      <c r="A490" s="176"/>
      <c r="B490" s="173"/>
      <c r="C490" s="173"/>
      <c r="D490" s="173"/>
      <c r="E490" s="173"/>
    </row>
    <row r="491" ht="15.75" customHeight="1">
      <c r="A491" s="176"/>
      <c r="B491" s="173"/>
      <c r="C491" s="173"/>
      <c r="D491" s="173"/>
      <c r="E491" s="173"/>
    </row>
    <row r="492" ht="15.75" customHeight="1">
      <c r="A492" s="176"/>
      <c r="B492" s="173"/>
      <c r="C492" s="173"/>
      <c r="D492" s="173"/>
      <c r="E492" s="173"/>
    </row>
    <row r="493" ht="15.75" customHeight="1">
      <c r="A493" s="176"/>
      <c r="B493" s="173"/>
      <c r="C493" s="173"/>
      <c r="D493" s="173"/>
      <c r="E493" s="173"/>
    </row>
    <row r="494" ht="15.75" customHeight="1">
      <c r="A494" s="176"/>
      <c r="B494" s="173"/>
      <c r="C494" s="173"/>
      <c r="D494" s="173"/>
      <c r="E494" s="173"/>
    </row>
    <row r="495" ht="15.75" customHeight="1">
      <c r="A495" s="176"/>
      <c r="B495" s="173"/>
      <c r="C495" s="173"/>
      <c r="D495" s="173"/>
      <c r="E495" s="173"/>
    </row>
    <row r="496" ht="15.75" customHeight="1">
      <c r="A496" s="176"/>
      <c r="B496" s="173"/>
      <c r="C496" s="173"/>
      <c r="D496" s="173"/>
      <c r="E496" s="173"/>
    </row>
    <row r="497" ht="15.75" customHeight="1">
      <c r="A497" s="176"/>
      <c r="B497" s="173"/>
      <c r="C497" s="173"/>
      <c r="D497" s="173"/>
      <c r="E497" s="173"/>
    </row>
    <row r="498" ht="15.75" customHeight="1">
      <c r="A498" s="176"/>
      <c r="B498" s="173"/>
      <c r="C498" s="173"/>
      <c r="D498" s="173"/>
      <c r="E498" s="173"/>
    </row>
    <row r="499" ht="15.75" customHeight="1">
      <c r="A499" s="176"/>
      <c r="B499" s="173"/>
      <c r="C499" s="173"/>
      <c r="D499" s="173"/>
      <c r="E499" s="173"/>
    </row>
    <row r="500" ht="15.75" customHeight="1">
      <c r="A500" s="176"/>
      <c r="B500" s="173"/>
      <c r="C500" s="173"/>
      <c r="D500" s="173"/>
      <c r="E500" s="173"/>
    </row>
    <row r="501" ht="15.75" customHeight="1">
      <c r="A501" s="176"/>
      <c r="B501" s="173"/>
      <c r="C501" s="173"/>
      <c r="D501" s="173"/>
      <c r="E501" s="173"/>
    </row>
    <row r="502" ht="15.75" customHeight="1">
      <c r="A502" s="176"/>
      <c r="B502" s="173"/>
      <c r="C502" s="173"/>
      <c r="D502" s="173"/>
      <c r="E502" s="173"/>
    </row>
    <row r="503" ht="15.75" customHeight="1">
      <c r="A503" s="176"/>
      <c r="B503" s="173"/>
      <c r="C503" s="173"/>
      <c r="D503" s="173"/>
      <c r="E503" s="173"/>
    </row>
    <row r="504" ht="15.75" customHeight="1">
      <c r="A504" s="176"/>
      <c r="B504" s="173"/>
      <c r="C504" s="173"/>
      <c r="D504" s="173"/>
      <c r="E504" s="173"/>
    </row>
    <row r="505" ht="15.75" customHeight="1">
      <c r="A505" s="176"/>
      <c r="B505" s="173"/>
      <c r="C505" s="173"/>
      <c r="D505" s="173"/>
      <c r="E505" s="173"/>
    </row>
    <row r="506" ht="15.75" customHeight="1">
      <c r="A506" s="176"/>
      <c r="B506" s="173"/>
      <c r="C506" s="173"/>
      <c r="D506" s="173"/>
      <c r="E506" s="173"/>
    </row>
    <row r="507" ht="15.75" customHeight="1">
      <c r="A507" s="176"/>
      <c r="B507" s="173"/>
      <c r="C507" s="173"/>
      <c r="D507" s="173"/>
      <c r="E507" s="173"/>
    </row>
    <row r="508" ht="15.75" customHeight="1">
      <c r="A508" s="176"/>
      <c r="B508" s="173"/>
      <c r="C508" s="173"/>
      <c r="D508" s="173"/>
      <c r="E508" s="173"/>
    </row>
    <row r="509" ht="15.75" customHeight="1">
      <c r="A509" s="176"/>
      <c r="B509" s="173"/>
      <c r="C509" s="173"/>
      <c r="D509" s="173"/>
      <c r="E509" s="173"/>
    </row>
    <row r="510" ht="15.75" customHeight="1">
      <c r="A510" s="176"/>
      <c r="B510" s="173"/>
      <c r="C510" s="173"/>
      <c r="D510" s="173"/>
      <c r="E510" s="173"/>
    </row>
    <row r="511" ht="15.75" customHeight="1">
      <c r="A511" s="176"/>
      <c r="B511" s="173"/>
      <c r="C511" s="173"/>
      <c r="D511" s="173"/>
      <c r="E511" s="173"/>
    </row>
    <row r="512" ht="15.75" customHeight="1">
      <c r="A512" s="176"/>
      <c r="B512" s="173"/>
      <c r="C512" s="173"/>
      <c r="D512" s="173"/>
      <c r="E512" s="173"/>
    </row>
    <row r="513" ht="15.75" customHeight="1">
      <c r="A513" s="176"/>
      <c r="B513" s="173"/>
      <c r="C513" s="173"/>
      <c r="D513" s="173"/>
      <c r="E513" s="173"/>
    </row>
    <row r="514" ht="15.75" customHeight="1">
      <c r="A514" s="176"/>
      <c r="B514" s="173"/>
      <c r="C514" s="173"/>
      <c r="D514" s="173"/>
      <c r="E514" s="173"/>
    </row>
    <row r="515" ht="15.75" customHeight="1">
      <c r="A515" s="176"/>
      <c r="B515" s="173"/>
      <c r="C515" s="173"/>
      <c r="D515" s="173"/>
      <c r="E515" s="173"/>
    </row>
    <row r="516" ht="15.75" customHeight="1">
      <c r="A516" s="176"/>
      <c r="B516" s="173"/>
      <c r="C516" s="173"/>
      <c r="D516" s="173"/>
      <c r="E516" s="173"/>
    </row>
    <row r="517" ht="15.75" customHeight="1">
      <c r="A517" s="176"/>
      <c r="B517" s="173"/>
      <c r="C517" s="173"/>
      <c r="D517" s="173"/>
      <c r="E517" s="173"/>
    </row>
    <row r="518" ht="15.75" customHeight="1">
      <c r="A518" s="176"/>
      <c r="B518" s="173"/>
      <c r="C518" s="173"/>
      <c r="D518" s="173"/>
      <c r="E518" s="173"/>
    </row>
    <row r="519" ht="15.75" customHeight="1">
      <c r="A519" s="176"/>
      <c r="B519" s="173"/>
      <c r="C519" s="173"/>
      <c r="D519" s="173"/>
      <c r="E519" s="173"/>
    </row>
    <row r="520" ht="15.75" customHeight="1">
      <c r="A520" s="176"/>
      <c r="B520" s="173"/>
      <c r="C520" s="173"/>
      <c r="D520" s="173"/>
      <c r="E520" s="173"/>
    </row>
    <row r="521" ht="15.75" customHeight="1">
      <c r="A521" s="176"/>
      <c r="B521" s="173"/>
      <c r="C521" s="173"/>
      <c r="D521" s="173"/>
      <c r="E521" s="173"/>
    </row>
    <row r="522" ht="15.75" customHeight="1">
      <c r="A522" s="176"/>
      <c r="B522" s="173"/>
      <c r="C522" s="173"/>
      <c r="D522" s="173"/>
      <c r="E522" s="173"/>
    </row>
    <row r="523" ht="15.75" customHeight="1">
      <c r="A523" s="176"/>
      <c r="B523" s="173"/>
      <c r="C523" s="173"/>
      <c r="D523" s="173"/>
      <c r="E523" s="173"/>
    </row>
    <row r="524" ht="15.75" customHeight="1">
      <c r="A524" s="176"/>
      <c r="B524" s="173"/>
      <c r="C524" s="173"/>
      <c r="D524" s="173"/>
      <c r="E524" s="173"/>
    </row>
    <row r="525" ht="15.75" customHeight="1">
      <c r="A525" s="176"/>
      <c r="B525" s="173"/>
      <c r="C525" s="173"/>
      <c r="D525" s="173"/>
      <c r="E525" s="173"/>
    </row>
    <row r="526" ht="15.75" customHeight="1">
      <c r="A526" s="176"/>
      <c r="B526" s="173"/>
      <c r="C526" s="173"/>
      <c r="D526" s="173"/>
      <c r="E526" s="173"/>
    </row>
    <row r="527" ht="15.75" customHeight="1">
      <c r="A527" s="176"/>
      <c r="B527" s="173"/>
      <c r="C527" s="173"/>
      <c r="D527" s="173"/>
      <c r="E527" s="173"/>
    </row>
    <row r="528" ht="15.75" customHeight="1">
      <c r="A528" s="176"/>
      <c r="B528" s="173"/>
      <c r="C528" s="173"/>
      <c r="D528" s="173"/>
      <c r="E528" s="173"/>
    </row>
    <row r="529" ht="15.75" customHeight="1">
      <c r="A529" s="176"/>
      <c r="B529" s="173"/>
      <c r="C529" s="173"/>
      <c r="D529" s="173"/>
      <c r="E529" s="173"/>
    </row>
    <row r="530" ht="15.75" customHeight="1">
      <c r="A530" s="176"/>
      <c r="B530" s="173"/>
      <c r="C530" s="173"/>
      <c r="D530" s="173"/>
      <c r="E530" s="173"/>
    </row>
    <row r="531" ht="15.75" customHeight="1">
      <c r="A531" s="176"/>
      <c r="B531" s="173"/>
      <c r="C531" s="173"/>
      <c r="D531" s="173"/>
      <c r="E531" s="173"/>
    </row>
    <row r="532" ht="15.75" customHeight="1">
      <c r="A532" s="176"/>
      <c r="B532" s="173"/>
      <c r="C532" s="173"/>
      <c r="D532" s="173"/>
      <c r="E532" s="173"/>
    </row>
    <row r="533" ht="15.75" customHeight="1">
      <c r="A533" s="176"/>
      <c r="B533" s="173"/>
      <c r="C533" s="173"/>
      <c r="D533" s="173"/>
      <c r="E533" s="173"/>
    </row>
    <row r="534" ht="15.75" customHeight="1">
      <c r="A534" s="176"/>
      <c r="B534" s="173"/>
      <c r="C534" s="173"/>
      <c r="D534" s="173"/>
      <c r="E534" s="173"/>
    </row>
    <row r="535" ht="15.75" customHeight="1">
      <c r="A535" s="176"/>
      <c r="B535" s="173"/>
      <c r="C535" s="173"/>
      <c r="D535" s="173"/>
      <c r="E535" s="173"/>
    </row>
    <row r="536" ht="15.75" customHeight="1">
      <c r="A536" s="176"/>
      <c r="B536" s="173"/>
      <c r="C536" s="173"/>
      <c r="D536" s="173"/>
      <c r="E536" s="173"/>
    </row>
    <row r="537" ht="15.75" customHeight="1">
      <c r="A537" s="176"/>
      <c r="B537" s="173"/>
      <c r="C537" s="173"/>
      <c r="D537" s="173"/>
      <c r="E537" s="173"/>
    </row>
    <row r="538" ht="15.75" customHeight="1">
      <c r="A538" s="176"/>
      <c r="B538" s="173"/>
      <c r="C538" s="173"/>
      <c r="D538" s="173"/>
      <c r="E538" s="173"/>
    </row>
    <row r="539" ht="15.75" customHeight="1">
      <c r="A539" s="176"/>
      <c r="B539" s="173"/>
      <c r="C539" s="173"/>
      <c r="D539" s="173"/>
      <c r="E539" s="173"/>
    </row>
    <row r="540" ht="15.75" customHeight="1">
      <c r="A540" s="176"/>
      <c r="B540" s="173"/>
      <c r="C540" s="173"/>
      <c r="D540" s="173"/>
      <c r="E540" s="173"/>
    </row>
    <row r="541" ht="15.75" customHeight="1">
      <c r="A541" s="176"/>
      <c r="B541" s="173"/>
      <c r="C541" s="173"/>
      <c r="D541" s="173"/>
      <c r="E541" s="173"/>
    </row>
    <row r="542" ht="15.75" customHeight="1">
      <c r="A542" s="176"/>
      <c r="B542" s="173"/>
      <c r="C542" s="173"/>
      <c r="D542" s="173"/>
      <c r="E542" s="173"/>
    </row>
    <row r="543" ht="15.75" customHeight="1">
      <c r="A543" s="176"/>
      <c r="B543" s="173"/>
      <c r="C543" s="173"/>
      <c r="D543" s="173"/>
      <c r="E543" s="173"/>
    </row>
    <row r="544" ht="15.75" customHeight="1">
      <c r="A544" s="176"/>
      <c r="B544" s="173"/>
      <c r="C544" s="173"/>
      <c r="D544" s="173"/>
      <c r="E544" s="173"/>
    </row>
    <row r="545" ht="15.75" customHeight="1">
      <c r="A545" s="176"/>
      <c r="B545" s="173"/>
      <c r="C545" s="173"/>
      <c r="D545" s="173"/>
      <c r="E545" s="173"/>
    </row>
    <row r="546" ht="15.75" customHeight="1">
      <c r="A546" s="176"/>
      <c r="B546" s="173"/>
      <c r="C546" s="173"/>
      <c r="D546" s="173"/>
      <c r="E546" s="173"/>
    </row>
    <row r="547" ht="15.75" customHeight="1">
      <c r="A547" s="176"/>
      <c r="B547" s="173"/>
      <c r="C547" s="173"/>
      <c r="D547" s="173"/>
      <c r="E547" s="173"/>
    </row>
    <row r="548" ht="15.75" customHeight="1">
      <c r="A548" s="176"/>
      <c r="B548" s="173"/>
      <c r="C548" s="173"/>
      <c r="D548" s="173"/>
      <c r="E548" s="173"/>
    </row>
    <row r="549" ht="15.75" customHeight="1">
      <c r="A549" s="176"/>
      <c r="B549" s="173"/>
      <c r="C549" s="173"/>
      <c r="D549" s="173"/>
      <c r="E549" s="173"/>
    </row>
    <row r="550" ht="15.75" customHeight="1">
      <c r="A550" s="176"/>
      <c r="B550" s="173"/>
      <c r="C550" s="173"/>
      <c r="D550" s="173"/>
      <c r="E550" s="173"/>
    </row>
    <row r="551" ht="15.75" customHeight="1">
      <c r="A551" s="176"/>
      <c r="B551" s="173"/>
      <c r="C551" s="173"/>
      <c r="D551" s="173"/>
      <c r="E551" s="173"/>
    </row>
    <row r="552" ht="15.75" customHeight="1">
      <c r="A552" s="176"/>
      <c r="B552" s="173"/>
      <c r="C552" s="173"/>
      <c r="D552" s="173"/>
      <c r="E552" s="173"/>
    </row>
    <row r="553" ht="15.75" customHeight="1">
      <c r="A553" s="176"/>
      <c r="B553" s="173"/>
      <c r="C553" s="173"/>
      <c r="D553" s="173"/>
      <c r="E553" s="173"/>
    </row>
    <row r="554" ht="15.75" customHeight="1">
      <c r="A554" s="176"/>
      <c r="B554" s="173"/>
      <c r="C554" s="173"/>
      <c r="D554" s="173"/>
      <c r="E554" s="173"/>
    </row>
    <row r="555" ht="15.75" customHeight="1">
      <c r="A555" s="176"/>
      <c r="B555" s="173"/>
      <c r="C555" s="173"/>
      <c r="D555" s="173"/>
      <c r="E555" s="173"/>
    </row>
    <row r="556" ht="15.75" customHeight="1">
      <c r="A556" s="176"/>
      <c r="B556" s="173"/>
      <c r="C556" s="173"/>
      <c r="D556" s="173"/>
      <c r="E556" s="173"/>
    </row>
    <row r="557" ht="15.75" customHeight="1">
      <c r="A557" s="176"/>
      <c r="B557" s="173"/>
      <c r="C557" s="173"/>
      <c r="D557" s="173"/>
      <c r="E557" s="173"/>
    </row>
    <row r="558" ht="15.75" customHeight="1">
      <c r="A558" s="176"/>
      <c r="B558" s="173"/>
      <c r="C558" s="173"/>
      <c r="D558" s="173"/>
      <c r="E558" s="173"/>
    </row>
    <row r="559" ht="15.75" customHeight="1">
      <c r="A559" s="176"/>
      <c r="B559" s="173"/>
      <c r="C559" s="173"/>
      <c r="D559" s="173"/>
      <c r="E559" s="173"/>
    </row>
    <row r="560" ht="15.75" customHeight="1">
      <c r="A560" s="176"/>
      <c r="B560" s="173"/>
      <c r="C560" s="173"/>
      <c r="D560" s="173"/>
      <c r="E560" s="173"/>
    </row>
    <row r="561" ht="15.75" customHeight="1">
      <c r="A561" s="176"/>
      <c r="B561" s="173"/>
      <c r="C561" s="173"/>
      <c r="D561" s="173"/>
      <c r="E561" s="173"/>
    </row>
    <row r="562" ht="15.75" customHeight="1">
      <c r="A562" s="176"/>
      <c r="B562" s="173"/>
      <c r="C562" s="173"/>
      <c r="D562" s="173"/>
      <c r="E562" s="173"/>
    </row>
    <row r="563" ht="15.75" customHeight="1">
      <c r="A563" s="176"/>
      <c r="B563" s="173"/>
      <c r="C563" s="173"/>
      <c r="D563" s="173"/>
      <c r="E563" s="173"/>
    </row>
    <row r="564" ht="15.75" customHeight="1">
      <c r="A564" s="176"/>
      <c r="B564" s="173"/>
      <c r="C564" s="173"/>
      <c r="D564" s="173"/>
      <c r="E564" s="173"/>
    </row>
    <row r="565" ht="15.75" customHeight="1">
      <c r="A565" s="176"/>
      <c r="B565" s="173"/>
      <c r="C565" s="173"/>
      <c r="D565" s="173"/>
      <c r="E565" s="173"/>
    </row>
    <row r="566" ht="15.75" customHeight="1">
      <c r="A566" s="176"/>
      <c r="B566" s="173"/>
      <c r="C566" s="173"/>
      <c r="D566" s="173"/>
      <c r="E566" s="173"/>
    </row>
    <row r="567" ht="15.75" customHeight="1">
      <c r="A567" s="176"/>
      <c r="B567" s="173"/>
      <c r="C567" s="173"/>
      <c r="D567" s="173"/>
      <c r="E567" s="173"/>
    </row>
    <row r="568" ht="15.75" customHeight="1">
      <c r="A568" s="176"/>
      <c r="B568" s="173"/>
      <c r="C568" s="173"/>
      <c r="D568" s="173"/>
      <c r="E568" s="173"/>
    </row>
    <row r="569" ht="15.75" customHeight="1">
      <c r="A569" s="176"/>
      <c r="B569" s="173"/>
      <c r="C569" s="173"/>
      <c r="D569" s="173"/>
      <c r="E569" s="173"/>
    </row>
    <row r="570" ht="15.75" customHeight="1">
      <c r="A570" s="176"/>
      <c r="B570" s="173"/>
      <c r="C570" s="173"/>
      <c r="D570" s="173"/>
      <c r="E570" s="173"/>
    </row>
    <row r="571" ht="15.75" customHeight="1">
      <c r="A571" s="176"/>
      <c r="B571" s="173"/>
      <c r="C571" s="173"/>
      <c r="D571" s="173"/>
      <c r="E571" s="173"/>
    </row>
    <row r="572" ht="15.75" customHeight="1">
      <c r="A572" s="176"/>
      <c r="B572" s="173"/>
      <c r="C572" s="173"/>
      <c r="D572" s="173"/>
      <c r="E572" s="173"/>
    </row>
    <row r="573" ht="15.75" customHeight="1">
      <c r="A573" s="176"/>
      <c r="B573" s="173"/>
      <c r="C573" s="173"/>
      <c r="D573" s="173"/>
      <c r="E573" s="173"/>
    </row>
    <row r="574" ht="15.75" customHeight="1">
      <c r="A574" s="176"/>
      <c r="B574" s="173"/>
      <c r="C574" s="173"/>
      <c r="D574" s="173"/>
      <c r="E574" s="173"/>
    </row>
    <row r="575" ht="15.75" customHeight="1">
      <c r="A575" s="176"/>
      <c r="B575" s="173"/>
      <c r="C575" s="173"/>
      <c r="D575" s="173"/>
      <c r="E575" s="173"/>
    </row>
    <row r="576" ht="15.75" customHeight="1">
      <c r="A576" s="176"/>
      <c r="B576" s="173"/>
      <c r="C576" s="173"/>
      <c r="D576" s="173"/>
      <c r="E576" s="173"/>
    </row>
    <row r="577" ht="15.75" customHeight="1">
      <c r="A577" s="176"/>
      <c r="B577" s="173"/>
      <c r="C577" s="173"/>
      <c r="D577" s="173"/>
      <c r="E577" s="173"/>
    </row>
    <row r="578" ht="15.75" customHeight="1">
      <c r="A578" s="176"/>
      <c r="B578" s="173"/>
      <c r="C578" s="173"/>
      <c r="D578" s="173"/>
      <c r="E578" s="173"/>
    </row>
    <row r="579" ht="15.75" customHeight="1">
      <c r="A579" s="176"/>
      <c r="B579" s="173"/>
      <c r="C579" s="173"/>
      <c r="D579" s="173"/>
      <c r="E579" s="173"/>
    </row>
    <row r="580" ht="15.75" customHeight="1">
      <c r="A580" s="176"/>
      <c r="B580" s="173"/>
      <c r="C580" s="173"/>
      <c r="D580" s="173"/>
      <c r="E580" s="173"/>
    </row>
    <row r="581" ht="15.75" customHeight="1">
      <c r="A581" s="176"/>
      <c r="B581" s="173"/>
      <c r="C581" s="173"/>
      <c r="D581" s="173"/>
      <c r="E581" s="173"/>
    </row>
    <row r="582" ht="15.75" customHeight="1">
      <c r="A582" s="176"/>
      <c r="B582" s="173"/>
      <c r="C582" s="173"/>
      <c r="D582" s="173"/>
      <c r="E582" s="173"/>
    </row>
    <row r="583" ht="15.75" customHeight="1">
      <c r="A583" s="176"/>
      <c r="B583" s="173"/>
      <c r="C583" s="173"/>
      <c r="D583" s="173"/>
      <c r="E583" s="173"/>
    </row>
    <row r="584" ht="15.75" customHeight="1">
      <c r="A584" s="176"/>
      <c r="B584" s="173"/>
      <c r="C584" s="173"/>
      <c r="D584" s="173"/>
      <c r="E584" s="173"/>
    </row>
    <row r="585" ht="15.75" customHeight="1">
      <c r="A585" s="176"/>
      <c r="B585" s="173"/>
      <c r="C585" s="173"/>
      <c r="D585" s="173"/>
      <c r="E585" s="173"/>
    </row>
    <row r="586" ht="15.75" customHeight="1">
      <c r="A586" s="176"/>
      <c r="B586" s="173"/>
      <c r="C586" s="173"/>
      <c r="D586" s="173"/>
      <c r="E586" s="173"/>
    </row>
    <row r="587" ht="15.75" customHeight="1">
      <c r="A587" s="176"/>
      <c r="B587" s="173"/>
      <c r="C587" s="173"/>
      <c r="D587" s="173"/>
      <c r="E587" s="173"/>
    </row>
    <row r="588" ht="15.75" customHeight="1">
      <c r="A588" s="176"/>
      <c r="B588" s="173"/>
      <c r="C588" s="173"/>
      <c r="D588" s="173"/>
      <c r="E588" s="173"/>
    </row>
    <row r="589" ht="15.75" customHeight="1">
      <c r="A589" s="176"/>
      <c r="B589" s="173"/>
      <c r="C589" s="173"/>
      <c r="D589" s="173"/>
      <c r="E589" s="173"/>
    </row>
    <row r="590" ht="15.75" customHeight="1">
      <c r="A590" s="176"/>
      <c r="B590" s="173"/>
      <c r="C590" s="173"/>
      <c r="D590" s="173"/>
      <c r="E590" s="173"/>
    </row>
    <row r="591" ht="15.75" customHeight="1">
      <c r="A591" s="176"/>
      <c r="B591" s="173"/>
      <c r="C591" s="173"/>
      <c r="D591" s="173"/>
      <c r="E591" s="173"/>
    </row>
    <row r="592" ht="15.75" customHeight="1">
      <c r="A592" s="176"/>
      <c r="B592" s="173"/>
      <c r="C592" s="173"/>
      <c r="D592" s="173"/>
      <c r="E592" s="173"/>
    </row>
    <row r="593" ht="15.75" customHeight="1">
      <c r="A593" s="176"/>
      <c r="B593" s="173"/>
      <c r="C593" s="173"/>
      <c r="D593" s="173"/>
      <c r="E593" s="173"/>
    </row>
    <row r="594" ht="15.75" customHeight="1">
      <c r="A594" s="176"/>
      <c r="B594" s="173"/>
      <c r="C594" s="173"/>
      <c r="D594" s="173"/>
      <c r="E594" s="173"/>
    </row>
    <row r="595" ht="15.75" customHeight="1">
      <c r="A595" s="176"/>
      <c r="B595" s="173"/>
      <c r="C595" s="173"/>
      <c r="D595" s="173"/>
      <c r="E595" s="173"/>
    </row>
    <row r="596" ht="15.75" customHeight="1">
      <c r="A596" s="176"/>
      <c r="B596" s="173"/>
      <c r="C596" s="173"/>
      <c r="D596" s="173"/>
      <c r="E596" s="173"/>
    </row>
    <row r="597" ht="15.75" customHeight="1">
      <c r="A597" s="176"/>
      <c r="B597" s="173"/>
      <c r="C597" s="173"/>
      <c r="D597" s="173"/>
      <c r="E597" s="173"/>
    </row>
    <row r="598" ht="15.75" customHeight="1">
      <c r="A598" s="176"/>
      <c r="B598" s="173"/>
      <c r="C598" s="173"/>
      <c r="D598" s="173"/>
      <c r="E598" s="173"/>
    </row>
    <row r="599" ht="15.75" customHeight="1">
      <c r="A599" s="176"/>
      <c r="B599" s="173"/>
      <c r="C599" s="173"/>
      <c r="D599" s="173"/>
      <c r="E599" s="173"/>
    </row>
    <row r="600" ht="15.75" customHeight="1">
      <c r="A600" s="176"/>
      <c r="B600" s="173"/>
      <c r="C600" s="173"/>
      <c r="D600" s="173"/>
      <c r="E600" s="173"/>
    </row>
    <row r="601" ht="15.75" customHeight="1">
      <c r="A601" s="176"/>
      <c r="B601" s="173"/>
      <c r="C601" s="173"/>
      <c r="D601" s="173"/>
      <c r="E601" s="173"/>
    </row>
    <row r="602" ht="15.75" customHeight="1">
      <c r="A602" s="176"/>
      <c r="B602" s="173"/>
      <c r="C602" s="173"/>
      <c r="D602" s="173"/>
      <c r="E602" s="173"/>
    </row>
    <row r="603" ht="15.75" customHeight="1">
      <c r="A603" s="176"/>
      <c r="B603" s="173"/>
      <c r="C603" s="173"/>
      <c r="D603" s="173"/>
      <c r="E603" s="173"/>
    </row>
    <row r="604" ht="15.75" customHeight="1">
      <c r="A604" s="176"/>
      <c r="B604" s="173"/>
      <c r="C604" s="173"/>
      <c r="D604" s="173"/>
      <c r="E604" s="173"/>
    </row>
    <row r="605" ht="15.75" customHeight="1">
      <c r="A605" s="176"/>
      <c r="B605" s="173"/>
      <c r="C605" s="173"/>
      <c r="D605" s="173"/>
      <c r="E605" s="173"/>
    </row>
    <row r="606" ht="15.75" customHeight="1">
      <c r="A606" s="176"/>
      <c r="B606" s="173"/>
      <c r="C606" s="173"/>
      <c r="D606" s="173"/>
      <c r="E606" s="173"/>
    </row>
    <row r="607" ht="15.75" customHeight="1">
      <c r="A607" s="176"/>
      <c r="B607" s="173"/>
      <c r="C607" s="173"/>
      <c r="D607" s="173"/>
      <c r="E607" s="173"/>
    </row>
    <row r="608" ht="15.75" customHeight="1">
      <c r="A608" s="176"/>
      <c r="B608" s="173"/>
      <c r="C608" s="173"/>
      <c r="D608" s="173"/>
      <c r="E608" s="173"/>
    </row>
    <row r="609" ht="15.75" customHeight="1">
      <c r="A609" s="176"/>
      <c r="B609" s="173"/>
      <c r="C609" s="173"/>
      <c r="D609" s="173"/>
      <c r="E609" s="173"/>
    </row>
    <row r="610" ht="15.75" customHeight="1">
      <c r="A610" s="176"/>
      <c r="B610" s="173"/>
      <c r="C610" s="173"/>
      <c r="D610" s="173"/>
      <c r="E610" s="173"/>
    </row>
    <row r="611" ht="15.75" customHeight="1">
      <c r="A611" s="176"/>
      <c r="B611" s="173"/>
      <c r="C611" s="173"/>
      <c r="D611" s="173"/>
      <c r="E611" s="173"/>
    </row>
    <row r="612" ht="15.75" customHeight="1">
      <c r="A612" s="176"/>
      <c r="B612" s="173"/>
      <c r="C612" s="173"/>
      <c r="D612" s="173"/>
      <c r="E612" s="173"/>
    </row>
    <row r="613" ht="15.75" customHeight="1">
      <c r="A613" s="176"/>
      <c r="B613" s="173"/>
      <c r="C613" s="173"/>
      <c r="D613" s="173"/>
      <c r="E613" s="173"/>
    </row>
    <row r="614" ht="15.75" customHeight="1">
      <c r="A614" s="176"/>
      <c r="B614" s="173"/>
      <c r="C614" s="173"/>
      <c r="D614" s="173"/>
      <c r="E614" s="173"/>
    </row>
    <row r="615" ht="15.75" customHeight="1">
      <c r="A615" s="176"/>
      <c r="B615" s="173"/>
      <c r="C615" s="173"/>
      <c r="D615" s="173"/>
      <c r="E615" s="173"/>
    </row>
    <row r="616" ht="15.75" customHeight="1">
      <c r="A616" s="176"/>
      <c r="B616" s="173"/>
      <c r="C616" s="173"/>
      <c r="D616" s="173"/>
      <c r="E616" s="173"/>
    </row>
    <row r="617" ht="15.75" customHeight="1">
      <c r="A617" s="176"/>
      <c r="B617" s="173"/>
      <c r="C617" s="173"/>
      <c r="D617" s="173"/>
      <c r="E617" s="173"/>
    </row>
    <row r="618" ht="15.75" customHeight="1">
      <c r="A618" s="176"/>
      <c r="B618" s="173"/>
      <c r="C618" s="173"/>
      <c r="D618" s="173"/>
      <c r="E618" s="173"/>
    </row>
    <row r="619" ht="15.75" customHeight="1">
      <c r="A619" s="176"/>
      <c r="B619" s="173"/>
      <c r="C619" s="173"/>
      <c r="D619" s="173"/>
      <c r="E619" s="173"/>
    </row>
    <row r="620" ht="15.75" customHeight="1">
      <c r="A620" s="176"/>
      <c r="B620" s="173"/>
      <c r="C620" s="173"/>
      <c r="D620" s="173"/>
      <c r="E620" s="173"/>
    </row>
    <row r="621" ht="15.75" customHeight="1">
      <c r="A621" s="176"/>
      <c r="B621" s="173"/>
      <c r="C621" s="173"/>
      <c r="D621" s="173"/>
      <c r="E621" s="173"/>
    </row>
    <row r="622" ht="15.75" customHeight="1">
      <c r="A622" s="176"/>
      <c r="B622" s="173"/>
      <c r="C622" s="173"/>
      <c r="D622" s="173"/>
      <c r="E622" s="173"/>
    </row>
    <row r="623" ht="15.75" customHeight="1">
      <c r="A623" s="176"/>
      <c r="B623" s="173"/>
      <c r="C623" s="173"/>
      <c r="D623" s="173"/>
      <c r="E623" s="173"/>
    </row>
    <row r="624" ht="15.75" customHeight="1">
      <c r="A624" s="176"/>
      <c r="B624" s="173"/>
      <c r="C624" s="173"/>
      <c r="D624" s="173"/>
      <c r="E624" s="173"/>
    </row>
    <row r="625" ht="15.75" customHeight="1">
      <c r="A625" s="176"/>
      <c r="B625" s="173"/>
      <c r="C625" s="173"/>
      <c r="D625" s="173"/>
      <c r="E625" s="173"/>
    </row>
    <row r="626" ht="15.75" customHeight="1">
      <c r="A626" s="176"/>
      <c r="B626" s="173"/>
      <c r="C626" s="173"/>
      <c r="D626" s="173"/>
      <c r="E626" s="173"/>
    </row>
    <row r="627" ht="15.75" customHeight="1">
      <c r="A627" s="176"/>
      <c r="B627" s="173"/>
      <c r="C627" s="173"/>
      <c r="D627" s="173"/>
      <c r="E627" s="173"/>
    </row>
    <row r="628" ht="15.75" customHeight="1">
      <c r="A628" s="176"/>
      <c r="B628" s="173"/>
      <c r="C628" s="173"/>
      <c r="D628" s="173"/>
      <c r="E628" s="173"/>
    </row>
    <row r="629" ht="15.75" customHeight="1">
      <c r="A629" s="176"/>
      <c r="B629" s="173"/>
      <c r="C629" s="173"/>
      <c r="D629" s="173"/>
      <c r="E629" s="173"/>
    </row>
    <row r="630" ht="15.75" customHeight="1">
      <c r="A630" s="176"/>
      <c r="B630" s="173"/>
      <c r="C630" s="173"/>
      <c r="D630" s="173"/>
      <c r="E630" s="173"/>
    </row>
    <row r="631" ht="15.75" customHeight="1">
      <c r="A631" s="176"/>
      <c r="B631" s="173"/>
      <c r="C631" s="173"/>
      <c r="D631" s="173"/>
      <c r="E631" s="173"/>
    </row>
    <row r="632" ht="15.75" customHeight="1">
      <c r="A632" s="176"/>
      <c r="B632" s="173"/>
      <c r="C632" s="173"/>
      <c r="D632" s="173"/>
      <c r="E632" s="173"/>
    </row>
    <row r="633" ht="15.75" customHeight="1">
      <c r="A633" s="176"/>
      <c r="B633" s="173"/>
      <c r="C633" s="173"/>
      <c r="D633" s="173"/>
      <c r="E633" s="173"/>
    </row>
    <row r="634" ht="15.75" customHeight="1">
      <c r="A634" s="176"/>
      <c r="B634" s="173"/>
      <c r="C634" s="173"/>
      <c r="D634" s="173"/>
      <c r="E634" s="173"/>
    </row>
    <row r="635" ht="15.75" customHeight="1">
      <c r="A635" s="176"/>
      <c r="B635" s="173"/>
      <c r="C635" s="173"/>
      <c r="D635" s="173"/>
      <c r="E635" s="173"/>
    </row>
    <row r="636" ht="15.75" customHeight="1">
      <c r="A636" s="176"/>
      <c r="B636" s="173"/>
      <c r="C636" s="173"/>
      <c r="D636" s="173"/>
      <c r="E636" s="173"/>
    </row>
    <row r="637" ht="15.75" customHeight="1">
      <c r="A637" s="176"/>
      <c r="B637" s="173"/>
      <c r="C637" s="173"/>
      <c r="D637" s="173"/>
      <c r="E637" s="173"/>
    </row>
    <row r="638" ht="15.75" customHeight="1">
      <c r="A638" s="176"/>
      <c r="B638" s="173"/>
      <c r="C638" s="173"/>
      <c r="D638" s="173"/>
      <c r="E638" s="173"/>
    </row>
    <row r="639" ht="15.75" customHeight="1">
      <c r="A639" s="176"/>
      <c r="B639" s="173"/>
      <c r="C639" s="173"/>
      <c r="D639" s="173"/>
      <c r="E639" s="173"/>
    </row>
    <row r="640" ht="15.75" customHeight="1">
      <c r="A640" s="176"/>
      <c r="B640" s="173"/>
      <c r="C640" s="173"/>
      <c r="D640" s="173"/>
      <c r="E640" s="173"/>
    </row>
    <row r="641" ht="15.75" customHeight="1">
      <c r="A641" s="176"/>
      <c r="B641" s="173"/>
      <c r="C641" s="173"/>
      <c r="D641" s="173"/>
      <c r="E641" s="173"/>
    </row>
    <row r="642" ht="15.75" customHeight="1">
      <c r="A642" s="176"/>
      <c r="B642" s="173"/>
      <c r="C642" s="173"/>
      <c r="D642" s="173"/>
      <c r="E642" s="173"/>
    </row>
    <row r="643" ht="15.75" customHeight="1">
      <c r="A643" s="176"/>
      <c r="B643" s="173"/>
      <c r="C643" s="173"/>
      <c r="D643" s="173"/>
      <c r="E643" s="173"/>
    </row>
    <row r="644" ht="15.75" customHeight="1">
      <c r="A644" s="176"/>
      <c r="B644" s="173"/>
      <c r="C644" s="173"/>
      <c r="D644" s="173"/>
      <c r="E644" s="173"/>
    </row>
    <row r="645" ht="15.75" customHeight="1">
      <c r="A645" s="176"/>
      <c r="B645" s="173"/>
      <c r="C645" s="173"/>
      <c r="D645" s="173"/>
      <c r="E645" s="173"/>
    </row>
    <row r="646" ht="15.75" customHeight="1">
      <c r="A646" s="176"/>
      <c r="B646" s="173"/>
      <c r="C646" s="173"/>
      <c r="D646" s="173"/>
      <c r="E646" s="173"/>
    </row>
    <row r="647" ht="15.75" customHeight="1">
      <c r="A647" s="176"/>
      <c r="B647" s="173"/>
      <c r="C647" s="173"/>
      <c r="D647" s="173"/>
      <c r="E647" s="173"/>
    </row>
    <row r="648" ht="15.75" customHeight="1">
      <c r="A648" s="176"/>
      <c r="B648" s="173"/>
      <c r="C648" s="173"/>
      <c r="D648" s="173"/>
      <c r="E648" s="173"/>
    </row>
    <row r="649" ht="15.75" customHeight="1">
      <c r="A649" s="176"/>
      <c r="B649" s="173"/>
      <c r="C649" s="173"/>
      <c r="D649" s="173"/>
      <c r="E649" s="173"/>
    </row>
    <row r="650" ht="15.75" customHeight="1">
      <c r="A650" s="176"/>
      <c r="B650" s="173"/>
      <c r="C650" s="173"/>
      <c r="D650" s="173"/>
      <c r="E650" s="173"/>
    </row>
    <row r="651" ht="15.75" customHeight="1">
      <c r="A651" s="176"/>
      <c r="B651" s="173"/>
      <c r="C651" s="173"/>
      <c r="D651" s="173"/>
      <c r="E651" s="173"/>
    </row>
    <row r="652" ht="15.75" customHeight="1">
      <c r="A652" s="176"/>
      <c r="B652" s="173"/>
      <c r="C652" s="173"/>
      <c r="D652" s="173"/>
      <c r="E652" s="173"/>
    </row>
    <row r="653" ht="15.75" customHeight="1">
      <c r="A653" s="176"/>
      <c r="B653" s="173"/>
      <c r="C653" s="173"/>
      <c r="D653" s="173"/>
      <c r="E653" s="173"/>
    </row>
    <row r="654" ht="15.75" customHeight="1">
      <c r="A654" s="176"/>
      <c r="B654" s="173"/>
      <c r="C654" s="173"/>
      <c r="D654" s="173"/>
      <c r="E654" s="173"/>
    </row>
    <row r="655" ht="15.75" customHeight="1">
      <c r="A655" s="176"/>
      <c r="B655" s="173"/>
      <c r="C655" s="173"/>
      <c r="D655" s="173"/>
      <c r="E655" s="173"/>
    </row>
    <row r="656" ht="15.75" customHeight="1">
      <c r="A656" s="176"/>
      <c r="B656" s="173"/>
      <c r="C656" s="173"/>
      <c r="D656" s="173"/>
      <c r="E656" s="173"/>
    </row>
    <row r="657" ht="15.75" customHeight="1">
      <c r="A657" s="176"/>
      <c r="B657" s="173"/>
      <c r="C657" s="173"/>
      <c r="D657" s="173"/>
      <c r="E657" s="173"/>
    </row>
    <row r="658" ht="15.75" customHeight="1">
      <c r="A658" s="176"/>
      <c r="B658" s="173"/>
      <c r="C658" s="173"/>
      <c r="D658" s="173"/>
      <c r="E658" s="173"/>
    </row>
    <row r="659" ht="15.75" customHeight="1">
      <c r="A659" s="176"/>
      <c r="B659" s="173"/>
      <c r="C659" s="173"/>
      <c r="D659" s="173"/>
      <c r="E659" s="173"/>
    </row>
    <row r="660" ht="15.75" customHeight="1">
      <c r="A660" s="176"/>
      <c r="B660" s="173"/>
      <c r="C660" s="173"/>
      <c r="D660" s="173"/>
      <c r="E660" s="173"/>
    </row>
    <row r="661" ht="15.75" customHeight="1">
      <c r="A661" s="176"/>
      <c r="B661" s="173"/>
      <c r="C661" s="173"/>
      <c r="D661" s="173"/>
      <c r="E661" s="173"/>
    </row>
    <row r="662" ht="15.75" customHeight="1">
      <c r="A662" s="176"/>
      <c r="B662" s="173"/>
      <c r="C662" s="173"/>
      <c r="D662" s="173"/>
      <c r="E662" s="173"/>
    </row>
    <row r="663" ht="15.75" customHeight="1">
      <c r="A663" s="176"/>
      <c r="B663" s="173"/>
      <c r="C663" s="173"/>
      <c r="D663" s="173"/>
      <c r="E663" s="173"/>
    </row>
    <row r="664" ht="15.75" customHeight="1">
      <c r="A664" s="176"/>
      <c r="B664" s="173"/>
      <c r="C664" s="173"/>
      <c r="D664" s="173"/>
      <c r="E664" s="173"/>
    </row>
    <row r="665" ht="15.75" customHeight="1">
      <c r="A665" s="176"/>
      <c r="B665" s="173"/>
      <c r="C665" s="173"/>
      <c r="D665" s="173"/>
      <c r="E665" s="173"/>
    </row>
    <row r="666" ht="15.75" customHeight="1">
      <c r="A666" s="176"/>
      <c r="B666" s="173"/>
      <c r="C666" s="173"/>
      <c r="D666" s="173"/>
      <c r="E666" s="173"/>
    </row>
    <row r="667" ht="15.75" customHeight="1">
      <c r="A667" s="176"/>
      <c r="B667" s="173"/>
      <c r="C667" s="173"/>
      <c r="D667" s="173"/>
      <c r="E667" s="173"/>
    </row>
    <row r="668" ht="15.75" customHeight="1">
      <c r="A668" s="176"/>
      <c r="B668" s="173"/>
      <c r="C668" s="173"/>
      <c r="D668" s="173"/>
      <c r="E668" s="173"/>
    </row>
    <row r="669" ht="15.75" customHeight="1">
      <c r="A669" s="176"/>
      <c r="B669" s="173"/>
      <c r="C669" s="173"/>
      <c r="D669" s="173"/>
      <c r="E669" s="173"/>
    </row>
    <row r="670" ht="15.75" customHeight="1">
      <c r="A670" s="176"/>
      <c r="B670" s="173"/>
      <c r="C670" s="173"/>
      <c r="D670" s="173"/>
      <c r="E670" s="173"/>
    </row>
    <row r="671" ht="15.75" customHeight="1">
      <c r="A671" s="176"/>
      <c r="B671" s="173"/>
      <c r="C671" s="173"/>
      <c r="D671" s="173"/>
      <c r="E671" s="173"/>
    </row>
    <row r="672" ht="15.75" customHeight="1">
      <c r="A672" s="176"/>
      <c r="B672" s="173"/>
      <c r="C672" s="173"/>
      <c r="D672" s="173"/>
      <c r="E672" s="173"/>
    </row>
    <row r="673" ht="15.75" customHeight="1">
      <c r="A673" s="176"/>
      <c r="B673" s="173"/>
      <c r="C673" s="173"/>
      <c r="D673" s="173"/>
      <c r="E673" s="173"/>
    </row>
    <row r="674" ht="15.75" customHeight="1">
      <c r="A674" s="176"/>
      <c r="B674" s="173"/>
      <c r="C674" s="173"/>
      <c r="D674" s="173"/>
      <c r="E674" s="173"/>
    </row>
    <row r="675" ht="15.75" customHeight="1">
      <c r="A675" s="176"/>
      <c r="B675" s="173"/>
      <c r="C675" s="173"/>
      <c r="D675" s="173"/>
      <c r="E675" s="173"/>
    </row>
    <row r="676" ht="15.75" customHeight="1">
      <c r="A676" s="176"/>
      <c r="B676" s="173"/>
      <c r="C676" s="173"/>
      <c r="D676" s="173"/>
      <c r="E676" s="173"/>
    </row>
    <row r="677" ht="15.75" customHeight="1">
      <c r="A677" s="176"/>
      <c r="B677" s="173"/>
      <c r="C677" s="173"/>
      <c r="D677" s="173"/>
      <c r="E677" s="173"/>
    </row>
    <row r="678" ht="15.75" customHeight="1">
      <c r="A678" s="176"/>
      <c r="B678" s="173"/>
      <c r="C678" s="173"/>
      <c r="D678" s="173"/>
      <c r="E678" s="173"/>
    </row>
    <row r="679" ht="15.75" customHeight="1">
      <c r="A679" s="176"/>
      <c r="B679" s="173"/>
      <c r="C679" s="173"/>
      <c r="D679" s="173"/>
      <c r="E679" s="173"/>
    </row>
    <row r="680" ht="15.75" customHeight="1">
      <c r="A680" s="176"/>
      <c r="B680" s="173"/>
      <c r="C680" s="173"/>
      <c r="D680" s="173"/>
      <c r="E680" s="173"/>
    </row>
    <row r="681" ht="15.75" customHeight="1">
      <c r="A681" s="176"/>
      <c r="B681" s="173"/>
      <c r="C681" s="173"/>
      <c r="D681" s="173"/>
      <c r="E681" s="173"/>
    </row>
    <row r="682" ht="15.75" customHeight="1">
      <c r="A682" s="176"/>
      <c r="B682" s="173"/>
      <c r="C682" s="173"/>
      <c r="D682" s="173"/>
      <c r="E682" s="173"/>
    </row>
    <row r="683" ht="15.75" customHeight="1">
      <c r="A683" s="176"/>
      <c r="B683" s="173"/>
      <c r="C683" s="173"/>
      <c r="D683" s="173"/>
      <c r="E683" s="173"/>
    </row>
    <row r="684" ht="15.75" customHeight="1">
      <c r="A684" s="176"/>
      <c r="B684" s="173"/>
      <c r="C684" s="173"/>
      <c r="D684" s="173"/>
      <c r="E684" s="173"/>
    </row>
    <row r="685" ht="15.75" customHeight="1">
      <c r="A685" s="176"/>
      <c r="B685" s="173"/>
      <c r="C685" s="173"/>
      <c r="D685" s="173"/>
      <c r="E685" s="173"/>
    </row>
    <row r="686" ht="15.75" customHeight="1">
      <c r="A686" s="176"/>
      <c r="B686" s="173"/>
      <c r="C686" s="173"/>
      <c r="D686" s="173"/>
      <c r="E686" s="173"/>
    </row>
    <row r="687" ht="15.75" customHeight="1">
      <c r="A687" s="176"/>
      <c r="B687" s="173"/>
      <c r="C687" s="173"/>
      <c r="D687" s="173"/>
      <c r="E687" s="173"/>
    </row>
    <row r="688" ht="15.75" customHeight="1">
      <c r="A688" s="176"/>
      <c r="B688" s="173"/>
      <c r="C688" s="173"/>
      <c r="D688" s="173"/>
      <c r="E688" s="173"/>
    </row>
    <row r="689" ht="15.75" customHeight="1">
      <c r="A689" s="176"/>
      <c r="B689" s="173"/>
      <c r="C689" s="173"/>
      <c r="D689" s="173"/>
      <c r="E689" s="173"/>
    </row>
    <row r="690" ht="15.75" customHeight="1">
      <c r="A690" s="176"/>
      <c r="B690" s="173"/>
      <c r="C690" s="173"/>
      <c r="D690" s="173"/>
      <c r="E690" s="173"/>
    </row>
    <row r="691" ht="15.75" customHeight="1">
      <c r="A691" s="176"/>
      <c r="B691" s="173"/>
      <c r="C691" s="173"/>
      <c r="D691" s="173"/>
      <c r="E691" s="173"/>
    </row>
    <row r="692" ht="15.75" customHeight="1">
      <c r="A692" s="176"/>
      <c r="B692" s="173"/>
      <c r="C692" s="173"/>
      <c r="D692" s="173"/>
      <c r="E692" s="173"/>
    </row>
    <row r="693" ht="15.75" customHeight="1">
      <c r="A693" s="176"/>
      <c r="B693" s="173"/>
      <c r="C693" s="173"/>
      <c r="D693" s="173"/>
      <c r="E693" s="173"/>
    </row>
    <row r="694" ht="15.75" customHeight="1">
      <c r="A694" s="176"/>
      <c r="B694" s="173"/>
      <c r="C694" s="173"/>
      <c r="D694" s="173"/>
      <c r="E694" s="173"/>
    </row>
    <row r="695" ht="15.75" customHeight="1">
      <c r="A695" s="176"/>
      <c r="B695" s="173"/>
      <c r="C695" s="173"/>
      <c r="D695" s="173"/>
      <c r="E695" s="173"/>
    </row>
    <row r="696" ht="15.75" customHeight="1">
      <c r="A696" s="176"/>
      <c r="B696" s="173"/>
      <c r="C696" s="173"/>
      <c r="D696" s="173"/>
      <c r="E696" s="173"/>
    </row>
    <row r="697" ht="15.75" customHeight="1">
      <c r="A697" s="176"/>
      <c r="B697" s="173"/>
      <c r="C697" s="173"/>
      <c r="D697" s="173"/>
      <c r="E697" s="173"/>
    </row>
    <row r="698" ht="15.75" customHeight="1">
      <c r="A698" s="176"/>
      <c r="B698" s="173"/>
      <c r="C698" s="173"/>
      <c r="D698" s="173"/>
      <c r="E698" s="173"/>
    </row>
    <row r="699" ht="15.75" customHeight="1">
      <c r="A699" s="176"/>
      <c r="B699" s="173"/>
      <c r="C699" s="173"/>
      <c r="D699" s="173"/>
      <c r="E699" s="173"/>
    </row>
    <row r="700" ht="15.75" customHeight="1">
      <c r="A700" s="176"/>
      <c r="B700" s="173"/>
      <c r="C700" s="173"/>
      <c r="D700" s="173"/>
      <c r="E700" s="173"/>
    </row>
    <row r="701" ht="15.75" customHeight="1">
      <c r="A701" s="176"/>
      <c r="B701" s="173"/>
      <c r="C701" s="173"/>
      <c r="D701" s="173"/>
      <c r="E701" s="173"/>
    </row>
    <row r="702" ht="15.75" customHeight="1">
      <c r="A702" s="176"/>
      <c r="B702" s="173"/>
      <c r="C702" s="173"/>
      <c r="D702" s="173"/>
      <c r="E702" s="173"/>
    </row>
    <row r="703" ht="15.75" customHeight="1">
      <c r="A703" s="176"/>
      <c r="B703" s="173"/>
      <c r="C703" s="173"/>
      <c r="D703" s="173"/>
      <c r="E703" s="173"/>
    </row>
    <row r="704" ht="15.75" customHeight="1">
      <c r="A704" s="176"/>
      <c r="B704" s="173"/>
      <c r="C704" s="173"/>
      <c r="D704" s="173"/>
      <c r="E704" s="173"/>
    </row>
    <row r="705" ht="15.75" customHeight="1">
      <c r="A705" s="176"/>
      <c r="B705" s="173"/>
      <c r="C705" s="173"/>
      <c r="D705" s="173"/>
      <c r="E705" s="173"/>
    </row>
    <row r="706" ht="15.75" customHeight="1">
      <c r="A706" s="176"/>
      <c r="B706" s="173"/>
      <c r="C706" s="173"/>
      <c r="D706" s="173"/>
      <c r="E706" s="173"/>
    </row>
    <row r="707" ht="15.75" customHeight="1">
      <c r="A707" s="176"/>
      <c r="B707" s="173"/>
      <c r="C707" s="173"/>
      <c r="D707" s="173"/>
      <c r="E707" s="173"/>
    </row>
    <row r="708" ht="15.75" customHeight="1">
      <c r="A708" s="176"/>
      <c r="B708" s="173"/>
      <c r="C708" s="173"/>
      <c r="D708" s="173"/>
      <c r="E708" s="173"/>
    </row>
    <row r="709" ht="15.75" customHeight="1">
      <c r="A709" s="176"/>
      <c r="B709" s="173"/>
      <c r="C709" s="173"/>
      <c r="D709" s="173"/>
      <c r="E709" s="173"/>
    </row>
    <row r="710" ht="15.75" customHeight="1">
      <c r="A710" s="176"/>
      <c r="B710" s="173"/>
      <c r="C710" s="173"/>
      <c r="D710" s="173"/>
      <c r="E710" s="173"/>
    </row>
    <row r="711" ht="15.75" customHeight="1">
      <c r="A711" s="176"/>
      <c r="B711" s="173"/>
      <c r="C711" s="173"/>
      <c r="D711" s="173"/>
      <c r="E711" s="173"/>
    </row>
    <row r="712" ht="15.75" customHeight="1">
      <c r="A712" s="176"/>
      <c r="B712" s="173"/>
      <c r="C712" s="173"/>
      <c r="D712" s="173"/>
      <c r="E712" s="173"/>
    </row>
    <row r="713" ht="15.75" customHeight="1">
      <c r="A713" s="176"/>
      <c r="B713" s="173"/>
      <c r="C713" s="173"/>
      <c r="D713" s="173"/>
      <c r="E713" s="173"/>
    </row>
    <row r="714" ht="15.75" customHeight="1">
      <c r="A714" s="176"/>
      <c r="B714" s="173"/>
      <c r="C714" s="173"/>
      <c r="D714" s="173"/>
      <c r="E714" s="173"/>
    </row>
    <row r="715" ht="15.75" customHeight="1">
      <c r="A715" s="176"/>
      <c r="B715" s="173"/>
      <c r="C715" s="173"/>
      <c r="D715" s="173"/>
      <c r="E715" s="173"/>
    </row>
    <row r="716" ht="15.75" customHeight="1">
      <c r="A716" s="176"/>
      <c r="B716" s="173"/>
      <c r="C716" s="173"/>
      <c r="D716" s="173"/>
      <c r="E716" s="173"/>
    </row>
    <row r="717" ht="15.75" customHeight="1">
      <c r="A717" s="176"/>
      <c r="B717" s="173"/>
      <c r="C717" s="173"/>
      <c r="D717" s="173"/>
      <c r="E717" s="173"/>
    </row>
    <row r="718" ht="15.75" customHeight="1">
      <c r="A718" s="176"/>
      <c r="B718" s="173"/>
      <c r="C718" s="173"/>
      <c r="D718" s="173"/>
      <c r="E718" s="173"/>
    </row>
    <row r="719" ht="15.75" customHeight="1">
      <c r="A719" s="176"/>
      <c r="B719" s="173"/>
      <c r="C719" s="173"/>
      <c r="D719" s="173"/>
      <c r="E719" s="173"/>
    </row>
    <row r="720" ht="15.75" customHeight="1">
      <c r="A720" s="176"/>
      <c r="B720" s="173"/>
      <c r="C720" s="173"/>
      <c r="D720" s="173"/>
      <c r="E720" s="173"/>
    </row>
    <row r="721" ht="15.75" customHeight="1">
      <c r="A721" s="176"/>
      <c r="B721" s="173"/>
      <c r="C721" s="173"/>
      <c r="D721" s="173"/>
      <c r="E721" s="173"/>
    </row>
    <row r="722" ht="15.75" customHeight="1">
      <c r="A722" s="176"/>
      <c r="B722" s="173"/>
      <c r="C722" s="173"/>
      <c r="D722" s="173"/>
      <c r="E722" s="173"/>
    </row>
    <row r="723" ht="15.75" customHeight="1">
      <c r="A723" s="176"/>
      <c r="B723" s="173"/>
      <c r="C723" s="173"/>
      <c r="D723" s="173"/>
      <c r="E723" s="173"/>
    </row>
    <row r="724" ht="15.75" customHeight="1">
      <c r="A724" s="176"/>
      <c r="B724" s="173"/>
      <c r="C724" s="173"/>
      <c r="D724" s="173"/>
      <c r="E724" s="173"/>
    </row>
    <row r="725" ht="15.75" customHeight="1">
      <c r="A725" s="176"/>
      <c r="B725" s="173"/>
      <c r="C725" s="173"/>
      <c r="D725" s="173"/>
      <c r="E725" s="173"/>
    </row>
    <row r="726" ht="15.75" customHeight="1">
      <c r="A726" s="176"/>
      <c r="B726" s="173"/>
      <c r="C726" s="173"/>
      <c r="D726" s="173"/>
      <c r="E726" s="173"/>
    </row>
    <row r="727" ht="15.75" customHeight="1">
      <c r="A727" s="176"/>
      <c r="B727" s="173"/>
      <c r="C727" s="173"/>
      <c r="D727" s="173"/>
      <c r="E727" s="173"/>
    </row>
    <row r="728" ht="15.75" customHeight="1">
      <c r="A728" s="176"/>
      <c r="B728" s="173"/>
      <c r="C728" s="173"/>
      <c r="D728" s="173"/>
      <c r="E728" s="173"/>
    </row>
    <row r="729" ht="15.75" customHeight="1">
      <c r="A729" s="176"/>
      <c r="B729" s="173"/>
      <c r="C729" s="173"/>
      <c r="D729" s="173"/>
      <c r="E729" s="173"/>
    </row>
    <row r="730" ht="15.75" customHeight="1">
      <c r="A730" s="176"/>
      <c r="B730" s="173"/>
      <c r="C730" s="173"/>
      <c r="D730" s="173"/>
      <c r="E730" s="173"/>
    </row>
    <row r="731" ht="15.75" customHeight="1">
      <c r="A731" s="176"/>
      <c r="B731" s="173"/>
      <c r="C731" s="173"/>
      <c r="D731" s="173"/>
      <c r="E731" s="173"/>
    </row>
    <row r="732" ht="15.75" customHeight="1">
      <c r="A732" s="176"/>
      <c r="B732" s="173"/>
      <c r="C732" s="173"/>
      <c r="D732" s="173"/>
      <c r="E732" s="173"/>
    </row>
    <row r="733" ht="15.75" customHeight="1">
      <c r="A733" s="176"/>
      <c r="B733" s="173"/>
      <c r="C733" s="173"/>
      <c r="D733" s="173"/>
      <c r="E733" s="173"/>
    </row>
    <row r="734" ht="15.75" customHeight="1">
      <c r="A734" s="176"/>
      <c r="B734" s="173"/>
      <c r="C734" s="173"/>
      <c r="D734" s="173"/>
      <c r="E734" s="173"/>
    </row>
    <row r="735" ht="15.75" customHeight="1">
      <c r="A735" s="176"/>
      <c r="B735" s="173"/>
      <c r="C735" s="173"/>
      <c r="D735" s="173"/>
      <c r="E735" s="173"/>
    </row>
    <row r="736" ht="15.75" customHeight="1">
      <c r="A736" s="176"/>
      <c r="B736" s="173"/>
      <c r="C736" s="173"/>
      <c r="D736" s="173"/>
      <c r="E736" s="173"/>
    </row>
    <row r="737" ht="15.75" customHeight="1">
      <c r="A737" s="176"/>
      <c r="B737" s="173"/>
      <c r="C737" s="173"/>
      <c r="D737" s="173"/>
      <c r="E737" s="173"/>
    </row>
    <row r="738" ht="15.75" customHeight="1">
      <c r="A738" s="176"/>
      <c r="B738" s="173"/>
      <c r="C738" s="173"/>
      <c r="D738" s="173"/>
      <c r="E738" s="173"/>
    </row>
    <row r="739" ht="15.75" customHeight="1">
      <c r="A739" s="176"/>
      <c r="B739" s="173"/>
      <c r="C739" s="173"/>
      <c r="D739" s="173"/>
      <c r="E739" s="173"/>
    </row>
    <row r="740" ht="15.75" customHeight="1">
      <c r="A740" s="176"/>
      <c r="B740" s="173"/>
      <c r="C740" s="173"/>
      <c r="D740" s="173"/>
      <c r="E740" s="173"/>
    </row>
    <row r="741" ht="15.75" customHeight="1">
      <c r="A741" s="176"/>
      <c r="B741" s="173"/>
      <c r="C741" s="173"/>
      <c r="D741" s="173"/>
      <c r="E741" s="173"/>
    </row>
    <row r="742" ht="15.75" customHeight="1">
      <c r="A742" s="176"/>
      <c r="B742" s="173"/>
      <c r="C742" s="173"/>
      <c r="D742" s="173"/>
      <c r="E742" s="173"/>
    </row>
    <row r="743" ht="15.75" customHeight="1">
      <c r="A743" s="176"/>
      <c r="B743" s="173"/>
      <c r="C743" s="173"/>
      <c r="D743" s="173"/>
      <c r="E743" s="173"/>
    </row>
    <row r="744" ht="15.75" customHeight="1">
      <c r="A744" s="176"/>
      <c r="B744" s="173"/>
      <c r="C744" s="173"/>
      <c r="D744" s="173"/>
      <c r="E744" s="173"/>
    </row>
    <row r="745" ht="15.75" customHeight="1">
      <c r="A745" s="176"/>
      <c r="B745" s="173"/>
      <c r="C745" s="173"/>
      <c r="D745" s="173"/>
      <c r="E745" s="173"/>
    </row>
    <row r="746" ht="15.75" customHeight="1">
      <c r="A746" s="176"/>
      <c r="B746" s="173"/>
      <c r="C746" s="173"/>
      <c r="D746" s="173"/>
      <c r="E746" s="173"/>
    </row>
    <row r="747" ht="15.75" customHeight="1">
      <c r="A747" s="176"/>
      <c r="B747" s="173"/>
      <c r="C747" s="173"/>
      <c r="D747" s="173"/>
      <c r="E747" s="173"/>
    </row>
    <row r="748" ht="15.75" customHeight="1">
      <c r="A748" s="176"/>
      <c r="B748" s="173"/>
      <c r="C748" s="173"/>
      <c r="D748" s="173"/>
      <c r="E748" s="173"/>
    </row>
    <row r="749" ht="15.75" customHeight="1">
      <c r="A749" s="176"/>
      <c r="B749" s="173"/>
      <c r="C749" s="173"/>
      <c r="D749" s="173"/>
      <c r="E749" s="173"/>
    </row>
    <row r="750" ht="15.75" customHeight="1">
      <c r="A750" s="176"/>
      <c r="B750" s="173"/>
      <c r="C750" s="173"/>
      <c r="D750" s="173"/>
      <c r="E750" s="173"/>
    </row>
    <row r="751" ht="15.75" customHeight="1">
      <c r="A751" s="176"/>
      <c r="B751" s="173"/>
      <c r="C751" s="173"/>
      <c r="D751" s="173"/>
      <c r="E751" s="173"/>
    </row>
    <row r="752" ht="15.75" customHeight="1">
      <c r="A752" s="176"/>
      <c r="B752" s="173"/>
      <c r="C752" s="173"/>
      <c r="D752" s="173"/>
      <c r="E752" s="173"/>
    </row>
    <row r="753" ht="15.75" customHeight="1">
      <c r="A753" s="176"/>
      <c r="B753" s="173"/>
      <c r="C753" s="173"/>
      <c r="D753" s="173"/>
      <c r="E753" s="173"/>
    </row>
    <row r="754" ht="15.75" customHeight="1">
      <c r="A754" s="176"/>
      <c r="B754" s="173"/>
      <c r="C754" s="173"/>
      <c r="D754" s="173"/>
      <c r="E754" s="173"/>
    </row>
    <row r="755" ht="15.75" customHeight="1">
      <c r="A755" s="176"/>
      <c r="B755" s="173"/>
      <c r="C755" s="173"/>
      <c r="D755" s="173"/>
      <c r="E755" s="173"/>
    </row>
    <row r="756" ht="15.75" customHeight="1">
      <c r="A756" s="176"/>
      <c r="B756" s="173"/>
      <c r="C756" s="173"/>
      <c r="D756" s="173"/>
      <c r="E756" s="173"/>
    </row>
    <row r="757" ht="15.75" customHeight="1">
      <c r="A757" s="176"/>
      <c r="B757" s="173"/>
      <c r="C757" s="173"/>
      <c r="D757" s="173"/>
      <c r="E757" s="173"/>
    </row>
    <row r="758" ht="15.75" customHeight="1">
      <c r="A758" s="176"/>
      <c r="B758" s="173"/>
      <c r="C758" s="173"/>
      <c r="D758" s="173"/>
      <c r="E758" s="173"/>
    </row>
    <row r="759" ht="15.75" customHeight="1">
      <c r="A759" s="176"/>
      <c r="B759" s="173"/>
      <c r="C759" s="173"/>
      <c r="D759" s="173"/>
      <c r="E759" s="173"/>
    </row>
    <row r="760" ht="15.75" customHeight="1">
      <c r="A760" s="176"/>
      <c r="B760" s="173"/>
      <c r="C760" s="173"/>
      <c r="D760" s="173"/>
      <c r="E760" s="173"/>
    </row>
    <row r="761" ht="15.75" customHeight="1">
      <c r="A761" s="176"/>
      <c r="B761" s="173"/>
      <c r="C761" s="173"/>
      <c r="D761" s="173"/>
      <c r="E761" s="173"/>
    </row>
    <row r="762" ht="15.75" customHeight="1">
      <c r="A762" s="176"/>
      <c r="B762" s="173"/>
      <c r="C762" s="173"/>
      <c r="D762" s="173"/>
      <c r="E762" s="173"/>
    </row>
    <row r="763" ht="15.75" customHeight="1">
      <c r="A763" s="176"/>
      <c r="B763" s="173"/>
      <c r="C763" s="173"/>
      <c r="D763" s="173"/>
      <c r="E763" s="173"/>
    </row>
    <row r="764" ht="15.75" customHeight="1">
      <c r="A764" s="176"/>
      <c r="B764" s="173"/>
      <c r="C764" s="173"/>
      <c r="D764" s="173"/>
      <c r="E764" s="173"/>
    </row>
    <row r="765" ht="15.75" customHeight="1">
      <c r="A765" s="176"/>
      <c r="B765" s="173"/>
      <c r="C765" s="173"/>
      <c r="D765" s="173"/>
      <c r="E765" s="173"/>
    </row>
    <row r="766" ht="15.75" customHeight="1">
      <c r="A766" s="176"/>
      <c r="B766" s="173"/>
      <c r="C766" s="173"/>
      <c r="D766" s="173"/>
      <c r="E766" s="173"/>
    </row>
    <row r="767" ht="15.75" customHeight="1">
      <c r="A767" s="176"/>
      <c r="B767" s="173"/>
      <c r="C767" s="173"/>
      <c r="D767" s="173"/>
      <c r="E767" s="173"/>
    </row>
    <row r="768" ht="15.75" customHeight="1">
      <c r="A768" s="176"/>
      <c r="B768" s="173"/>
      <c r="C768" s="173"/>
      <c r="D768" s="173"/>
      <c r="E768" s="173"/>
    </row>
    <row r="769" ht="15.75" customHeight="1">
      <c r="A769" s="176"/>
      <c r="B769" s="173"/>
      <c r="C769" s="173"/>
      <c r="D769" s="173"/>
      <c r="E769" s="173"/>
    </row>
    <row r="770" ht="15.75" customHeight="1">
      <c r="A770" s="176"/>
      <c r="B770" s="173"/>
      <c r="C770" s="173"/>
      <c r="D770" s="173"/>
      <c r="E770" s="173"/>
    </row>
    <row r="771" ht="15.75" customHeight="1">
      <c r="A771" s="176"/>
      <c r="B771" s="173"/>
      <c r="C771" s="173"/>
      <c r="D771" s="173"/>
      <c r="E771" s="173"/>
    </row>
    <row r="772" ht="15.75" customHeight="1">
      <c r="A772" s="176"/>
      <c r="B772" s="173"/>
      <c r="C772" s="173"/>
      <c r="D772" s="173"/>
      <c r="E772" s="173"/>
    </row>
    <row r="773" ht="15.75" customHeight="1">
      <c r="A773" s="176"/>
      <c r="B773" s="173"/>
      <c r="C773" s="173"/>
      <c r="D773" s="173"/>
      <c r="E773" s="173"/>
    </row>
    <row r="774" ht="15.75" customHeight="1">
      <c r="A774" s="176"/>
      <c r="B774" s="173"/>
      <c r="C774" s="173"/>
      <c r="D774" s="173"/>
      <c r="E774" s="173"/>
    </row>
    <row r="775" ht="15.75" customHeight="1">
      <c r="A775" s="176"/>
      <c r="B775" s="173"/>
      <c r="C775" s="173"/>
      <c r="D775" s="173"/>
      <c r="E775" s="173"/>
    </row>
    <row r="776" ht="15.75" customHeight="1">
      <c r="A776" s="176"/>
      <c r="B776" s="173"/>
      <c r="C776" s="173"/>
      <c r="D776" s="173"/>
      <c r="E776" s="173"/>
    </row>
    <row r="777" ht="15.75" customHeight="1">
      <c r="A777" s="176"/>
      <c r="B777" s="173"/>
      <c r="C777" s="173"/>
      <c r="D777" s="173"/>
      <c r="E777" s="173"/>
    </row>
    <row r="778" ht="15.75" customHeight="1">
      <c r="A778" s="176"/>
      <c r="B778" s="173"/>
      <c r="C778" s="173"/>
      <c r="D778" s="173"/>
      <c r="E778" s="173"/>
    </row>
    <row r="779" ht="15.75" customHeight="1">
      <c r="A779" s="176"/>
      <c r="B779" s="173"/>
      <c r="C779" s="173"/>
      <c r="D779" s="173"/>
      <c r="E779" s="173"/>
    </row>
    <row r="780" ht="15.75" customHeight="1">
      <c r="A780" s="176"/>
      <c r="B780" s="173"/>
      <c r="C780" s="173"/>
      <c r="D780" s="173"/>
      <c r="E780" s="173"/>
    </row>
    <row r="781" ht="15.75" customHeight="1">
      <c r="A781" s="176"/>
      <c r="B781" s="173"/>
      <c r="C781" s="173"/>
      <c r="D781" s="173"/>
      <c r="E781" s="173"/>
    </row>
    <row r="782" ht="15.75" customHeight="1">
      <c r="A782" s="176"/>
      <c r="B782" s="173"/>
      <c r="C782" s="173"/>
      <c r="D782" s="173"/>
      <c r="E782" s="173"/>
    </row>
    <row r="783" ht="15.75" customHeight="1">
      <c r="A783" s="176"/>
      <c r="B783" s="173"/>
      <c r="C783" s="173"/>
      <c r="D783" s="173"/>
      <c r="E783" s="173"/>
    </row>
    <row r="784" ht="15.75" customHeight="1">
      <c r="A784" s="176"/>
      <c r="B784" s="173"/>
      <c r="C784" s="173"/>
      <c r="D784" s="173"/>
      <c r="E784" s="173"/>
    </row>
    <row r="785" ht="15.75" customHeight="1">
      <c r="A785" s="176"/>
      <c r="B785" s="173"/>
      <c r="C785" s="173"/>
      <c r="D785" s="173"/>
      <c r="E785" s="173"/>
    </row>
    <row r="786" ht="15.75" customHeight="1">
      <c r="A786" s="176"/>
      <c r="B786" s="173"/>
      <c r="C786" s="173"/>
      <c r="D786" s="173"/>
      <c r="E786" s="173"/>
    </row>
    <row r="787" ht="15.75" customHeight="1">
      <c r="A787" s="176"/>
      <c r="B787" s="173"/>
      <c r="C787" s="173"/>
      <c r="D787" s="173"/>
      <c r="E787" s="173"/>
    </row>
    <row r="788" ht="15.75" customHeight="1">
      <c r="A788" s="176"/>
      <c r="B788" s="173"/>
      <c r="C788" s="173"/>
      <c r="D788" s="173"/>
      <c r="E788" s="173"/>
    </row>
    <row r="789" ht="15.75" customHeight="1">
      <c r="A789" s="176"/>
      <c r="B789" s="173"/>
      <c r="C789" s="173"/>
      <c r="D789" s="173"/>
      <c r="E789" s="173"/>
    </row>
    <row r="790" ht="15.75" customHeight="1">
      <c r="A790" s="176"/>
      <c r="B790" s="173"/>
      <c r="C790" s="173"/>
      <c r="D790" s="173"/>
      <c r="E790" s="173"/>
    </row>
    <row r="791" ht="15.75" customHeight="1">
      <c r="A791" s="176"/>
      <c r="B791" s="173"/>
      <c r="C791" s="173"/>
      <c r="D791" s="173"/>
      <c r="E791" s="173"/>
    </row>
    <row r="792" ht="15.75" customHeight="1">
      <c r="A792" s="176"/>
      <c r="B792" s="173"/>
      <c r="C792" s="173"/>
      <c r="D792" s="173"/>
      <c r="E792" s="173"/>
    </row>
    <row r="793" ht="15.75" customHeight="1">
      <c r="A793" s="176"/>
      <c r="B793" s="173"/>
      <c r="C793" s="173"/>
      <c r="D793" s="173"/>
      <c r="E793" s="173"/>
    </row>
    <row r="794" ht="15.75" customHeight="1">
      <c r="A794" s="176"/>
      <c r="B794" s="173"/>
      <c r="C794" s="173"/>
      <c r="D794" s="173"/>
      <c r="E794" s="173"/>
    </row>
    <row r="795" ht="15.75" customHeight="1">
      <c r="A795" s="176"/>
      <c r="B795" s="173"/>
      <c r="C795" s="173"/>
      <c r="D795" s="173"/>
      <c r="E795" s="173"/>
    </row>
    <row r="796" ht="15.75" customHeight="1">
      <c r="A796" s="176"/>
      <c r="B796" s="173"/>
      <c r="C796" s="173"/>
      <c r="D796" s="173"/>
      <c r="E796" s="173"/>
    </row>
    <row r="797" ht="15.75" customHeight="1">
      <c r="A797" s="176"/>
      <c r="B797" s="173"/>
      <c r="C797" s="173"/>
      <c r="D797" s="173"/>
      <c r="E797" s="173"/>
    </row>
    <row r="798" ht="15.75" customHeight="1">
      <c r="A798" s="176"/>
      <c r="B798" s="173"/>
      <c r="C798" s="173"/>
      <c r="D798" s="173"/>
      <c r="E798" s="173"/>
    </row>
    <row r="799" ht="15.75" customHeight="1">
      <c r="A799" s="176"/>
      <c r="B799" s="173"/>
      <c r="C799" s="173"/>
      <c r="D799" s="173"/>
      <c r="E799" s="173"/>
    </row>
    <row r="800" ht="15.75" customHeight="1">
      <c r="A800" s="176"/>
      <c r="B800" s="173"/>
      <c r="C800" s="173"/>
      <c r="D800" s="173"/>
      <c r="E800" s="173"/>
    </row>
    <row r="801" ht="15.75" customHeight="1">
      <c r="A801" s="176"/>
      <c r="B801" s="173"/>
      <c r="C801" s="173"/>
      <c r="D801" s="173"/>
      <c r="E801" s="173"/>
    </row>
    <row r="802" ht="15.75" customHeight="1">
      <c r="A802" s="176"/>
      <c r="B802" s="173"/>
      <c r="C802" s="173"/>
      <c r="D802" s="173"/>
      <c r="E802" s="173"/>
    </row>
    <row r="803" ht="15.75" customHeight="1">
      <c r="A803" s="176"/>
      <c r="B803" s="173"/>
      <c r="C803" s="173"/>
      <c r="D803" s="173"/>
      <c r="E803" s="173"/>
    </row>
    <row r="804" ht="15.75" customHeight="1">
      <c r="A804" s="176"/>
      <c r="B804" s="173"/>
      <c r="C804" s="173"/>
      <c r="D804" s="173"/>
      <c r="E804" s="173"/>
    </row>
    <row r="805" ht="15.75" customHeight="1">
      <c r="A805" s="176"/>
      <c r="B805" s="173"/>
      <c r="C805" s="173"/>
      <c r="D805" s="173"/>
      <c r="E805" s="173"/>
    </row>
    <row r="806" ht="15.75" customHeight="1">
      <c r="A806" s="176"/>
      <c r="B806" s="173"/>
      <c r="C806" s="173"/>
      <c r="D806" s="173"/>
      <c r="E806" s="173"/>
    </row>
    <row r="807" ht="15.75" customHeight="1">
      <c r="A807" s="176"/>
      <c r="B807" s="173"/>
      <c r="C807" s="173"/>
      <c r="D807" s="173"/>
      <c r="E807" s="173"/>
    </row>
    <row r="808" ht="15.75" customHeight="1">
      <c r="A808" s="176"/>
      <c r="B808" s="173"/>
      <c r="C808" s="173"/>
      <c r="D808" s="173"/>
      <c r="E808" s="173"/>
    </row>
    <row r="809" ht="15.75" customHeight="1">
      <c r="A809" s="176"/>
      <c r="B809" s="173"/>
      <c r="C809" s="173"/>
      <c r="D809" s="173"/>
      <c r="E809" s="173"/>
    </row>
    <row r="810" ht="15.75" customHeight="1">
      <c r="A810" s="176"/>
      <c r="B810" s="173"/>
      <c r="C810" s="173"/>
      <c r="D810" s="173"/>
      <c r="E810" s="173"/>
    </row>
    <row r="811" ht="15.75" customHeight="1">
      <c r="A811" s="176"/>
      <c r="B811" s="173"/>
      <c r="C811" s="173"/>
      <c r="D811" s="173"/>
      <c r="E811" s="173"/>
    </row>
    <row r="812" ht="15.75" customHeight="1">
      <c r="A812" s="176"/>
      <c r="B812" s="173"/>
      <c r="C812" s="173"/>
      <c r="D812" s="173"/>
      <c r="E812" s="173"/>
    </row>
    <row r="813" ht="15.75" customHeight="1">
      <c r="A813" s="176"/>
      <c r="B813" s="173"/>
      <c r="C813" s="173"/>
      <c r="D813" s="173"/>
      <c r="E813" s="173"/>
    </row>
    <row r="814" ht="15.75" customHeight="1">
      <c r="A814" s="176"/>
      <c r="B814" s="173"/>
      <c r="C814" s="173"/>
      <c r="D814" s="173"/>
      <c r="E814" s="173"/>
    </row>
    <row r="815" ht="15.75" customHeight="1">
      <c r="A815" s="176"/>
      <c r="B815" s="173"/>
      <c r="C815" s="173"/>
      <c r="D815" s="173"/>
      <c r="E815" s="173"/>
    </row>
    <row r="816" ht="15.75" customHeight="1">
      <c r="A816" s="176"/>
      <c r="B816" s="173"/>
      <c r="C816" s="173"/>
      <c r="D816" s="173"/>
      <c r="E816" s="173"/>
    </row>
    <row r="817" ht="15.75" customHeight="1">
      <c r="A817" s="176"/>
      <c r="B817" s="173"/>
      <c r="C817" s="173"/>
      <c r="D817" s="173"/>
      <c r="E817" s="173"/>
    </row>
    <row r="818" ht="15.75" customHeight="1">
      <c r="A818" s="176"/>
      <c r="B818" s="173"/>
      <c r="C818" s="173"/>
      <c r="D818" s="173"/>
      <c r="E818" s="173"/>
    </row>
    <row r="819" ht="15.75" customHeight="1">
      <c r="A819" s="176"/>
      <c r="B819" s="173"/>
      <c r="C819" s="173"/>
      <c r="D819" s="173"/>
      <c r="E819" s="173"/>
    </row>
    <row r="820" ht="15.75" customHeight="1">
      <c r="A820" s="176"/>
      <c r="B820" s="173"/>
      <c r="C820" s="173"/>
      <c r="D820" s="173"/>
      <c r="E820" s="173"/>
    </row>
    <row r="821" ht="15.75" customHeight="1">
      <c r="A821" s="176"/>
      <c r="B821" s="173"/>
      <c r="C821" s="173"/>
      <c r="D821" s="173"/>
      <c r="E821" s="173"/>
    </row>
    <row r="822" ht="15.75" customHeight="1">
      <c r="A822" s="176"/>
      <c r="B822" s="173"/>
      <c r="C822" s="173"/>
      <c r="D822" s="173"/>
      <c r="E822" s="173"/>
    </row>
    <row r="823" ht="15.75" customHeight="1">
      <c r="A823" s="176"/>
      <c r="B823" s="173"/>
      <c r="C823" s="173"/>
      <c r="D823" s="173"/>
      <c r="E823" s="173"/>
    </row>
    <row r="824" ht="15.75" customHeight="1">
      <c r="A824" s="176"/>
      <c r="B824" s="173"/>
      <c r="C824" s="173"/>
      <c r="D824" s="173"/>
      <c r="E824" s="173"/>
    </row>
    <row r="825" ht="15.75" customHeight="1">
      <c r="A825" s="176"/>
      <c r="B825" s="173"/>
      <c r="C825" s="173"/>
      <c r="D825" s="173"/>
      <c r="E825" s="173"/>
    </row>
    <row r="826" ht="15.75" customHeight="1">
      <c r="A826" s="176"/>
      <c r="B826" s="173"/>
      <c r="C826" s="173"/>
      <c r="D826" s="173"/>
      <c r="E826" s="173"/>
    </row>
    <row r="827" ht="15.75" customHeight="1">
      <c r="A827" s="176"/>
      <c r="B827" s="173"/>
      <c r="C827" s="173"/>
      <c r="D827" s="173"/>
      <c r="E827" s="173"/>
    </row>
    <row r="828" ht="15.75" customHeight="1">
      <c r="A828" s="176"/>
      <c r="B828" s="173"/>
      <c r="C828" s="173"/>
      <c r="D828" s="173"/>
      <c r="E828" s="173"/>
    </row>
    <row r="829" ht="15.75" customHeight="1">
      <c r="A829" s="176"/>
      <c r="B829" s="173"/>
      <c r="C829" s="173"/>
      <c r="D829" s="173"/>
      <c r="E829" s="173"/>
    </row>
    <row r="830" ht="15.75" customHeight="1">
      <c r="A830" s="176"/>
      <c r="B830" s="173"/>
      <c r="C830" s="173"/>
      <c r="D830" s="173"/>
      <c r="E830" s="173"/>
    </row>
    <row r="831" ht="15.75" customHeight="1">
      <c r="A831" s="176"/>
      <c r="B831" s="173"/>
      <c r="C831" s="173"/>
      <c r="D831" s="173"/>
      <c r="E831" s="173"/>
    </row>
    <row r="832" ht="15.75" customHeight="1">
      <c r="A832" s="176"/>
      <c r="B832" s="173"/>
      <c r="C832" s="173"/>
      <c r="D832" s="173"/>
      <c r="E832" s="173"/>
    </row>
    <row r="833" ht="15.75" customHeight="1">
      <c r="A833" s="176"/>
      <c r="B833" s="173"/>
      <c r="C833" s="173"/>
      <c r="D833" s="173"/>
      <c r="E833" s="173"/>
    </row>
    <row r="834" ht="15.75" customHeight="1">
      <c r="A834" s="176"/>
      <c r="B834" s="173"/>
      <c r="C834" s="173"/>
      <c r="D834" s="173"/>
      <c r="E834" s="173"/>
    </row>
    <row r="835" ht="15.75" customHeight="1">
      <c r="A835" s="176"/>
      <c r="B835" s="173"/>
      <c r="C835" s="173"/>
      <c r="D835" s="173"/>
      <c r="E835" s="173"/>
    </row>
    <row r="836" ht="15.75" customHeight="1">
      <c r="A836" s="176"/>
      <c r="B836" s="173"/>
      <c r="C836" s="173"/>
      <c r="D836" s="173"/>
      <c r="E836" s="173"/>
    </row>
    <row r="837" ht="15.75" customHeight="1">
      <c r="A837" s="176"/>
      <c r="B837" s="173"/>
      <c r="C837" s="173"/>
      <c r="D837" s="173"/>
      <c r="E837" s="173"/>
    </row>
    <row r="838" ht="15.75" customHeight="1">
      <c r="A838" s="176"/>
      <c r="B838" s="173"/>
      <c r="C838" s="173"/>
      <c r="D838" s="173"/>
      <c r="E838" s="173"/>
    </row>
    <row r="839" ht="15.75" customHeight="1">
      <c r="A839" s="176"/>
      <c r="B839" s="173"/>
      <c r="C839" s="173"/>
      <c r="D839" s="173"/>
      <c r="E839" s="173"/>
    </row>
    <row r="840" ht="15.75" customHeight="1">
      <c r="A840" s="176"/>
      <c r="B840" s="173"/>
      <c r="C840" s="173"/>
      <c r="D840" s="173"/>
      <c r="E840" s="173"/>
    </row>
    <row r="841" ht="15.75" customHeight="1">
      <c r="A841" s="176"/>
      <c r="B841" s="173"/>
      <c r="C841" s="173"/>
      <c r="D841" s="173"/>
      <c r="E841" s="173"/>
    </row>
    <row r="842" ht="15.75" customHeight="1">
      <c r="A842" s="176"/>
      <c r="B842" s="173"/>
      <c r="C842" s="173"/>
      <c r="D842" s="173"/>
      <c r="E842" s="173"/>
    </row>
    <row r="843" ht="15.75" customHeight="1">
      <c r="A843" s="176"/>
      <c r="B843" s="173"/>
      <c r="C843" s="173"/>
      <c r="D843" s="173"/>
      <c r="E843" s="173"/>
    </row>
    <row r="844" ht="15.75" customHeight="1">
      <c r="A844" s="176"/>
      <c r="B844" s="173"/>
      <c r="C844" s="173"/>
      <c r="D844" s="173"/>
      <c r="E844" s="173"/>
    </row>
    <row r="845" ht="15.75" customHeight="1">
      <c r="A845" s="176"/>
      <c r="B845" s="173"/>
      <c r="C845" s="173"/>
      <c r="D845" s="173"/>
      <c r="E845" s="173"/>
    </row>
    <row r="846" ht="15.75" customHeight="1">
      <c r="A846" s="176"/>
      <c r="B846" s="173"/>
      <c r="C846" s="173"/>
      <c r="D846" s="173"/>
      <c r="E846" s="173"/>
    </row>
    <row r="847" ht="15.75" customHeight="1">
      <c r="A847" s="176"/>
      <c r="B847" s="173"/>
      <c r="C847" s="173"/>
      <c r="D847" s="173"/>
      <c r="E847" s="173"/>
    </row>
    <row r="848" ht="15.75" customHeight="1">
      <c r="A848" s="176"/>
      <c r="B848" s="173"/>
      <c r="C848" s="173"/>
      <c r="D848" s="173"/>
      <c r="E848" s="173"/>
    </row>
    <row r="849" ht="15.75" customHeight="1">
      <c r="A849" s="176"/>
      <c r="B849" s="173"/>
      <c r="C849" s="173"/>
      <c r="D849" s="173"/>
      <c r="E849" s="173"/>
    </row>
    <row r="850" ht="15.75" customHeight="1">
      <c r="A850" s="176"/>
      <c r="B850" s="173"/>
      <c r="C850" s="173"/>
      <c r="D850" s="173"/>
      <c r="E850" s="173"/>
    </row>
    <row r="851" ht="15.75" customHeight="1">
      <c r="A851" s="176"/>
      <c r="B851" s="173"/>
      <c r="C851" s="173"/>
      <c r="D851" s="173"/>
      <c r="E851" s="173"/>
    </row>
    <row r="852" ht="15.75" customHeight="1">
      <c r="A852" s="176"/>
      <c r="B852" s="173"/>
      <c r="C852" s="173"/>
      <c r="D852" s="173"/>
      <c r="E852" s="173"/>
    </row>
    <row r="853" ht="15.75" customHeight="1">
      <c r="A853" s="176"/>
      <c r="B853" s="173"/>
      <c r="C853" s="173"/>
      <c r="D853" s="173"/>
      <c r="E853" s="173"/>
    </row>
    <row r="854" ht="15.75" customHeight="1">
      <c r="A854" s="176"/>
      <c r="B854" s="173"/>
      <c r="C854" s="173"/>
      <c r="D854" s="173"/>
      <c r="E854" s="173"/>
    </row>
    <row r="855" ht="15.75" customHeight="1">
      <c r="A855" s="176"/>
      <c r="B855" s="173"/>
      <c r="C855" s="173"/>
      <c r="D855" s="173"/>
      <c r="E855" s="173"/>
    </row>
    <row r="856" ht="15.75" customHeight="1">
      <c r="A856" s="176"/>
      <c r="B856" s="173"/>
      <c r="C856" s="173"/>
      <c r="D856" s="173"/>
      <c r="E856" s="173"/>
    </row>
    <row r="857" ht="15.75" customHeight="1">
      <c r="A857" s="176"/>
      <c r="B857" s="173"/>
      <c r="C857" s="173"/>
      <c r="D857" s="173"/>
      <c r="E857" s="173"/>
    </row>
    <row r="858" ht="15.75" customHeight="1">
      <c r="A858" s="176"/>
      <c r="B858" s="173"/>
      <c r="C858" s="173"/>
      <c r="D858" s="173"/>
      <c r="E858" s="173"/>
    </row>
    <row r="859" ht="15.75" customHeight="1">
      <c r="A859" s="176"/>
      <c r="B859" s="173"/>
      <c r="C859" s="173"/>
      <c r="D859" s="173"/>
      <c r="E859" s="173"/>
    </row>
    <row r="860" ht="15.75" customHeight="1">
      <c r="A860" s="176"/>
      <c r="B860" s="173"/>
      <c r="C860" s="173"/>
      <c r="D860" s="173"/>
      <c r="E860" s="173"/>
    </row>
    <row r="861" ht="15.75" customHeight="1">
      <c r="A861" s="176"/>
      <c r="B861" s="173"/>
      <c r="C861" s="173"/>
      <c r="D861" s="173"/>
      <c r="E861" s="173"/>
    </row>
    <row r="862" ht="15.75" customHeight="1">
      <c r="A862" s="176"/>
      <c r="B862" s="173"/>
      <c r="C862" s="173"/>
      <c r="D862" s="173"/>
      <c r="E862" s="173"/>
    </row>
    <row r="863" ht="15.75" customHeight="1">
      <c r="A863" s="176"/>
      <c r="B863" s="173"/>
      <c r="C863" s="173"/>
      <c r="D863" s="173"/>
      <c r="E863" s="173"/>
    </row>
    <row r="864" ht="15.75" customHeight="1">
      <c r="A864" s="176"/>
      <c r="B864" s="173"/>
      <c r="C864" s="173"/>
      <c r="D864" s="173"/>
      <c r="E864" s="173"/>
    </row>
    <row r="865" ht="15.75" customHeight="1">
      <c r="A865" s="176"/>
      <c r="B865" s="173"/>
      <c r="C865" s="173"/>
      <c r="D865" s="173"/>
      <c r="E865" s="173"/>
    </row>
    <row r="866" ht="15.75" customHeight="1">
      <c r="A866" s="176"/>
      <c r="B866" s="173"/>
      <c r="C866" s="173"/>
      <c r="D866" s="173"/>
      <c r="E866" s="173"/>
    </row>
    <row r="867" ht="15.75" customHeight="1">
      <c r="A867" s="176"/>
      <c r="B867" s="173"/>
      <c r="C867" s="173"/>
      <c r="D867" s="173"/>
      <c r="E867" s="173"/>
    </row>
    <row r="868" ht="15.75" customHeight="1">
      <c r="A868" s="176"/>
      <c r="B868" s="173"/>
      <c r="C868" s="173"/>
      <c r="D868" s="173"/>
      <c r="E868" s="173"/>
    </row>
    <row r="869" ht="15.75" customHeight="1">
      <c r="A869" s="176"/>
      <c r="B869" s="173"/>
      <c r="C869" s="173"/>
      <c r="D869" s="173"/>
      <c r="E869" s="173"/>
    </row>
    <row r="870" ht="15.75" customHeight="1">
      <c r="A870" s="176"/>
      <c r="B870" s="173"/>
      <c r="C870" s="173"/>
      <c r="D870" s="173"/>
      <c r="E870" s="173"/>
    </row>
    <row r="871" ht="15.75" customHeight="1">
      <c r="A871" s="176"/>
      <c r="B871" s="173"/>
      <c r="C871" s="173"/>
      <c r="D871" s="173"/>
      <c r="E871" s="173"/>
    </row>
    <row r="872" ht="15.75" customHeight="1">
      <c r="A872" s="176"/>
      <c r="B872" s="173"/>
      <c r="C872" s="173"/>
      <c r="D872" s="173"/>
      <c r="E872" s="173"/>
    </row>
    <row r="873" ht="15.75" customHeight="1">
      <c r="A873" s="176"/>
      <c r="B873" s="173"/>
      <c r="C873" s="173"/>
      <c r="D873" s="173"/>
      <c r="E873" s="173"/>
    </row>
    <row r="874" ht="15.75" customHeight="1">
      <c r="A874" s="176"/>
      <c r="B874" s="173"/>
      <c r="C874" s="173"/>
      <c r="D874" s="173"/>
      <c r="E874" s="173"/>
    </row>
    <row r="875" ht="15.75" customHeight="1">
      <c r="A875" s="176"/>
      <c r="B875" s="173"/>
      <c r="C875" s="173"/>
      <c r="D875" s="173"/>
      <c r="E875" s="173"/>
    </row>
    <row r="876" ht="15.75" customHeight="1">
      <c r="A876" s="176"/>
      <c r="B876" s="173"/>
      <c r="C876" s="173"/>
      <c r="D876" s="173"/>
      <c r="E876" s="173"/>
    </row>
    <row r="877" ht="15.75" customHeight="1">
      <c r="A877" s="176"/>
      <c r="B877" s="173"/>
      <c r="C877" s="173"/>
      <c r="D877" s="173"/>
      <c r="E877" s="173"/>
    </row>
    <row r="878" ht="15.75" customHeight="1">
      <c r="A878" s="176"/>
      <c r="B878" s="173"/>
      <c r="C878" s="173"/>
      <c r="D878" s="173"/>
      <c r="E878" s="173"/>
    </row>
    <row r="879" ht="15.75" customHeight="1">
      <c r="A879" s="176"/>
      <c r="B879" s="173"/>
      <c r="C879" s="173"/>
      <c r="D879" s="173"/>
      <c r="E879" s="173"/>
    </row>
    <row r="880" ht="15.75" customHeight="1">
      <c r="A880" s="176"/>
      <c r="B880" s="173"/>
      <c r="C880" s="173"/>
      <c r="D880" s="173"/>
      <c r="E880" s="173"/>
    </row>
    <row r="881" ht="15.75" customHeight="1">
      <c r="A881" s="176"/>
      <c r="B881" s="173"/>
      <c r="C881" s="173"/>
      <c r="D881" s="173"/>
      <c r="E881" s="173"/>
    </row>
    <row r="882" ht="15.75" customHeight="1">
      <c r="A882" s="176"/>
      <c r="B882" s="173"/>
      <c r="C882" s="173"/>
      <c r="D882" s="173"/>
      <c r="E882" s="173"/>
    </row>
    <row r="883" ht="15.75" customHeight="1">
      <c r="A883" s="176"/>
      <c r="B883" s="173"/>
      <c r="C883" s="173"/>
      <c r="D883" s="173"/>
      <c r="E883" s="173"/>
    </row>
    <row r="884" ht="15.75" customHeight="1">
      <c r="A884" s="176"/>
      <c r="B884" s="173"/>
      <c r="C884" s="173"/>
      <c r="D884" s="173"/>
      <c r="E884" s="173"/>
    </row>
    <row r="885" ht="15.75" customHeight="1">
      <c r="A885" s="176"/>
      <c r="B885" s="173"/>
      <c r="C885" s="173"/>
      <c r="D885" s="173"/>
      <c r="E885" s="173"/>
    </row>
    <row r="886" ht="15.75" customHeight="1">
      <c r="A886" s="176"/>
      <c r="B886" s="173"/>
      <c r="C886" s="173"/>
      <c r="D886" s="173"/>
      <c r="E886" s="173"/>
    </row>
    <row r="887" ht="15.75" customHeight="1">
      <c r="A887" s="176"/>
      <c r="B887" s="173"/>
      <c r="C887" s="173"/>
      <c r="D887" s="173"/>
      <c r="E887" s="173"/>
    </row>
    <row r="888" ht="15.75" customHeight="1">
      <c r="A888" s="176"/>
      <c r="B888" s="173"/>
      <c r="C888" s="173"/>
      <c r="D888" s="173"/>
      <c r="E888" s="173"/>
    </row>
    <row r="889" ht="15.75" customHeight="1">
      <c r="A889" s="176"/>
      <c r="B889" s="173"/>
      <c r="C889" s="173"/>
      <c r="D889" s="173"/>
      <c r="E889" s="173"/>
    </row>
    <row r="890" ht="15.75" customHeight="1">
      <c r="A890" s="176"/>
      <c r="B890" s="173"/>
      <c r="C890" s="173"/>
      <c r="D890" s="173"/>
      <c r="E890" s="173"/>
    </row>
    <row r="891" ht="15.75" customHeight="1">
      <c r="A891" s="176"/>
      <c r="B891" s="173"/>
      <c r="C891" s="173"/>
      <c r="D891" s="173"/>
      <c r="E891" s="173"/>
    </row>
    <row r="892" ht="15.75" customHeight="1">
      <c r="A892" s="176"/>
      <c r="B892" s="173"/>
      <c r="C892" s="173"/>
      <c r="D892" s="173"/>
      <c r="E892" s="173"/>
    </row>
    <row r="893" ht="15.75" customHeight="1">
      <c r="A893" s="176"/>
      <c r="B893" s="173"/>
      <c r="C893" s="173"/>
      <c r="D893" s="173"/>
      <c r="E893" s="173"/>
    </row>
    <row r="894" ht="15.75" customHeight="1">
      <c r="A894" s="176"/>
      <c r="B894" s="173"/>
      <c r="C894" s="173"/>
      <c r="D894" s="173"/>
      <c r="E894" s="173"/>
    </row>
    <row r="895" ht="15.75" customHeight="1">
      <c r="A895" s="176"/>
      <c r="B895" s="173"/>
      <c r="C895" s="173"/>
      <c r="D895" s="173"/>
      <c r="E895" s="173"/>
    </row>
    <row r="896" ht="15.75" customHeight="1">
      <c r="A896" s="176"/>
      <c r="B896" s="173"/>
      <c r="C896" s="173"/>
      <c r="D896" s="173"/>
      <c r="E896" s="173"/>
    </row>
    <row r="897" ht="15.75" customHeight="1">
      <c r="A897" s="176"/>
      <c r="B897" s="173"/>
      <c r="C897" s="173"/>
      <c r="D897" s="173"/>
      <c r="E897" s="173"/>
    </row>
    <row r="898" ht="15.75" customHeight="1">
      <c r="A898" s="176"/>
      <c r="B898" s="173"/>
      <c r="C898" s="173"/>
      <c r="D898" s="173"/>
      <c r="E898" s="173"/>
    </row>
    <row r="899" ht="15.75" customHeight="1">
      <c r="A899" s="176"/>
      <c r="B899" s="173"/>
      <c r="C899" s="173"/>
      <c r="D899" s="173"/>
      <c r="E899" s="173"/>
    </row>
    <row r="900" ht="15.75" customHeight="1">
      <c r="A900" s="176"/>
      <c r="B900" s="173"/>
      <c r="C900" s="173"/>
      <c r="D900" s="173"/>
      <c r="E900" s="173"/>
    </row>
    <row r="901" ht="15.75" customHeight="1">
      <c r="A901" s="176"/>
      <c r="B901" s="173"/>
      <c r="C901" s="173"/>
      <c r="D901" s="173"/>
      <c r="E901" s="173"/>
    </row>
    <row r="902" ht="15.75" customHeight="1">
      <c r="A902" s="176"/>
      <c r="B902" s="173"/>
      <c r="C902" s="173"/>
      <c r="D902" s="173"/>
      <c r="E902" s="173"/>
    </row>
    <row r="903" ht="15.75" customHeight="1">
      <c r="A903" s="176"/>
      <c r="B903" s="173"/>
      <c r="C903" s="173"/>
      <c r="D903" s="173"/>
      <c r="E903" s="173"/>
    </row>
    <row r="904" ht="15.75" customHeight="1">
      <c r="A904" s="176"/>
      <c r="B904" s="173"/>
      <c r="C904" s="173"/>
      <c r="D904" s="173"/>
      <c r="E904" s="173"/>
    </row>
    <row r="905" ht="15.75" customHeight="1">
      <c r="A905" s="176"/>
      <c r="B905" s="173"/>
      <c r="C905" s="173"/>
      <c r="D905" s="173"/>
      <c r="E905" s="173"/>
    </row>
    <row r="906" ht="15.75" customHeight="1">
      <c r="A906" s="176"/>
      <c r="B906" s="173"/>
      <c r="C906" s="173"/>
      <c r="D906" s="173"/>
      <c r="E906" s="173"/>
    </row>
    <row r="907" ht="15.75" customHeight="1">
      <c r="A907" s="176"/>
      <c r="B907" s="173"/>
      <c r="C907" s="173"/>
      <c r="D907" s="173"/>
      <c r="E907" s="173"/>
    </row>
    <row r="908" ht="15.75" customHeight="1">
      <c r="A908" s="176"/>
      <c r="B908" s="173"/>
      <c r="C908" s="173"/>
      <c r="D908" s="173"/>
      <c r="E908" s="173"/>
    </row>
    <row r="909" ht="15.75" customHeight="1">
      <c r="A909" s="176"/>
      <c r="B909" s="173"/>
      <c r="C909" s="173"/>
      <c r="D909" s="173"/>
      <c r="E909" s="173"/>
    </row>
    <row r="910" ht="15.75" customHeight="1">
      <c r="A910" s="176"/>
      <c r="B910" s="173"/>
      <c r="C910" s="173"/>
      <c r="D910" s="173"/>
      <c r="E910" s="173"/>
    </row>
    <row r="911" ht="15.75" customHeight="1">
      <c r="A911" s="176"/>
      <c r="B911" s="173"/>
      <c r="C911" s="173"/>
      <c r="D911" s="173"/>
      <c r="E911" s="173"/>
    </row>
    <row r="912" ht="15.75" customHeight="1">
      <c r="A912" s="176"/>
      <c r="B912" s="173"/>
      <c r="C912" s="173"/>
      <c r="D912" s="173"/>
      <c r="E912" s="173"/>
    </row>
    <row r="913" ht="15.75" customHeight="1">
      <c r="A913" s="176"/>
      <c r="B913" s="173"/>
      <c r="C913" s="173"/>
      <c r="D913" s="173"/>
      <c r="E913" s="173"/>
    </row>
    <row r="914" ht="15.75" customHeight="1">
      <c r="A914" s="176"/>
      <c r="B914" s="173"/>
      <c r="C914" s="173"/>
      <c r="D914" s="173"/>
      <c r="E914" s="173"/>
    </row>
    <row r="915" ht="15.75" customHeight="1">
      <c r="A915" s="176"/>
      <c r="B915" s="173"/>
      <c r="C915" s="173"/>
      <c r="D915" s="173"/>
      <c r="E915" s="173"/>
    </row>
    <row r="916" ht="15.75" customHeight="1">
      <c r="A916" s="176"/>
      <c r="B916" s="173"/>
      <c r="C916" s="173"/>
      <c r="D916" s="173"/>
      <c r="E916" s="173"/>
    </row>
    <row r="917" ht="15.75" customHeight="1">
      <c r="A917" s="176"/>
      <c r="B917" s="173"/>
      <c r="C917" s="173"/>
      <c r="D917" s="173"/>
      <c r="E917" s="173"/>
    </row>
    <row r="918" ht="15.75" customHeight="1">
      <c r="A918" s="176"/>
      <c r="B918" s="173"/>
      <c r="C918" s="173"/>
      <c r="D918" s="173"/>
      <c r="E918" s="173"/>
    </row>
    <row r="919" ht="15.75" customHeight="1">
      <c r="A919" s="176"/>
      <c r="B919" s="173"/>
      <c r="C919" s="173"/>
      <c r="D919" s="173"/>
      <c r="E919" s="173"/>
    </row>
    <row r="920" ht="15.75" customHeight="1">
      <c r="A920" s="176"/>
      <c r="B920" s="173"/>
      <c r="C920" s="173"/>
      <c r="D920" s="173"/>
      <c r="E920" s="173"/>
    </row>
    <row r="921" ht="15.75" customHeight="1">
      <c r="A921" s="176"/>
      <c r="B921" s="173"/>
      <c r="C921" s="173"/>
      <c r="D921" s="173"/>
      <c r="E921" s="173"/>
    </row>
    <row r="922" ht="15.75" customHeight="1">
      <c r="A922" s="176"/>
      <c r="B922" s="173"/>
      <c r="C922" s="173"/>
      <c r="D922" s="173"/>
      <c r="E922" s="173"/>
    </row>
    <row r="923" ht="15.75" customHeight="1">
      <c r="A923" s="176"/>
      <c r="B923" s="173"/>
      <c r="C923" s="173"/>
      <c r="D923" s="173"/>
      <c r="E923" s="173"/>
    </row>
    <row r="924" ht="15.75" customHeight="1">
      <c r="A924" s="176"/>
      <c r="B924" s="173"/>
      <c r="C924" s="173"/>
      <c r="D924" s="173"/>
      <c r="E924" s="173"/>
    </row>
    <row r="925" ht="15.75" customHeight="1">
      <c r="A925" s="176"/>
      <c r="B925" s="173"/>
      <c r="C925" s="173"/>
      <c r="D925" s="173"/>
      <c r="E925" s="173"/>
    </row>
    <row r="926" ht="15.75" customHeight="1">
      <c r="A926" s="176"/>
      <c r="B926" s="173"/>
      <c r="C926" s="173"/>
      <c r="D926" s="173"/>
      <c r="E926" s="173"/>
    </row>
    <row r="927" ht="15.75" customHeight="1">
      <c r="A927" s="176"/>
      <c r="B927" s="173"/>
      <c r="C927" s="173"/>
      <c r="D927" s="173"/>
      <c r="E927" s="173"/>
    </row>
    <row r="928" ht="15.75" customHeight="1">
      <c r="A928" s="176"/>
      <c r="B928" s="173"/>
      <c r="C928" s="173"/>
      <c r="D928" s="173"/>
      <c r="E928" s="173"/>
    </row>
    <row r="929" ht="15.75" customHeight="1">
      <c r="A929" s="176"/>
      <c r="B929" s="173"/>
      <c r="C929" s="173"/>
      <c r="D929" s="173"/>
      <c r="E929" s="173"/>
    </row>
    <row r="930" ht="15.75" customHeight="1">
      <c r="A930" s="176"/>
      <c r="B930" s="173"/>
      <c r="C930" s="173"/>
      <c r="D930" s="173"/>
      <c r="E930" s="173"/>
    </row>
    <row r="931" ht="15.75" customHeight="1">
      <c r="A931" s="176"/>
      <c r="B931" s="173"/>
      <c r="C931" s="173"/>
      <c r="D931" s="173"/>
      <c r="E931" s="173"/>
    </row>
    <row r="932" ht="15.75" customHeight="1">
      <c r="A932" s="176"/>
      <c r="B932" s="173"/>
      <c r="C932" s="173"/>
      <c r="D932" s="173"/>
      <c r="E932" s="173"/>
    </row>
    <row r="933" ht="15.75" customHeight="1">
      <c r="A933" s="176"/>
      <c r="B933" s="173"/>
      <c r="C933" s="173"/>
      <c r="D933" s="173"/>
      <c r="E933" s="173"/>
    </row>
    <row r="934" ht="15.75" customHeight="1">
      <c r="A934" s="176"/>
      <c r="B934" s="173"/>
      <c r="C934" s="173"/>
      <c r="D934" s="173"/>
      <c r="E934" s="173"/>
    </row>
    <row r="935" ht="15.75" customHeight="1">
      <c r="A935" s="176"/>
      <c r="B935" s="173"/>
      <c r="C935" s="173"/>
      <c r="D935" s="173"/>
      <c r="E935" s="173"/>
    </row>
    <row r="936" ht="15.75" customHeight="1">
      <c r="A936" s="176"/>
      <c r="B936" s="173"/>
      <c r="C936" s="173"/>
      <c r="D936" s="173"/>
      <c r="E936" s="173"/>
    </row>
    <row r="937" ht="15.75" customHeight="1">
      <c r="A937" s="176"/>
      <c r="B937" s="173"/>
      <c r="C937" s="173"/>
      <c r="D937" s="173"/>
      <c r="E937" s="173"/>
    </row>
    <row r="938" ht="15.75" customHeight="1">
      <c r="A938" s="176"/>
      <c r="B938" s="173"/>
      <c r="C938" s="173"/>
      <c r="D938" s="173"/>
      <c r="E938" s="173"/>
    </row>
    <row r="939" ht="15.75" customHeight="1">
      <c r="A939" s="176"/>
      <c r="B939" s="173"/>
      <c r="C939" s="173"/>
      <c r="D939" s="173"/>
      <c r="E939" s="173"/>
    </row>
    <row r="940" ht="15.75" customHeight="1">
      <c r="A940" s="176"/>
      <c r="B940" s="173"/>
      <c r="C940" s="173"/>
      <c r="D940" s="173"/>
      <c r="E940" s="173"/>
    </row>
    <row r="941" ht="15.75" customHeight="1">
      <c r="A941" s="176"/>
      <c r="B941" s="173"/>
      <c r="C941" s="173"/>
      <c r="D941" s="173"/>
      <c r="E941" s="173"/>
    </row>
    <row r="942" ht="15.75" customHeight="1">
      <c r="A942" s="176"/>
      <c r="B942" s="173"/>
      <c r="C942" s="173"/>
      <c r="D942" s="173"/>
      <c r="E942" s="173"/>
    </row>
    <row r="943" ht="15.75" customHeight="1">
      <c r="A943" s="176"/>
      <c r="B943" s="173"/>
      <c r="C943" s="173"/>
      <c r="D943" s="173"/>
      <c r="E943" s="173"/>
    </row>
    <row r="944" ht="15.75" customHeight="1">
      <c r="A944" s="176"/>
      <c r="B944" s="173"/>
      <c r="C944" s="173"/>
      <c r="D944" s="173"/>
      <c r="E944" s="173"/>
    </row>
    <row r="945" ht="15.75" customHeight="1">
      <c r="A945" s="176"/>
      <c r="B945" s="173"/>
      <c r="C945" s="173"/>
      <c r="D945" s="173"/>
      <c r="E945" s="173"/>
    </row>
    <row r="946" ht="15.75" customHeight="1">
      <c r="A946" s="176"/>
      <c r="B946" s="173"/>
      <c r="C946" s="173"/>
      <c r="D946" s="173"/>
      <c r="E946" s="173"/>
    </row>
    <row r="947" ht="15.75" customHeight="1">
      <c r="A947" s="176"/>
      <c r="B947" s="173"/>
      <c r="C947" s="173"/>
      <c r="D947" s="173"/>
      <c r="E947" s="173"/>
    </row>
    <row r="948" ht="15.75" customHeight="1">
      <c r="A948" s="176"/>
      <c r="B948" s="173"/>
      <c r="C948" s="173"/>
      <c r="D948" s="173"/>
      <c r="E948" s="173"/>
    </row>
    <row r="949" ht="15.75" customHeight="1">
      <c r="A949" s="176"/>
      <c r="B949" s="173"/>
      <c r="C949" s="173"/>
      <c r="D949" s="173"/>
      <c r="E949" s="173"/>
    </row>
    <row r="950" ht="15.75" customHeight="1">
      <c r="A950" s="176"/>
      <c r="B950" s="173"/>
      <c r="C950" s="173"/>
      <c r="D950" s="173"/>
      <c r="E950" s="173"/>
    </row>
    <row r="951" ht="15.75" customHeight="1">
      <c r="A951" s="176"/>
      <c r="B951" s="173"/>
      <c r="C951" s="173"/>
      <c r="D951" s="173"/>
      <c r="E951" s="173"/>
    </row>
    <row r="952" ht="15.75" customHeight="1">
      <c r="A952" s="176"/>
      <c r="B952" s="173"/>
      <c r="C952" s="173"/>
      <c r="D952" s="173"/>
      <c r="E952" s="173"/>
    </row>
    <row r="953" ht="15.75" customHeight="1">
      <c r="A953" s="176"/>
      <c r="B953" s="173"/>
      <c r="C953" s="173"/>
      <c r="D953" s="173"/>
      <c r="E953" s="173"/>
    </row>
    <row r="954" ht="15.75" customHeight="1">
      <c r="A954" s="176"/>
      <c r="B954" s="173"/>
      <c r="C954" s="173"/>
      <c r="D954" s="173"/>
      <c r="E954" s="173"/>
    </row>
    <row r="955" ht="15.75" customHeight="1">
      <c r="A955" s="176"/>
      <c r="B955" s="173"/>
      <c r="C955" s="173"/>
      <c r="D955" s="173"/>
      <c r="E955" s="173"/>
    </row>
    <row r="956" ht="15.75" customHeight="1">
      <c r="A956" s="176"/>
      <c r="B956" s="173"/>
      <c r="C956" s="173"/>
      <c r="D956" s="173"/>
      <c r="E956" s="173"/>
    </row>
    <row r="957" ht="15.75" customHeight="1">
      <c r="A957" s="176"/>
      <c r="B957" s="173"/>
      <c r="C957" s="173"/>
      <c r="D957" s="173"/>
      <c r="E957" s="173"/>
    </row>
    <row r="958" ht="15.75" customHeight="1">
      <c r="A958" s="176"/>
      <c r="B958" s="173"/>
      <c r="C958" s="173"/>
      <c r="D958" s="173"/>
      <c r="E958" s="173"/>
    </row>
    <row r="959" ht="15.75" customHeight="1">
      <c r="A959" s="176"/>
      <c r="B959" s="173"/>
      <c r="C959" s="173"/>
      <c r="D959" s="173"/>
      <c r="E959" s="173"/>
    </row>
    <row r="960" ht="15.75" customHeight="1">
      <c r="A960" s="176"/>
      <c r="B960" s="173"/>
      <c r="C960" s="173"/>
      <c r="D960" s="173"/>
      <c r="E960" s="173"/>
    </row>
    <row r="961" ht="15.75" customHeight="1">
      <c r="A961" s="176"/>
      <c r="B961" s="173"/>
      <c r="C961" s="173"/>
      <c r="D961" s="173"/>
      <c r="E961" s="173"/>
    </row>
    <row r="962" ht="15.75" customHeight="1">
      <c r="A962" s="176"/>
      <c r="B962" s="173"/>
      <c r="C962" s="173"/>
      <c r="D962" s="173"/>
      <c r="E962" s="173"/>
    </row>
    <row r="963" ht="15.75" customHeight="1">
      <c r="A963" s="176"/>
      <c r="B963" s="173"/>
      <c r="C963" s="173"/>
      <c r="D963" s="173"/>
      <c r="E963" s="173"/>
    </row>
    <row r="964" ht="15.75" customHeight="1">
      <c r="A964" s="176"/>
      <c r="B964" s="173"/>
      <c r="C964" s="173"/>
      <c r="D964" s="173"/>
      <c r="E964" s="173"/>
    </row>
    <row r="965" ht="15.75" customHeight="1">
      <c r="A965" s="176"/>
      <c r="B965" s="173"/>
      <c r="C965" s="173"/>
      <c r="D965" s="173"/>
      <c r="E965" s="173"/>
    </row>
    <row r="966" ht="15.75" customHeight="1">
      <c r="A966" s="176"/>
      <c r="B966" s="173"/>
      <c r="C966" s="173"/>
      <c r="D966" s="173"/>
      <c r="E966" s="173"/>
    </row>
    <row r="967" ht="15.75" customHeight="1">
      <c r="A967" s="176"/>
      <c r="B967" s="173"/>
      <c r="C967" s="173"/>
      <c r="D967" s="173"/>
      <c r="E967" s="173"/>
    </row>
    <row r="968" ht="15.75" customHeight="1">
      <c r="A968" s="176"/>
      <c r="B968" s="173"/>
      <c r="C968" s="173"/>
      <c r="D968" s="173"/>
      <c r="E968" s="173"/>
    </row>
    <row r="969" ht="15.75" customHeight="1">
      <c r="A969" s="176"/>
      <c r="B969" s="173"/>
      <c r="C969" s="173"/>
      <c r="D969" s="173"/>
      <c r="E969" s="173"/>
    </row>
    <row r="970" ht="15.75" customHeight="1">
      <c r="A970" s="176"/>
      <c r="B970" s="173"/>
      <c r="C970" s="173"/>
      <c r="D970" s="173"/>
      <c r="E970" s="173"/>
    </row>
    <row r="971" ht="15.75" customHeight="1">
      <c r="A971" s="176"/>
      <c r="B971" s="173"/>
      <c r="C971" s="173"/>
      <c r="D971" s="173"/>
      <c r="E971" s="173"/>
    </row>
    <row r="972" ht="15.75" customHeight="1">
      <c r="A972" s="176"/>
      <c r="B972" s="173"/>
      <c r="C972" s="173"/>
      <c r="D972" s="173"/>
      <c r="E972" s="173"/>
    </row>
    <row r="973" ht="15.75" customHeight="1">
      <c r="A973" s="176"/>
      <c r="B973" s="173"/>
      <c r="C973" s="173"/>
      <c r="D973" s="173"/>
      <c r="E973" s="173"/>
    </row>
    <row r="974" ht="15.75" customHeight="1">
      <c r="A974" s="176"/>
      <c r="B974" s="173"/>
      <c r="C974" s="173"/>
      <c r="D974" s="173"/>
      <c r="E974" s="173"/>
    </row>
    <row r="975" ht="15.75" customHeight="1">
      <c r="A975" s="176"/>
      <c r="B975" s="173"/>
      <c r="C975" s="173"/>
      <c r="D975" s="173"/>
      <c r="E975" s="173"/>
    </row>
    <row r="976" ht="15.75" customHeight="1">
      <c r="A976" s="176"/>
      <c r="B976" s="173"/>
      <c r="C976" s="173"/>
      <c r="D976" s="173"/>
      <c r="E976" s="173"/>
    </row>
    <row r="977" ht="15.75" customHeight="1">
      <c r="A977" s="176"/>
      <c r="B977" s="173"/>
      <c r="C977" s="173"/>
      <c r="D977" s="173"/>
      <c r="E977" s="173"/>
    </row>
    <row r="978" ht="15.75" customHeight="1">
      <c r="A978" s="176"/>
      <c r="B978" s="173"/>
      <c r="C978" s="173"/>
      <c r="D978" s="173"/>
      <c r="E978" s="173"/>
    </row>
    <row r="979" ht="15.75" customHeight="1">
      <c r="A979" s="176"/>
      <c r="B979" s="173"/>
      <c r="C979" s="173"/>
      <c r="D979" s="173"/>
      <c r="E979" s="173"/>
    </row>
    <row r="980" ht="15.75" customHeight="1">
      <c r="A980" s="176"/>
      <c r="B980" s="173"/>
      <c r="C980" s="173"/>
      <c r="D980" s="173"/>
      <c r="E980" s="173"/>
    </row>
    <row r="981" ht="15.75" customHeight="1">
      <c r="A981" s="176"/>
      <c r="B981" s="173"/>
      <c r="C981" s="173"/>
      <c r="D981" s="173"/>
      <c r="E981" s="173"/>
    </row>
    <row r="982" ht="15.75" customHeight="1">
      <c r="A982" s="176"/>
      <c r="B982" s="173"/>
      <c r="C982" s="173"/>
      <c r="D982" s="173"/>
      <c r="E982" s="173"/>
    </row>
    <row r="983" ht="15.75" customHeight="1">
      <c r="A983" s="176"/>
      <c r="B983" s="173"/>
      <c r="C983" s="173"/>
      <c r="D983" s="173"/>
      <c r="E983" s="173"/>
    </row>
    <row r="984" ht="15.75" customHeight="1">
      <c r="A984" s="176"/>
      <c r="B984" s="173"/>
      <c r="C984" s="173"/>
      <c r="D984" s="173"/>
      <c r="E984" s="173"/>
    </row>
    <row r="985" ht="15.75" customHeight="1">
      <c r="A985" s="176"/>
      <c r="B985" s="173"/>
      <c r="C985" s="173"/>
      <c r="D985" s="173"/>
      <c r="E985" s="173"/>
    </row>
    <row r="986" ht="15.75" customHeight="1">
      <c r="A986" s="176"/>
      <c r="B986" s="173"/>
      <c r="C986" s="173"/>
      <c r="D986" s="173"/>
      <c r="E986" s="173"/>
    </row>
    <row r="987" ht="15.75" customHeight="1">
      <c r="A987" s="176"/>
      <c r="B987" s="173"/>
      <c r="C987" s="173"/>
      <c r="D987" s="173"/>
      <c r="E987" s="173"/>
    </row>
    <row r="988" ht="15.75" customHeight="1">
      <c r="A988" s="176"/>
      <c r="B988" s="173"/>
      <c r="C988" s="173"/>
      <c r="D988" s="173"/>
      <c r="E988" s="173"/>
    </row>
    <row r="989" ht="15.75" customHeight="1">
      <c r="A989" s="176"/>
      <c r="B989" s="173"/>
      <c r="C989" s="173"/>
      <c r="D989" s="173"/>
      <c r="E989" s="173"/>
    </row>
    <row r="990" ht="15.75" customHeight="1">
      <c r="A990" s="176"/>
      <c r="B990" s="173"/>
      <c r="C990" s="173"/>
      <c r="D990" s="173"/>
      <c r="E990" s="173"/>
    </row>
    <row r="991" ht="15.75" customHeight="1">
      <c r="A991" s="176"/>
      <c r="B991" s="173"/>
      <c r="C991" s="173"/>
      <c r="D991" s="173"/>
      <c r="E991" s="173"/>
    </row>
    <row r="992" ht="15.75" customHeight="1">
      <c r="A992" s="176"/>
      <c r="B992" s="173"/>
      <c r="C992" s="173"/>
      <c r="D992" s="173"/>
      <c r="E992" s="173"/>
    </row>
    <row r="993" ht="15.75" customHeight="1">
      <c r="A993" s="176"/>
      <c r="B993" s="173"/>
      <c r="C993" s="173"/>
      <c r="D993" s="173"/>
      <c r="E993" s="173"/>
    </row>
    <row r="994" ht="15.75" customHeight="1">
      <c r="A994" s="176"/>
      <c r="B994" s="173"/>
      <c r="C994" s="173"/>
      <c r="D994" s="173"/>
      <c r="E994" s="173"/>
    </row>
    <row r="995" ht="15.75" customHeight="1">
      <c r="A995" s="176"/>
      <c r="B995" s="173"/>
      <c r="C995" s="173"/>
      <c r="D995" s="173"/>
      <c r="E995" s="173"/>
    </row>
    <row r="996" ht="15.75" customHeight="1">
      <c r="A996" s="176"/>
      <c r="B996" s="173"/>
      <c r="C996" s="173"/>
      <c r="D996" s="173"/>
      <c r="E996" s="173"/>
    </row>
    <row r="997" ht="15.75" customHeight="1">
      <c r="A997" s="176"/>
      <c r="B997" s="173"/>
      <c r="C997" s="173"/>
      <c r="D997" s="173"/>
      <c r="E997" s="173"/>
    </row>
    <row r="998" ht="15.75" customHeight="1">
      <c r="A998" s="176"/>
      <c r="B998" s="173"/>
      <c r="C998" s="173"/>
      <c r="D998" s="173"/>
      <c r="E998" s="173"/>
    </row>
    <row r="999" ht="15.75" customHeight="1">
      <c r="A999" s="176"/>
      <c r="B999" s="173"/>
      <c r="C999" s="173"/>
      <c r="D999" s="173"/>
      <c r="E999" s="173"/>
    </row>
    <row r="1000" ht="15.75" customHeight="1">
      <c r="A1000" s="176"/>
      <c r="B1000" s="173"/>
      <c r="C1000" s="173"/>
      <c r="D1000" s="173"/>
      <c r="E1000" s="173"/>
    </row>
  </sheetData>
  <autoFilter ref="$A$1:$F$69"/>
  <conditionalFormatting sqref="B2:B69">
    <cfRule type="cellIs" dxfId="0" priority="1" operator="lessThan">
      <formula>-0.0001</formula>
    </cfRule>
  </conditionalFormatting>
  <conditionalFormatting sqref="B2:B69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4.43" defaultRowHeight="15.0"/>
  <cols>
    <col customWidth="1" min="1" max="1" width="41.71"/>
    <col customWidth="1" min="2" max="2" width="10.71"/>
    <col customWidth="1" min="3" max="3" width="11.71"/>
    <col customWidth="1" min="4" max="4" width="14.43"/>
    <col customWidth="1" min="5" max="5" width="14.71"/>
    <col customWidth="1" min="6" max="6" width="15.43"/>
    <col customWidth="1" min="7" max="7" width="19.0"/>
    <col customWidth="1" min="8" max="8" width="14.43"/>
    <col customWidth="1" min="9" max="9" width="14.71"/>
    <col customWidth="1" min="10" max="10" width="15.43"/>
    <col customWidth="1" min="11" max="11" width="19.0"/>
    <col customWidth="1" min="12" max="26" width="22.43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81">
        <v>3622.0</v>
      </c>
      <c r="F3" s="181"/>
      <c r="G3" s="181"/>
      <c r="H3" s="182"/>
      <c r="I3" s="182">
        <v>17911.0</v>
      </c>
      <c r="J3" s="182">
        <v>200000.0</v>
      </c>
      <c r="K3" s="182"/>
    </row>
    <row r="4">
      <c r="A4" s="1" t="s">
        <v>16</v>
      </c>
      <c r="B4" s="1" t="s">
        <v>14</v>
      </c>
      <c r="C4" s="1" t="s">
        <v>15</v>
      </c>
      <c r="D4" s="181"/>
      <c r="E4" s="181"/>
      <c r="F4" s="181"/>
      <c r="G4" s="181"/>
      <c r="H4" s="182"/>
      <c r="I4" s="182"/>
      <c r="J4" s="182"/>
      <c r="K4" s="182"/>
    </row>
    <row r="5">
      <c r="A5" s="1" t="s">
        <v>17</v>
      </c>
      <c r="B5" s="1" t="s">
        <v>14</v>
      </c>
      <c r="C5" s="1" t="s">
        <v>15</v>
      </c>
      <c r="D5" s="181"/>
      <c r="E5" s="181"/>
      <c r="F5" s="181"/>
      <c r="G5" s="181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83"/>
      <c r="E6" s="183"/>
      <c r="F6" s="183"/>
      <c r="G6" s="183"/>
      <c r="H6" s="184"/>
      <c r="I6" s="184"/>
      <c r="J6" s="184"/>
      <c r="K6" s="184"/>
    </row>
    <row r="7">
      <c r="A7" s="1" t="s">
        <v>19</v>
      </c>
      <c r="B7" s="1" t="s">
        <v>14</v>
      </c>
      <c r="C7" s="1" t="s">
        <v>15</v>
      </c>
      <c r="D7" s="181"/>
      <c r="E7" s="181"/>
      <c r="F7" s="181"/>
      <c r="G7" s="181"/>
      <c r="H7" s="182"/>
      <c r="I7" s="182"/>
      <c r="J7" s="182"/>
      <c r="K7" s="182"/>
    </row>
    <row r="8">
      <c r="A8" s="24" t="s">
        <v>20</v>
      </c>
      <c r="B8" s="25"/>
      <c r="C8" s="25"/>
      <c r="D8" s="185">
        <f t="shared" ref="D8:K8" si="1">SUM(D3:D7)</f>
        <v>0</v>
      </c>
      <c r="E8" s="185">
        <f t="shared" si="1"/>
        <v>3622</v>
      </c>
      <c r="F8" s="185">
        <f t="shared" si="1"/>
        <v>0</v>
      </c>
      <c r="G8" s="185">
        <f t="shared" si="1"/>
        <v>0</v>
      </c>
      <c r="H8" s="185">
        <f t="shared" si="1"/>
        <v>0</v>
      </c>
      <c r="I8" s="185">
        <f t="shared" si="1"/>
        <v>17911</v>
      </c>
      <c r="J8" s="185">
        <f t="shared" si="1"/>
        <v>200000</v>
      </c>
      <c r="K8" s="185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7"/>
      <c r="I9" s="187"/>
      <c r="J9" s="187"/>
      <c r="K9" s="187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81"/>
      <c r="G11" s="181"/>
      <c r="H11" s="182"/>
      <c r="I11" s="182"/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/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81"/>
      <c r="G17" s="181"/>
      <c r="H17" s="182"/>
      <c r="I17" s="182"/>
      <c r="J17" s="182"/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81"/>
      <c r="G18" s="181"/>
      <c r="H18" s="182"/>
      <c r="I18" s="182"/>
      <c r="J18" s="182"/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4"/>
      <c r="I20" s="184"/>
      <c r="J20" s="184"/>
      <c r="K20" s="184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4"/>
      <c r="I21" s="184"/>
      <c r="J21" s="184"/>
      <c r="K21" s="184"/>
    </row>
    <row r="22" ht="15.75" customHeight="1">
      <c r="A22" s="24" t="s">
        <v>35</v>
      </c>
      <c r="B22" s="25"/>
      <c r="C22" s="25"/>
      <c r="D22" s="188">
        <f t="shared" ref="D22:K22" si="2">SUM(D9:D21)</f>
        <v>0</v>
      </c>
      <c r="E22" s="188">
        <f t="shared" si="2"/>
        <v>0</v>
      </c>
      <c r="F22" s="188">
        <f t="shared" si="2"/>
        <v>0</v>
      </c>
      <c r="G22" s="188">
        <f t="shared" si="2"/>
        <v>0</v>
      </c>
      <c r="H22" s="188">
        <f t="shared" si="2"/>
        <v>0</v>
      </c>
      <c r="I22" s="188">
        <f t="shared" si="2"/>
        <v>0</v>
      </c>
      <c r="J22" s="188">
        <f t="shared" si="2"/>
        <v>0</v>
      </c>
      <c r="K22" s="188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7"/>
      <c r="I23" s="187"/>
      <c r="J23" s="187"/>
      <c r="K23" s="187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/>
      <c r="G31" s="181"/>
      <c r="H31" s="182"/>
      <c r="I31" s="182"/>
      <c r="J31" s="182"/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/>
      <c r="K47" s="18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4"/>
      <c r="I54" s="184"/>
      <c r="J54" s="184"/>
      <c r="K54" s="184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4"/>
      <c r="I55" s="184"/>
      <c r="J55" s="184"/>
      <c r="K55" s="184"/>
    </row>
    <row r="56" ht="15.75" customHeight="1">
      <c r="A56" s="32" t="s">
        <v>72</v>
      </c>
      <c r="B56" s="25"/>
      <c r="C56" s="25"/>
      <c r="D56" s="188" t="str">
        <f t="shared" ref="D56:K56" si="3">SUM(D22:D58)</f>
        <v>#REF!</v>
      </c>
      <c r="E56" s="188" t="str">
        <f t="shared" si="3"/>
        <v>#REF!</v>
      </c>
      <c r="F56" s="188" t="str">
        <f t="shared" si="3"/>
        <v>#REF!</v>
      </c>
      <c r="G56" s="188" t="str">
        <f t="shared" si="3"/>
        <v>#REF!</v>
      </c>
      <c r="H56" s="188" t="str">
        <f t="shared" si="3"/>
        <v>#REF!</v>
      </c>
      <c r="I56" s="188" t="str">
        <f t="shared" si="3"/>
        <v>#REF!</v>
      </c>
      <c r="J56" s="188" t="str">
        <f t="shared" si="3"/>
        <v>#REF!</v>
      </c>
      <c r="K56" s="188" t="str">
        <f t="shared" si="3"/>
        <v>#REF!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/>
      <c r="G58" s="181"/>
      <c r="H58" s="182"/>
      <c r="I58" s="182"/>
      <c r="J58" s="182"/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/>
      <c r="I59" s="182"/>
      <c r="J59" s="182"/>
      <c r="K59" s="182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/>
      <c r="K60" s="182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/>
      <c r="K61" s="182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88">
        <f t="shared" ref="D66:K66" si="4">SUM(D23:D55)</f>
        <v>0</v>
      </c>
      <c r="E66" s="188">
        <f t="shared" si="4"/>
        <v>0</v>
      </c>
      <c r="F66" s="188">
        <f t="shared" si="4"/>
        <v>0</v>
      </c>
      <c r="G66" s="188">
        <f t="shared" si="4"/>
        <v>0</v>
      </c>
      <c r="H66" s="188">
        <f t="shared" si="4"/>
        <v>0</v>
      </c>
      <c r="I66" s="188">
        <f t="shared" si="4"/>
        <v>0</v>
      </c>
      <c r="J66" s="188">
        <f t="shared" si="4"/>
        <v>0</v>
      </c>
      <c r="K66" s="188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186"/>
      <c r="G67" s="186"/>
      <c r="H67" s="187"/>
      <c r="I67" s="187"/>
      <c r="J67" s="187"/>
      <c r="K67" s="187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/>
      <c r="F68" s="181"/>
      <c r="G68" s="181"/>
      <c r="H68" s="182"/>
      <c r="I68" s="182"/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181"/>
      <c r="G73" s="181"/>
      <c r="H73" s="182"/>
      <c r="I73" s="182"/>
      <c r="J73" s="182"/>
      <c r="K73" s="182"/>
    </row>
    <row r="74" ht="15.75" customHeight="1">
      <c r="A74" s="21" t="s">
        <v>93</v>
      </c>
      <c r="B74" s="21" t="s">
        <v>37</v>
      </c>
      <c r="C74" s="21" t="s">
        <v>87</v>
      </c>
      <c r="D74" s="183"/>
      <c r="E74" s="183"/>
      <c r="F74" s="183"/>
      <c r="G74" s="183"/>
      <c r="H74" s="184"/>
      <c r="I74" s="184"/>
      <c r="J74" s="184"/>
      <c r="K74" s="184"/>
    </row>
    <row r="75" ht="15.75" customHeight="1">
      <c r="A75" s="24" t="s">
        <v>94</v>
      </c>
      <c r="B75" s="25"/>
      <c r="C75" s="25"/>
      <c r="D75" s="189">
        <f t="shared" ref="D75:K75" si="5">SUM(D67:D74)</f>
        <v>0</v>
      </c>
      <c r="E75" s="189">
        <f t="shared" si="5"/>
        <v>0</v>
      </c>
      <c r="F75" s="189">
        <f t="shared" si="5"/>
        <v>0</v>
      </c>
      <c r="G75" s="189">
        <f t="shared" si="5"/>
        <v>0</v>
      </c>
      <c r="H75" s="189">
        <f t="shared" si="5"/>
        <v>0</v>
      </c>
      <c r="I75" s="189">
        <f t="shared" si="5"/>
        <v>0</v>
      </c>
      <c r="J75" s="189">
        <f t="shared" si="5"/>
        <v>0</v>
      </c>
      <c r="K75" s="189">
        <f t="shared" si="5"/>
        <v>0</v>
      </c>
    </row>
    <row r="76" ht="15.75" customHeight="1">
      <c r="A76" s="24" t="s">
        <v>95</v>
      </c>
      <c r="B76" s="25"/>
      <c r="C76" s="25"/>
      <c r="D76" s="190">
        <f t="shared" ref="D76:K76" si="6">D75+D66+D22+D8</f>
        <v>0</v>
      </c>
      <c r="E76" s="190">
        <f t="shared" si="6"/>
        <v>3622</v>
      </c>
      <c r="F76" s="190">
        <f t="shared" si="6"/>
        <v>0</v>
      </c>
      <c r="G76" s="190">
        <f t="shared" si="6"/>
        <v>0</v>
      </c>
      <c r="H76" s="190">
        <f t="shared" si="6"/>
        <v>0</v>
      </c>
      <c r="I76" s="190">
        <f t="shared" si="6"/>
        <v>17911</v>
      </c>
      <c r="J76" s="191">
        <f t="shared" si="6"/>
        <v>200000</v>
      </c>
      <c r="K76" s="191">
        <f t="shared" si="6"/>
        <v>0</v>
      </c>
    </row>
    <row r="77" ht="15.75" customHeight="1">
      <c r="A77" s="40"/>
      <c r="B77" s="40"/>
      <c r="C77" s="40"/>
      <c r="H77" s="16"/>
      <c r="I77" s="16"/>
      <c r="J77" s="16"/>
    </row>
    <row r="78" ht="15.75" customHeight="1">
      <c r="A78" s="40"/>
      <c r="B78" s="40"/>
      <c r="C78" s="40"/>
      <c r="F78" s="41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8" width="16.86"/>
    <col customWidth="1" min="9" max="9" width="15.14"/>
    <col customWidth="1" min="10" max="10" width="16.86"/>
    <col customWidth="1" min="11" max="11" width="19.0"/>
    <col customWidth="1" min="12" max="12" width="30.57"/>
    <col customWidth="1" min="13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>
        <f>6924535.48-494-182.29-D4-D6-D16-D51-D52-D55-D70-D74</f>
        <v>6000900.22</v>
      </c>
      <c r="E3" s="192">
        <f>192244.82-1689-E4-E5-E6-E16-E51-E52-E55-E70-E71-E74</f>
        <v>101061.03</v>
      </c>
      <c r="F3" s="192">
        <f>5255895.08-185743-F4-F16-F52</f>
        <v>3922647.5</v>
      </c>
      <c r="G3" s="192">
        <f>63594921.18-G4-G6-G16-G51-G52-G70</f>
        <v>58098918</v>
      </c>
      <c r="H3" s="182">
        <v>2090214.9400000004</v>
      </c>
      <c r="I3" s="182">
        <v>215084.96000000002</v>
      </c>
      <c r="J3" s="182">
        <v>4786190.43</v>
      </c>
      <c r="K3" s="182">
        <v>1.548246936E7</v>
      </c>
    </row>
    <row r="4">
      <c r="A4" s="1" t="s">
        <v>16</v>
      </c>
      <c r="B4" s="1" t="s">
        <v>14</v>
      </c>
      <c r="C4" s="1" t="s">
        <v>15</v>
      </c>
      <c r="D4" s="192">
        <v>312906.9</v>
      </c>
      <c r="E4" s="192">
        <v>6.36</v>
      </c>
      <c r="F4" s="192">
        <v>1021459.13</v>
      </c>
      <c r="G4" s="192">
        <v>2380417.93</v>
      </c>
      <c r="H4" s="182">
        <v>230490.4</v>
      </c>
      <c r="I4" s="182">
        <v>1479.1699999999998</v>
      </c>
      <c r="J4" s="182">
        <v>1621754.36</v>
      </c>
      <c r="K4" s="182">
        <v>1992484.25</v>
      </c>
      <c r="L4" s="41"/>
    </row>
    <row r="5">
      <c r="A5" s="1" t="s">
        <v>17</v>
      </c>
      <c r="B5" s="1" t="s">
        <v>14</v>
      </c>
      <c r="C5" s="1" t="s">
        <v>15</v>
      </c>
      <c r="D5" s="192"/>
      <c r="E5" s="192">
        <v>5083.76</v>
      </c>
      <c r="F5" s="192"/>
      <c r="G5" s="192"/>
      <c r="H5" s="182"/>
      <c r="I5" s="182"/>
      <c r="J5" s="182"/>
      <c r="K5" s="182"/>
      <c r="M5" s="41"/>
    </row>
    <row r="6">
      <c r="A6" s="21" t="s">
        <v>18</v>
      </c>
      <c r="B6" s="1" t="s">
        <v>14</v>
      </c>
      <c r="C6" s="21" t="s">
        <v>15</v>
      </c>
      <c r="D6" s="192">
        <v>97641.35</v>
      </c>
      <c r="E6" s="192">
        <v>3895.66</v>
      </c>
      <c r="F6" s="192"/>
      <c r="G6" s="192">
        <v>860814.44</v>
      </c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>
        <v>8288.55</v>
      </c>
      <c r="E7" s="192">
        <v>400.28</v>
      </c>
      <c r="F7" s="192">
        <v>12228.97</v>
      </c>
      <c r="G7" s="192">
        <v>53154.27</v>
      </c>
      <c r="H7" s="182">
        <v>39717.92</v>
      </c>
      <c r="I7" s="182">
        <v>0.0</v>
      </c>
      <c r="J7" s="182">
        <v>10547.45</v>
      </c>
      <c r="K7" s="182">
        <v>105819.08</v>
      </c>
    </row>
    <row r="8">
      <c r="A8" s="24" t="s">
        <v>20</v>
      </c>
      <c r="B8" s="25"/>
      <c r="C8" s="25"/>
      <c r="D8" s="193">
        <f t="shared" ref="D8:K8" si="1">SUM(D3:D7)</f>
        <v>6419737.02</v>
      </c>
      <c r="E8" s="193">
        <f t="shared" si="1"/>
        <v>110447.09</v>
      </c>
      <c r="F8" s="193">
        <f t="shared" si="1"/>
        <v>4956335.6</v>
      </c>
      <c r="G8" s="193">
        <f t="shared" si="1"/>
        <v>61393304.64</v>
      </c>
      <c r="H8" s="193">
        <f t="shared" si="1"/>
        <v>2360423.26</v>
      </c>
      <c r="I8" s="193">
        <f t="shared" si="1"/>
        <v>216564.13</v>
      </c>
      <c r="J8" s="193">
        <f t="shared" si="1"/>
        <v>6418492.24</v>
      </c>
      <c r="K8" s="193">
        <f t="shared" si="1"/>
        <v>17580772.69</v>
      </c>
    </row>
    <row r="9">
      <c r="A9" s="23" t="s">
        <v>21</v>
      </c>
      <c r="B9" s="1" t="s">
        <v>14</v>
      </c>
      <c r="C9" s="23" t="s">
        <v>22</v>
      </c>
      <c r="D9" s="186">
        <v>131.32</v>
      </c>
      <c r="E9" s="186">
        <v>27.63</v>
      </c>
      <c r="F9" s="186"/>
      <c r="G9" s="186"/>
      <c r="H9" s="182">
        <v>0.0</v>
      </c>
      <c r="I9" s="182">
        <v>81.89</v>
      </c>
      <c r="J9" s="182">
        <v>0.0</v>
      </c>
      <c r="K9" s="182">
        <v>0.0</v>
      </c>
    </row>
    <row r="10">
      <c r="A10" s="1" t="s">
        <v>23</v>
      </c>
      <c r="B10" s="1" t="s">
        <v>14</v>
      </c>
      <c r="C10" s="1" t="s">
        <v>22</v>
      </c>
      <c r="D10" s="181">
        <v>1943.89</v>
      </c>
      <c r="E10" s="181">
        <v>61206.19</v>
      </c>
      <c r="F10" s="181"/>
      <c r="G10" s="181">
        <v>132402.76</v>
      </c>
      <c r="H10" s="182">
        <v>154.65</v>
      </c>
      <c r="I10" s="182">
        <v>32.06999999999954</v>
      </c>
      <c r="J10" s="182">
        <v>140.94</v>
      </c>
      <c r="K10" s="182">
        <v>28980.24</v>
      </c>
    </row>
    <row r="11">
      <c r="A11" s="1" t="s">
        <v>24</v>
      </c>
      <c r="B11" s="1" t="s">
        <v>14</v>
      </c>
      <c r="C11" s="1" t="s">
        <v>22</v>
      </c>
      <c r="D11" s="192">
        <v>48456.72</v>
      </c>
      <c r="E11" s="192">
        <v>4067.32</v>
      </c>
      <c r="F11" s="192">
        <v>270264.07</v>
      </c>
      <c r="G11" s="192">
        <v>568183.63</v>
      </c>
      <c r="H11" s="182">
        <v>42168.06</v>
      </c>
      <c r="I11" s="182">
        <v>6126.11</v>
      </c>
      <c r="J11" s="182">
        <v>61433.76</v>
      </c>
      <c r="K11" s="182">
        <v>248424.95</v>
      </c>
      <c r="M11" s="194"/>
    </row>
    <row r="12">
      <c r="A12" s="1" t="s">
        <v>25</v>
      </c>
      <c r="B12" s="1" t="s">
        <v>14</v>
      </c>
      <c r="C12" s="1" t="s">
        <v>22</v>
      </c>
      <c r="D12" s="192">
        <v>225037.92</v>
      </c>
      <c r="E12" s="192">
        <v>5647.16</v>
      </c>
      <c r="F12" s="192">
        <v>146436.74</v>
      </c>
      <c r="G12" s="41">
        <v>604897.65</v>
      </c>
      <c r="H12" s="182">
        <v>138.45</v>
      </c>
      <c r="I12" s="182">
        <v>311.68</v>
      </c>
      <c r="J12" s="182">
        <v>0.0</v>
      </c>
      <c r="K12" s="182">
        <v>0.0</v>
      </c>
    </row>
    <row r="13">
      <c r="A13" s="1" t="s">
        <v>26</v>
      </c>
      <c r="B13" s="1" t="s">
        <v>14</v>
      </c>
      <c r="C13" s="1" t="s">
        <v>22</v>
      </c>
      <c r="D13" s="192">
        <v>51151.56</v>
      </c>
      <c r="E13" s="192">
        <v>3377.1</v>
      </c>
      <c r="F13" s="192"/>
      <c r="G13" s="192"/>
      <c r="H13" s="182">
        <v>0.0</v>
      </c>
      <c r="I13" s="182">
        <v>8901.28</v>
      </c>
      <c r="J13" s="182">
        <v>798884.86</v>
      </c>
      <c r="K13" s="182">
        <v>109652.72</v>
      </c>
    </row>
    <row r="14">
      <c r="A14" s="1" t="s">
        <v>27</v>
      </c>
      <c r="B14" s="1" t="s">
        <v>14</v>
      </c>
      <c r="C14" s="1" t="s">
        <v>22</v>
      </c>
      <c r="D14" s="192">
        <v>71952.85</v>
      </c>
      <c r="E14" s="192">
        <v>445.58</v>
      </c>
      <c r="F14" s="192">
        <v>246923.96</v>
      </c>
      <c r="G14" s="192">
        <v>605629.71</v>
      </c>
      <c r="H14" s="182">
        <v>341881.62000000005</v>
      </c>
      <c r="I14" s="182">
        <v>5124.63</v>
      </c>
      <c r="J14" s="182">
        <v>235598.40000000002</v>
      </c>
      <c r="K14" s="182">
        <v>1924359.06</v>
      </c>
    </row>
    <row r="15">
      <c r="A15" s="1" t="s">
        <v>28</v>
      </c>
      <c r="B15" s="1" t="s">
        <v>14</v>
      </c>
      <c r="C15" s="1" t="s">
        <v>22</v>
      </c>
      <c r="D15" s="192">
        <v>122818.49</v>
      </c>
      <c r="E15" s="192"/>
      <c r="F15" s="192">
        <v>266565.67</v>
      </c>
      <c r="G15" s="192">
        <v>113981.56</v>
      </c>
      <c r="H15" s="182">
        <v>23737.15</v>
      </c>
      <c r="I15" s="182">
        <v>0.0</v>
      </c>
      <c r="J15" s="182">
        <v>0.0</v>
      </c>
      <c r="K15" s="182">
        <v>0.0</v>
      </c>
    </row>
    <row r="16">
      <c r="A16" s="1" t="s">
        <v>29</v>
      </c>
      <c r="B16" s="1" t="s">
        <v>14</v>
      </c>
      <c r="C16" s="1" t="s">
        <v>22</v>
      </c>
      <c r="D16" s="192">
        <v>53589.36</v>
      </c>
      <c r="E16" s="192">
        <v>33615.1</v>
      </c>
      <c r="F16" s="192">
        <v>25369.24</v>
      </c>
      <c r="G16" s="192">
        <v>73591.56</v>
      </c>
      <c r="H16" s="182">
        <v>0.0</v>
      </c>
      <c r="I16" s="182">
        <v>10476.369999999999</v>
      </c>
      <c r="J16" s="182">
        <v>0.0</v>
      </c>
      <c r="K16" s="182">
        <v>0.0</v>
      </c>
    </row>
    <row r="17">
      <c r="A17" s="1" t="s">
        <v>30</v>
      </c>
      <c r="B17" s="1" t="s">
        <v>14</v>
      </c>
      <c r="C17" s="1" t="s">
        <v>22</v>
      </c>
      <c r="D17" s="192">
        <v>360259.23</v>
      </c>
      <c r="E17" s="192">
        <v>27249.55</v>
      </c>
      <c r="F17" s="192">
        <v>760570.96</v>
      </c>
      <c r="G17" s="192">
        <v>2974616.24</v>
      </c>
      <c r="H17" s="182">
        <v>402518.00999999983</v>
      </c>
      <c r="I17" s="182">
        <v>10104.72</v>
      </c>
      <c r="J17" s="182">
        <v>451327.8699999999</v>
      </c>
      <c r="K17" s="182">
        <v>1440527.4000000001</v>
      </c>
    </row>
    <row r="18">
      <c r="A18" s="1" t="s">
        <v>31</v>
      </c>
      <c r="B18" s="1" t="s">
        <v>14</v>
      </c>
      <c r="C18" s="1" t="s">
        <v>22</v>
      </c>
      <c r="D18" s="192">
        <v>341694.9</v>
      </c>
      <c r="E18" s="192">
        <v>13587.13</v>
      </c>
      <c r="F18" s="192">
        <v>1252462.59</v>
      </c>
      <c r="G18" s="192">
        <v>1804294.22</v>
      </c>
      <c r="H18" s="182">
        <v>31033.010000000002</v>
      </c>
      <c r="I18" s="182">
        <v>11014.215</v>
      </c>
      <c r="J18" s="182">
        <v>2115057.27</v>
      </c>
      <c r="K18" s="182">
        <v>0.0</v>
      </c>
    </row>
    <row r="19">
      <c r="A19" s="1" t="s">
        <v>32</v>
      </c>
      <c r="B19" s="1" t="s">
        <v>14</v>
      </c>
      <c r="C19" s="1" t="s">
        <v>22</v>
      </c>
      <c r="D19" s="192">
        <v>470.84</v>
      </c>
      <c r="E19" s="192"/>
      <c r="F19" s="192"/>
      <c r="G19" s="192"/>
      <c r="H19" s="182">
        <v>589.6</v>
      </c>
      <c r="I19" s="182">
        <v>0.0</v>
      </c>
      <c r="J19" s="182">
        <v>0.0</v>
      </c>
      <c r="K19" s="182">
        <v>0.0</v>
      </c>
    </row>
    <row r="20">
      <c r="A20" s="21" t="s">
        <v>33</v>
      </c>
      <c r="B20" s="1" t="s">
        <v>14</v>
      </c>
      <c r="C20" s="1" t="s">
        <v>22</v>
      </c>
      <c r="D20" s="192">
        <v>36232.36</v>
      </c>
      <c r="E20" s="192">
        <v>8429.59</v>
      </c>
      <c r="F20" s="192">
        <v>31348.8</v>
      </c>
      <c r="G20" s="192">
        <v>43942.64</v>
      </c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>
        <v>0.0</v>
      </c>
      <c r="I21" s="182">
        <v>1103.835</v>
      </c>
      <c r="J21" s="182">
        <v>0.0</v>
      </c>
      <c r="K21" s="182">
        <v>0.0</v>
      </c>
    </row>
    <row r="22" ht="15.75" customHeight="1">
      <c r="A22" s="24" t="s">
        <v>35</v>
      </c>
      <c r="B22" s="25"/>
      <c r="C22" s="25"/>
      <c r="D22" s="193">
        <f t="shared" ref="D22:K22" si="2">SUM(D9:D21)</f>
        <v>1313739.44</v>
      </c>
      <c r="E22" s="193">
        <f t="shared" si="2"/>
        <v>157652.35</v>
      </c>
      <c r="F22" s="193">
        <f t="shared" si="2"/>
        <v>2999942.03</v>
      </c>
      <c r="G22" s="193">
        <f t="shared" si="2"/>
        <v>6921539.97</v>
      </c>
      <c r="H22" s="193">
        <f t="shared" si="2"/>
        <v>842220.55</v>
      </c>
      <c r="I22" s="193">
        <f t="shared" si="2"/>
        <v>53276.8</v>
      </c>
      <c r="J22" s="193">
        <f t="shared" si="2"/>
        <v>3662443.1</v>
      </c>
      <c r="K22" s="193">
        <f t="shared" si="2"/>
        <v>3751944.37</v>
      </c>
    </row>
    <row r="23" ht="15.75" customHeight="1">
      <c r="A23" s="23" t="s">
        <v>36</v>
      </c>
      <c r="B23" s="23" t="s">
        <v>37</v>
      </c>
      <c r="C23" s="23" t="s">
        <v>38</v>
      </c>
      <c r="D23" s="186">
        <v>29103.72</v>
      </c>
      <c r="E23" s="186">
        <v>73.61</v>
      </c>
      <c r="F23" s="186"/>
      <c r="G23" s="186"/>
      <c r="H23" s="182">
        <v>280303.43</v>
      </c>
      <c r="I23" s="182">
        <v>26988.69</v>
      </c>
      <c r="J23" s="182">
        <v>441560.38</v>
      </c>
      <c r="K23" s="182">
        <v>1984371.54</v>
      </c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>
        <v>0.0</v>
      </c>
      <c r="I24" s="182">
        <v>0.0</v>
      </c>
      <c r="J24" s="182">
        <v>112.1</v>
      </c>
      <c r="K24" s="182">
        <v>0.0</v>
      </c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>
        <v>16.54</v>
      </c>
      <c r="F25" s="181"/>
      <c r="G25" s="181"/>
      <c r="H25" s="182">
        <v>10.98</v>
      </c>
      <c r="I25" s="182">
        <v>2961.52</v>
      </c>
      <c r="J25" s="182">
        <v>0.0</v>
      </c>
      <c r="K25" s="182">
        <v>0.0</v>
      </c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>
        <v>0.0</v>
      </c>
      <c r="I26" s="182">
        <v>0.0</v>
      </c>
      <c r="J26" s="182">
        <v>0.0</v>
      </c>
      <c r="K26" s="182">
        <v>0.0</v>
      </c>
    </row>
    <row r="27" ht="15.75" customHeight="1">
      <c r="A27" s="30" t="s">
        <v>41</v>
      </c>
      <c r="B27" s="1" t="s">
        <v>37</v>
      </c>
      <c r="C27" s="1" t="s">
        <v>38</v>
      </c>
      <c r="D27" s="181">
        <v>47882.27</v>
      </c>
      <c r="E27" s="181">
        <v>1374.55</v>
      </c>
      <c r="F27" s="181">
        <v>367199.37</v>
      </c>
      <c r="G27" s="181">
        <v>44652.98</v>
      </c>
      <c r="H27" s="182">
        <v>157923.23</v>
      </c>
      <c r="I27" s="182">
        <v>24511.199999999997</v>
      </c>
      <c r="J27" s="182">
        <v>686877.3999999999</v>
      </c>
      <c r="K27" s="182">
        <v>566013.75</v>
      </c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>
        <v>0.0</v>
      </c>
      <c r="I28" s="182">
        <v>0.0</v>
      </c>
      <c r="J28" s="182">
        <v>0.0</v>
      </c>
      <c r="K28" s="182">
        <v>0.0</v>
      </c>
    </row>
    <row r="29" ht="15.75" customHeight="1">
      <c r="A29" s="30" t="s">
        <v>43</v>
      </c>
      <c r="B29" s="1" t="s">
        <v>37</v>
      </c>
      <c r="C29" s="1" t="s">
        <v>38</v>
      </c>
      <c r="D29" s="181">
        <v>27454.89</v>
      </c>
      <c r="E29" s="181">
        <v>3457.78</v>
      </c>
      <c r="F29" s="181">
        <v>51702.77</v>
      </c>
      <c r="G29" s="181">
        <v>59103.61</v>
      </c>
      <c r="H29" s="182">
        <v>106811.95999999999</v>
      </c>
      <c r="I29" s="182">
        <v>4061.91</v>
      </c>
      <c r="J29" s="182">
        <v>7899.84</v>
      </c>
      <c r="K29" s="182">
        <v>264260.94</v>
      </c>
    </row>
    <row r="30" ht="15.75" customHeight="1">
      <c r="A30" s="1" t="s">
        <v>44</v>
      </c>
      <c r="B30" s="1" t="s">
        <v>37</v>
      </c>
      <c r="C30" s="1" t="s">
        <v>38</v>
      </c>
      <c r="D30" s="181">
        <v>455769.03</v>
      </c>
      <c r="E30" s="181">
        <v>54935.11</v>
      </c>
      <c r="F30" s="181">
        <v>1094828.16</v>
      </c>
      <c r="G30" s="181">
        <v>862390.64</v>
      </c>
      <c r="H30" s="182">
        <v>1336792.4199999992</v>
      </c>
      <c r="I30" s="182">
        <v>67048.40999999995</v>
      </c>
      <c r="J30" s="182">
        <v>841103.0599999999</v>
      </c>
      <c r="K30" s="182">
        <v>4600219.739999999</v>
      </c>
    </row>
    <row r="31" ht="15.75" customHeight="1">
      <c r="A31" s="1" t="s">
        <v>45</v>
      </c>
      <c r="B31" s="1" t="s">
        <v>37</v>
      </c>
      <c r="C31" s="1" t="s">
        <v>38</v>
      </c>
      <c r="D31" s="181">
        <v>511708.65</v>
      </c>
      <c r="E31" s="181">
        <v>24060.02</v>
      </c>
      <c r="F31" s="181"/>
      <c r="G31" s="181">
        <v>3446414.49</v>
      </c>
      <c r="H31" s="182">
        <v>109053.17</v>
      </c>
      <c r="I31" s="182">
        <v>7223.289999999999</v>
      </c>
      <c r="J31" s="182">
        <v>23057.9</v>
      </c>
      <c r="K31" s="182">
        <v>328621.15</v>
      </c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>
        <v>9.77</v>
      </c>
      <c r="F32" s="181"/>
      <c r="G32" s="181"/>
      <c r="H32" s="182">
        <v>0.0</v>
      </c>
      <c r="I32" s="182">
        <v>7.99</v>
      </c>
      <c r="J32" s="182">
        <v>0.0</v>
      </c>
      <c r="K32" s="182">
        <v>0.0</v>
      </c>
    </row>
    <row r="33" ht="15.75" customHeight="1">
      <c r="A33" s="1" t="s">
        <v>47</v>
      </c>
      <c r="B33" s="1" t="s">
        <v>37</v>
      </c>
      <c r="C33" s="1" t="s">
        <v>38</v>
      </c>
      <c r="D33" s="181">
        <v>39249.25</v>
      </c>
      <c r="E33" s="181"/>
      <c r="F33" s="181">
        <v>16172.88</v>
      </c>
      <c r="G33" s="181"/>
      <c r="H33" s="182">
        <v>1026.48</v>
      </c>
      <c r="I33" s="182">
        <v>3757.25</v>
      </c>
      <c r="J33" s="182">
        <v>0.0</v>
      </c>
      <c r="K33" s="182">
        <v>0.0</v>
      </c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>
        <v>0.0</v>
      </c>
      <c r="I34" s="182">
        <v>7.46</v>
      </c>
      <c r="J34" s="182">
        <v>0.0</v>
      </c>
      <c r="K34" s="182">
        <v>0.0</v>
      </c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>
        <v>0.0</v>
      </c>
      <c r="I35" s="182">
        <v>0.0</v>
      </c>
      <c r="J35" s="182">
        <v>0.0</v>
      </c>
      <c r="K35" s="182">
        <v>0.0</v>
      </c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>
        <v>212.74</v>
      </c>
      <c r="F36" s="181">
        <v>17621.79</v>
      </c>
      <c r="G36" s="181"/>
      <c r="H36" s="182">
        <v>1719.12</v>
      </c>
      <c r="I36" s="182">
        <v>396.4200000000001</v>
      </c>
      <c r="J36" s="182">
        <v>35661.28</v>
      </c>
      <c r="K36" s="182">
        <v>0.0</v>
      </c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>
        <v>5074.01</v>
      </c>
      <c r="I37" s="182">
        <v>2399.63</v>
      </c>
      <c r="J37" s="182">
        <v>0.0</v>
      </c>
      <c r="K37" s="182">
        <v>0.0</v>
      </c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>
        <v>0.0</v>
      </c>
      <c r="I38" s="182">
        <v>0.0</v>
      </c>
      <c r="J38" s="182">
        <v>0.0</v>
      </c>
      <c r="K38" s="182">
        <v>0.0</v>
      </c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>
        <v>0.0</v>
      </c>
      <c r="I39" s="182">
        <v>0.0</v>
      </c>
      <c r="J39" s="182">
        <v>0.0</v>
      </c>
      <c r="K39" s="182">
        <v>0.0</v>
      </c>
    </row>
    <row r="40" ht="15.75" customHeight="1">
      <c r="A40" s="1" t="s">
        <v>54</v>
      </c>
      <c r="B40" s="1" t="s">
        <v>37</v>
      </c>
      <c r="C40" s="1" t="s">
        <v>38</v>
      </c>
      <c r="D40" s="181">
        <v>23585.8</v>
      </c>
      <c r="E40" s="181">
        <v>2614.0</v>
      </c>
      <c r="F40" s="181">
        <v>246259.19</v>
      </c>
      <c r="G40" s="181">
        <v>230013.85</v>
      </c>
      <c r="H40" s="182">
        <v>8544.09</v>
      </c>
      <c r="I40" s="182">
        <v>760.75</v>
      </c>
      <c r="J40" s="182">
        <v>0.0</v>
      </c>
      <c r="K40" s="182">
        <v>0.0</v>
      </c>
    </row>
    <row r="41" ht="15.75" customHeight="1">
      <c r="A41" s="1" t="s">
        <v>69</v>
      </c>
      <c r="B41" s="1" t="s">
        <v>66</v>
      </c>
      <c r="C41" s="1" t="s">
        <v>38</v>
      </c>
      <c r="D41" s="181">
        <v>30045.09</v>
      </c>
      <c r="E41" s="181">
        <v>10877.9</v>
      </c>
      <c r="F41" s="181"/>
      <c r="G41" s="181"/>
      <c r="H41" s="182">
        <v>0.0</v>
      </c>
      <c r="I41" s="182">
        <v>0.0</v>
      </c>
      <c r="J41" s="182">
        <v>0.0</v>
      </c>
      <c r="K41" s="182">
        <v>0.0</v>
      </c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>
        <v>126.32</v>
      </c>
      <c r="I42" s="182">
        <v>0.0</v>
      </c>
      <c r="J42" s="182">
        <v>0.0</v>
      </c>
      <c r="K42" s="182">
        <v>0.0</v>
      </c>
    </row>
    <row r="43" ht="15.75" customHeight="1">
      <c r="A43" s="30" t="s">
        <v>55</v>
      </c>
      <c r="B43" s="1" t="s">
        <v>37</v>
      </c>
      <c r="C43" s="1" t="s">
        <v>38</v>
      </c>
      <c r="D43" s="181">
        <v>182817.06</v>
      </c>
      <c r="E43" s="181"/>
      <c r="F43" s="41">
        <v>148526.84</v>
      </c>
      <c r="G43" s="181">
        <v>945488.33</v>
      </c>
      <c r="H43" s="182">
        <v>90085.16</v>
      </c>
      <c r="I43" s="182">
        <v>0.0</v>
      </c>
      <c r="J43" s="182">
        <v>0.0</v>
      </c>
      <c r="K43" s="182">
        <v>527920.0499999999</v>
      </c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>
        <v>0.0</v>
      </c>
      <c r="I44" s="182">
        <v>0.0</v>
      </c>
      <c r="J44" s="182">
        <v>0.0</v>
      </c>
      <c r="K44" s="182">
        <v>0.0</v>
      </c>
    </row>
    <row r="45" ht="15.75" customHeight="1">
      <c r="A45" s="1" t="s">
        <v>57</v>
      </c>
      <c r="B45" s="1" t="s">
        <v>37</v>
      </c>
      <c r="C45" s="1" t="s">
        <v>38</v>
      </c>
      <c r="D45" s="181">
        <v>43.21</v>
      </c>
      <c r="E45" s="181">
        <v>622.02</v>
      </c>
      <c r="F45" s="181"/>
      <c r="G45" s="181">
        <v>42925.26</v>
      </c>
      <c r="H45" s="182">
        <v>0.0</v>
      </c>
      <c r="I45" s="182">
        <v>121.72000000000003</v>
      </c>
      <c r="J45" s="182">
        <v>0.0</v>
      </c>
      <c r="K45" s="182">
        <v>0.0</v>
      </c>
    </row>
    <row r="46" ht="15.75" customHeight="1">
      <c r="A46" s="1" t="s">
        <v>67</v>
      </c>
      <c r="B46" s="1" t="s">
        <v>66</v>
      </c>
      <c r="C46" s="1" t="s">
        <v>38</v>
      </c>
      <c r="D46" s="192"/>
      <c r="E46" s="192"/>
      <c r="F46" s="192"/>
      <c r="G46" s="192"/>
      <c r="H46" s="182">
        <v>0.0</v>
      </c>
      <c r="I46" s="182">
        <v>0.0</v>
      </c>
      <c r="J46" s="182">
        <v>0.0</v>
      </c>
      <c r="K46" s="182">
        <v>0.0</v>
      </c>
    </row>
    <row r="47" ht="15.75" customHeight="1">
      <c r="A47" s="1" t="s">
        <v>68</v>
      </c>
      <c r="B47" s="1" t="s">
        <v>66</v>
      </c>
      <c r="C47" s="1" t="s">
        <v>38</v>
      </c>
      <c r="D47" s="192"/>
      <c r="E47" s="192"/>
      <c r="F47" s="192"/>
      <c r="G47" s="192"/>
      <c r="H47" s="182">
        <v>11.43</v>
      </c>
      <c r="I47" s="182">
        <v>42.25</v>
      </c>
      <c r="J47" s="182">
        <v>0.0</v>
      </c>
      <c r="K47" s="182">
        <v>0.0</v>
      </c>
    </row>
    <row r="48" ht="15.75" customHeight="1">
      <c r="A48" s="1" t="s">
        <v>58</v>
      </c>
      <c r="B48" s="1" t="s">
        <v>37</v>
      </c>
      <c r="C48" s="1" t="s">
        <v>38</v>
      </c>
      <c r="D48" s="192"/>
      <c r="E48" s="192"/>
      <c r="F48" s="192"/>
      <c r="G48" s="192"/>
      <c r="H48" s="182">
        <v>0.0</v>
      </c>
      <c r="I48" s="182">
        <v>0.0</v>
      </c>
      <c r="J48" s="182">
        <v>0.0</v>
      </c>
      <c r="K48" s="182">
        <v>0.0</v>
      </c>
    </row>
    <row r="49" ht="15.75" customHeight="1">
      <c r="A49" s="1" t="s">
        <v>59</v>
      </c>
      <c r="B49" s="1" t="s">
        <v>37</v>
      </c>
      <c r="C49" s="1" t="s">
        <v>38</v>
      </c>
      <c r="D49" s="192">
        <v>924.4</v>
      </c>
      <c r="E49" s="192"/>
      <c r="F49" s="192">
        <v>20960.69</v>
      </c>
      <c r="G49" s="192"/>
      <c r="H49" s="182">
        <v>14012.16</v>
      </c>
      <c r="I49" s="182">
        <v>470.67</v>
      </c>
      <c r="J49" s="182">
        <v>250696.53</v>
      </c>
      <c r="K49" s="182">
        <v>0.0</v>
      </c>
    </row>
    <row r="50" ht="15.75" customHeight="1">
      <c r="A50" s="1" t="s">
        <v>60</v>
      </c>
      <c r="B50" s="1" t="s">
        <v>37</v>
      </c>
      <c r="C50" s="1" t="s">
        <v>38</v>
      </c>
      <c r="D50" s="192">
        <v>41367.79</v>
      </c>
      <c r="E50" s="192">
        <v>4022.72</v>
      </c>
      <c r="F50" s="192">
        <v>29055.12</v>
      </c>
      <c r="G50" s="192">
        <v>371302.28</v>
      </c>
      <c r="H50" s="182">
        <v>28295.08</v>
      </c>
      <c r="I50" s="182">
        <v>2084.41</v>
      </c>
      <c r="J50" s="182">
        <v>150945.15</v>
      </c>
      <c r="K50" s="182">
        <v>517245.9</v>
      </c>
    </row>
    <row r="51" ht="15.75" customHeight="1">
      <c r="A51" s="1" t="s">
        <v>61</v>
      </c>
      <c r="B51" s="1" t="s">
        <v>37</v>
      </c>
      <c r="C51" s="1" t="s">
        <v>38</v>
      </c>
      <c r="D51" s="192">
        <v>23762.05</v>
      </c>
      <c r="E51" s="192">
        <v>16130.25</v>
      </c>
      <c r="F51" s="192"/>
      <c r="G51" s="192">
        <v>140806.86</v>
      </c>
      <c r="H51" s="182">
        <v>99308.09</v>
      </c>
      <c r="I51" s="182">
        <v>760.75</v>
      </c>
      <c r="J51" s="182">
        <v>18377.04</v>
      </c>
      <c r="K51" s="182">
        <v>0.0</v>
      </c>
    </row>
    <row r="52" ht="15.75" customHeight="1">
      <c r="A52" s="1" t="s">
        <v>62</v>
      </c>
      <c r="B52" s="1" t="s">
        <v>37</v>
      </c>
      <c r="C52" s="1" t="s">
        <v>38</v>
      </c>
      <c r="D52" s="192">
        <v>74214.8</v>
      </c>
      <c r="E52" s="192">
        <v>726.24</v>
      </c>
      <c r="F52" s="192">
        <v>100676.21</v>
      </c>
      <c r="G52" s="192">
        <v>123963.14</v>
      </c>
      <c r="H52" s="182">
        <v>89067.06999999998</v>
      </c>
      <c r="I52" s="182">
        <v>6244.399999999999</v>
      </c>
      <c r="J52" s="182">
        <v>160393.97</v>
      </c>
      <c r="K52" s="182">
        <v>1357285.18</v>
      </c>
    </row>
    <row r="53" ht="15.75" customHeight="1">
      <c r="A53" s="1" t="s">
        <v>63</v>
      </c>
      <c r="B53" s="1" t="s">
        <v>37</v>
      </c>
      <c r="C53" s="1" t="s">
        <v>38</v>
      </c>
      <c r="D53" s="192"/>
      <c r="E53" s="192"/>
      <c r="F53" s="192"/>
      <c r="G53" s="192"/>
      <c r="H53" s="182">
        <v>0.0</v>
      </c>
      <c r="I53" s="182">
        <v>1043.0</v>
      </c>
      <c r="J53" s="182">
        <v>0.0</v>
      </c>
      <c r="K53" s="182">
        <v>0.0</v>
      </c>
    </row>
    <row r="54" ht="15.75" customHeight="1">
      <c r="A54" s="1" t="s">
        <v>70</v>
      </c>
      <c r="B54" s="1" t="s">
        <v>14</v>
      </c>
      <c r="C54" s="23" t="s">
        <v>38</v>
      </c>
      <c r="D54" s="192"/>
      <c r="E54" s="192"/>
      <c r="F54" s="192"/>
      <c r="G54" s="192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92">
        <v>129942.0</v>
      </c>
      <c r="E55" s="192">
        <v>1769.9</v>
      </c>
      <c r="F55" s="192"/>
      <c r="G55" s="192"/>
      <c r="H55" s="182">
        <v>17437.71</v>
      </c>
      <c r="I55" s="182">
        <v>0.0</v>
      </c>
      <c r="J55" s="182">
        <v>0.0</v>
      </c>
      <c r="K55" s="182">
        <v>0.0</v>
      </c>
    </row>
    <row r="56" ht="15.75" customHeight="1">
      <c r="A56" s="32" t="s">
        <v>72</v>
      </c>
      <c r="B56" s="25"/>
      <c r="C56" s="25"/>
      <c r="D56" s="193">
        <f t="shared" ref="D56:K56" si="3">SUM(D23:D55)</f>
        <v>1617870.01</v>
      </c>
      <c r="E56" s="193">
        <f t="shared" si="3"/>
        <v>120903.15</v>
      </c>
      <c r="F56" s="193">
        <f t="shared" si="3"/>
        <v>2093003.02</v>
      </c>
      <c r="G56" s="193">
        <f t="shared" si="3"/>
        <v>6267061.44</v>
      </c>
      <c r="H56" s="193">
        <f t="shared" si="3"/>
        <v>2345601.91</v>
      </c>
      <c r="I56" s="193">
        <f t="shared" si="3"/>
        <v>150891.72</v>
      </c>
      <c r="J56" s="193">
        <f t="shared" si="3"/>
        <v>2616684.65</v>
      </c>
      <c r="K56" s="193">
        <f t="shared" si="3"/>
        <v>10145938.25</v>
      </c>
    </row>
    <row r="57" ht="15.75" customHeight="1">
      <c r="A57" s="30" t="s">
        <v>77</v>
      </c>
      <c r="B57" s="1" t="s">
        <v>74</v>
      </c>
      <c r="C57" s="1" t="s">
        <v>38</v>
      </c>
      <c r="D57" s="181">
        <v>91933.31</v>
      </c>
      <c r="E57" s="181">
        <v>3666.27</v>
      </c>
      <c r="F57" s="181">
        <v>974618.66</v>
      </c>
      <c r="G57" s="181">
        <v>415550.44</v>
      </c>
      <c r="H57" s="182">
        <v>58739.55000000001</v>
      </c>
      <c r="I57" s="182">
        <v>6947.120000000001</v>
      </c>
      <c r="J57" s="182">
        <v>1455447.2099999997</v>
      </c>
      <c r="K57" s="182">
        <v>117153.66999999998</v>
      </c>
    </row>
    <row r="58" ht="15.75" customHeight="1">
      <c r="A58" s="1" t="s">
        <v>78</v>
      </c>
      <c r="B58" s="1" t="s">
        <v>74</v>
      </c>
      <c r="C58" s="1" t="s">
        <v>38</v>
      </c>
      <c r="D58" s="181">
        <v>621657.26</v>
      </c>
      <c r="E58" s="181">
        <v>13025.36</v>
      </c>
      <c r="F58" s="181">
        <v>2643758.4</v>
      </c>
      <c r="G58" s="181">
        <v>2114823.06</v>
      </c>
      <c r="H58" s="182">
        <v>631712.5799999998</v>
      </c>
      <c r="I58" s="182">
        <v>4249.87</v>
      </c>
      <c r="J58" s="182">
        <v>846120.38</v>
      </c>
      <c r="K58" s="182">
        <v>1783081.6400000001</v>
      </c>
    </row>
    <row r="59" ht="15.75" customHeight="1">
      <c r="A59" s="1" t="s">
        <v>76</v>
      </c>
      <c r="B59" s="1" t="s">
        <v>74</v>
      </c>
      <c r="C59" s="1" t="s">
        <v>38</v>
      </c>
      <c r="D59" s="181">
        <v>21760.11</v>
      </c>
      <c r="E59" s="181">
        <v>10976.5</v>
      </c>
      <c r="F59" s="181"/>
      <c r="G59" s="181"/>
      <c r="H59" s="182">
        <v>5158.27</v>
      </c>
      <c r="I59" s="182">
        <v>527.66</v>
      </c>
      <c r="J59" s="182">
        <v>1020.95</v>
      </c>
      <c r="K59" s="182">
        <v>0.0</v>
      </c>
      <c r="L59" s="195"/>
    </row>
    <row r="60" ht="15.75" customHeight="1">
      <c r="A60" s="1" t="s">
        <v>73</v>
      </c>
      <c r="B60" s="1" t="s">
        <v>74</v>
      </c>
      <c r="C60" s="1" t="s">
        <v>38</v>
      </c>
      <c r="D60" s="181">
        <v>68824.19</v>
      </c>
      <c r="E60" s="181"/>
      <c r="F60" s="181">
        <v>584.49</v>
      </c>
      <c r="G60" s="181"/>
      <c r="H60" s="182">
        <v>52827.28999999999</v>
      </c>
      <c r="I60" s="182">
        <v>2470.26</v>
      </c>
      <c r="J60" s="182">
        <v>137563.8</v>
      </c>
      <c r="K60" s="182">
        <v>0.0</v>
      </c>
      <c r="L60" s="195"/>
    </row>
    <row r="61" ht="15.75" customHeight="1">
      <c r="A61" s="23" t="s">
        <v>75</v>
      </c>
      <c r="B61" s="23" t="s">
        <v>74</v>
      </c>
      <c r="C61" s="23" t="s">
        <v>38</v>
      </c>
      <c r="D61" s="181">
        <v>488531.88</v>
      </c>
      <c r="E61" s="181">
        <v>29220.41</v>
      </c>
      <c r="F61" s="181">
        <v>2083497.31</v>
      </c>
      <c r="G61" s="181">
        <v>4331481.64</v>
      </c>
      <c r="H61" s="182">
        <v>642924.22</v>
      </c>
      <c r="I61" s="182">
        <v>4078.1099999999997</v>
      </c>
      <c r="J61" s="182">
        <v>768427.0</v>
      </c>
      <c r="K61" s="182">
        <v>1238655.1199999999</v>
      </c>
      <c r="L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>
        <v>0.0</v>
      </c>
      <c r="I62" s="182">
        <v>0.0</v>
      </c>
      <c r="J62" s="182">
        <v>0.0</v>
      </c>
      <c r="K62" s="182">
        <v>0.0</v>
      </c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>
        <v>194836.13</v>
      </c>
      <c r="E64" s="181">
        <v>604.54</v>
      </c>
      <c r="F64" s="181"/>
      <c r="G64" s="181">
        <v>643683.07</v>
      </c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>
        <v>136758.07</v>
      </c>
      <c r="E65" s="181">
        <v>3399.79</v>
      </c>
      <c r="F65" s="181">
        <v>392982.39</v>
      </c>
      <c r="G65" s="181">
        <v>825422.16</v>
      </c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1624300.95</v>
      </c>
      <c r="E66" s="193">
        <f t="shared" si="4"/>
        <v>60892.87</v>
      </c>
      <c r="F66" s="193">
        <f t="shared" si="4"/>
        <v>6095441.25</v>
      </c>
      <c r="G66" s="193">
        <f t="shared" si="4"/>
        <v>8330960.37</v>
      </c>
      <c r="H66" s="193">
        <f t="shared" si="4"/>
        <v>1391361.91</v>
      </c>
      <c r="I66" s="193">
        <f t="shared" si="4"/>
        <v>18273.02</v>
      </c>
      <c r="J66" s="193">
        <f t="shared" si="4"/>
        <v>3208579.34</v>
      </c>
      <c r="K66" s="193">
        <f t="shared" si="4"/>
        <v>3138890.43</v>
      </c>
    </row>
    <row r="67" ht="15.75" customHeight="1">
      <c r="A67" s="23" t="s">
        <v>84</v>
      </c>
      <c r="B67" s="1" t="s">
        <v>14</v>
      </c>
      <c r="C67" s="23" t="s">
        <v>85</v>
      </c>
      <c r="D67" s="192">
        <f>327692.13+494</f>
        <v>328186.13</v>
      </c>
      <c r="E67" s="192">
        <f>7130+1689</f>
        <v>8819</v>
      </c>
      <c r="F67" s="192">
        <f>2433170.54+185743</f>
        <v>2618913.54</v>
      </c>
      <c r="G67" s="192">
        <v>2546391.06</v>
      </c>
      <c r="H67" s="182">
        <v>107992.44000000002</v>
      </c>
      <c r="I67" s="182">
        <v>4851.060000000001</v>
      </c>
      <c r="J67" s="182">
        <v>438717.02</v>
      </c>
      <c r="K67" s="182">
        <v>117267.98</v>
      </c>
      <c r="L67" s="41"/>
    </row>
    <row r="68" ht="15.75" customHeight="1">
      <c r="A68" s="30" t="s">
        <v>86</v>
      </c>
      <c r="B68" s="1" t="s">
        <v>37</v>
      </c>
      <c r="C68" s="1" t="s">
        <v>87</v>
      </c>
      <c r="D68" s="192">
        <v>1420947.3</v>
      </c>
      <c r="E68" s="192">
        <v>134052.77</v>
      </c>
      <c r="F68" s="192">
        <v>3481241.78</v>
      </c>
      <c r="G68" s="192">
        <v>7733751.65</v>
      </c>
      <c r="H68" s="182">
        <v>1010968.26</v>
      </c>
      <c r="I68" s="182">
        <v>42066.790000000015</v>
      </c>
      <c r="J68" s="182">
        <v>1434631.18</v>
      </c>
      <c r="K68" s="182">
        <v>5865839.71</v>
      </c>
    </row>
    <row r="69" ht="15.75" customHeight="1">
      <c r="A69" s="1" t="s">
        <v>88</v>
      </c>
      <c r="B69" s="1" t="s">
        <v>14</v>
      </c>
      <c r="C69" s="1" t="s">
        <v>87</v>
      </c>
      <c r="D69" s="192">
        <f>1083.2+182.29</f>
        <v>1265.49</v>
      </c>
      <c r="E69" s="192">
        <v>1534.55</v>
      </c>
      <c r="F69" s="192"/>
      <c r="G69" s="192"/>
      <c r="H69" s="182">
        <v>74811.84999999998</v>
      </c>
      <c r="I69" s="182">
        <v>1753.3</v>
      </c>
      <c r="J69" s="182">
        <v>0.0</v>
      </c>
      <c r="K69" s="182">
        <v>791095.68</v>
      </c>
    </row>
    <row r="70" ht="15.75" customHeight="1">
      <c r="A70" s="1" t="s">
        <v>89</v>
      </c>
      <c r="B70" s="1" t="s">
        <v>37</v>
      </c>
      <c r="C70" s="1" t="s">
        <v>87</v>
      </c>
      <c r="D70" s="192">
        <v>157590.19</v>
      </c>
      <c r="E70" s="192">
        <v>184.5</v>
      </c>
      <c r="F70" s="192"/>
      <c r="G70" s="192">
        <v>1916409.25</v>
      </c>
      <c r="H70" s="182">
        <v>0.0</v>
      </c>
      <c r="I70" s="182">
        <v>0.0</v>
      </c>
      <c r="J70" s="182">
        <v>0.0</v>
      </c>
      <c r="K70" s="182">
        <v>0.0</v>
      </c>
    </row>
    <row r="71" ht="15.75" customHeight="1">
      <c r="A71" s="1" t="s">
        <v>90</v>
      </c>
      <c r="B71" s="1" t="s">
        <v>37</v>
      </c>
      <c r="C71" s="1" t="s">
        <v>87</v>
      </c>
      <c r="D71" s="192"/>
      <c r="E71" s="192">
        <v>20880.99</v>
      </c>
      <c r="F71" s="192"/>
      <c r="G71" s="192"/>
      <c r="H71" s="182">
        <v>0.0</v>
      </c>
      <c r="I71" s="182">
        <v>0.0</v>
      </c>
      <c r="J71" s="182">
        <v>0.0</v>
      </c>
      <c r="K71" s="182">
        <v>0.0</v>
      </c>
    </row>
    <row r="72" ht="15.75" customHeight="1">
      <c r="A72" s="1" t="s">
        <v>91</v>
      </c>
      <c r="B72" s="1" t="s">
        <v>37</v>
      </c>
      <c r="C72" s="1" t="s">
        <v>87</v>
      </c>
      <c r="D72" s="192">
        <v>568279.58</v>
      </c>
      <c r="E72" s="192">
        <v>40466.64</v>
      </c>
      <c r="F72" s="192">
        <v>4405564.22</v>
      </c>
      <c r="G72" s="192">
        <v>5007503.44</v>
      </c>
      <c r="H72" s="182">
        <v>229844.65000000002</v>
      </c>
      <c r="I72" s="182">
        <v>30501.260000000002</v>
      </c>
      <c r="J72" s="182">
        <v>2553567.3099999996</v>
      </c>
      <c r="K72" s="182">
        <v>2413890.43</v>
      </c>
    </row>
    <row r="73" ht="15.75" customHeight="1">
      <c r="A73" s="126" t="s">
        <v>92</v>
      </c>
      <c r="B73" s="1" t="s">
        <v>37</v>
      </c>
      <c r="C73" s="1" t="s">
        <v>87</v>
      </c>
      <c r="D73" s="192">
        <v>1531335.07</v>
      </c>
      <c r="E73" s="192">
        <v>25863.12</v>
      </c>
      <c r="F73" s="192">
        <v>1.277047869E7</v>
      </c>
      <c r="G73" s="192">
        <v>1.251169018E7</v>
      </c>
      <c r="H73" s="182">
        <v>1094750.45</v>
      </c>
      <c r="I73" s="182">
        <v>19831.21</v>
      </c>
      <c r="J73" s="182">
        <v>5258836.59</v>
      </c>
      <c r="K73" s="182">
        <v>6453588.23</v>
      </c>
    </row>
    <row r="74" ht="15.75" customHeight="1">
      <c r="A74" s="1" t="s">
        <v>93</v>
      </c>
      <c r="B74" s="1" t="s">
        <v>37</v>
      </c>
      <c r="C74" s="1" t="s">
        <v>87</v>
      </c>
      <c r="D74" s="192">
        <v>73312.32</v>
      </c>
      <c r="E74" s="192">
        <v>7202.03</v>
      </c>
      <c r="F74" s="192"/>
      <c r="G74" s="192"/>
      <c r="H74" s="182">
        <v>0.0</v>
      </c>
      <c r="I74" s="182">
        <v>1543.88</v>
      </c>
      <c r="J74" s="182">
        <v>0.0</v>
      </c>
      <c r="K74" s="182">
        <v>0.0</v>
      </c>
    </row>
    <row r="75" ht="15.75" customHeight="1">
      <c r="A75" s="196" t="s">
        <v>94</v>
      </c>
      <c r="B75" s="197"/>
      <c r="C75" s="197"/>
      <c r="D75" s="198">
        <f t="shared" ref="D75:K75" si="5">SUM(D67:D74)</f>
        <v>4080916.08</v>
      </c>
      <c r="E75" s="198">
        <f t="shared" si="5"/>
        <v>239003.6</v>
      </c>
      <c r="F75" s="198">
        <f t="shared" si="5"/>
        <v>23276198.23</v>
      </c>
      <c r="G75" s="198">
        <f t="shared" si="5"/>
        <v>29715745.58</v>
      </c>
      <c r="H75" s="198">
        <f t="shared" si="5"/>
        <v>2518367.65</v>
      </c>
      <c r="I75" s="198">
        <f t="shared" si="5"/>
        <v>100547.5</v>
      </c>
      <c r="J75" s="198">
        <f t="shared" si="5"/>
        <v>9685752.1</v>
      </c>
      <c r="K75" s="198">
        <f t="shared" si="5"/>
        <v>15641682.03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15056563.5</v>
      </c>
      <c r="E76" s="189">
        <f t="shared" si="6"/>
        <v>688899.06</v>
      </c>
      <c r="F76" s="189">
        <f t="shared" si="6"/>
        <v>39420920.13</v>
      </c>
      <c r="G76" s="189">
        <f t="shared" si="6"/>
        <v>112628612</v>
      </c>
      <c r="H76" s="189">
        <f t="shared" si="6"/>
        <v>9457975.28</v>
      </c>
      <c r="I76" s="189">
        <f t="shared" si="6"/>
        <v>539553.17</v>
      </c>
      <c r="J76" s="189">
        <f t="shared" si="6"/>
        <v>25591951.43</v>
      </c>
      <c r="K76" s="189">
        <f t="shared" si="6"/>
        <v>50259227.77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D78" s="41"/>
      <c r="E78" s="41"/>
      <c r="F78" s="41"/>
      <c r="G78" s="41"/>
      <c r="H78" s="10"/>
      <c r="I78" s="10"/>
      <c r="J78" s="10"/>
    </row>
    <row r="79" ht="15.75" customHeight="1">
      <c r="A79" s="40"/>
      <c r="B79" s="40"/>
      <c r="C79" s="40"/>
      <c r="F79" s="41"/>
      <c r="G79" s="41"/>
      <c r="H79" s="10"/>
      <c r="I79" s="10"/>
      <c r="J79" s="10"/>
    </row>
    <row r="80" ht="15.75" customHeight="1">
      <c r="A80" s="40"/>
      <c r="B80" s="40"/>
      <c r="C80" s="40"/>
      <c r="E80" s="41"/>
      <c r="F80" s="41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8" width="16.86"/>
    <col customWidth="1" min="9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>
        <f>423472.864977036-D4-D5-D6</f>
        <v>465783.702</v>
      </c>
      <c r="E3" s="192">
        <f>58170.5929974618-E4-E5-E6-E69-E70</f>
        <v>54541.21946</v>
      </c>
      <c r="F3" s="192">
        <f>-44003.6928234209-F4</f>
        <v>-56239.90999</v>
      </c>
      <c r="G3" s="192">
        <f>-4074218+78708-G4-G6</f>
        <v>-3864800.47</v>
      </c>
      <c r="H3" s="182">
        <v>473857.163331026</v>
      </c>
      <c r="I3" s="182">
        <v>144259.3415143432</v>
      </c>
      <c r="J3" s="182">
        <v>21149.323918158487</v>
      </c>
      <c r="K3" s="182">
        <v>2931071.94</v>
      </c>
    </row>
    <row r="4">
      <c r="A4" s="1" t="s">
        <v>16</v>
      </c>
      <c r="B4" s="1" t="s">
        <v>14</v>
      </c>
      <c r="C4" s="1" t="s">
        <v>15</v>
      </c>
      <c r="D4" s="192">
        <v>64993.83191617187</v>
      </c>
      <c r="E4" s="192">
        <v>3944.946216462347</v>
      </c>
      <c r="F4" s="192">
        <v>12236.21716287215</v>
      </c>
      <c r="G4" s="192">
        <v>-5103.53</v>
      </c>
      <c r="H4" s="182">
        <v>47854.89329240036</v>
      </c>
      <c r="I4" s="182">
        <v>3678.605422241518</v>
      </c>
      <c r="J4" s="182">
        <v>0.0</v>
      </c>
      <c r="K4" s="182">
        <v>566732.81</v>
      </c>
    </row>
    <row r="5">
      <c r="A5" s="1" t="s">
        <v>17</v>
      </c>
      <c r="B5" s="1" t="s">
        <v>14</v>
      </c>
      <c r="C5" s="1" t="s">
        <v>15</v>
      </c>
      <c r="D5" s="192">
        <v>0.0</v>
      </c>
      <c r="E5" s="192">
        <v>2050.936160464093</v>
      </c>
      <c r="F5" s="192"/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99">
        <v>-107304.66895951908</v>
      </c>
      <c r="E6" s="199">
        <v>1763.57749169632</v>
      </c>
      <c r="F6" s="199">
        <v>0.0</v>
      </c>
      <c r="G6" s="199">
        <v>-125606.0</v>
      </c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/>
      <c r="E7" s="192"/>
      <c r="F7" s="192"/>
      <c r="G7" s="192"/>
      <c r="H7" s="182">
        <v>0.0</v>
      </c>
      <c r="I7" s="182">
        <v>0.0</v>
      </c>
      <c r="J7" s="182">
        <v>0.0</v>
      </c>
      <c r="K7" s="182">
        <v>0.0</v>
      </c>
    </row>
    <row r="8">
      <c r="A8" s="24" t="s">
        <v>20</v>
      </c>
      <c r="B8" s="25"/>
      <c r="C8" s="25"/>
      <c r="D8" s="193">
        <f t="shared" ref="D8:K8" si="1">SUM(D3:D7)</f>
        <v>423472.865</v>
      </c>
      <c r="E8" s="193">
        <f t="shared" si="1"/>
        <v>62300.67933</v>
      </c>
      <c r="F8" s="193">
        <f t="shared" si="1"/>
        <v>-44003.69282</v>
      </c>
      <c r="G8" s="193">
        <f t="shared" si="1"/>
        <v>-3995510</v>
      </c>
      <c r="H8" s="193">
        <f t="shared" si="1"/>
        <v>521712.0566</v>
      </c>
      <c r="I8" s="193">
        <f t="shared" si="1"/>
        <v>147937.9469</v>
      </c>
      <c r="J8" s="193">
        <f t="shared" si="1"/>
        <v>21149.32392</v>
      </c>
      <c r="K8" s="193">
        <f t="shared" si="1"/>
        <v>3497804.75</v>
      </c>
    </row>
    <row r="9">
      <c r="A9" s="23" t="s">
        <v>21</v>
      </c>
      <c r="B9" s="1" t="s">
        <v>14</v>
      </c>
      <c r="C9" s="23" t="s">
        <v>22</v>
      </c>
      <c r="D9" s="186">
        <v>37842.62499158271</v>
      </c>
      <c r="E9" s="186">
        <v>0.0</v>
      </c>
      <c r="F9" s="186">
        <v>0.0</v>
      </c>
      <c r="G9" s="195">
        <v>-111611.0</v>
      </c>
      <c r="H9" s="182">
        <v>2710.6846193182355</v>
      </c>
      <c r="I9" s="182">
        <v>0.0</v>
      </c>
      <c r="J9" s="182">
        <v>0.0</v>
      </c>
      <c r="K9" s="182">
        <v>-41153.03</v>
      </c>
    </row>
    <row r="10">
      <c r="A10" s="1" t="s">
        <v>23</v>
      </c>
      <c r="B10" s="1" t="s">
        <v>14</v>
      </c>
      <c r="C10" s="1" t="s">
        <v>22</v>
      </c>
      <c r="D10" s="181">
        <v>604979.7506521508</v>
      </c>
      <c r="E10" s="181">
        <v>375591.46227825806</v>
      </c>
      <c r="F10" s="181">
        <v>9079.640221366026</v>
      </c>
      <c r="G10" s="181">
        <v>979681.0</v>
      </c>
      <c r="H10" s="182">
        <v>419167.0803927442</v>
      </c>
      <c r="I10" s="182">
        <v>28076.781889467467</v>
      </c>
      <c r="J10" s="182">
        <v>86304.8114369741</v>
      </c>
      <c r="K10" s="182">
        <v>103065.27</v>
      </c>
    </row>
    <row r="11">
      <c r="A11" s="1" t="s">
        <v>24</v>
      </c>
      <c r="B11" s="1" t="s">
        <v>14</v>
      </c>
      <c r="C11" s="1" t="s">
        <v>22</v>
      </c>
      <c r="D11" s="181">
        <v>91346.25380681954</v>
      </c>
      <c r="E11" s="181">
        <v>21427.45115861955</v>
      </c>
      <c r="F11" s="181">
        <v>467675.4126672343</v>
      </c>
      <c r="G11" s="181">
        <v>-492811.0</v>
      </c>
      <c r="H11" s="182">
        <v>126369.10383904626</v>
      </c>
      <c r="I11" s="182">
        <v>48446.430801096845</v>
      </c>
      <c r="J11" s="182">
        <v>130965.255010664</v>
      </c>
      <c r="K11" s="182">
        <v>-625080.6600000001</v>
      </c>
    </row>
    <row r="12">
      <c r="A12" s="1" t="s">
        <v>25</v>
      </c>
      <c r="B12" s="1" t="s">
        <v>14</v>
      </c>
      <c r="C12" s="1" t="s">
        <v>22</v>
      </c>
      <c r="D12" s="181">
        <v>472.3470198675496</v>
      </c>
      <c r="E12" s="181">
        <v>0.0</v>
      </c>
      <c r="F12" s="181">
        <v>0.0</v>
      </c>
      <c r="G12" s="181"/>
      <c r="H12" s="182">
        <v>0.0</v>
      </c>
      <c r="I12" s="182">
        <v>0.0</v>
      </c>
      <c r="J12" s="182">
        <v>0.0</v>
      </c>
      <c r="K12" s="182">
        <v>-233653.23</v>
      </c>
    </row>
    <row r="13">
      <c r="A13" s="1" t="s">
        <v>26</v>
      </c>
      <c r="B13" s="1" t="s">
        <v>14</v>
      </c>
      <c r="C13" s="1" t="s">
        <v>22</v>
      </c>
      <c r="D13" s="181">
        <v>0.0</v>
      </c>
      <c r="E13" s="181">
        <v>86.20967305681422</v>
      </c>
      <c r="F13" s="181">
        <v>0.0</v>
      </c>
      <c r="G13" s="181"/>
      <c r="H13" s="182">
        <v>0.0</v>
      </c>
      <c r="I13" s="182">
        <v>4677.311313085143</v>
      </c>
      <c r="J13" s="182">
        <v>0.0</v>
      </c>
      <c r="K13" s="182">
        <v>0.0</v>
      </c>
    </row>
    <row r="14">
      <c r="A14" s="1" t="s">
        <v>27</v>
      </c>
      <c r="B14" s="1" t="s">
        <v>14</v>
      </c>
      <c r="C14" s="1" t="s">
        <v>22</v>
      </c>
      <c r="D14" s="181">
        <v>17162.64684748151</v>
      </c>
      <c r="E14" s="181">
        <v>0.0</v>
      </c>
      <c r="F14" s="181">
        <v>0.0</v>
      </c>
      <c r="G14" s="181">
        <v>-645825.0</v>
      </c>
      <c r="H14" s="182">
        <v>986.610578573064</v>
      </c>
      <c r="I14" s="182">
        <v>18029.250279803357</v>
      </c>
      <c r="J14" s="182">
        <v>-37242.65298644192</v>
      </c>
      <c r="K14" s="182">
        <v>-853383.0700000001</v>
      </c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>
        <v>0.0</v>
      </c>
      <c r="I15" s="182">
        <v>552.0850492927561</v>
      </c>
      <c r="J15" s="182">
        <v>0.0</v>
      </c>
      <c r="K15" s="182">
        <v>0.0</v>
      </c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>
        <v>0.0</v>
      </c>
      <c r="I16" s="182">
        <v>0.0</v>
      </c>
      <c r="J16" s="182">
        <v>0.0</v>
      </c>
      <c r="K16" s="182">
        <v>0.0</v>
      </c>
    </row>
    <row r="17">
      <c r="A17" s="1" t="s">
        <v>30</v>
      </c>
      <c r="B17" s="1" t="s">
        <v>14</v>
      </c>
      <c r="C17" s="1" t="s">
        <v>22</v>
      </c>
      <c r="D17" s="181">
        <v>84874.52703934477</v>
      </c>
      <c r="E17" s="181">
        <v>54397.49513885162</v>
      </c>
      <c r="F17" s="181">
        <v>51176.85995254191</v>
      </c>
      <c r="G17" s="181">
        <v>-1182248.0</v>
      </c>
      <c r="H17" s="182">
        <v>63625.47628188963</v>
      </c>
      <c r="I17" s="182">
        <v>93222.45915358923</v>
      </c>
      <c r="J17" s="182">
        <v>0.0</v>
      </c>
      <c r="K17" s="182">
        <v>561446.1299999999</v>
      </c>
    </row>
    <row r="18">
      <c r="A18" s="1" t="s">
        <v>31</v>
      </c>
      <c r="B18" s="1" t="s">
        <v>14</v>
      </c>
      <c r="C18" s="1" t="s">
        <v>22</v>
      </c>
      <c r="D18" s="181">
        <v>106321.5843591987</v>
      </c>
      <c r="E18" s="181">
        <v>16622.75007578852</v>
      </c>
      <c r="F18" s="181">
        <v>732750.3412536187</v>
      </c>
      <c r="G18" s="181">
        <f>151623-190732</f>
        <v>-39109</v>
      </c>
      <c r="H18" s="182">
        <v>111427.64952913806</v>
      </c>
      <c r="I18" s="182">
        <v>62758.500767578436</v>
      </c>
      <c r="J18" s="182">
        <v>858484.9214768414</v>
      </c>
      <c r="K18" s="182">
        <v>-891029.53</v>
      </c>
    </row>
    <row r="19">
      <c r="A19" s="1" t="s">
        <v>32</v>
      </c>
      <c r="B19" s="1" t="s">
        <v>14</v>
      </c>
      <c r="C19" s="1" t="s">
        <v>22</v>
      </c>
      <c r="D19" s="181">
        <v>8219.923603502626</v>
      </c>
      <c r="E19" s="181">
        <v>9451.813565115099</v>
      </c>
      <c r="F19" s="181">
        <v>0.0</v>
      </c>
      <c r="G19" s="181">
        <v>-190731.895</v>
      </c>
      <c r="H19" s="182">
        <v>689.8940749279537</v>
      </c>
      <c r="I19" s="182">
        <v>7819.65692527504</v>
      </c>
      <c r="J19" s="182">
        <v>0.0</v>
      </c>
      <c r="K19" s="182">
        <v>0.0</v>
      </c>
    </row>
    <row r="20">
      <c r="A20" s="21" t="s">
        <v>33</v>
      </c>
      <c r="B20" s="1" t="s">
        <v>14</v>
      </c>
      <c r="C20" s="1" t="s">
        <v>22</v>
      </c>
      <c r="D20" s="183">
        <v>29604.2177483591</v>
      </c>
      <c r="E20" s="183">
        <v>0.0</v>
      </c>
      <c r="F20" s="183">
        <v>0.0</v>
      </c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>
        <v>0.0</v>
      </c>
      <c r="I21" s="182">
        <v>2438.221848835548</v>
      </c>
      <c r="J21" s="182">
        <v>0.0</v>
      </c>
      <c r="K21" s="182">
        <v>0.0</v>
      </c>
    </row>
    <row r="22" ht="15.75" customHeight="1">
      <c r="A22" s="24" t="s">
        <v>35</v>
      </c>
      <c r="B22" s="25"/>
      <c r="C22" s="25"/>
      <c r="D22" s="193">
        <f t="shared" ref="D22:K22" si="2">SUM(D9:D21)</f>
        <v>980823.8761</v>
      </c>
      <c r="E22" s="193">
        <f t="shared" si="2"/>
        <v>477577.1819</v>
      </c>
      <c r="F22" s="193">
        <f t="shared" si="2"/>
        <v>1260682.254</v>
      </c>
      <c r="G22" s="193">
        <f t="shared" si="2"/>
        <v>-1682654.895</v>
      </c>
      <c r="H22" s="193">
        <f t="shared" si="2"/>
        <v>724976.4993</v>
      </c>
      <c r="I22" s="193">
        <f t="shared" si="2"/>
        <v>266020.698</v>
      </c>
      <c r="J22" s="193">
        <f t="shared" si="2"/>
        <v>1038512.335</v>
      </c>
      <c r="K22" s="193">
        <f t="shared" si="2"/>
        <v>-1979788.12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>
        <v>-10355.32677338816</v>
      </c>
      <c r="I23" s="182">
        <v>554.5232781675733</v>
      </c>
      <c r="J23" s="182">
        <v>0.0</v>
      </c>
      <c r="K23" s="182">
        <v>0.0</v>
      </c>
    </row>
    <row r="24" ht="15.75" customHeight="1">
      <c r="A24" s="30" t="s">
        <v>39</v>
      </c>
      <c r="B24" s="1" t="s">
        <v>37</v>
      </c>
      <c r="C24" s="1" t="s">
        <v>38</v>
      </c>
      <c r="D24" s="181">
        <v>0.0</v>
      </c>
      <c r="E24" s="181">
        <v>3083.808349023465</v>
      </c>
      <c r="F24" s="181">
        <v>0.0</v>
      </c>
      <c r="G24" s="181">
        <v>-11711.17</v>
      </c>
      <c r="H24" s="182">
        <v>-1762.099103401667</v>
      </c>
      <c r="I24" s="182">
        <v>0.0</v>
      </c>
      <c r="J24" s="182">
        <v>0.0</v>
      </c>
      <c r="K24" s="182">
        <v>-1062917.76</v>
      </c>
    </row>
    <row r="25" ht="15.75" customHeight="1">
      <c r="A25" s="30" t="s">
        <v>40</v>
      </c>
      <c r="B25" s="1" t="s">
        <v>37</v>
      </c>
      <c r="C25" s="1" t="s">
        <v>38</v>
      </c>
      <c r="D25" s="181">
        <v>28190.67325139153</v>
      </c>
      <c r="E25" s="181">
        <v>926.8840340319568</v>
      </c>
      <c r="F25" s="181">
        <v>3976.649296051708</v>
      </c>
      <c r="G25" s="181">
        <v>-14017.99</v>
      </c>
      <c r="H25" s="182">
        <v>14108.554601010059</v>
      </c>
      <c r="I25" s="182">
        <v>9045.95880013607</v>
      </c>
      <c r="J25" s="182">
        <v>42827.77151614238</v>
      </c>
      <c r="K25" s="182">
        <v>-5866.459999999999</v>
      </c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>
        <v>0.0</v>
      </c>
      <c r="I26" s="182">
        <v>0.0</v>
      </c>
      <c r="J26" s="182">
        <v>0.0</v>
      </c>
      <c r="K26" s="182">
        <v>0.0</v>
      </c>
    </row>
    <row r="27" ht="15.75" customHeight="1">
      <c r="A27" s="30" t="s">
        <v>41</v>
      </c>
      <c r="B27" s="1" t="s">
        <v>37</v>
      </c>
      <c r="C27" s="1" t="s">
        <v>38</v>
      </c>
      <c r="D27" s="181">
        <v>39137.03234004046</v>
      </c>
      <c r="E27" s="181">
        <v>0.0</v>
      </c>
      <c r="F27" s="181">
        <v>0.0</v>
      </c>
      <c r="G27" s="181"/>
      <c r="H27" s="182">
        <v>0.0</v>
      </c>
      <c r="I27" s="182">
        <v>0.0</v>
      </c>
      <c r="J27" s="182">
        <v>0.0</v>
      </c>
      <c r="K27" s="182">
        <v>-316054.63</v>
      </c>
    </row>
    <row r="28" ht="15.75" customHeight="1">
      <c r="A28" s="30" t="s">
        <v>42</v>
      </c>
      <c r="B28" s="1" t="s">
        <v>37</v>
      </c>
      <c r="C28" s="1" t="s">
        <v>38</v>
      </c>
      <c r="D28" s="181">
        <v>102321.9269465256</v>
      </c>
      <c r="E28" s="181">
        <v>58156.03452856106</v>
      </c>
      <c r="F28" s="181">
        <v>592.2923731909513</v>
      </c>
      <c r="G28" s="181">
        <v>190698.0</v>
      </c>
      <c r="H28" s="182">
        <v>-1242.842334592217</v>
      </c>
      <c r="I28" s="182">
        <v>4873.24405677781</v>
      </c>
      <c r="J28" s="182">
        <v>1149.683869004492</v>
      </c>
      <c r="K28" s="182">
        <v>-202711.06</v>
      </c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>
        <v>0.0</v>
      </c>
      <c r="I29" s="182">
        <v>0.0</v>
      </c>
      <c r="J29" s="182">
        <v>0.0</v>
      </c>
      <c r="K29" s="182">
        <v>0.0</v>
      </c>
    </row>
    <row r="30" ht="15.75" customHeight="1">
      <c r="A30" s="1" t="s">
        <v>44</v>
      </c>
      <c r="B30" s="1" t="s">
        <v>37</v>
      </c>
      <c r="C30" s="1" t="s">
        <v>38</v>
      </c>
      <c r="D30" s="181">
        <v>25999.99697970617</v>
      </c>
      <c r="E30" s="181">
        <v>0.0</v>
      </c>
      <c r="F30" s="181">
        <v>0.0</v>
      </c>
      <c r="G30" s="181">
        <v>83007.68</v>
      </c>
      <c r="H30" s="182">
        <v>2703.305530259367</v>
      </c>
      <c r="I30" s="182">
        <v>0.0</v>
      </c>
      <c r="J30" s="182">
        <v>0.0</v>
      </c>
      <c r="K30" s="182">
        <v>-482691.81</v>
      </c>
    </row>
    <row r="31" ht="15.75" customHeight="1">
      <c r="A31" s="1" t="s">
        <v>45</v>
      </c>
      <c r="B31" s="1" t="s">
        <v>37</v>
      </c>
      <c r="C31" s="1" t="s">
        <v>38</v>
      </c>
      <c r="D31" s="181">
        <v>13346.695131770075</v>
      </c>
      <c r="E31" s="181">
        <v>23967.057810199898</v>
      </c>
      <c r="F31" s="181">
        <v>0.0</v>
      </c>
      <c r="G31" s="181">
        <v>-1755866.0</v>
      </c>
      <c r="H31" s="182">
        <v>11150.60160215793</v>
      </c>
      <c r="I31" s="182">
        <v>27593.60352396477</v>
      </c>
      <c r="J31" s="182">
        <v>0.0</v>
      </c>
      <c r="K31" s="182">
        <v>-193883.53999999998</v>
      </c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>
        <v>0.0</v>
      </c>
      <c r="I32" s="182">
        <v>0.0</v>
      </c>
      <c r="J32" s="182">
        <v>0.0</v>
      </c>
      <c r="K32" s="182">
        <v>0.0</v>
      </c>
    </row>
    <row r="33" ht="15.75" customHeight="1">
      <c r="A33" s="1" t="s">
        <v>47</v>
      </c>
      <c r="B33" s="1" t="s">
        <v>37</v>
      </c>
      <c r="C33" s="1" t="s">
        <v>38</v>
      </c>
      <c r="D33" s="181">
        <v>1804.57691577482</v>
      </c>
      <c r="E33" s="181">
        <v>3983.229866852563</v>
      </c>
      <c r="F33" s="181">
        <v>29412.80360923589</v>
      </c>
      <c r="G33" s="181">
        <v>14254.46</v>
      </c>
      <c r="H33" s="182">
        <v>-33056.63305766171</v>
      </c>
      <c r="I33" s="182">
        <v>1107.074376339477</v>
      </c>
      <c r="J33" s="182">
        <v>66156.55851321615</v>
      </c>
      <c r="K33" s="182">
        <v>0.0</v>
      </c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>
        <v>0.0</v>
      </c>
      <c r="I34" s="182">
        <v>0.0</v>
      </c>
      <c r="J34" s="182">
        <v>0.0</v>
      </c>
      <c r="K34" s="182">
        <v>0.0</v>
      </c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>
        <v>0.0</v>
      </c>
      <c r="I35" s="182">
        <v>0.0</v>
      </c>
      <c r="J35" s="182">
        <v>0.0</v>
      </c>
      <c r="K35" s="182">
        <v>0.0</v>
      </c>
    </row>
    <row r="36" ht="15.75" customHeight="1">
      <c r="A36" s="30" t="s">
        <v>50</v>
      </c>
      <c r="B36" s="1" t="s">
        <v>37</v>
      </c>
      <c r="C36" s="1" t="s">
        <v>38</v>
      </c>
      <c r="D36" s="181">
        <v>1882975.5690769358</v>
      </c>
      <c r="E36" s="181">
        <v>269835.29288136325</v>
      </c>
      <c r="F36" s="181">
        <v>2750631.586482455</v>
      </c>
      <c r="G36" s="181">
        <v>2952942.0</v>
      </c>
      <c r="H36" s="182">
        <v>1923932.4485276104</v>
      </c>
      <c r="I36" s="182">
        <v>418900.4255922363</v>
      </c>
      <c r="J36" s="182">
        <v>5706623.677844268</v>
      </c>
      <c r="K36" s="182">
        <v>1.5649166470000006E7</v>
      </c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>
        <v>0.0</v>
      </c>
      <c r="I37" s="182">
        <v>0.0</v>
      </c>
      <c r="J37" s="182">
        <v>0.0</v>
      </c>
      <c r="K37" s="182">
        <v>0.0</v>
      </c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>
        <v>0.0</v>
      </c>
      <c r="I38" s="182">
        <v>0.0</v>
      </c>
      <c r="J38" s="182">
        <v>0.0</v>
      </c>
      <c r="K38" s="182">
        <v>0.0</v>
      </c>
    </row>
    <row r="39" ht="15.75" customHeight="1">
      <c r="A39" s="1" t="s">
        <v>53</v>
      </c>
      <c r="B39" s="1" t="s">
        <v>37</v>
      </c>
      <c r="C39" s="1" t="s">
        <v>38</v>
      </c>
      <c r="D39" s="181">
        <v>63754.87965427345</v>
      </c>
      <c r="E39" s="181">
        <v>0.0</v>
      </c>
      <c r="F39" s="181">
        <v>0.0</v>
      </c>
      <c r="G39" s="181"/>
      <c r="H39" s="182">
        <v>-20390.74684798857</v>
      </c>
      <c r="I39" s="182">
        <v>0.0</v>
      </c>
      <c r="J39" s="182">
        <v>0.0</v>
      </c>
      <c r="K39" s="182">
        <v>623322.27</v>
      </c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>
        <v>-1499.234031513375</v>
      </c>
      <c r="I40" s="182">
        <v>0.0</v>
      </c>
      <c r="J40" s="182">
        <v>0.0</v>
      </c>
      <c r="K40" s="182">
        <v>0.0</v>
      </c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>
        <v>0.0</v>
      </c>
      <c r="I41" s="182">
        <v>0.0</v>
      </c>
      <c r="J41" s="182">
        <v>0.0</v>
      </c>
      <c r="K41" s="182">
        <v>-52867.72</v>
      </c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>
        <v>0.0</v>
      </c>
      <c r="I42" s="182">
        <v>0.0</v>
      </c>
      <c r="J42" s="182">
        <v>0.0</v>
      </c>
      <c r="K42" s="182">
        <v>0.0</v>
      </c>
    </row>
    <row r="43" ht="15.75" customHeight="1">
      <c r="A43" s="30" t="s">
        <v>55</v>
      </c>
      <c r="B43" s="1" t="s">
        <v>37</v>
      </c>
      <c r="C43" s="1" t="s">
        <v>38</v>
      </c>
      <c r="D43" s="195">
        <v>206234.2907920775</v>
      </c>
      <c r="E43" s="195">
        <v>23340.08024073089</v>
      </c>
      <c r="F43" s="195">
        <v>686432.6272685942</v>
      </c>
      <c r="G43" s="181">
        <v>650780.0</v>
      </c>
      <c r="H43" s="182">
        <v>231867.5497566429</v>
      </c>
      <c r="I43" s="182">
        <v>32841.196811179325</v>
      </c>
      <c r="J43" s="182">
        <v>449736.1003164249</v>
      </c>
      <c r="K43" s="182">
        <v>3109130.219999999</v>
      </c>
    </row>
    <row r="44" ht="15.75" customHeight="1">
      <c r="A44" s="1" t="s">
        <v>56</v>
      </c>
      <c r="B44" s="1" t="s">
        <v>37</v>
      </c>
      <c r="C44" s="1" t="s">
        <v>38</v>
      </c>
      <c r="D44" s="181">
        <v>0.0</v>
      </c>
      <c r="E44" s="181">
        <v>5261.708730321991</v>
      </c>
      <c r="F44" s="181">
        <v>0.0</v>
      </c>
      <c r="G44" s="181"/>
      <c r="H44" s="182">
        <v>0.0</v>
      </c>
      <c r="I44" s="182">
        <v>0.0</v>
      </c>
      <c r="J44" s="182">
        <v>0.0</v>
      </c>
      <c r="K44" s="182">
        <v>-36599.060000000005</v>
      </c>
    </row>
    <row r="45" ht="15.75" customHeight="1">
      <c r="A45" s="1" t="s">
        <v>57</v>
      </c>
      <c r="B45" s="1" t="s">
        <v>37</v>
      </c>
      <c r="C45" s="1" t="s">
        <v>38</v>
      </c>
      <c r="D45" s="181">
        <v>1889.302520490368</v>
      </c>
      <c r="E45" s="181">
        <v>13654.384535201401</v>
      </c>
      <c r="F45" s="181">
        <v>0.0</v>
      </c>
      <c r="G45" s="181">
        <v>-601281.25</v>
      </c>
      <c r="H45" s="182">
        <v>0.0</v>
      </c>
      <c r="I45" s="182">
        <v>0.0</v>
      </c>
      <c r="J45" s="182">
        <v>0.0</v>
      </c>
      <c r="K45" s="182">
        <v>-54719.83</v>
      </c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>
        <v>0.0</v>
      </c>
      <c r="I46" s="182">
        <v>0.0</v>
      </c>
      <c r="J46" s="182">
        <v>0.0</v>
      </c>
      <c r="K46" s="182">
        <v>0.0</v>
      </c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>
        <v>0.0</v>
      </c>
      <c r="I47" s="182">
        <v>872.9889957977103</v>
      </c>
      <c r="J47" s="182">
        <v>0.0</v>
      </c>
      <c r="K47" s="182">
        <v>0.0</v>
      </c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>
        <v>0.0</v>
      </c>
      <c r="I48" s="182">
        <v>0.0</v>
      </c>
      <c r="J48" s="182">
        <v>0.0</v>
      </c>
      <c r="K48" s="182">
        <v>0.0</v>
      </c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>
        <v>0.0</v>
      </c>
      <c r="I49" s="182">
        <v>0.0</v>
      </c>
      <c r="J49" s="182">
        <v>0.0</v>
      </c>
      <c r="K49" s="182">
        <v>0.0</v>
      </c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>
        <v>0.0</v>
      </c>
      <c r="I50" s="182">
        <v>0.0</v>
      </c>
      <c r="J50" s="182">
        <v>34817.20794239581</v>
      </c>
      <c r="K50" s="182">
        <v>0.0</v>
      </c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>
        <v>0.0</v>
      </c>
      <c r="I51" s="182">
        <v>0.0</v>
      </c>
      <c r="J51" s="182">
        <v>0.0</v>
      </c>
      <c r="K51" s="182">
        <v>0.0</v>
      </c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>
        <v>0.0</v>
      </c>
      <c r="I52" s="182">
        <v>-1191.566747233547</v>
      </c>
      <c r="J52" s="182">
        <v>0.0</v>
      </c>
      <c r="K52" s="182">
        <v>0.0</v>
      </c>
    </row>
    <row r="53" ht="15.75" customHeight="1">
      <c r="A53" s="1" t="s">
        <v>70</v>
      </c>
      <c r="B53" s="1" t="s">
        <v>14</v>
      </c>
      <c r="C53" s="1" t="s">
        <v>38</v>
      </c>
      <c r="D53" s="192">
        <v>0.0</v>
      </c>
      <c r="E53" s="192">
        <v>1144.091330151484</v>
      </c>
      <c r="F53" s="192">
        <v>0.0</v>
      </c>
      <c r="G53" s="192">
        <v>-59363.66</v>
      </c>
      <c r="H53" s="182"/>
      <c r="I53" s="182"/>
      <c r="J53" s="182"/>
      <c r="K53" s="182"/>
    </row>
    <row r="54" ht="15.75" customHeight="1">
      <c r="A54" s="1" t="s">
        <v>63</v>
      </c>
      <c r="B54" s="1" t="s">
        <v>37</v>
      </c>
      <c r="C54" s="1" t="s">
        <v>38</v>
      </c>
      <c r="D54" s="181"/>
      <c r="E54" s="181"/>
      <c r="F54" s="181"/>
      <c r="G54" s="181"/>
      <c r="H54" s="182">
        <v>0.0</v>
      </c>
      <c r="I54" s="182">
        <v>-13259.73305187417</v>
      </c>
      <c r="J54" s="182">
        <v>0.0</v>
      </c>
      <c r="K54" s="182">
        <v>0.0</v>
      </c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>
        <v>0.0</v>
      </c>
      <c r="I55" s="182">
        <v>-662.8866997953816</v>
      </c>
      <c r="J55" s="182">
        <v>0.0</v>
      </c>
      <c r="K55" s="182">
        <v>0.0</v>
      </c>
    </row>
    <row r="56" ht="15.75" customHeight="1">
      <c r="A56" s="32" t="s">
        <v>72</v>
      </c>
      <c r="B56" s="25"/>
      <c r="C56" s="25"/>
      <c r="D56" s="193">
        <f t="shared" ref="D56:K56" si="3">SUM(D23:D55)</f>
        <v>2365654.944</v>
      </c>
      <c r="E56" s="193">
        <f t="shared" si="3"/>
        <v>403352.5723</v>
      </c>
      <c r="F56" s="193">
        <f t="shared" si="3"/>
        <v>3471045.959</v>
      </c>
      <c r="G56" s="193">
        <f t="shared" si="3"/>
        <v>1449442.07</v>
      </c>
      <c r="H56" s="193">
        <f t="shared" si="3"/>
        <v>2115455.578</v>
      </c>
      <c r="I56" s="193">
        <f t="shared" si="3"/>
        <v>480674.8289</v>
      </c>
      <c r="J56" s="193">
        <f t="shared" si="3"/>
        <v>6301311</v>
      </c>
      <c r="K56" s="193">
        <f t="shared" si="3"/>
        <v>16973307.09</v>
      </c>
    </row>
    <row r="57" ht="15.75" customHeight="1">
      <c r="A57" s="30" t="s">
        <v>77</v>
      </c>
      <c r="B57" s="1" t="s">
        <v>74</v>
      </c>
      <c r="C57" s="1" t="s">
        <v>38</v>
      </c>
      <c r="D57" s="181">
        <v>0.0</v>
      </c>
      <c r="E57" s="181">
        <v>5671.046810591079</v>
      </c>
      <c r="F57" s="181">
        <v>33287.99971983699</v>
      </c>
      <c r="G57" s="181">
        <v>-1182418.0</v>
      </c>
      <c r="H57" s="182">
        <v>-3942.473605549985</v>
      </c>
      <c r="I57" s="182">
        <v>2984.054633519075</v>
      </c>
      <c r="J57" s="182">
        <v>23629.0918868203</v>
      </c>
      <c r="K57" s="182">
        <v>-139635.32</v>
      </c>
    </row>
    <row r="58" ht="15.75" customHeight="1">
      <c r="A58" s="1" t="s">
        <v>78</v>
      </c>
      <c r="B58" s="1" t="s">
        <v>74</v>
      </c>
      <c r="C58" s="1" t="s">
        <v>38</v>
      </c>
      <c r="D58" s="181">
        <v>6386.972923732174</v>
      </c>
      <c r="E58" s="181">
        <v>2357.4611122188667</v>
      </c>
      <c r="F58" s="181">
        <v>0.0</v>
      </c>
      <c r="G58" s="181">
        <v>11414.0</v>
      </c>
      <c r="H58" s="182">
        <v>-56844.195063296254</v>
      </c>
      <c r="I58" s="182">
        <v>11293.703962485513</v>
      </c>
      <c r="J58" s="182">
        <v>-101088.2285773718</v>
      </c>
      <c r="K58" s="182">
        <v>-326472.56000000006</v>
      </c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>
        <v>0.0</v>
      </c>
      <c r="I59" s="182">
        <v>0.0</v>
      </c>
      <c r="J59" s="182">
        <v>0.0</v>
      </c>
      <c r="K59" s="182">
        <v>0.0</v>
      </c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>
        <v>0.0</v>
      </c>
      <c r="I60" s="182">
        <v>0.0</v>
      </c>
      <c r="J60" s="182">
        <v>0.0</v>
      </c>
      <c r="K60" s="182">
        <v>0.0</v>
      </c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>
        <v>277472.6787542854</v>
      </c>
      <c r="I61" s="182">
        <v>91162.6017225892</v>
      </c>
      <c r="J61" s="182">
        <v>1287113.440289747</v>
      </c>
      <c r="K61" s="182">
        <v>3730294.1999999993</v>
      </c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>
        <v>0.0</v>
      </c>
      <c r="I62" s="182">
        <v>0.0</v>
      </c>
      <c r="J62" s="182">
        <v>0.0</v>
      </c>
      <c r="K62" s="182">
        <v>0.0</v>
      </c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>
        <v>0.0</v>
      </c>
      <c r="E64" s="181">
        <v>16373.52665441687</v>
      </c>
      <c r="F64" s="181">
        <v>0.0</v>
      </c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6386.972924</v>
      </c>
      <c r="E66" s="193">
        <f t="shared" si="4"/>
        <v>24402.03458</v>
      </c>
      <c r="F66" s="193">
        <f t="shared" si="4"/>
        <v>33287.99972</v>
      </c>
      <c r="G66" s="193">
        <f t="shared" si="4"/>
        <v>-1171004</v>
      </c>
      <c r="H66" s="193">
        <f t="shared" si="4"/>
        <v>216686.0101</v>
      </c>
      <c r="I66" s="193">
        <f t="shared" si="4"/>
        <v>105440.3603</v>
      </c>
      <c r="J66" s="193">
        <f t="shared" si="4"/>
        <v>1209654.304</v>
      </c>
      <c r="K66" s="193">
        <f t="shared" si="4"/>
        <v>3264186.32</v>
      </c>
    </row>
    <row r="67" ht="15.75" customHeight="1">
      <c r="A67" s="23" t="s">
        <v>84</v>
      </c>
      <c r="B67" s="1" t="s">
        <v>14</v>
      </c>
      <c r="C67" s="23" t="s">
        <v>85</v>
      </c>
      <c r="D67" s="200">
        <v>1244.870486687882</v>
      </c>
      <c r="E67" s="200">
        <v>3413.0156728598354</v>
      </c>
      <c r="F67" s="200">
        <v>4079.238724181537</v>
      </c>
      <c r="G67" s="200"/>
      <c r="H67" s="182">
        <v>0.0</v>
      </c>
      <c r="I67" s="182">
        <v>-1123.180674339033</v>
      </c>
      <c r="J67" s="182">
        <v>12308.67606452551</v>
      </c>
      <c r="K67" s="182">
        <v>0.0</v>
      </c>
    </row>
    <row r="68" ht="15.75" customHeight="1">
      <c r="A68" s="30" t="s">
        <v>86</v>
      </c>
      <c r="B68" s="1" t="s">
        <v>37</v>
      </c>
      <c r="C68" s="1" t="s">
        <v>87</v>
      </c>
      <c r="D68" s="192">
        <v>13280.18103123391</v>
      </c>
      <c r="E68" s="192">
        <v>0.0</v>
      </c>
      <c r="F68" s="192">
        <v>0.0</v>
      </c>
      <c r="G68" s="192">
        <v>-432482.0</v>
      </c>
      <c r="H68" s="182">
        <v>98783.7324251787</v>
      </c>
      <c r="I68" s="182">
        <v>26852.490347282568</v>
      </c>
      <c r="J68" s="182">
        <v>0.0</v>
      </c>
      <c r="K68" s="182">
        <v>-476370.12</v>
      </c>
    </row>
    <row r="69" ht="15.75" customHeight="1">
      <c r="A69" s="1" t="s">
        <v>88</v>
      </c>
      <c r="B69" s="1" t="s">
        <v>14</v>
      </c>
      <c r="C69" s="1" t="s">
        <v>87</v>
      </c>
      <c r="D69" s="192">
        <v>0.0</v>
      </c>
      <c r="E69" s="192">
        <v>-3650.116283513977</v>
      </c>
      <c r="F69" s="192"/>
      <c r="G69" s="192"/>
      <c r="H69" s="182">
        <v>0.0</v>
      </c>
      <c r="I69" s="182">
        <v>6467.921074641745</v>
      </c>
      <c r="J69" s="182">
        <v>0.0</v>
      </c>
      <c r="K69" s="182">
        <v>0.0</v>
      </c>
    </row>
    <row r="70" ht="15.75" customHeight="1">
      <c r="A70" s="1" t="s">
        <v>89</v>
      </c>
      <c r="B70" s="1" t="s">
        <v>37</v>
      </c>
      <c r="C70" s="1" t="s">
        <v>87</v>
      </c>
      <c r="D70" s="192"/>
      <c r="E70" s="192">
        <v>-479.97004582151453</v>
      </c>
      <c r="F70" s="192"/>
      <c r="G70" s="192"/>
      <c r="H70" s="182">
        <v>0.0</v>
      </c>
      <c r="I70" s="182">
        <v>5545.624054737663</v>
      </c>
      <c r="J70" s="182">
        <v>0.0</v>
      </c>
      <c r="K70" s="182">
        <v>0.0</v>
      </c>
    </row>
    <row r="71" ht="15.75" customHeight="1">
      <c r="A71" s="1" t="s">
        <v>90</v>
      </c>
      <c r="B71" s="1" t="s">
        <v>37</v>
      </c>
      <c r="C71" s="1" t="s">
        <v>87</v>
      </c>
      <c r="D71" s="192"/>
      <c r="E71" s="192"/>
      <c r="F71" s="192"/>
      <c r="G71" s="192"/>
      <c r="H71" s="182">
        <v>0.0</v>
      </c>
      <c r="I71" s="182">
        <v>0.0</v>
      </c>
      <c r="J71" s="182">
        <v>0.0</v>
      </c>
      <c r="K71" s="182">
        <v>0.0</v>
      </c>
    </row>
    <row r="72" ht="15.75" customHeight="1">
      <c r="A72" s="1" t="s">
        <v>91</v>
      </c>
      <c r="B72" s="1" t="s">
        <v>37</v>
      </c>
      <c r="C72" s="1" t="s">
        <v>87</v>
      </c>
      <c r="D72" s="192">
        <v>5865.759168188843</v>
      </c>
      <c r="E72" s="192">
        <v>0.0</v>
      </c>
      <c r="F72" s="192">
        <v>0.0</v>
      </c>
      <c r="G72" s="192">
        <f>6233-78708</f>
        <v>-72475</v>
      </c>
      <c r="H72" s="182">
        <v>-8859.99169287138</v>
      </c>
      <c r="I72" s="182">
        <v>2474.44531842388</v>
      </c>
      <c r="J72" s="182">
        <v>0.0</v>
      </c>
      <c r="K72" s="182"/>
    </row>
    <row r="73" ht="15.75" customHeight="1">
      <c r="A73" s="126" t="s">
        <v>92</v>
      </c>
      <c r="B73" s="1" t="s">
        <v>37</v>
      </c>
      <c r="C73" s="1" t="s">
        <v>87</v>
      </c>
      <c r="D73" s="192">
        <v>21085.722133145475</v>
      </c>
      <c r="E73" s="192">
        <v>11402.999376592867</v>
      </c>
      <c r="F73" s="192">
        <v>105954.8523656742</v>
      </c>
      <c r="G73" s="192"/>
      <c r="H73" s="182">
        <v>159.96968273141306</v>
      </c>
      <c r="I73" s="182">
        <v>38478.81335698919</v>
      </c>
      <c r="J73" s="182">
        <v>0.0</v>
      </c>
      <c r="K73" s="182">
        <v>-176906.7</v>
      </c>
    </row>
    <row r="74" ht="15.75" customHeight="1">
      <c r="A74" s="1" t="s">
        <v>93</v>
      </c>
      <c r="B74" s="1" t="s">
        <v>37</v>
      </c>
      <c r="C74" s="1" t="s">
        <v>87</v>
      </c>
      <c r="D74" s="192"/>
      <c r="E74" s="192"/>
      <c r="F74" s="192"/>
      <c r="G74" s="192"/>
      <c r="H74" s="182">
        <v>0.0</v>
      </c>
      <c r="I74" s="182">
        <v>1255.071530218603</v>
      </c>
      <c r="J74" s="182">
        <v>0.0</v>
      </c>
      <c r="K74" s="182">
        <v>0.0</v>
      </c>
    </row>
    <row r="75" ht="15.75" customHeight="1">
      <c r="A75" s="196" t="s">
        <v>94</v>
      </c>
      <c r="B75" s="197"/>
      <c r="C75" s="197"/>
      <c r="D75" s="198">
        <f t="shared" ref="D75:K75" si="5">SUM(D67:D74)</f>
        <v>41476.53282</v>
      </c>
      <c r="E75" s="198">
        <f t="shared" si="5"/>
        <v>10685.92872</v>
      </c>
      <c r="F75" s="198">
        <f t="shared" si="5"/>
        <v>110034.0911</v>
      </c>
      <c r="G75" s="198">
        <f t="shared" si="5"/>
        <v>-504957</v>
      </c>
      <c r="H75" s="198">
        <f t="shared" si="5"/>
        <v>90083.71042</v>
      </c>
      <c r="I75" s="198">
        <f t="shared" si="5"/>
        <v>79951.18501</v>
      </c>
      <c r="J75" s="198">
        <f t="shared" si="5"/>
        <v>12308.67606</v>
      </c>
      <c r="K75" s="198">
        <f t="shared" si="5"/>
        <v>-653276.82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3817815.19</v>
      </c>
      <c r="E76" s="189">
        <f t="shared" si="6"/>
        <v>978318.3968</v>
      </c>
      <c r="F76" s="189">
        <f t="shared" si="6"/>
        <v>4831046.611</v>
      </c>
      <c r="G76" s="189">
        <f t="shared" si="6"/>
        <v>-5904683.825</v>
      </c>
      <c r="H76" s="189">
        <f t="shared" si="6"/>
        <v>3668913.854</v>
      </c>
      <c r="I76" s="189">
        <f t="shared" si="6"/>
        <v>1080025.019</v>
      </c>
      <c r="J76" s="189">
        <f t="shared" si="6"/>
        <v>8582935.639</v>
      </c>
      <c r="K76" s="189">
        <f t="shared" si="6"/>
        <v>21102233.22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D78" s="41"/>
      <c r="E78" s="41"/>
      <c r="F78" s="41"/>
      <c r="G78" s="41"/>
      <c r="H78" s="10"/>
      <c r="I78" s="10"/>
      <c r="J78" s="10"/>
    </row>
    <row r="79" ht="15.75" customHeight="1">
      <c r="A79" s="40"/>
      <c r="B79" s="40"/>
      <c r="C79" s="40"/>
      <c r="D79" s="41"/>
      <c r="E79" s="41"/>
      <c r="F79" s="41"/>
      <c r="H79" s="10"/>
      <c r="I79" s="10"/>
      <c r="J79" s="10"/>
    </row>
    <row r="80" ht="15.75" customHeight="1">
      <c r="A80" s="40"/>
      <c r="B80" s="40"/>
      <c r="C80" s="40"/>
      <c r="G80" s="41"/>
      <c r="H80" s="10"/>
      <c r="I80" s="10"/>
      <c r="J80" s="10"/>
    </row>
    <row r="81" ht="15.75" customHeight="1">
      <c r="A81" s="40"/>
      <c r="B81" s="40"/>
      <c r="C81" s="40"/>
      <c r="G81" s="41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99">
        <f>140671-322-668-E5-E6-E51-E71</f>
        <v>52765</v>
      </c>
      <c r="F3" s="181"/>
      <c r="G3" s="181"/>
      <c r="H3" s="182">
        <v>0.0</v>
      </c>
      <c r="I3" s="182">
        <v>231146.52</v>
      </c>
      <c r="J3" s="182"/>
      <c r="K3" s="182"/>
    </row>
    <row r="4">
      <c r="A4" s="1" t="s">
        <v>16</v>
      </c>
      <c r="B4" s="1" t="s">
        <v>14</v>
      </c>
      <c r="C4" s="1" t="s">
        <v>15</v>
      </c>
      <c r="D4" s="192"/>
      <c r="E4" s="199"/>
      <c r="F4" s="192"/>
      <c r="G4" s="181"/>
      <c r="H4" s="182">
        <v>0.0</v>
      </c>
      <c r="I4" s="182">
        <v>0.0</v>
      </c>
      <c r="J4" s="182"/>
      <c r="K4" s="182"/>
    </row>
    <row r="5">
      <c r="A5" s="1" t="s">
        <v>17</v>
      </c>
      <c r="B5" s="1" t="s">
        <v>14</v>
      </c>
      <c r="C5" s="1" t="s">
        <v>15</v>
      </c>
      <c r="D5" s="192"/>
      <c r="E5" s="199">
        <v>44798.0</v>
      </c>
      <c r="F5" s="192"/>
      <c r="G5" s="181"/>
      <c r="H5" s="182"/>
      <c r="I5" s="182"/>
      <c r="J5" s="182"/>
      <c r="K5" s="182"/>
      <c r="L5" s="195"/>
    </row>
    <row r="6">
      <c r="A6" s="21" t="s">
        <v>18</v>
      </c>
      <c r="B6" s="1" t="s">
        <v>14</v>
      </c>
      <c r="C6" s="21" t="s">
        <v>15</v>
      </c>
      <c r="D6" s="199"/>
      <c r="E6" s="199">
        <v>25789.0</v>
      </c>
      <c r="F6" s="199"/>
      <c r="G6" s="183"/>
      <c r="H6" s="182"/>
      <c r="I6" s="182"/>
      <c r="J6" s="182"/>
      <c r="K6" s="182"/>
      <c r="L6" s="195"/>
    </row>
    <row r="7">
      <c r="A7" s="1" t="s">
        <v>19</v>
      </c>
      <c r="B7" s="1" t="s">
        <v>14</v>
      </c>
      <c r="C7" s="1" t="s">
        <v>15</v>
      </c>
      <c r="D7" s="181"/>
      <c r="E7" s="199">
        <v>1378.0</v>
      </c>
      <c r="F7" s="181"/>
      <c r="G7" s="181"/>
      <c r="H7" s="182">
        <v>0.0</v>
      </c>
      <c r="I7" s="182">
        <v>2079.09</v>
      </c>
      <c r="J7" s="182"/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124730</v>
      </c>
      <c r="F8" s="193">
        <f t="shared" si="1"/>
        <v>0</v>
      </c>
      <c r="G8" s="193">
        <f t="shared" si="1"/>
        <v>0</v>
      </c>
      <c r="H8" s="193">
        <f t="shared" si="1"/>
        <v>0</v>
      </c>
      <c r="I8" s="193">
        <f t="shared" si="1"/>
        <v>233225.61</v>
      </c>
      <c r="J8" s="193">
        <f t="shared" si="1"/>
        <v>0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99"/>
      <c r="F9" s="186"/>
      <c r="G9" s="186"/>
      <c r="H9" s="182">
        <v>0.0</v>
      </c>
      <c r="I9" s="182">
        <v>0.0</v>
      </c>
      <c r="J9" s="182"/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99"/>
      <c r="F10" s="181"/>
      <c r="G10" s="181"/>
      <c r="H10" s="182">
        <v>0.0</v>
      </c>
      <c r="I10" s="182">
        <v>0.0</v>
      </c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99"/>
      <c r="F11" s="181"/>
      <c r="G11" s="181"/>
      <c r="H11" s="182">
        <v>0.0</v>
      </c>
      <c r="I11" s="182">
        <v>14637.27</v>
      </c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99"/>
      <c r="F12" s="181"/>
      <c r="G12" s="181"/>
      <c r="H12" s="182">
        <v>0.0</v>
      </c>
      <c r="I12" s="182">
        <v>0.0</v>
      </c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99">
        <v>35130.0</v>
      </c>
      <c r="F13" s="181"/>
      <c r="G13" s="181"/>
      <c r="H13" s="182">
        <v>0.0</v>
      </c>
      <c r="I13" s="182">
        <v>12772.970000000001</v>
      </c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99">
        <v>20829.0</v>
      </c>
      <c r="F14" s="181"/>
      <c r="G14" s="181"/>
      <c r="H14" s="182">
        <v>0.0</v>
      </c>
      <c r="I14" s="182">
        <v>14771.4</v>
      </c>
      <c r="J14" s="182"/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99"/>
      <c r="F15" s="181"/>
      <c r="G15" s="181"/>
      <c r="H15" s="182">
        <v>0.0</v>
      </c>
      <c r="I15" s="182">
        <v>0.0</v>
      </c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99"/>
      <c r="F16" s="181"/>
      <c r="G16" s="181"/>
      <c r="H16" s="182">
        <v>0.0</v>
      </c>
      <c r="I16" s="182">
        <v>0.0</v>
      </c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99">
        <v>92904.0</v>
      </c>
      <c r="F17" s="181"/>
      <c r="G17" s="181"/>
      <c r="H17" s="182">
        <v>0.0</v>
      </c>
      <c r="I17" s="182">
        <v>42132.51999999999</v>
      </c>
      <c r="J17" s="182"/>
      <c r="K17" s="182"/>
    </row>
    <row r="18">
      <c r="A18" s="1" t="s">
        <v>31</v>
      </c>
      <c r="B18" s="1" t="s">
        <v>14</v>
      </c>
      <c r="C18" s="1" t="s">
        <v>22</v>
      </c>
      <c r="D18" s="181">
        <v>516.0</v>
      </c>
      <c r="E18" s="199">
        <v>23634.0</v>
      </c>
      <c r="F18" s="181"/>
      <c r="G18" s="181"/>
      <c r="H18" s="182">
        <v>529.51</v>
      </c>
      <c r="I18" s="182">
        <v>5383.28</v>
      </c>
      <c r="J18" s="182"/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99"/>
      <c r="F19" s="181"/>
      <c r="G19" s="181"/>
      <c r="H19" s="182">
        <v>0.0</v>
      </c>
      <c r="I19" s="182">
        <v>0.0</v>
      </c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99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99"/>
      <c r="F21" s="183"/>
      <c r="G21" s="183"/>
      <c r="H21" s="182">
        <v>0.0</v>
      </c>
      <c r="I21" s="182">
        <v>0.0</v>
      </c>
      <c r="J21" s="182"/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516</v>
      </c>
      <c r="E22" s="193">
        <f t="shared" si="2"/>
        <v>172497</v>
      </c>
      <c r="F22" s="193">
        <f t="shared" si="2"/>
        <v>0</v>
      </c>
      <c r="G22" s="193">
        <f t="shared" si="2"/>
        <v>0</v>
      </c>
      <c r="H22" s="193">
        <f t="shared" si="2"/>
        <v>529.51</v>
      </c>
      <c r="I22" s="193">
        <f t="shared" si="2"/>
        <v>89697.44</v>
      </c>
      <c r="J22" s="193">
        <f t="shared" si="2"/>
        <v>0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99"/>
      <c r="F23" s="186"/>
      <c r="G23" s="186"/>
      <c r="H23" s="182">
        <v>0.0</v>
      </c>
      <c r="I23" s="182">
        <v>0.0</v>
      </c>
      <c r="J23" s="182"/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99"/>
      <c r="F24" s="181"/>
      <c r="G24" s="181"/>
      <c r="H24" s="182">
        <v>0.0</v>
      </c>
      <c r="I24" s="182">
        <v>0.0</v>
      </c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99"/>
      <c r="F25" s="181"/>
      <c r="G25" s="181"/>
      <c r="H25" s="182">
        <v>0.0</v>
      </c>
      <c r="I25" s="182">
        <v>0.0</v>
      </c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99"/>
      <c r="F26" s="181"/>
      <c r="G26" s="181"/>
      <c r="H26" s="182">
        <v>0.0</v>
      </c>
      <c r="I26" s="182">
        <v>0.0</v>
      </c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>
        <v>729.0</v>
      </c>
      <c r="E27" s="199">
        <v>22877.0</v>
      </c>
      <c r="F27" s="181"/>
      <c r="G27" s="181"/>
      <c r="H27" s="182">
        <v>608.49</v>
      </c>
      <c r="I27" s="182">
        <v>65846.61000000002</v>
      </c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99"/>
      <c r="F28" s="181"/>
      <c r="G28" s="181"/>
      <c r="H28" s="182">
        <v>0.0</v>
      </c>
      <c r="I28" s="182">
        <v>0.0</v>
      </c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99"/>
      <c r="F29" s="181"/>
      <c r="G29" s="181"/>
      <c r="H29" s="182">
        <v>0.0</v>
      </c>
      <c r="I29" s="182">
        <v>0.0</v>
      </c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99"/>
      <c r="F30" s="181"/>
      <c r="G30" s="181"/>
      <c r="H30" s="182">
        <v>0.0</v>
      </c>
      <c r="I30" s="182">
        <v>0.0</v>
      </c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99"/>
      <c r="F31" s="181"/>
      <c r="G31" s="181"/>
      <c r="H31" s="182">
        <v>0.0</v>
      </c>
      <c r="I31" s="182">
        <v>0.0</v>
      </c>
      <c r="J31" s="182"/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99"/>
      <c r="F32" s="181"/>
      <c r="G32" s="181"/>
      <c r="H32" s="182">
        <v>0.0</v>
      </c>
      <c r="I32" s="182">
        <v>0.0</v>
      </c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99">
        <v>892.0</v>
      </c>
      <c r="F33" s="181"/>
      <c r="G33" s="181"/>
      <c r="H33" s="182">
        <v>0.0</v>
      </c>
      <c r="I33" s="182">
        <v>0.0</v>
      </c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99"/>
      <c r="F34" s="181"/>
      <c r="G34" s="181"/>
      <c r="H34" s="182">
        <v>0.0</v>
      </c>
      <c r="I34" s="182">
        <v>0.0</v>
      </c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99"/>
      <c r="F35" s="181"/>
      <c r="G35" s="181"/>
      <c r="H35" s="182">
        <v>0.0</v>
      </c>
      <c r="I35" s="182">
        <v>0.0</v>
      </c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99"/>
      <c r="F36" s="181"/>
      <c r="G36" s="181"/>
      <c r="H36" s="182">
        <v>0.0</v>
      </c>
      <c r="I36" s="182">
        <v>0.0</v>
      </c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99"/>
      <c r="F37" s="181"/>
      <c r="G37" s="181"/>
      <c r="H37" s="182">
        <v>0.0</v>
      </c>
      <c r="I37" s="182">
        <v>0.0</v>
      </c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99"/>
      <c r="F38" s="181"/>
      <c r="G38" s="181"/>
      <c r="H38" s="182">
        <v>0.0</v>
      </c>
      <c r="I38" s="182">
        <v>0.0</v>
      </c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99"/>
      <c r="F39" s="181"/>
      <c r="G39" s="181"/>
      <c r="H39" s="182">
        <v>0.0</v>
      </c>
      <c r="I39" s="182">
        <v>0.0</v>
      </c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99"/>
      <c r="F40" s="181"/>
      <c r="G40" s="181"/>
      <c r="H40" s="182">
        <v>0.0</v>
      </c>
      <c r="I40" s="182">
        <v>0.0</v>
      </c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99"/>
      <c r="F41" s="181"/>
      <c r="G41" s="181"/>
      <c r="H41" s="182">
        <v>0.0</v>
      </c>
      <c r="I41" s="182">
        <v>0.0</v>
      </c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99"/>
      <c r="F42" s="181"/>
      <c r="G42" s="181"/>
      <c r="H42" s="182">
        <v>0.0</v>
      </c>
      <c r="I42" s="182">
        <v>0.0</v>
      </c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99"/>
      <c r="F43" s="181"/>
      <c r="G43" s="181"/>
      <c r="H43" s="182">
        <v>0.0</v>
      </c>
      <c r="I43" s="182">
        <v>0.0</v>
      </c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99"/>
      <c r="F44" s="181"/>
      <c r="G44" s="181"/>
      <c r="H44" s="182">
        <v>0.0</v>
      </c>
      <c r="I44" s="182">
        <v>0.0</v>
      </c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99"/>
      <c r="F45" s="181"/>
      <c r="G45" s="181"/>
      <c r="H45" s="182">
        <v>0.0</v>
      </c>
      <c r="I45" s="182">
        <v>0.0</v>
      </c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99"/>
      <c r="F46" s="181"/>
      <c r="G46" s="181"/>
      <c r="H46" s="182">
        <v>0.0</v>
      </c>
      <c r="I46" s="182">
        <v>0.0</v>
      </c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99"/>
      <c r="F47" s="181"/>
      <c r="G47" s="181"/>
      <c r="H47" s="182">
        <v>0.0</v>
      </c>
      <c r="I47" s="182">
        <v>0.0</v>
      </c>
      <c r="J47" s="182"/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99"/>
      <c r="F48" s="181"/>
      <c r="G48" s="181"/>
      <c r="H48" s="182">
        <v>0.0</v>
      </c>
      <c r="I48" s="182">
        <v>0.0</v>
      </c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99"/>
      <c r="F49" s="181"/>
      <c r="G49" s="181"/>
      <c r="H49" s="182">
        <v>0.0</v>
      </c>
      <c r="I49" s="182">
        <v>4094.06</v>
      </c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99"/>
      <c r="F50" s="181"/>
      <c r="G50" s="181"/>
      <c r="H50" s="182">
        <v>0.0</v>
      </c>
      <c r="I50" s="182">
        <v>0.0</v>
      </c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99">
        <v>6627.0</v>
      </c>
      <c r="F51" s="181"/>
      <c r="G51" s="181"/>
      <c r="H51" s="182">
        <v>0.0</v>
      </c>
      <c r="I51" s="182">
        <v>1170.53</v>
      </c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99"/>
      <c r="F52" s="181"/>
      <c r="G52" s="181"/>
      <c r="H52" s="182">
        <v>0.0</v>
      </c>
      <c r="I52" s="182">
        <v>0.0</v>
      </c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99"/>
      <c r="F53" s="181"/>
      <c r="G53" s="181"/>
      <c r="H53" s="182">
        <v>0.0</v>
      </c>
      <c r="I53" s="182">
        <v>0.0</v>
      </c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99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>
        <v>0.0</v>
      </c>
      <c r="I55" s="182">
        <v>0.0</v>
      </c>
      <c r="J55" s="182"/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729</v>
      </c>
      <c r="E56" s="193">
        <f t="shared" si="3"/>
        <v>30396</v>
      </c>
      <c r="F56" s="193">
        <f t="shared" si="3"/>
        <v>0</v>
      </c>
      <c r="G56" s="193">
        <f t="shared" si="3"/>
        <v>0</v>
      </c>
      <c r="H56" s="193">
        <f t="shared" si="3"/>
        <v>608.49</v>
      </c>
      <c r="I56" s="193">
        <f t="shared" si="3"/>
        <v>71111.2</v>
      </c>
      <c r="J56" s="193">
        <f t="shared" si="3"/>
        <v>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>
        <v>0.0</v>
      </c>
      <c r="I57" s="182">
        <v>0.0</v>
      </c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>
        <v>3198.0</v>
      </c>
      <c r="F58" s="181"/>
      <c r="G58" s="181"/>
      <c r="H58" s="182">
        <v>0.0</v>
      </c>
      <c r="I58" s="182">
        <v>7355.590000000002</v>
      </c>
      <c r="J58" s="182"/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>
        <v>0.0</v>
      </c>
      <c r="I59" s="182">
        <v>0.0</v>
      </c>
      <c r="J59" s="182"/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>
        <v>0.0</v>
      </c>
      <c r="I60" s="182">
        <v>0.0</v>
      </c>
      <c r="J60" s="182"/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>
        <v>0.0</v>
      </c>
      <c r="I61" s="182">
        <v>0.0</v>
      </c>
      <c r="J61" s="182"/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>
        <v>0.0</v>
      </c>
      <c r="I62" s="182">
        <v>0.0</v>
      </c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3198</v>
      </c>
      <c r="F66" s="193">
        <f t="shared" si="4"/>
        <v>0</v>
      </c>
      <c r="G66" s="193">
        <f t="shared" si="4"/>
        <v>0</v>
      </c>
      <c r="H66" s="193">
        <f t="shared" si="4"/>
        <v>0</v>
      </c>
      <c r="I66" s="193">
        <f t="shared" si="4"/>
        <v>7355.59</v>
      </c>
      <c r="J66" s="193">
        <f t="shared" si="4"/>
        <v>0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200"/>
      <c r="E67" s="200">
        <f>10733+322+668</f>
        <v>11723</v>
      </c>
      <c r="F67" s="200"/>
      <c r="G67" s="200"/>
      <c r="H67" s="182">
        <v>0.0</v>
      </c>
      <c r="I67" s="182">
        <v>7541.27</v>
      </c>
      <c r="J67" s="182"/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92"/>
      <c r="E68" s="192"/>
      <c r="F68" s="192"/>
      <c r="G68" s="192"/>
      <c r="H68" s="182">
        <v>0.0</v>
      </c>
      <c r="I68" s="182">
        <v>0.0</v>
      </c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92"/>
      <c r="E69" s="192"/>
      <c r="F69" s="192"/>
      <c r="G69" s="192"/>
      <c r="H69" s="182">
        <v>0.0</v>
      </c>
      <c r="I69" s="182">
        <v>1953.47</v>
      </c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92"/>
      <c r="E70" s="192"/>
      <c r="F70" s="192"/>
      <c r="G70" s="192"/>
      <c r="H70" s="182">
        <v>0.0</v>
      </c>
      <c r="I70" s="182">
        <v>0.0</v>
      </c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92"/>
      <c r="E71" s="192">
        <v>9702.0</v>
      </c>
      <c r="F71" s="192"/>
      <c r="G71" s="192"/>
      <c r="H71" s="182">
        <v>0.0</v>
      </c>
      <c r="I71" s="182">
        <v>10354.76</v>
      </c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92"/>
      <c r="E72" s="192">
        <v>12723.0</v>
      </c>
      <c r="F72" s="192"/>
      <c r="G72" s="192"/>
      <c r="H72" s="182"/>
      <c r="I72" s="182">
        <v>8147.859999999999</v>
      </c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92"/>
      <c r="E73" s="192"/>
      <c r="F73" s="192"/>
      <c r="G73" s="192"/>
      <c r="H73" s="182"/>
      <c r="I73" s="182"/>
      <c r="J73" s="182"/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92"/>
      <c r="E74" s="192"/>
      <c r="F74" s="192"/>
      <c r="G74" s="192"/>
      <c r="H74" s="182">
        <v>0.0</v>
      </c>
      <c r="I74" s="182">
        <v>0.0</v>
      </c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34148</v>
      </c>
      <c r="F75" s="198">
        <f t="shared" si="5"/>
        <v>0</v>
      </c>
      <c r="G75" s="198">
        <f t="shared" si="5"/>
        <v>0</v>
      </c>
      <c r="H75" s="198">
        <f t="shared" si="5"/>
        <v>0</v>
      </c>
      <c r="I75" s="198">
        <f t="shared" si="5"/>
        <v>27997.36</v>
      </c>
      <c r="J75" s="198">
        <f t="shared" si="5"/>
        <v>0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1245</v>
      </c>
      <c r="E76" s="189">
        <f t="shared" si="6"/>
        <v>364969</v>
      </c>
      <c r="F76" s="189">
        <f t="shared" si="6"/>
        <v>0</v>
      </c>
      <c r="G76" s="189">
        <f t="shared" si="6"/>
        <v>0</v>
      </c>
      <c r="H76" s="189">
        <f t="shared" si="6"/>
        <v>1138</v>
      </c>
      <c r="I76" s="189">
        <f t="shared" si="6"/>
        <v>429387.2</v>
      </c>
      <c r="J76" s="189">
        <f t="shared" si="6"/>
        <v>0</v>
      </c>
      <c r="K76" s="189">
        <f t="shared" si="6"/>
        <v>0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D78" s="41"/>
      <c r="E78" s="195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H80" s="10"/>
      <c r="I80" s="10"/>
      <c r="J80" s="10"/>
    </row>
    <row r="81" ht="15.75" customHeight="1">
      <c r="A81" s="40"/>
      <c r="B81" s="40"/>
      <c r="C81" s="40"/>
      <c r="E81" s="41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>
        <f>131755-D16-D52-D53-D55</f>
        <v>59663</v>
      </c>
      <c r="E3" s="192">
        <f>28727-E16-E52-E55-E65-E71-E73-E74</f>
        <v>2936</v>
      </c>
      <c r="F3" s="192">
        <f>308732-F4-F52-F55-F65-F69-F73</f>
        <v>6276</v>
      </c>
      <c r="G3" s="192">
        <f>-2399906-G16-G52-G55-G65-G73</f>
        <v>-515755</v>
      </c>
      <c r="H3" s="182">
        <v>67241.18843400003</v>
      </c>
      <c r="I3" s="182">
        <v>28819.884927</v>
      </c>
      <c r="J3" s="182">
        <v>255164.487741</v>
      </c>
      <c r="K3" s="182">
        <v>26512.832934000013</v>
      </c>
    </row>
    <row r="4">
      <c r="A4" s="1" t="s">
        <v>16</v>
      </c>
      <c r="B4" s="1" t="s">
        <v>14</v>
      </c>
      <c r="C4" s="1" t="s">
        <v>15</v>
      </c>
      <c r="D4" s="192"/>
      <c r="E4" s="192"/>
      <c r="F4" s="192">
        <v>71103.0</v>
      </c>
      <c r="G4" s="192"/>
      <c r="H4" s="182">
        <v>3034.8836220000003</v>
      </c>
      <c r="I4" s="182">
        <v>0.0</v>
      </c>
      <c r="J4" s="182">
        <v>0.0</v>
      </c>
      <c r="K4" s="182">
        <v>0.0</v>
      </c>
    </row>
    <row r="5">
      <c r="A5" s="1" t="s">
        <v>17</v>
      </c>
      <c r="B5" s="1" t="s">
        <v>14</v>
      </c>
      <c r="C5" s="1" t="s">
        <v>15</v>
      </c>
      <c r="D5" s="192"/>
      <c r="E5" s="192"/>
      <c r="F5" s="192"/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E6" s="201">
        <v>2314.0</v>
      </c>
      <c r="F6" s="201">
        <v>351101.0</v>
      </c>
      <c r="G6" s="192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202"/>
      <c r="E7" s="202"/>
      <c r="F7" s="203"/>
      <c r="G7" s="192"/>
      <c r="H7" s="182">
        <v>0.0</v>
      </c>
      <c r="I7" s="182">
        <v>0.0</v>
      </c>
      <c r="J7" s="182">
        <v>0.0</v>
      </c>
      <c r="K7" s="182">
        <v>0.0</v>
      </c>
    </row>
    <row r="8">
      <c r="A8" s="24" t="s">
        <v>20</v>
      </c>
      <c r="B8" s="25"/>
      <c r="C8" s="25"/>
      <c r="D8" s="193">
        <f t="shared" ref="D8:K8" si="1">SUM(D3:D7)</f>
        <v>59663</v>
      </c>
      <c r="E8" s="193">
        <f t="shared" si="1"/>
        <v>5250</v>
      </c>
      <c r="F8" s="193">
        <f t="shared" si="1"/>
        <v>428480</v>
      </c>
      <c r="G8" s="193">
        <f t="shared" si="1"/>
        <v>-515755</v>
      </c>
      <c r="H8" s="193">
        <f t="shared" si="1"/>
        <v>70276.07206</v>
      </c>
      <c r="I8" s="193">
        <f t="shared" si="1"/>
        <v>28819.88493</v>
      </c>
      <c r="J8" s="193">
        <f t="shared" si="1"/>
        <v>255164.4877</v>
      </c>
      <c r="K8" s="193">
        <f t="shared" si="1"/>
        <v>26512.83293</v>
      </c>
    </row>
    <row r="9">
      <c r="A9" s="23" t="s">
        <v>21</v>
      </c>
      <c r="B9" s="1" t="s">
        <v>14</v>
      </c>
      <c r="C9" s="23" t="s">
        <v>22</v>
      </c>
      <c r="D9" s="200"/>
      <c r="E9" s="200"/>
      <c r="F9" s="200"/>
      <c r="G9" s="192"/>
      <c r="H9" s="182">
        <v>0.0</v>
      </c>
      <c r="I9" s="182">
        <v>0.0</v>
      </c>
      <c r="J9" s="182">
        <v>0.0</v>
      </c>
      <c r="K9" s="182">
        <v>16220.286906</v>
      </c>
    </row>
    <row r="10">
      <c r="A10" s="1" t="s">
        <v>23</v>
      </c>
      <c r="B10" s="1" t="s">
        <v>14</v>
      </c>
      <c r="C10" s="1" t="s">
        <v>22</v>
      </c>
      <c r="D10" s="192">
        <v>13630.0</v>
      </c>
      <c r="E10" s="192">
        <v>137002.0</v>
      </c>
      <c r="F10" s="192"/>
      <c r="G10" s="192">
        <v>151580.0</v>
      </c>
      <c r="H10" s="182">
        <v>0.0</v>
      </c>
      <c r="I10" s="182">
        <v>147439.18760699997</v>
      </c>
      <c r="J10" s="182">
        <v>12011.124012</v>
      </c>
      <c r="K10" s="182">
        <v>0.0</v>
      </c>
    </row>
    <row r="11">
      <c r="A11" s="1" t="s">
        <v>24</v>
      </c>
      <c r="B11" s="1" t="s">
        <v>14</v>
      </c>
      <c r="C11" s="1" t="s">
        <v>22</v>
      </c>
      <c r="D11" s="192"/>
      <c r="E11" s="192"/>
      <c r="F11" s="192"/>
      <c r="G11" s="192"/>
      <c r="H11" s="182">
        <v>0.0</v>
      </c>
      <c r="I11" s="182">
        <v>150.083604</v>
      </c>
      <c r="J11" s="182">
        <v>621.502212</v>
      </c>
      <c r="K11" s="182">
        <v>0.0</v>
      </c>
    </row>
    <row r="12">
      <c r="A12" s="1" t="s">
        <v>25</v>
      </c>
      <c r="B12" s="1" t="s">
        <v>14</v>
      </c>
      <c r="C12" s="1" t="s">
        <v>22</v>
      </c>
      <c r="D12" s="192">
        <v>0.0</v>
      </c>
      <c r="E12" s="192">
        <v>7328.0</v>
      </c>
      <c r="F12" s="192">
        <v>141011.0</v>
      </c>
      <c r="G12" s="192">
        <v>-62877.0</v>
      </c>
      <c r="H12" s="182">
        <v>0.0</v>
      </c>
      <c r="I12" s="182">
        <v>0.0</v>
      </c>
      <c r="J12" s="182">
        <v>0.0</v>
      </c>
      <c r="K12" s="182">
        <v>0.0</v>
      </c>
    </row>
    <row r="13">
      <c r="A13" s="1" t="s">
        <v>26</v>
      </c>
      <c r="B13" s="1" t="s">
        <v>14</v>
      </c>
      <c r="C13" s="1" t="s">
        <v>22</v>
      </c>
      <c r="D13" s="192"/>
      <c r="E13" s="192">
        <v>3062.0</v>
      </c>
      <c r="F13" s="192"/>
      <c r="G13" s="192"/>
      <c r="H13" s="182">
        <v>0.0</v>
      </c>
      <c r="I13" s="182">
        <v>16520.552373000002</v>
      </c>
      <c r="J13" s="182">
        <v>0.0</v>
      </c>
      <c r="K13" s="182">
        <v>0.0</v>
      </c>
    </row>
    <row r="14">
      <c r="A14" s="1" t="s">
        <v>27</v>
      </c>
      <c r="B14" s="1" t="s">
        <v>14</v>
      </c>
      <c r="C14" s="1" t="s">
        <v>22</v>
      </c>
      <c r="D14" s="192">
        <v>0.0</v>
      </c>
      <c r="E14" s="192">
        <v>0.0</v>
      </c>
      <c r="F14" s="192">
        <v>81495.0</v>
      </c>
      <c r="G14" s="192">
        <v>-377678.0</v>
      </c>
      <c r="H14" s="182">
        <v>0.0</v>
      </c>
      <c r="I14" s="182">
        <v>0.0</v>
      </c>
      <c r="J14" s="182">
        <v>21299.729763</v>
      </c>
      <c r="K14" s="182">
        <v>3264.753534</v>
      </c>
    </row>
    <row r="15">
      <c r="A15" s="1" t="s">
        <v>28</v>
      </c>
      <c r="B15" s="1" t="s">
        <v>14</v>
      </c>
      <c r="C15" s="1" t="s">
        <v>22</v>
      </c>
      <c r="D15" s="192"/>
      <c r="E15" s="192"/>
      <c r="F15" s="192"/>
      <c r="G15" s="192"/>
      <c r="H15" s="182">
        <v>0.0</v>
      </c>
      <c r="I15" s="182">
        <v>0.0</v>
      </c>
      <c r="J15" s="182">
        <v>0.0</v>
      </c>
      <c r="K15" s="182">
        <v>0.0</v>
      </c>
    </row>
    <row r="16">
      <c r="A16" s="1" t="s">
        <v>29</v>
      </c>
      <c r="B16" s="1" t="s">
        <v>14</v>
      </c>
      <c r="C16" s="1" t="s">
        <v>22</v>
      </c>
      <c r="D16" s="192">
        <v>30973.0</v>
      </c>
      <c r="E16" s="192">
        <v>3096.0</v>
      </c>
      <c r="F16" s="192"/>
      <c r="G16" s="192">
        <v>20009.0</v>
      </c>
      <c r="H16" s="182">
        <v>101204.931153</v>
      </c>
      <c r="I16" s="182">
        <v>0.0</v>
      </c>
      <c r="J16" s="182">
        <v>23098.206351</v>
      </c>
      <c r="K16" s="182">
        <v>6686.9179859999995</v>
      </c>
    </row>
    <row r="17">
      <c r="A17" s="1" t="s">
        <v>30</v>
      </c>
      <c r="B17" s="1" t="s">
        <v>14</v>
      </c>
      <c r="C17" s="1" t="s">
        <v>22</v>
      </c>
      <c r="D17" s="192">
        <v>19726.0</v>
      </c>
      <c r="E17" s="192">
        <v>7652.0</v>
      </c>
      <c r="F17" s="192">
        <v>0.0</v>
      </c>
      <c r="G17" s="192">
        <v>31824.0</v>
      </c>
      <c r="H17" s="182">
        <v>0.0</v>
      </c>
      <c r="I17" s="182">
        <v>6623.484783</v>
      </c>
      <c r="J17" s="182">
        <v>40707.664962</v>
      </c>
      <c r="K17" s="182">
        <v>0.0</v>
      </c>
    </row>
    <row r="18">
      <c r="A18" s="1" t="s">
        <v>31</v>
      </c>
      <c r="B18" s="1" t="s">
        <v>14</v>
      </c>
      <c r="C18" s="1" t="s">
        <v>22</v>
      </c>
      <c r="D18" s="192"/>
      <c r="E18" s="192"/>
      <c r="F18" s="192"/>
      <c r="G18" s="192"/>
      <c r="H18" s="182">
        <v>0.0</v>
      </c>
      <c r="I18" s="182">
        <v>2152.322107</v>
      </c>
      <c r="J18" s="182">
        <v>231593.59854</v>
      </c>
      <c r="K18" s="182">
        <v>0.0</v>
      </c>
    </row>
    <row r="19">
      <c r="A19" s="1" t="s">
        <v>32</v>
      </c>
      <c r="B19" s="1" t="s">
        <v>14</v>
      </c>
      <c r="C19" s="1" t="s">
        <v>22</v>
      </c>
      <c r="D19" s="192"/>
      <c r="E19" s="192"/>
      <c r="F19" s="192"/>
      <c r="G19" s="192"/>
      <c r="H19" s="182">
        <v>0.0</v>
      </c>
      <c r="I19" s="182">
        <v>342.587022</v>
      </c>
      <c r="J19" s="182">
        <v>101702.641062</v>
      </c>
      <c r="K19" s="182">
        <v>0.0</v>
      </c>
    </row>
    <row r="20">
      <c r="A20" s="21" t="s">
        <v>33</v>
      </c>
      <c r="B20" s="1" t="s">
        <v>14</v>
      </c>
      <c r="C20" s="1" t="s">
        <v>22</v>
      </c>
      <c r="D20" s="199"/>
      <c r="E20" s="199"/>
      <c r="F20" s="199"/>
      <c r="G20" s="192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99"/>
      <c r="E21" s="199"/>
      <c r="F21" s="199"/>
      <c r="G21" s="192"/>
      <c r="H21" s="182">
        <v>0.0</v>
      </c>
      <c r="I21" s="182">
        <v>578.6261955</v>
      </c>
      <c r="J21" s="182">
        <v>147099.02898600002</v>
      </c>
      <c r="K21" s="182">
        <v>0.0</v>
      </c>
    </row>
    <row r="22" ht="15.75" customHeight="1">
      <c r="A22" s="24" t="s">
        <v>35</v>
      </c>
      <c r="B22" s="25"/>
      <c r="C22" s="25"/>
      <c r="D22" s="193">
        <f t="shared" ref="D22:K22" si="2">SUM(D9:D21)</f>
        <v>64329</v>
      </c>
      <c r="E22" s="193">
        <f t="shared" si="2"/>
        <v>158140</v>
      </c>
      <c r="F22" s="193">
        <f t="shared" si="2"/>
        <v>222506</v>
      </c>
      <c r="G22" s="193">
        <f t="shared" si="2"/>
        <v>-237142</v>
      </c>
      <c r="H22" s="193">
        <f t="shared" si="2"/>
        <v>101204.9312</v>
      </c>
      <c r="I22" s="193">
        <f t="shared" si="2"/>
        <v>173806.8437</v>
      </c>
      <c r="J22" s="193">
        <f t="shared" si="2"/>
        <v>578133.4959</v>
      </c>
      <c r="K22" s="193">
        <f t="shared" si="2"/>
        <v>26171.95843</v>
      </c>
    </row>
    <row r="23" ht="15.75" customHeight="1">
      <c r="A23" s="23" t="s">
        <v>36</v>
      </c>
      <c r="B23" s="23" t="s">
        <v>37</v>
      </c>
      <c r="C23" s="23" t="s">
        <v>38</v>
      </c>
      <c r="D23" s="200">
        <v>541584.0</v>
      </c>
      <c r="E23" s="200">
        <v>47324.0</v>
      </c>
      <c r="F23" s="200">
        <v>245790.0</v>
      </c>
      <c r="G23" s="192">
        <v>888800.0</v>
      </c>
      <c r="H23" s="182">
        <v>710796.467913</v>
      </c>
      <c r="I23" s="182">
        <v>99742.89338099997</v>
      </c>
      <c r="J23" s="182">
        <v>950384.3213460001</v>
      </c>
      <c r="K23" s="182">
        <v>1894584.6142679998</v>
      </c>
    </row>
    <row r="24" ht="15.75" customHeight="1">
      <c r="A24" s="30" t="s">
        <v>39</v>
      </c>
      <c r="B24" s="1" t="s">
        <v>37</v>
      </c>
      <c r="C24" s="1" t="s">
        <v>38</v>
      </c>
      <c r="D24" s="192"/>
      <c r="E24" s="192"/>
      <c r="F24" s="192"/>
      <c r="G24" s="192"/>
      <c r="H24" s="182">
        <v>93831.94075499999</v>
      </c>
      <c r="I24" s="182">
        <v>14193.203735999998</v>
      </c>
      <c r="J24" s="182">
        <v>237911.80755900004</v>
      </c>
      <c r="K24" s="182">
        <v>6928.593015</v>
      </c>
    </row>
    <row r="25" ht="15.75" customHeight="1">
      <c r="A25" s="30" t="s">
        <v>40</v>
      </c>
      <c r="B25" s="1" t="s">
        <v>37</v>
      </c>
      <c r="C25" s="1" t="s">
        <v>38</v>
      </c>
      <c r="D25" s="192"/>
      <c r="E25" s="192">
        <v>11861.0</v>
      </c>
      <c r="F25" s="192"/>
      <c r="G25" s="192"/>
      <c r="H25" s="182">
        <v>0.0</v>
      </c>
      <c r="I25" s="182">
        <v>10560.105285</v>
      </c>
      <c r="J25" s="182">
        <v>0.0</v>
      </c>
      <c r="K25" s="182">
        <v>0.0</v>
      </c>
    </row>
    <row r="26" ht="15.75" customHeight="1">
      <c r="A26" s="1" t="s">
        <v>65</v>
      </c>
      <c r="B26" s="1" t="s">
        <v>66</v>
      </c>
      <c r="C26" s="1" t="s">
        <v>38</v>
      </c>
      <c r="D26" s="192"/>
      <c r="E26" s="192"/>
      <c r="F26" s="192"/>
      <c r="G26" s="192"/>
      <c r="H26" s="182">
        <v>0.0</v>
      </c>
      <c r="I26" s="182">
        <v>0.0</v>
      </c>
      <c r="J26" s="182">
        <v>0.0</v>
      </c>
      <c r="K26" s="182">
        <v>0.0</v>
      </c>
    </row>
    <row r="27" ht="15.75" customHeight="1">
      <c r="A27" s="30" t="s">
        <v>41</v>
      </c>
      <c r="B27" s="1" t="s">
        <v>37</v>
      </c>
      <c r="C27" s="1" t="s">
        <v>38</v>
      </c>
      <c r="D27" s="192">
        <v>14085.0</v>
      </c>
      <c r="E27" s="192">
        <v>17627.0</v>
      </c>
      <c r="F27" s="192">
        <v>88720.0</v>
      </c>
      <c r="G27" s="192"/>
      <c r="H27" s="182">
        <v>0.0</v>
      </c>
      <c r="I27" s="182">
        <v>9549.076323000001</v>
      </c>
      <c r="J27" s="182">
        <v>0.0</v>
      </c>
      <c r="K27" s="182">
        <v>0.0</v>
      </c>
    </row>
    <row r="28" ht="15.75" customHeight="1">
      <c r="A28" s="30" t="s">
        <v>42</v>
      </c>
      <c r="B28" s="1" t="s">
        <v>37</v>
      </c>
      <c r="C28" s="1" t="s">
        <v>38</v>
      </c>
      <c r="D28" s="192"/>
      <c r="E28" s="192"/>
      <c r="F28" s="192"/>
      <c r="G28" s="192"/>
      <c r="H28" s="182">
        <v>243659.397579</v>
      </c>
      <c r="I28" s="182">
        <v>10329.168561</v>
      </c>
      <c r="J28" s="182">
        <v>20119.246137</v>
      </c>
      <c r="K28" s="182">
        <v>350672.670888</v>
      </c>
    </row>
    <row r="29" ht="15.75" customHeight="1">
      <c r="A29" s="30" t="s">
        <v>43</v>
      </c>
      <c r="B29" s="1" t="s">
        <v>37</v>
      </c>
      <c r="C29" s="1" t="s">
        <v>38</v>
      </c>
      <c r="D29" s="192"/>
      <c r="E29" s="192">
        <v>42516.0</v>
      </c>
      <c r="F29" s="192"/>
      <c r="G29" s="192"/>
      <c r="H29" s="182">
        <v>0.0</v>
      </c>
      <c r="I29" s="182">
        <v>32707.220664000004</v>
      </c>
      <c r="J29" s="182">
        <v>3823.327875</v>
      </c>
      <c r="K29" s="182">
        <v>0.0</v>
      </c>
    </row>
    <row r="30" ht="15.75" customHeight="1">
      <c r="A30" s="1" t="s">
        <v>44</v>
      </c>
      <c r="B30" s="1" t="s">
        <v>37</v>
      </c>
      <c r="C30" s="1" t="s">
        <v>38</v>
      </c>
      <c r="D30" s="192">
        <v>0.0</v>
      </c>
      <c r="E30" s="192">
        <v>14757.0</v>
      </c>
      <c r="F30" s="192">
        <v>20374.0</v>
      </c>
      <c r="G30" s="192">
        <v>-34396.0</v>
      </c>
      <c r="H30" s="182">
        <v>0.0</v>
      </c>
      <c r="I30" s="182">
        <v>19150.665063</v>
      </c>
      <c r="J30" s="182">
        <v>0.0</v>
      </c>
      <c r="K30" s="182">
        <v>0.0</v>
      </c>
    </row>
    <row r="31" ht="15.75" customHeight="1">
      <c r="A31" s="1" t="s">
        <v>45</v>
      </c>
      <c r="B31" s="1" t="s">
        <v>37</v>
      </c>
      <c r="C31" s="1" t="s">
        <v>38</v>
      </c>
      <c r="D31" s="192">
        <v>357418.0</v>
      </c>
      <c r="E31" s="192">
        <v>40015.0</v>
      </c>
      <c r="F31" s="192">
        <v>1025507.0</v>
      </c>
      <c r="G31" s="192">
        <v>-628650.0</v>
      </c>
      <c r="H31" s="182">
        <v>538964.820444</v>
      </c>
      <c r="I31" s="182">
        <v>45195.616713</v>
      </c>
      <c r="J31" s="182">
        <v>1570363.869771</v>
      </c>
      <c r="K31" s="182">
        <v>1528892.788527</v>
      </c>
    </row>
    <row r="32" ht="15.75" customHeight="1">
      <c r="A32" s="1" t="s">
        <v>46</v>
      </c>
      <c r="B32" s="1" t="s">
        <v>37</v>
      </c>
      <c r="C32" s="1" t="s">
        <v>38</v>
      </c>
      <c r="D32" s="192"/>
      <c r="E32" s="192"/>
      <c r="F32" s="192"/>
      <c r="G32" s="192"/>
      <c r="H32" s="182">
        <v>0.0</v>
      </c>
      <c r="I32" s="182">
        <v>0.0</v>
      </c>
      <c r="J32" s="182">
        <v>0.0</v>
      </c>
      <c r="K32" s="182">
        <v>0.0</v>
      </c>
    </row>
    <row r="33" ht="15.75" customHeight="1">
      <c r="A33" s="1" t="s">
        <v>47</v>
      </c>
      <c r="B33" s="1" t="s">
        <v>37</v>
      </c>
      <c r="C33" s="1" t="s">
        <v>38</v>
      </c>
      <c r="D33" s="192"/>
      <c r="E33" s="192"/>
      <c r="F33" s="192"/>
      <c r="G33" s="192"/>
      <c r="H33" s="182">
        <v>0.0</v>
      </c>
      <c r="I33" s="182">
        <v>0.0</v>
      </c>
      <c r="J33" s="182">
        <v>0.0</v>
      </c>
      <c r="K33" s="182">
        <v>0.0</v>
      </c>
    </row>
    <row r="34" ht="15.75" customHeight="1">
      <c r="A34" s="1" t="s">
        <v>48</v>
      </c>
      <c r="B34" s="1" t="s">
        <v>37</v>
      </c>
      <c r="C34" s="1" t="s">
        <v>38</v>
      </c>
      <c r="D34" s="192"/>
      <c r="E34" s="192"/>
      <c r="F34" s="192"/>
      <c r="G34" s="192"/>
      <c r="H34" s="182">
        <v>0.0</v>
      </c>
      <c r="I34" s="182">
        <v>0.0</v>
      </c>
      <c r="J34" s="182">
        <v>0.0</v>
      </c>
      <c r="K34" s="182">
        <v>0.0</v>
      </c>
    </row>
    <row r="35" ht="15.75" customHeight="1">
      <c r="A35" s="1" t="s">
        <v>49</v>
      </c>
      <c r="B35" s="1" t="s">
        <v>37</v>
      </c>
      <c r="C35" s="1" t="s">
        <v>38</v>
      </c>
      <c r="D35" s="192"/>
      <c r="E35" s="192">
        <v>3630.0</v>
      </c>
      <c r="F35" s="192"/>
      <c r="G35" s="192"/>
      <c r="H35" s="182">
        <v>0.0</v>
      </c>
      <c r="I35" s="182">
        <v>0.0</v>
      </c>
      <c r="J35" s="182">
        <v>0.0</v>
      </c>
      <c r="K35" s="182">
        <v>0.0</v>
      </c>
    </row>
    <row r="36" ht="15.75" customHeight="1">
      <c r="A36" s="30" t="s">
        <v>50</v>
      </c>
      <c r="B36" s="1" t="s">
        <v>37</v>
      </c>
      <c r="C36" s="1" t="s">
        <v>38</v>
      </c>
      <c r="D36" s="192"/>
      <c r="E36" s="192"/>
      <c r="F36" s="192"/>
      <c r="G36" s="192"/>
      <c r="H36" s="182">
        <v>0.0</v>
      </c>
      <c r="I36" s="182">
        <v>0.0</v>
      </c>
      <c r="J36" s="182">
        <v>0.0</v>
      </c>
      <c r="K36" s="182">
        <v>0.0</v>
      </c>
    </row>
    <row r="37" ht="15.75" customHeight="1">
      <c r="A37" s="1" t="s">
        <v>51</v>
      </c>
      <c r="B37" s="1" t="s">
        <v>37</v>
      </c>
      <c r="C37" s="1" t="s">
        <v>38</v>
      </c>
      <c r="D37" s="192"/>
      <c r="E37" s="192"/>
      <c r="F37" s="192"/>
      <c r="G37" s="192"/>
      <c r="H37" s="182">
        <v>0.0</v>
      </c>
      <c r="I37" s="182">
        <v>0.0</v>
      </c>
      <c r="J37" s="182">
        <v>0.0</v>
      </c>
      <c r="K37" s="182">
        <v>0.0</v>
      </c>
    </row>
    <row r="38" ht="15.75" customHeight="1">
      <c r="A38" s="1" t="s">
        <v>52</v>
      </c>
      <c r="B38" s="1" t="s">
        <v>37</v>
      </c>
      <c r="C38" s="1" t="s">
        <v>38</v>
      </c>
      <c r="D38" s="192"/>
      <c r="E38" s="192"/>
      <c r="F38" s="192"/>
      <c r="G38" s="192"/>
      <c r="H38" s="182">
        <v>18014.94543</v>
      </c>
      <c r="I38" s="182">
        <v>2616.538911</v>
      </c>
      <c r="J38" s="182">
        <v>0.0</v>
      </c>
      <c r="K38" s="182">
        <v>4013.543262</v>
      </c>
    </row>
    <row r="39" ht="15.75" customHeight="1">
      <c r="A39" s="1" t="s">
        <v>53</v>
      </c>
      <c r="B39" s="1" t="s">
        <v>37</v>
      </c>
      <c r="C39" s="1" t="s">
        <v>38</v>
      </c>
      <c r="D39" s="192"/>
      <c r="E39" s="192"/>
      <c r="F39" s="192"/>
      <c r="G39" s="192"/>
      <c r="H39" s="182">
        <v>0.0</v>
      </c>
      <c r="I39" s="182">
        <v>0.0</v>
      </c>
      <c r="J39" s="182">
        <v>0.0</v>
      </c>
      <c r="K39" s="182">
        <v>0.0</v>
      </c>
    </row>
    <row r="40" ht="15.75" customHeight="1">
      <c r="A40" s="1" t="s">
        <v>54</v>
      </c>
      <c r="B40" s="1" t="s">
        <v>37</v>
      </c>
      <c r="C40" s="1" t="s">
        <v>38</v>
      </c>
      <c r="D40" s="192"/>
      <c r="E40" s="192"/>
      <c r="F40" s="192"/>
      <c r="G40" s="192"/>
      <c r="H40" s="182">
        <v>0.0</v>
      </c>
      <c r="I40" s="182">
        <v>0.0</v>
      </c>
      <c r="J40" s="182">
        <v>0.0</v>
      </c>
      <c r="K40" s="182">
        <v>0.0</v>
      </c>
    </row>
    <row r="41" ht="15.75" customHeight="1">
      <c r="A41" s="1" t="s">
        <v>69</v>
      </c>
      <c r="B41" s="1" t="s">
        <v>66</v>
      </c>
      <c r="C41" s="1" t="s">
        <v>38</v>
      </c>
      <c r="D41" s="192"/>
      <c r="E41" s="192"/>
      <c r="F41" s="192"/>
      <c r="G41" s="192"/>
      <c r="H41" s="182">
        <v>0.0</v>
      </c>
      <c r="I41" s="182">
        <v>0.0</v>
      </c>
      <c r="J41" s="182">
        <v>0.0</v>
      </c>
      <c r="K41" s="182">
        <v>0.0</v>
      </c>
    </row>
    <row r="42" ht="15.75" customHeight="1">
      <c r="A42" s="1" t="s">
        <v>71</v>
      </c>
      <c r="B42" s="1" t="s">
        <v>66</v>
      </c>
      <c r="C42" s="1" t="s">
        <v>38</v>
      </c>
      <c r="D42" s="192"/>
      <c r="E42" s="192"/>
      <c r="F42" s="192"/>
      <c r="G42" s="192"/>
      <c r="H42" s="182">
        <v>0.0</v>
      </c>
      <c r="I42" s="182">
        <v>0.0</v>
      </c>
      <c r="J42" s="182">
        <v>0.0</v>
      </c>
      <c r="K42" s="182">
        <v>0.0</v>
      </c>
    </row>
    <row r="43" ht="15.75" customHeight="1">
      <c r="A43" s="30" t="s">
        <v>55</v>
      </c>
      <c r="B43" s="1" t="s">
        <v>37</v>
      </c>
      <c r="C43" s="1" t="s">
        <v>38</v>
      </c>
      <c r="D43" s="192"/>
      <c r="E43" s="192"/>
      <c r="F43" s="192"/>
      <c r="G43" s="192"/>
      <c r="H43" s="182">
        <v>82323.930897</v>
      </c>
      <c r="I43" s="182">
        <v>2663.1698249999995</v>
      </c>
      <c r="J43" s="182">
        <v>324157.493775</v>
      </c>
      <c r="K43" s="182">
        <v>99813.90656399999</v>
      </c>
    </row>
    <row r="44" ht="15.75" customHeight="1">
      <c r="A44" s="1" t="s">
        <v>56</v>
      </c>
      <c r="B44" s="1" t="s">
        <v>37</v>
      </c>
      <c r="C44" s="1" t="s">
        <v>38</v>
      </c>
      <c r="D44" s="192"/>
      <c r="E44" s="192"/>
      <c r="F44" s="192"/>
      <c r="G44" s="192"/>
      <c r="H44" s="182">
        <v>144613.96061699998</v>
      </c>
      <c r="I44" s="182">
        <v>22178.249444999998</v>
      </c>
      <c r="J44" s="182">
        <v>0.0</v>
      </c>
      <c r="K44" s="182">
        <v>82522.96152000001</v>
      </c>
    </row>
    <row r="45" ht="15.75" customHeight="1">
      <c r="A45" s="1" t="s">
        <v>57</v>
      </c>
      <c r="B45" s="1" t="s">
        <v>37</v>
      </c>
      <c r="C45" s="1" t="s">
        <v>38</v>
      </c>
      <c r="D45" s="192"/>
      <c r="E45" s="192"/>
      <c r="F45" s="192"/>
      <c r="G45" s="192"/>
      <c r="H45" s="182">
        <v>0.0</v>
      </c>
      <c r="I45" s="182">
        <v>0.0</v>
      </c>
      <c r="J45" s="182">
        <v>0.0</v>
      </c>
      <c r="K45" s="182">
        <v>0.0</v>
      </c>
    </row>
    <row r="46" ht="15.75" customHeight="1">
      <c r="A46" s="1" t="s">
        <v>67</v>
      </c>
      <c r="B46" s="1" t="s">
        <v>66</v>
      </c>
      <c r="C46" s="1" t="s">
        <v>38</v>
      </c>
      <c r="D46" s="192"/>
      <c r="E46" s="192"/>
      <c r="F46" s="192"/>
      <c r="G46" s="192"/>
      <c r="H46" s="182">
        <v>10129.702791</v>
      </c>
      <c r="I46" s="182">
        <v>1133.4596760000002</v>
      </c>
      <c r="J46" s="182">
        <v>0.0</v>
      </c>
      <c r="K46" s="182">
        <v>0.0</v>
      </c>
    </row>
    <row r="47" ht="15.75" customHeight="1">
      <c r="A47" s="1" t="s">
        <v>68</v>
      </c>
      <c r="B47" s="1" t="s">
        <v>66</v>
      </c>
      <c r="C47" s="1" t="s">
        <v>38</v>
      </c>
      <c r="D47" s="192"/>
      <c r="E47" s="192"/>
      <c r="F47" s="192"/>
      <c r="G47" s="192"/>
      <c r="H47" s="182">
        <v>0.0</v>
      </c>
      <c r="I47" s="182">
        <v>0.0</v>
      </c>
      <c r="J47" s="182">
        <v>0.0</v>
      </c>
      <c r="K47" s="182">
        <v>0.0</v>
      </c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92"/>
      <c r="E48" s="192"/>
      <c r="F48" s="192"/>
      <c r="G48" s="192"/>
      <c r="H48" s="182">
        <v>0.0</v>
      </c>
      <c r="I48" s="182">
        <v>0.0</v>
      </c>
      <c r="J48" s="182">
        <v>0.0</v>
      </c>
      <c r="K48" s="182">
        <v>0.0</v>
      </c>
    </row>
    <row r="49" ht="15.75" customHeight="1">
      <c r="A49" s="1" t="s">
        <v>59</v>
      </c>
      <c r="B49" s="1" t="s">
        <v>37</v>
      </c>
      <c r="C49" s="1" t="s">
        <v>38</v>
      </c>
      <c r="D49" s="192"/>
      <c r="E49" s="192"/>
      <c r="F49" s="192"/>
      <c r="G49" s="192"/>
      <c r="H49" s="182">
        <v>0.0</v>
      </c>
      <c r="I49" s="182">
        <v>0.0</v>
      </c>
      <c r="J49" s="182">
        <v>0.0</v>
      </c>
      <c r="K49" s="182">
        <v>0.0</v>
      </c>
    </row>
    <row r="50" ht="15.75" customHeight="1">
      <c r="A50" s="1" t="s">
        <v>60</v>
      </c>
      <c r="B50" s="1" t="s">
        <v>37</v>
      </c>
      <c r="C50" s="1" t="s">
        <v>38</v>
      </c>
      <c r="D50" s="192"/>
      <c r="E50" s="192"/>
      <c r="F50" s="192"/>
      <c r="G50" s="192"/>
      <c r="H50" s="182">
        <v>0.0</v>
      </c>
      <c r="I50" s="182">
        <v>0.0</v>
      </c>
      <c r="J50" s="182">
        <v>0.0</v>
      </c>
      <c r="K50" s="182">
        <v>0.0</v>
      </c>
    </row>
    <row r="51" ht="15.75" customHeight="1">
      <c r="A51" s="1" t="s">
        <v>61</v>
      </c>
      <c r="B51" s="1" t="s">
        <v>37</v>
      </c>
      <c r="C51" s="1" t="s">
        <v>38</v>
      </c>
      <c r="D51" s="192"/>
      <c r="E51" s="192"/>
      <c r="F51" s="192"/>
      <c r="G51" s="192"/>
      <c r="H51" s="182">
        <v>0.0</v>
      </c>
      <c r="I51" s="182">
        <v>0.0</v>
      </c>
      <c r="J51" s="182">
        <v>0.0</v>
      </c>
      <c r="K51" s="182">
        <v>0.0</v>
      </c>
    </row>
    <row r="52" ht="15.75" customHeight="1">
      <c r="A52" s="1" t="s">
        <v>62</v>
      </c>
      <c r="B52" s="1" t="s">
        <v>37</v>
      </c>
      <c r="C52" s="1" t="s">
        <v>38</v>
      </c>
      <c r="D52" s="192">
        <v>29083.0</v>
      </c>
      <c r="E52" s="192">
        <v>10390.0</v>
      </c>
      <c r="F52" s="192">
        <v>40582.0</v>
      </c>
      <c r="G52" s="192">
        <v>81351.0</v>
      </c>
      <c r="H52" s="182">
        <v>40594.372335</v>
      </c>
      <c r="I52" s="182">
        <v>0.0</v>
      </c>
      <c r="J52" s="182">
        <v>81155.19623999999</v>
      </c>
      <c r="K52" s="182">
        <v>151623.266382</v>
      </c>
    </row>
    <row r="53" ht="15.75" customHeight="1">
      <c r="A53" s="1" t="s">
        <v>63</v>
      </c>
      <c r="B53" s="1" t="s">
        <v>37</v>
      </c>
      <c r="C53" s="1" t="s">
        <v>38</v>
      </c>
      <c r="D53" s="192">
        <v>6018.0</v>
      </c>
      <c r="E53" s="192"/>
      <c r="F53" s="192"/>
      <c r="G53" s="192"/>
      <c r="H53" s="182">
        <v>0.0</v>
      </c>
      <c r="I53" s="182">
        <v>0.0</v>
      </c>
      <c r="J53" s="182">
        <v>0.0</v>
      </c>
      <c r="K53" s="182">
        <v>0.0</v>
      </c>
    </row>
    <row r="54" ht="15.75" customHeight="1">
      <c r="A54" s="1" t="s">
        <v>70</v>
      </c>
      <c r="B54" s="1" t="s">
        <v>14</v>
      </c>
      <c r="C54" s="23" t="s">
        <v>38</v>
      </c>
      <c r="D54" s="199"/>
      <c r="E54" s="199"/>
      <c r="F54" s="199"/>
      <c r="G54" s="192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99">
        <v>6018.0</v>
      </c>
      <c r="E55" s="199">
        <v>1503.0</v>
      </c>
      <c r="F55" s="199">
        <v>4501.0</v>
      </c>
      <c r="G55" s="192">
        <v>156597.0</v>
      </c>
      <c r="H55" s="182">
        <v>0.0</v>
      </c>
      <c r="I55" s="182">
        <v>0.0</v>
      </c>
      <c r="J55" s="182">
        <v>406.806297</v>
      </c>
      <c r="K55" s="182">
        <v>4799.095893</v>
      </c>
    </row>
    <row r="56" ht="15.75" customHeight="1">
      <c r="A56" s="32" t="s">
        <v>72</v>
      </c>
      <c r="B56" s="25"/>
      <c r="C56" s="25"/>
      <c r="D56" s="193">
        <f t="shared" ref="D56:K56" si="3">SUM(D23:D55)</f>
        <v>954206</v>
      </c>
      <c r="E56" s="193">
        <f t="shared" si="3"/>
        <v>189623</v>
      </c>
      <c r="F56" s="193">
        <f t="shared" si="3"/>
        <v>1425474</v>
      </c>
      <c r="G56" s="193">
        <f t="shared" si="3"/>
        <v>463702</v>
      </c>
      <c r="H56" s="193">
        <f t="shared" si="3"/>
        <v>1882929.539</v>
      </c>
      <c r="I56" s="193">
        <f t="shared" si="3"/>
        <v>270019.3676</v>
      </c>
      <c r="J56" s="193">
        <f t="shared" si="3"/>
        <v>3188322.069</v>
      </c>
      <c r="K56" s="193">
        <f t="shared" si="3"/>
        <v>4123851.44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92"/>
      <c r="H57" s="182">
        <v>0.0</v>
      </c>
      <c r="I57" s="182">
        <v>240.860883</v>
      </c>
      <c r="J57" s="182">
        <v>0.0</v>
      </c>
      <c r="K57" s="182">
        <v>2364.911649</v>
      </c>
    </row>
    <row r="58" ht="15.75" customHeight="1">
      <c r="A58" s="1" t="s">
        <v>78</v>
      </c>
      <c r="B58" s="1" t="s">
        <v>74</v>
      </c>
      <c r="C58" s="1" t="s">
        <v>38</v>
      </c>
      <c r="D58" s="181">
        <v>3852.0</v>
      </c>
      <c r="E58" s="181">
        <v>2010.0</v>
      </c>
      <c r="F58" s="181">
        <v>47974.0</v>
      </c>
      <c r="G58" s="192"/>
      <c r="H58" s="182">
        <v>0.0</v>
      </c>
      <c r="I58" s="182">
        <v>3874.63311</v>
      </c>
      <c r="J58" s="182">
        <v>12281.785446000002</v>
      </c>
      <c r="K58" s="182">
        <v>0.0</v>
      </c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92"/>
      <c r="H59" s="182">
        <v>217509.49128000002</v>
      </c>
      <c r="I59" s="182">
        <v>13290.161414999999</v>
      </c>
      <c r="J59" s="182">
        <v>1586.0125559999997</v>
      </c>
      <c r="K59" s="182">
        <v>62392.471745999996</v>
      </c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92"/>
      <c r="H60" s="182">
        <v>0.0</v>
      </c>
      <c r="I60" s="182">
        <v>0.0</v>
      </c>
      <c r="J60" s="182">
        <v>0.0</v>
      </c>
      <c r="K60" s="182">
        <v>0.0</v>
      </c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92"/>
      <c r="E61" s="192"/>
      <c r="F61" s="192"/>
      <c r="G61" s="192"/>
      <c r="H61" s="182">
        <v>0.0</v>
      </c>
      <c r="I61" s="182">
        <v>26642.562888</v>
      </c>
      <c r="J61" s="182">
        <v>0.0</v>
      </c>
      <c r="K61" s="182">
        <v>5186.039835</v>
      </c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92"/>
      <c r="E62" s="192"/>
      <c r="F62" s="192"/>
      <c r="G62" s="192"/>
      <c r="H62" s="182">
        <v>0.0</v>
      </c>
      <c r="I62" s="182">
        <v>0.0</v>
      </c>
      <c r="J62" s="182">
        <v>0.0</v>
      </c>
      <c r="K62" s="182">
        <v>0.0</v>
      </c>
    </row>
    <row r="63" ht="15.75" customHeight="1">
      <c r="A63" s="35" t="s">
        <v>80</v>
      </c>
      <c r="B63" s="1" t="s">
        <v>74</v>
      </c>
      <c r="C63" s="23" t="s">
        <v>38</v>
      </c>
      <c r="D63" s="192"/>
      <c r="E63" s="192"/>
      <c r="F63" s="192"/>
      <c r="G63" s="192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99"/>
      <c r="E64" s="199"/>
      <c r="F64" s="199"/>
      <c r="G64" s="192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99"/>
      <c r="E65" s="199">
        <v>2126.0</v>
      </c>
      <c r="F65" s="199">
        <v>88873.0</v>
      </c>
      <c r="G65" s="192">
        <v>-838907.0</v>
      </c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3852</v>
      </c>
      <c r="E66" s="193">
        <f t="shared" si="4"/>
        <v>4136</v>
      </c>
      <c r="F66" s="193">
        <f t="shared" si="4"/>
        <v>136847</v>
      </c>
      <c r="G66" s="193">
        <f t="shared" si="4"/>
        <v>-838907</v>
      </c>
      <c r="H66" s="193">
        <f t="shared" si="4"/>
        <v>217509.4913</v>
      </c>
      <c r="I66" s="193">
        <f t="shared" si="4"/>
        <v>44048.2183</v>
      </c>
      <c r="J66" s="193">
        <f t="shared" si="4"/>
        <v>13867.798</v>
      </c>
      <c r="K66" s="193">
        <f t="shared" si="4"/>
        <v>69943.42323</v>
      </c>
    </row>
    <row r="67" ht="15.75" customHeight="1">
      <c r="A67" s="23" t="s">
        <v>84</v>
      </c>
      <c r="B67" s="1" t="s">
        <v>14</v>
      </c>
      <c r="C67" s="23" t="s">
        <v>85</v>
      </c>
      <c r="D67" s="200">
        <v>10688.0</v>
      </c>
      <c r="E67" s="200">
        <v>0.0</v>
      </c>
      <c r="F67" s="200"/>
      <c r="G67" s="192">
        <v>992.0</v>
      </c>
      <c r="H67" s="182">
        <v>0.0</v>
      </c>
      <c r="I67" s="182">
        <v>0.0</v>
      </c>
      <c r="J67" s="182">
        <v>1793108.0812020001</v>
      </c>
      <c r="K67" s="182">
        <v>57576.54549</v>
      </c>
    </row>
    <row r="68" ht="15.75" customHeight="1">
      <c r="A68" s="30" t="s">
        <v>86</v>
      </c>
      <c r="B68" s="1" t="s">
        <v>37</v>
      </c>
      <c r="C68" s="1" t="s">
        <v>87</v>
      </c>
      <c r="D68" s="192">
        <v>226368.0</v>
      </c>
      <c r="E68" s="192">
        <v>102471.0</v>
      </c>
      <c r="F68" s="192">
        <v>263360.0</v>
      </c>
      <c r="G68" s="192">
        <v>-411875.0</v>
      </c>
      <c r="H68" s="182">
        <v>444237.41734800005</v>
      </c>
      <c r="I68" s="182">
        <v>310302.931806</v>
      </c>
      <c r="J68" s="182">
        <v>1897793.177691</v>
      </c>
      <c r="K68" s="182">
        <v>1144649.031921</v>
      </c>
    </row>
    <row r="69" ht="15.75" customHeight="1">
      <c r="A69" s="1" t="s">
        <v>88</v>
      </c>
      <c r="B69" s="1" t="s">
        <v>14</v>
      </c>
      <c r="C69" s="1" t="s">
        <v>87</v>
      </c>
      <c r="D69" s="192"/>
      <c r="E69" s="192"/>
      <c r="F69" s="192">
        <v>20815.0</v>
      </c>
      <c r="G69" s="192"/>
      <c r="H69" s="182">
        <v>0.0</v>
      </c>
      <c r="I69" s="182">
        <v>3568.90725</v>
      </c>
      <c r="J69" s="182">
        <v>0.0</v>
      </c>
      <c r="K69" s="182">
        <v>0.0</v>
      </c>
    </row>
    <row r="70" ht="15.75" customHeight="1">
      <c r="A70" s="1" t="s">
        <v>89</v>
      </c>
      <c r="B70" s="1" t="s">
        <v>37</v>
      </c>
      <c r="C70" s="1" t="s">
        <v>87</v>
      </c>
      <c r="D70" s="192"/>
      <c r="E70" s="192"/>
      <c r="F70" s="192"/>
      <c r="G70" s="192"/>
      <c r="H70" s="182">
        <v>40030.674489</v>
      </c>
      <c r="I70" s="182">
        <v>1871.0759519999997</v>
      </c>
      <c r="J70" s="182">
        <v>18889.408419</v>
      </c>
      <c r="K70" s="182">
        <v>0.0</v>
      </c>
    </row>
    <row r="71" ht="15.75" customHeight="1">
      <c r="A71" s="1" t="s">
        <v>90</v>
      </c>
      <c r="B71" s="1" t="s">
        <v>37</v>
      </c>
      <c r="C71" s="1" t="s">
        <v>87</v>
      </c>
      <c r="D71" s="192"/>
      <c r="E71" s="192">
        <v>7689.0</v>
      </c>
      <c r="F71" s="192"/>
      <c r="G71" s="192"/>
      <c r="H71" s="182">
        <v>9608.902016999999</v>
      </c>
      <c r="I71" s="182">
        <v>18149.784852000004</v>
      </c>
      <c r="J71" s="182">
        <v>0.0</v>
      </c>
      <c r="K71" s="182">
        <v>0.0</v>
      </c>
    </row>
    <row r="72" ht="15.75" customHeight="1">
      <c r="A72" s="1" t="s">
        <v>91</v>
      </c>
      <c r="B72" s="1" t="s">
        <v>37</v>
      </c>
      <c r="C72" s="1" t="s">
        <v>87</v>
      </c>
      <c r="D72" s="192"/>
      <c r="E72" s="192">
        <v>5468.0</v>
      </c>
      <c r="F72" s="192">
        <v>98224.0</v>
      </c>
      <c r="G72" s="192"/>
      <c r="H72" s="182"/>
      <c r="I72" s="182">
        <v>2460.26499</v>
      </c>
      <c r="J72" s="182">
        <v>182602.307754</v>
      </c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92">
        <v>0.0</v>
      </c>
      <c r="E73" s="192">
        <v>-7618.0</v>
      </c>
      <c r="F73" s="192">
        <v>76582.0</v>
      </c>
      <c r="G73" s="192">
        <v>-1303201.0</v>
      </c>
      <c r="H73" s="182"/>
      <c r="I73" s="182">
        <v>-2707.344264</v>
      </c>
      <c r="J73" s="182">
        <v>18422.116689</v>
      </c>
      <c r="K73" s="182">
        <v>4425.697656</v>
      </c>
    </row>
    <row r="74" ht="15.75" customHeight="1">
      <c r="A74" s="1" t="s">
        <v>93</v>
      </c>
      <c r="B74" s="1" t="s">
        <v>37</v>
      </c>
      <c r="C74" s="1" t="s">
        <v>87</v>
      </c>
      <c r="D74" s="192"/>
      <c r="E74" s="192">
        <v>8605.0</v>
      </c>
      <c r="F74" s="192"/>
      <c r="G74" s="192"/>
      <c r="H74" s="182">
        <v>0.0</v>
      </c>
      <c r="I74" s="182">
        <v>0.0</v>
      </c>
      <c r="J74" s="182">
        <v>0.0</v>
      </c>
      <c r="K74" s="182">
        <v>0.0</v>
      </c>
    </row>
    <row r="75" ht="15.75" customHeight="1">
      <c r="A75" s="196" t="s">
        <v>94</v>
      </c>
      <c r="B75" s="197"/>
      <c r="C75" s="197"/>
      <c r="D75" s="198">
        <f t="shared" ref="D75:K75" si="5">SUM(D67:D74)</f>
        <v>237056</v>
      </c>
      <c r="E75" s="198">
        <f t="shared" si="5"/>
        <v>116615</v>
      </c>
      <c r="F75" s="198">
        <f t="shared" si="5"/>
        <v>458981</v>
      </c>
      <c r="G75" s="198">
        <f t="shared" si="5"/>
        <v>-1714084</v>
      </c>
      <c r="H75" s="198">
        <f t="shared" si="5"/>
        <v>493876.9939</v>
      </c>
      <c r="I75" s="198">
        <f t="shared" si="5"/>
        <v>333645.6206</v>
      </c>
      <c r="J75" s="198">
        <f t="shared" si="5"/>
        <v>3910815.092</v>
      </c>
      <c r="K75" s="198">
        <f t="shared" si="5"/>
        <v>1206651.275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1319106</v>
      </c>
      <c r="E76" s="189">
        <f t="shared" si="6"/>
        <v>473764</v>
      </c>
      <c r="F76" s="189">
        <f t="shared" si="6"/>
        <v>2672288</v>
      </c>
      <c r="G76" s="189">
        <f t="shared" si="6"/>
        <v>-2842186</v>
      </c>
      <c r="H76" s="189">
        <f t="shared" si="6"/>
        <v>2765797.027</v>
      </c>
      <c r="I76" s="189">
        <f t="shared" si="6"/>
        <v>850339.9351</v>
      </c>
      <c r="J76" s="189">
        <f t="shared" si="6"/>
        <v>7946302.942</v>
      </c>
      <c r="K76" s="189">
        <f t="shared" si="6"/>
        <v>5453130.93</v>
      </c>
    </row>
    <row r="77" ht="15.75" customHeight="1">
      <c r="A77" s="40"/>
      <c r="B77" s="40"/>
      <c r="C77" s="40"/>
      <c r="H77" s="16"/>
      <c r="I77" s="16"/>
      <c r="J77" s="16"/>
    </row>
    <row r="78" ht="15.75" customHeight="1">
      <c r="A78" s="40"/>
      <c r="B78" s="40"/>
      <c r="C78" s="40"/>
      <c r="D78" s="204"/>
      <c r="E78" s="204"/>
      <c r="F78" s="204"/>
      <c r="G78" s="204"/>
      <c r="H78" s="10"/>
      <c r="I78" s="10"/>
      <c r="J78" s="10"/>
    </row>
    <row r="79" ht="15.75" customHeight="1">
      <c r="A79" s="40"/>
      <c r="B79" s="40"/>
      <c r="C79" s="40"/>
      <c r="D79" s="204"/>
      <c r="E79" s="204"/>
      <c r="F79" s="204"/>
      <c r="G79" s="204"/>
      <c r="H79" s="10"/>
      <c r="I79" s="10"/>
      <c r="J79" s="10"/>
    </row>
    <row r="80" ht="15.75" customHeight="1">
      <c r="A80" s="40"/>
      <c r="B80" s="40"/>
      <c r="C80" s="40"/>
      <c r="D80" s="204"/>
      <c r="E80" s="194"/>
      <c r="F80" s="194"/>
      <c r="G80" s="194"/>
      <c r="H80" s="10"/>
      <c r="I80" s="10"/>
      <c r="J80" s="10"/>
    </row>
    <row r="81" ht="15.75" customHeight="1">
      <c r="A81" s="40"/>
      <c r="B81" s="40"/>
      <c r="C81" s="40"/>
      <c r="D81" s="204"/>
      <c r="E81" s="204"/>
      <c r="F81" s="204"/>
      <c r="G81" s="204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>
        <f>1043295.46-D6-D16-D52-D70</f>
        <v>881103.883</v>
      </c>
      <c r="E3" s="192">
        <f>9721.447-E6</f>
        <v>6266.068</v>
      </c>
      <c r="F3" s="192">
        <f>5890021.404-282314-F4-F6-F69-F70</f>
        <v>4536159.94</v>
      </c>
      <c r="G3" s="192">
        <f>5392198-G16-G52-G70</f>
        <v>5269309</v>
      </c>
      <c r="H3" s="182">
        <v>535357.676406</v>
      </c>
      <c r="I3" s="182">
        <v>141571.300497</v>
      </c>
      <c r="J3" s="182">
        <v>942246.6900000002</v>
      </c>
      <c r="K3" s="182">
        <v>569969.0</v>
      </c>
    </row>
    <row r="4">
      <c r="A4" s="1" t="s">
        <v>16</v>
      </c>
      <c r="B4" s="1" t="s">
        <v>14</v>
      </c>
      <c r="C4" s="1" t="s">
        <v>15</v>
      </c>
      <c r="D4" s="192"/>
      <c r="E4" s="192"/>
      <c r="F4" s="192">
        <v>580360.9495</v>
      </c>
      <c r="G4" s="192"/>
      <c r="H4" s="182">
        <v>0.0</v>
      </c>
      <c r="I4" s="182">
        <v>0.0</v>
      </c>
      <c r="J4" s="182">
        <v>961268.3099999999</v>
      </c>
      <c r="K4" s="182">
        <v>0.0</v>
      </c>
    </row>
    <row r="5">
      <c r="A5" s="1" t="s">
        <v>17</v>
      </c>
      <c r="B5" s="1" t="s">
        <v>14</v>
      </c>
      <c r="C5" s="1" t="s">
        <v>15</v>
      </c>
      <c r="D5" s="192"/>
      <c r="E5" s="192"/>
      <c r="F5" s="192"/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99">
        <v>40149.2095</v>
      </c>
      <c r="E6" s="199">
        <v>3455.379</v>
      </c>
      <c r="F6" s="199">
        <v>434669.3447</v>
      </c>
      <c r="G6" s="199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/>
      <c r="E7" s="192"/>
      <c r="F7" s="192"/>
      <c r="G7" s="192"/>
      <c r="H7" s="182">
        <v>0.0</v>
      </c>
      <c r="I7" s="182">
        <v>2138.747505</v>
      </c>
      <c r="J7" s="182">
        <v>0.0</v>
      </c>
      <c r="K7" s="182">
        <v>0.0</v>
      </c>
    </row>
    <row r="8">
      <c r="A8" s="24" t="s">
        <v>20</v>
      </c>
      <c r="B8" s="25"/>
      <c r="C8" s="25"/>
      <c r="D8" s="193">
        <f t="shared" ref="D8:K8" si="1">SUM(D3:D7)</f>
        <v>921253.0925</v>
      </c>
      <c r="E8" s="193">
        <f t="shared" si="1"/>
        <v>9721.447</v>
      </c>
      <c r="F8" s="193">
        <f t="shared" si="1"/>
        <v>5551190.234</v>
      </c>
      <c r="G8" s="193">
        <f t="shared" si="1"/>
        <v>5269309</v>
      </c>
      <c r="H8" s="193">
        <f t="shared" si="1"/>
        <v>535357.6764</v>
      </c>
      <c r="I8" s="193">
        <f t="shared" si="1"/>
        <v>143710.048</v>
      </c>
      <c r="J8" s="193">
        <f t="shared" si="1"/>
        <v>1903515</v>
      </c>
      <c r="K8" s="193">
        <f t="shared" si="1"/>
        <v>569969</v>
      </c>
    </row>
    <row r="9">
      <c r="A9" s="23" t="s">
        <v>21</v>
      </c>
      <c r="B9" s="1" t="s">
        <v>14</v>
      </c>
      <c r="C9" s="23" t="s">
        <v>22</v>
      </c>
      <c r="D9" s="200"/>
      <c r="E9" s="200"/>
      <c r="F9" s="200"/>
      <c r="G9" s="200"/>
      <c r="H9" s="182">
        <v>0.0</v>
      </c>
      <c r="I9" s="182">
        <v>0.0</v>
      </c>
      <c r="J9" s="182">
        <v>0.0</v>
      </c>
      <c r="K9" s="182">
        <v>0.0</v>
      </c>
    </row>
    <row r="10">
      <c r="A10" s="1" t="s">
        <v>23</v>
      </c>
      <c r="B10" s="1" t="s">
        <v>14</v>
      </c>
      <c r="C10" s="1" t="s">
        <v>22</v>
      </c>
      <c r="D10" s="192">
        <v>24059.3135</v>
      </c>
      <c r="E10" s="192"/>
      <c r="F10" s="192"/>
      <c r="G10" s="192"/>
      <c r="H10" s="182">
        <v>4579.234361999999</v>
      </c>
      <c r="I10" s="182">
        <v>0.0</v>
      </c>
      <c r="J10" s="182">
        <v>0.0</v>
      </c>
      <c r="K10" s="182">
        <v>1639.0</v>
      </c>
    </row>
    <row r="11">
      <c r="A11" s="1" t="s">
        <v>24</v>
      </c>
      <c r="B11" s="1" t="s">
        <v>14</v>
      </c>
      <c r="C11" s="1" t="s">
        <v>22</v>
      </c>
      <c r="D11" s="192"/>
      <c r="E11" s="192"/>
      <c r="F11" s="192"/>
      <c r="G11" s="192">
        <v>5959.0</v>
      </c>
      <c r="H11" s="182">
        <v>0.0</v>
      </c>
      <c r="I11" s="182">
        <v>2208.413136</v>
      </c>
      <c r="J11" s="182">
        <v>0.0</v>
      </c>
      <c r="K11" s="182">
        <v>0.0</v>
      </c>
    </row>
    <row r="12">
      <c r="A12" s="1" t="s">
        <v>25</v>
      </c>
      <c r="B12" s="1" t="s">
        <v>14</v>
      </c>
      <c r="C12" s="1" t="s">
        <v>22</v>
      </c>
      <c r="D12" s="192"/>
      <c r="E12" s="192">
        <v>4260.477</v>
      </c>
      <c r="F12" s="192">
        <v>1526823.37</v>
      </c>
      <c r="G12" s="192"/>
      <c r="H12" s="182">
        <v>0.0</v>
      </c>
      <c r="I12" s="182">
        <v>0.0</v>
      </c>
      <c r="J12" s="182">
        <v>0.0</v>
      </c>
      <c r="K12" s="182">
        <v>0.0</v>
      </c>
    </row>
    <row r="13">
      <c r="A13" s="1" t="s">
        <v>26</v>
      </c>
      <c r="B13" s="1" t="s">
        <v>14</v>
      </c>
      <c r="C13" s="1" t="s">
        <v>22</v>
      </c>
      <c r="D13" s="192">
        <v>4615.4225</v>
      </c>
      <c r="E13" s="192">
        <v>15176.0335</v>
      </c>
      <c r="F13" s="192">
        <v>2349.83</v>
      </c>
      <c r="G13" s="192"/>
      <c r="H13" s="182">
        <v>0.0</v>
      </c>
      <c r="I13" s="182">
        <v>43645.103729999995</v>
      </c>
      <c r="J13" s="182">
        <v>179450.72</v>
      </c>
      <c r="K13" s="182">
        <v>0.0</v>
      </c>
    </row>
    <row r="14">
      <c r="A14" s="1" t="s">
        <v>27</v>
      </c>
      <c r="B14" s="1" t="s">
        <v>14</v>
      </c>
      <c r="C14" s="1" t="s">
        <v>22</v>
      </c>
      <c r="D14" s="192"/>
      <c r="E14" s="192"/>
      <c r="F14" s="192"/>
      <c r="G14" s="192"/>
      <c r="H14" s="182">
        <v>0.0</v>
      </c>
      <c r="I14" s="182">
        <v>0.0</v>
      </c>
      <c r="J14" s="182">
        <v>0.0</v>
      </c>
      <c r="K14" s="182">
        <v>0.0</v>
      </c>
    </row>
    <row r="15">
      <c r="A15" s="1" t="s">
        <v>28</v>
      </c>
      <c r="B15" s="1" t="s">
        <v>14</v>
      </c>
      <c r="C15" s="1" t="s">
        <v>22</v>
      </c>
      <c r="D15" s="192"/>
      <c r="E15" s="192"/>
      <c r="F15" s="192"/>
      <c r="G15" s="192"/>
      <c r="H15" s="182">
        <v>0.0</v>
      </c>
      <c r="I15" s="182">
        <v>0.0</v>
      </c>
      <c r="J15" s="182">
        <v>0.0</v>
      </c>
      <c r="K15" s="182">
        <v>0.0</v>
      </c>
    </row>
    <row r="16">
      <c r="A16" s="1" t="s">
        <v>29</v>
      </c>
      <c r="B16" s="1" t="s">
        <v>14</v>
      </c>
      <c r="C16" s="1" t="s">
        <v>22</v>
      </c>
      <c r="D16" s="192">
        <v>45925.7485</v>
      </c>
      <c r="E16" s="192"/>
      <c r="F16" s="192"/>
      <c r="G16" s="192">
        <v>24906.0</v>
      </c>
      <c r="H16" s="182">
        <v>25797.675858000002</v>
      </c>
      <c r="I16" s="182">
        <v>0.0</v>
      </c>
      <c r="J16" s="182">
        <v>0.0</v>
      </c>
      <c r="K16" s="182">
        <v>0.0</v>
      </c>
    </row>
    <row r="17">
      <c r="A17" s="1" t="s">
        <v>30</v>
      </c>
      <c r="B17" s="1" t="s">
        <v>14</v>
      </c>
      <c r="C17" s="1" t="s">
        <v>22</v>
      </c>
      <c r="D17" s="192">
        <v>24149.6485</v>
      </c>
      <c r="E17" s="192">
        <v>3873.965</v>
      </c>
      <c r="F17" s="192"/>
      <c r="G17" s="192">
        <v>79670.0</v>
      </c>
      <c r="H17" s="182">
        <v>24.017307</v>
      </c>
      <c r="I17" s="182">
        <v>1209.9192150000001</v>
      </c>
      <c r="J17" s="182">
        <v>568839.43</v>
      </c>
      <c r="K17" s="182">
        <v>277600.0</v>
      </c>
    </row>
    <row r="18">
      <c r="A18" s="1" t="s">
        <v>31</v>
      </c>
      <c r="B18" s="1" t="s">
        <v>14</v>
      </c>
      <c r="C18" s="1" t="s">
        <v>22</v>
      </c>
      <c r="D18" s="192">
        <v>126452.325</v>
      </c>
      <c r="E18" s="192">
        <v>30423.958</v>
      </c>
      <c r="F18" s="192">
        <v>3912648.007</v>
      </c>
      <c r="G18" s="192">
        <v>387211.0</v>
      </c>
      <c r="H18" s="182">
        <v>32817.439188</v>
      </c>
      <c r="I18" s="182">
        <v>20495.339478000005</v>
      </c>
      <c r="J18" s="182">
        <v>2870715.4900000007</v>
      </c>
      <c r="K18" s="182">
        <v>2679106.0</v>
      </c>
    </row>
    <row r="19">
      <c r="A19" s="1" t="s">
        <v>32</v>
      </c>
      <c r="B19" s="1" t="s">
        <v>14</v>
      </c>
      <c r="C19" s="1" t="s">
        <v>22</v>
      </c>
      <c r="D19" s="192"/>
      <c r="E19" s="192"/>
      <c r="F19" s="192"/>
      <c r="G19" s="192"/>
      <c r="H19" s="182">
        <v>0.0</v>
      </c>
      <c r="I19" s="182">
        <v>0.0</v>
      </c>
      <c r="J19" s="182">
        <v>0.0</v>
      </c>
      <c r="K19" s="182">
        <v>0.0</v>
      </c>
    </row>
    <row r="20">
      <c r="A20" s="21" t="s">
        <v>33</v>
      </c>
      <c r="B20" s="1" t="s">
        <v>14</v>
      </c>
      <c r="C20" s="1" t="s">
        <v>22</v>
      </c>
      <c r="D20" s="199"/>
      <c r="E20" s="199"/>
      <c r="F20" s="199"/>
      <c r="G20" s="199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99"/>
      <c r="E21" s="199"/>
      <c r="F21" s="199"/>
      <c r="G21" s="199"/>
      <c r="H21" s="182">
        <v>0.0</v>
      </c>
      <c r="I21" s="182">
        <v>0.0</v>
      </c>
      <c r="J21" s="182">
        <v>0.0</v>
      </c>
      <c r="K21" s="182">
        <v>0.0</v>
      </c>
    </row>
    <row r="22" ht="15.75" customHeight="1">
      <c r="A22" s="24" t="s">
        <v>35</v>
      </c>
      <c r="B22" s="25"/>
      <c r="C22" s="25"/>
      <c r="D22" s="193">
        <f t="shared" ref="D22:K22" si="2">SUM(D9:D21)</f>
        <v>225202.458</v>
      </c>
      <c r="E22" s="193">
        <f t="shared" si="2"/>
        <v>53734.4335</v>
      </c>
      <c r="F22" s="193">
        <f t="shared" si="2"/>
        <v>5441821.207</v>
      </c>
      <c r="G22" s="193">
        <f t="shared" si="2"/>
        <v>497746</v>
      </c>
      <c r="H22" s="193">
        <f t="shared" si="2"/>
        <v>63218.36672</v>
      </c>
      <c r="I22" s="193">
        <f t="shared" si="2"/>
        <v>67558.77556</v>
      </c>
      <c r="J22" s="193">
        <f t="shared" si="2"/>
        <v>3619005.64</v>
      </c>
      <c r="K22" s="193">
        <f t="shared" si="2"/>
        <v>2958345</v>
      </c>
    </row>
    <row r="23" ht="15.75" customHeight="1">
      <c r="A23" s="23" t="s">
        <v>36</v>
      </c>
      <c r="B23" s="23" t="s">
        <v>37</v>
      </c>
      <c r="C23" s="23" t="s">
        <v>38</v>
      </c>
      <c r="D23" s="186">
        <v>17536.6915</v>
      </c>
      <c r="E23" s="186"/>
      <c r="F23" s="186"/>
      <c r="G23" s="186">
        <v>71286.0</v>
      </c>
      <c r="H23" s="182">
        <v>0.0</v>
      </c>
      <c r="I23" s="182">
        <v>0.0</v>
      </c>
      <c r="J23" s="182">
        <v>0.0</v>
      </c>
      <c r="K23" s="182">
        <v>0.0</v>
      </c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>
        <v>0.0</v>
      </c>
      <c r="I24" s="182">
        <v>0.0</v>
      </c>
      <c r="J24" s="182">
        <v>0.0</v>
      </c>
      <c r="K24" s="182">
        <v>0.0</v>
      </c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>
        <v>0.0</v>
      </c>
      <c r="I25" s="182">
        <v>0.0</v>
      </c>
      <c r="J25" s="182">
        <v>0.0</v>
      </c>
      <c r="K25" s="182">
        <v>0.0</v>
      </c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>
        <v>0.0</v>
      </c>
      <c r="I26" s="182">
        <v>0.0</v>
      </c>
      <c r="J26" s="182">
        <v>0.0</v>
      </c>
      <c r="K26" s="182">
        <v>0.0</v>
      </c>
    </row>
    <row r="27" ht="15.75" customHeight="1">
      <c r="A27" s="30" t="s">
        <v>41</v>
      </c>
      <c r="B27" s="1" t="s">
        <v>37</v>
      </c>
      <c r="C27" s="1" t="s">
        <v>38</v>
      </c>
      <c r="D27" s="181">
        <v>902175.529</v>
      </c>
      <c r="E27" s="181">
        <v>63898.4115</v>
      </c>
      <c r="F27" s="181">
        <v>387626.3644</v>
      </c>
      <c r="G27" s="181">
        <v>2084722.0</v>
      </c>
      <c r="H27" s="182">
        <v>939152.9386470005</v>
      </c>
      <c r="I27" s="182">
        <v>3595.196783</v>
      </c>
      <c r="J27" s="182">
        <v>0.0</v>
      </c>
      <c r="K27" s="182">
        <v>421389.0</v>
      </c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>
        <v>200000.0</v>
      </c>
      <c r="G28" s="181">
        <v>206.0</v>
      </c>
      <c r="H28" s="182">
        <v>14947.917077999999</v>
      </c>
      <c r="I28" s="182">
        <v>39160.33837800001</v>
      </c>
      <c r="J28" s="182">
        <v>4473.0</v>
      </c>
      <c r="K28" s="182">
        <v>0.0</v>
      </c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>
        <v>487.49</v>
      </c>
      <c r="F29" s="181"/>
      <c r="G29" s="181"/>
      <c r="H29" s="182">
        <v>0.0</v>
      </c>
      <c r="I29" s="182">
        <v>0.0</v>
      </c>
      <c r="J29" s="182">
        <v>0.0</v>
      </c>
      <c r="K29" s="182">
        <v>0.0</v>
      </c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>
        <v>0.0</v>
      </c>
      <c r="I30" s="182">
        <v>0.0</v>
      </c>
      <c r="J30" s="182">
        <v>0.0</v>
      </c>
      <c r="K30" s="182">
        <v>0.0</v>
      </c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/>
      <c r="G31" s="181">
        <v>110917.0</v>
      </c>
      <c r="H31" s="182">
        <v>0.0</v>
      </c>
      <c r="I31" s="182">
        <v>0.0</v>
      </c>
      <c r="J31" s="182">
        <v>10506.0</v>
      </c>
      <c r="K31" s="182">
        <v>0.0</v>
      </c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>
        <v>0.0</v>
      </c>
      <c r="I32" s="182">
        <v>0.0</v>
      </c>
      <c r="J32" s="182">
        <v>0.0</v>
      </c>
      <c r="K32" s="182">
        <v>0.0</v>
      </c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>
        <v>0.0</v>
      </c>
      <c r="I33" s="182">
        <v>0.0</v>
      </c>
      <c r="J33" s="182">
        <v>0.0</v>
      </c>
      <c r="K33" s="182">
        <v>0.0</v>
      </c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>
        <v>0.0</v>
      </c>
      <c r="I34" s="182">
        <v>0.0</v>
      </c>
      <c r="J34" s="182">
        <v>0.0</v>
      </c>
      <c r="K34" s="182">
        <v>0.0</v>
      </c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>
        <v>0.0</v>
      </c>
      <c r="I35" s="182">
        <v>0.0</v>
      </c>
      <c r="J35" s="182">
        <v>0.0</v>
      </c>
      <c r="K35" s="182">
        <v>0.0</v>
      </c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>
        <v>0.0</v>
      </c>
      <c r="I36" s="182">
        <v>0.0</v>
      </c>
      <c r="J36" s="182">
        <v>0.0</v>
      </c>
      <c r="K36" s="182">
        <v>0.0</v>
      </c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>
        <v>0.0</v>
      </c>
      <c r="I37" s="182">
        <v>0.0</v>
      </c>
      <c r="J37" s="182">
        <v>0.0</v>
      </c>
      <c r="K37" s="182">
        <v>0.0</v>
      </c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>
        <v>0.0</v>
      </c>
      <c r="I38" s="182">
        <v>0.0</v>
      </c>
      <c r="J38" s="182">
        <v>0.0</v>
      </c>
      <c r="K38" s="182">
        <v>0.0</v>
      </c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>
        <v>0.0</v>
      </c>
      <c r="I39" s="182">
        <v>0.0</v>
      </c>
      <c r="J39" s="182">
        <v>0.0</v>
      </c>
      <c r="K39" s="182">
        <v>0.0</v>
      </c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>
        <v>0.0</v>
      </c>
      <c r="I40" s="182">
        <v>0.0</v>
      </c>
      <c r="J40" s="182">
        <v>0.0</v>
      </c>
      <c r="K40" s="182">
        <v>0.0</v>
      </c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>
        <v>0.0</v>
      </c>
      <c r="I41" s="182">
        <v>0.0</v>
      </c>
      <c r="J41" s="182">
        <v>0.0</v>
      </c>
      <c r="K41" s="182">
        <v>0.0</v>
      </c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>
        <v>0.0</v>
      </c>
      <c r="I42" s="182">
        <v>0.0</v>
      </c>
      <c r="J42" s="182">
        <v>0.0</v>
      </c>
      <c r="K42" s="182">
        <v>0.0</v>
      </c>
    </row>
    <row r="43" ht="15.75" customHeight="1">
      <c r="A43" s="30" t="s">
        <v>55</v>
      </c>
      <c r="B43" s="1" t="s">
        <v>37</v>
      </c>
      <c r="C43" s="1" t="s">
        <v>38</v>
      </c>
      <c r="D43" s="192">
        <v>25286.956</v>
      </c>
      <c r="E43" s="192">
        <v>8165.3995</v>
      </c>
      <c r="F43" s="192"/>
      <c r="G43" s="192"/>
      <c r="H43" s="182">
        <v>0.0</v>
      </c>
      <c r="I43" s="182">
        <v>9528.020822999999</v>
      </c>
      <c r="J43" s="182">
        <v>0.0</v>
      </c>
      <c r="K43" s="182">
        <v>0.0</v>
      </c>
    </row>
    <row r="44" ht="15.75" customHeight="1">
      <c r="A44" s="1" t="s">
        <v>56</v>
      </c>
      <c r="B44" s="1" t="s">
        <v>37</v>
      </c>
      <c r="C44" s="1" t="s">
        <v>38</v>
      </c>
      <c r="D44" s="192"/>
      <c r="E44" s="192"/>
      <c r="F44" s="192">
        <v>9373.58</v>
      </c>
      <c r="G44" s="192"/>
      <c r="H44" s="182">
        <v>0.0</v>
      </c>
      <c r="I44" s="182">
        <v>0.0</v>
      </c>
      <c r="J44" s="182">
        <v>30000.0</v>
      </c>
      <c r="K44" s="182">
        <v>0.0</v>
      </c>
    </row>
    <row r="45" ht="15.75" customHeight="1">
      <c r="A45" s="1" t="s">
        <v>57</v>
      </c>
      <c r="B45" s="1" t="s">
        <v>37</v>
      </c>
      <c r="C45" s="1" t="s">
        <v>38</v>
      </c>
      <c r="D45" s="192"/>
      <c r="E45" s="205">
        <v>998.934</v>
      </c>
      <c r="F45" s="192"/>
      <c r="G45" s="192"/>
      <c r="H45" s="182">
        <v>0.0</v>
      </c>
      <c r="I45" s="182">
        <v>0.0</v>
      </c>
      <c r="J45" s="182">
        <v>118723.02</v>
      </c>
      <c r="K45" s="182">
        <v>43.0</v>
      </c>
    </row>
    <row r="46" ht="15.75" customHeight="1">
      <c r="A46" s="1" t="s">
        <v>67</v>
      </c>
      <c r="B46" s="1" t="s">
        <v>66</v>
      </c>
      <c r="C46" s="1" t="s">
        <v>38</v>
      </c>
      <c r="D46" s="192"/>
      <c r="E46" s="192"/>
      <c r="F46" s="192"/>
      <c r="G46" s="192"/>
      <c r="H46" s="182">
        <v>0.0</v>
      </c>
      <c r="I46" s="182">
        <v>0.0</v>
      </c>
      <c r="J46" s="182">
        <v>0.0</v>
      </c>
      <c r="K46" s="182">
        <v>0.0</v>
      </c>
    </row>
    <row r="47" ht="15.75" customHeight="1">
      <c r="A47" s="1" t="s">
        <v>68</v>
      </c>
      <c r="B47" s="1" t="s">
        <v>66</v>
      </c>
      <c r="C47" s="1" t="s">
        <v>38</v>
      </c>
      <c r="D47" s="192"/>
      <c r="E47" s="192"/>
      <c r="F47" s="192"/>
      <c r="G47" s="192"/>
      <c r="H47" s="182">
        <v>105.09501900000001</v>
      </c>
      <c r="I47" s="182">
        <v>1248.436743</v>
      </c>
      <c r="J47" s="182">
        <v>0.0</v>
      </c>
      <c r="K47" s="182">
        <v>0.0</v>
      </c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92"/>
      <c r="E48" s="192"/>
      <c r="F48" s="192"/>
      <c r="G48" s="192"/>
      <c r="H48" s="182">
        <v>0.0</v>
      </c>
      <c r="I48" s="182">
        <v>0.0</v>
      </c>
      <c r="J48" s="182">
        <v>0.0</v>
      </c>
      <c r="K48" s="182">
        <v>0.0</v>
      </c>
    </row>
    <row r="49" ht="15.75" customHeight="1">
      <c r="A49" s="1" t="s">
        <v>59</v>
      </c>
      <c r="B49" s="1" t="s">
        <v>37</v>
      </c>
      <c r="C49" s="1" t="s">
        <v>38</v>
      </c>
      <c r="D49" s="192">
        <v>6119.986</v>
      </c>
      <c r="E49" s="192"/>
      <c r="F49" s="192">
        <v>79000.0</v>
      </c>
      <c r="G49" s="192"/>
      <c r="H49" s="182">
        <v>0.0</v>
      </c>
      <c r="I49" s="182">
        <v>0.0</v>
      </c>
      <c r="J49" s="182">
        <v>79000.0</v>
      </c>
      <c r="K49" s="182">
        <v>0.0</v>
      </c>
    </row>
    <row r="50" ht="15.75" customHeight="1">
      <c r="A50" s="1" t="s">
        <v>60</v>
      </c>
      <c r="B50" s="1" t="s">
        <v>37</v>
      </c>
      <c r="C50" s="1" t="s">
        <v>38</v>
      </c>
      <c r="D50" s="192">
        <v>78266.4905</v>
      </c>
      <c r="E50" s="192"/>
      <c r="F50" s="192">
        <v>1467836.26</v>
      </c>
      <c r="G50" s="192">
        <v>28995.0</v>
      </c>
      <c r="H50" s="182">
        <v>62438.569254</v>
      </c>
      <c r="I50" s="182">
        <v>0.0</v>
      </c>
      <c r="J50" s="182">
        <v>0.0</v>
      </c>
      <c r="K50" s="182">
        <v>918674.0</v>
      </c>
    </row>
    <row r="51" ht="15.75" customHeight="1">
      <c r="A51" s="1" t="s">
        <v>61</v>
      </c>
      <c r="B51" s="1" t="s">
        <v>37</v>
      </c>
      <c r="C51" s="1" t="s">
        <v>38</v>
      </c>
      <c r="D51" s="192"/>
      <c r="E51" s="192"/>
      <c r="F51" s="192"/>
      <c r="G51" s="192"/>
      <c r="H51" s="182">
        <v>0.0</v>
      </c>
      <c r="I51" s="182">
        <v>0.0</v>
      </c>
      <c r="J51" s="182">
        <v>0.0</v>
      </c>
      <c r="K51" s="182">
        <v>0.0</v>
      </c>
    </row>
    <row r="52" ht="15.75" customHeight="1">
      <c r="A52" s="1" t="s">
        <v>62</v>
      </c>
      <c r="B52" s="1" t="s">
        <v>37</v>
      </c>
      <c r="C52" s="1" t="s">
        <v>38</v>
      </c>
      <c r="D52" s="192">
        <v>22331.421</v>
      </c>
      <c r="E52" s="192"/>
      <c r="F52" s="192"/>
      <c r="G52" s="192">
        <v>81567.0</v>
      </c>
      <c r="H52" s="182">
        <v>9176.815083</v>
      </c>
      <c r="I52" s="182">
        <v>0.0</v>
      </c>
      <c r="J52" s="182">
        <v>0.0</v>
      </c>
      <c r="K52" s="182">
        <v>55089.0</v>
      </c>
    </row>
    <row r="53" ht="15.75" customHeight="1">
      <c r="A53" s="1" t="s">
        <v>63</v>
      </c>
      <c r="B53" s="1" t="s">
        <v>37</v>
      </c>
      <c r="C53" s="1" t="s">
        <v>38</v>
      </c>
      <c r="D53" s="192"/>
      <c r="E53" s="192"/>
      <c r="F53" s="192"/>
      <c r="G53" s="192"/>
      <c r="H53" s="182">
        <v>0.0</v>
      </c>
      <c r="I53" s="182">
        <v>0.0</v>
      </c>
      <c r="J53" s="182">
        <v>0.0</v>
      </c>
      <c r="K53" s="182">
        <v>0.0</v>
      </c>
    </row>
    <row r="54" ht="15.75" customHeight="1">
      <c r="A54" s="1" t="s">
        <v>70</v>
      </c>
      <c r="B54" s="1" t="s">
        <v>14</v>
      </c>
      <c r="C54" s="23" t="s">
        <v>38</v>
      </c>
      <c r="D54" s="199"/>
      <c r="E54" s="199"/>
      <c r="F54" s="199"/>
      <c r="G54" s="199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>
        <v>0.0</v>
      </c>
      <c r="I55" s="182">
        <v>0.0</v>
      </c>
      <c r="J55" s="182">
        <v>0.0</v>
      </c>
      <c r="K55" s="182">
        <v>0.0</v>
      </c>
    </row>
    <row r="56" ht="15.75" customHeight="1">
      <c r="A56" s="32" t="s">
        <v>72</v>
      </c>
      <c r="B56" s="25"/>
      <c r="C56" s="25"/>
      <c r="D56" s="193">
        <f t="shared" ref="D56:K56" si="3">SUM(D23:D55)</f>
        <v>1051717.074</v>
      </c>
      <c r="E56" s="193">
        <f t="shared" si="3"/>
        <v>73550.235</v>
      </c>
      <c r="F56" s="193">
        <f t="shared" si="3"/>
        <v>2143836.204</v>
      </c>
      <c r="G56" s="193">
        <f t="shared" si="3"/>
        <v>2377693</v>
      </c>
      <c r="H56" s="193">
        <f t="shared" si="3"/>
        <v>1025821.335</v>
      </c>
      <c r="I56" s="193">
        <f t="shared" si="3"/>
        <v>53531.99273</v>
      </c>
      <c r="J56" s="193">
        <f t="shared" si="3"/>
        <v>242702.02</v>
      </c>
      <c r="K56" s="193">
        <f t="shared" si="3"/>
        <v>1395195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>
        <v>0.0</v>
      </c>
      <c r="I57" s="182">
        <v>0.0</v>
      </c>
      <c r="J57" s="182">
        <v>0.0</v>
      </c>
      <c r="K57" s="182">
        <v>0.0</v>
      </c>
    </row>
    <row r="58" ht="15.75" customHeight="1">
      <c r="A58" s="1" t="s">
        <v>78</v>
      </c>
      <c r="B58" s="1" t="s">
        <v>74</v>
      </c>
      <c r="C58" s="1" t="s">
        <v>38</v>
      </c>
      <c r="D58" s="181">
        <v>25784.19</v>
      </c>
      <c r="E58" s="181">
        <v>3676.5765</v>
      </c>
      <c r="F58" s="206">
        <v>69349.51</v>
      </c>
      <c r="G58" s="181">
        <v>770.0</v>
      </c>
      <c r="H58" s="182">
        <v>0.0</v>
      </c>
      <c r="I58" s="182">
        <v>327.890283</v>
      </c>
      <c r="J58" s="182">
        <v>0.0</v>
      </c>
      <c r="K58" s="182">
        <v>5816.497546</v>
      </c>
    </row>
    <row r="59" ht="15.75" customHeight="1">
      <c r="A59" s="1" t="s">
        <v>76</v>
      </c>
      <c r="B59" s="1" t="s">
        <v>74</v>
      </c>
      <c r="C59" s="1" t="s">
        <v>38</v>
      </c>
      <c r="D59" s="181">
        <v>26917.742</v>
      </c>
      <c r="E59" s="181"/>
      <c r="F59" s="181"/>
      <c r="G59" s="181"/>
      <c r="H59" s="182">
        <v>0.0</v>
      </c>
      <c r="I59" s="182">
        <v>0.0</v>
      </c>
      <c r="J59" s="182">
        <v>0.0</v>
      </c>
      <c r="K59" s="182">
        <v>0.0</v>
      </c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>
        <v>0.0</v>
      </c>
      <c r="I60" s="182">
        <v>0.0</v>
      </c>
      <c r="J60" s="182">
        <v>0.0</v>
      </c>
      <c r="K60" s="182">
        <v>0.0</v>
      </c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>
        <v>2361.0</v>
      </c>
      <c r="H61" s="182">
        <v>0.0</v>
      </c>
      <c r="I61" s="182">
        <v>0.0</v>
      </c>
      <c r="J61" s="182">
        <v>24478.618968</v>
      </c>
      <c r="K61" s="182">
        <v>1937.0</v>
      </c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>
        <v>0.0</v>
      </c>
      <c r="I62" s="182">
        <v>0.0</v>
      </c>
      <c r="J62" s="182">
        <v>0.0</v>
      </c>
      <c r="K62" s="182">
        <v>0.0</v>
      </c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>
        <v>19090.149</v>
      </c>
      <c r="F64" s="181">
        <v>495002.41</v>
      </c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>
        <v>2367.3715</v>
      </c>
      <c r="F65" s="201">
        <v>33500.0</v>
      </c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52701.932</v>
      </c>
      <c r="E66" s="193">
        <f t="shared" si="4"/>
        <v>25134.097</v>
      </c>
      <c r="F66" s="193">
        <f t="shared" si="4"/>
        <v>597851.92</v>
      </c>
      <c r="G66" s="193">
        <f t="shared" si="4"/>
        <v>3131</v>
      </c>
      <c r="H66" s="193">
        <f t="shared" si="4"/>
        <v>0</v>
      </c>
      <c r="I66" s="193">
        <f t="shared" si="4"/>
        <v>327.890283</v>
      </c>
      <c r="J66" s="193">
        <f t="shared" si="4"/>
        <v>24478.61897</v>
      </c>
      <c r="K66" s="193">
        <f t="shared" si="4"/>
        <v>7753.497546</v>
      </c>
    </row>
    <row r="67" ht="15.75" customHeight="1">
      <c r="A67" s="23" t="s">
        <v>84</v>
      </c>
      <c r="B67" s="1" t="s">
        <v>14</v>
      </c>
      <c r="C67" s="23" t="s">
        <v>85</v>
      </c>
      <c r="D67" s="200">
        <v>1366.6395</v>
      </c>
      <c r="E67" s="200">
        <v>6079.734</v>
      </c>
      <c r="F67" s="200">
        <f>1130580.58+282314</f>
        <v>1412894.58</v>
      </c>
      <c r="G67" s="200"/>
      <c r="H67" s="182">
        <v>57147.883583999996</v>
      </c>
      <c r="I67" s="182">
        <v>341.113137</v>
      </c>
      <c r="J67" s="182">
        <v>1808514.2310249999</v>
      </c>
      <c r="K67" s="182">
        <v>262685.0</v>
      </c>
      <c r="L67" s="195"/>
    </row>
    <row r="68" ht="15.75" customHeight="1">
      <c r="A68" s="30" t="s">
        <v>86</v>
      </c>
      <c r="B68" s="1" t="s">
        <v>37</v>
      </c>
      <c r="C68" s="1" t="s">
        <v>87</v>
      </c>
      <c r="D68" s="192">
        <v>22386.579</v>
      </c>
      <c r="E68" s="192"/>
      <c r="F68" s="192">
        <v>7101.83</v>
      </c>
      <c r="G68" s="192">
        <v>304417.0</v>
      </c>
      <c r="H68" s="182">
        <v>4173.845802</v>
      </c>
      <c r="I68" s="182">
        <v>1235.241963</v>
      </c>
      <c r="J68" s="182">
        <v>0.0</v>
      </c>
      <c r="K68" s="182">
        <v>129995.0</v>
      </c>
    </row>
    <row r="69" ht="15.75" customHeight="1">
      <c r="A69" s="1" t="s">
        <v>88</v>
      </c>
      <c r="B69" s="1" t="s">
        <v>14</v>
      </c>
      <c r="C69" s="1" t="s">
        <v>87</v>
      </c>
      <c r="D69" s="192"/>
      <c r="E69" s="192"/>
      <c r="F69" s="192">
        <v>7048.54</v>
      </c>
      <c r="G69" s="192"/>
      <c r="H69" s="182">
        <v>0.0</v>
      </c>
      <c r="I69" s="182">
        <v>0.0</v>
      </c>
      <c r="J69" s="182">
        <v>77999.75</v>
      </c>
      <c r="K69" s="182">
        <v>0.0</v>
      </c>
    </row>
    <row r="70" ht="15.75" customHeight="1">
      <c r="A70" s="1" t="s">
        <v>89</v>
      </c>
      <c r="B70" s="1" t="s">
        <v>37</v>
      </c>
      <c r="C70" s="1" t="s">
        <v>87</v>
      </c>
      <c r="D70" s="192">
        <v>53785.198</v>
      </c>
      <c r="E70" s="192"/>
      <c r="F70" s="192">
        <v>49468.63</v>
      </c>
      <c r="G70" s="192">
        <v>16416.0</v>
      </c>
      <c r="H70" s="182">
        <v>0.0</v>
      </c>
      <c r="I70" s="182">
        <v>0.0</v>
      </c>
      <c r="J70" s="182">
        <v>0.0</v>
      </c>
      <c r="K70" s="182">
        <v>0.0</v>
      </c>
    </row>
    <row r="71" ht="15.75" customHeight="1">
      <c r="A71" s="1" t="s">
        <v>90</v>
      </c>
      <c r="B71" s="1" t="s">
        <v>37</v>
      </c>
      <c r="C71" s="1" t="s">
        <v>87</v>
      </c>
      <c r="D71" s="192"/>
      <c r="E71" s="192"/>
      <c r="F71" s="192"/>
      <c r="G71" s="192"/>
      <c r="H71" s="182">
        <v>0.0</v>
      </c>
      <c r="I71" s="182">
        <v>0.0</v>
      </c>
      <c r="J71" s="182">
        <v>0.0</v>
      </c>
      <c r="K71" s="182">
        <v>90372.0</v>
      </c>
    </row>
    <row r="72" ht="15.75" customHeight="1">
      <c r="A72" s="1" t="s">
        <v>91</v>
      </c>
      <c r="B72" s="1" t="s">
        <v>37</v>
      </c>
      <c r="C72" s="1" t="s">
        <v>87</v>
      </c>
      <c r="D72" s="192">
        <v>36751.932</v>
      </c>
      <c r="E72" s="192">
        <v>3891.8435</v>
      </c>
      <c r="F72" s="192">
        <v>374396.27</v>
      </c>
      <c r="G72" s="192"/>
      <c r="H72" s="182">
        <v>7951.427094</v>
      </c>
      <c r="I72" s="182">
        <v>243.219099</v>
      </c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92">
        <v>7801.4205</v>
      </c>
      <c r="E73" s="192">
        <v>2298.0905</v>
      </c>
      <c r="F73" s="192">
        <v>1642871.37</v>
      </c>
      <c r="G73" s="192"/>
      <c r="H73" s="182">
        <v>44118.389258999996</v>
      </c>
      <c r="I73" s="182">
        <v>6219.401663999999</v>
      </c>
      <c r="J73" s="182">
        <v>692210.02</v>
      </c>
      <c r="K73" s="182">
        <v>16052.0</v>
      </c>
    </row>
    <row r="74" ht="15.75" customHeight="1">
      <c r="A74" s="1" t="s">
        <v>93</v>
      </c>
      <c r="B74" s="1" t="s">
        <v>37</v>
      </c>
      <c r="C74" s="1" t="s">
        <v>87</v>
      </c>
      <c r="D74" s="192"/>
      <c r="E74" s="192"/>
      <c r="F74" s="192"/>
      <c r="G74" s="192"/>
      <c r="H74" s="182">
        <v>0.0</v>
      </c>
      <c r="I74" s="182">
        <v>0.0</v>
      </c>
      <c r="J74" s="182">
        <v>0.0</v>
      </c>
      <c r="K74" s="182">
        <v>0.0</v>
      </c>
    </row>
    <row r="75" ht="15.75" customHeight="1">
      <c r="A75" s="196" t="s">
        <v>94</v>
      </c>
      <c r="B75" s="197"/>
      <c r="C75" s="197"/>
      <c r="D75" s="198">
        <f t="shared" ref="D75:K75" si="5">SUM(D67:D74)</f>
        <v>122091.769</v>
      </c>
      <c r="E75" s="198">
        <f t="shared" si="5"/>
        <v>12269.668</v>
      </c>
      <c r="F75" s="198">
        <f t="shared" si="5"/>
        <v>3493781.22</v>
      </c>
      <c r="G75" s="198">
        <f t="shared" si="5"/>
        <v>320833</v>
      </c>
      <c r="H75" s="198">
        <f t="shared" si="5"/>
        <v>113391.5457</v>
      </c>
      <c r="I75" s="198">
        <f t="shared" si="5"/>
        <v>8038.975863</v>
      </c>
      <c r="J75" s="198">
        <f t="shared" si="5"/>
        <v>2578724.001</v>
      </c>
      <c r="K75" s="198">
        <f t="shared" si="5"/>
        <v>499104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2372966.326</v>
      </c>
      <c r="E76" s="189">
        <f t="shared" si="6"/>
        <v>174409.8805</v>
      </c>
      <c r="F76" s="189">
        <f t="shared" si="6"/>
        <v>17228480.79</v>
      </c>
      <c r="G76" s="189">
        <f t="shared" si="6"/>
        <v>8468712</v>
      </c>
      <c r="H76" s="189">
        <f t="shared" si="6"/>
        <v>1737788.924</v>
      </c>
      <c r="I76" s="189">
        <f t="shared" si="6"/>
        <v>273167.6824</v>
      </c>
      <c r="J76" s="189">
        <f t="shared" si="6"/>
        <v>8368425.28</v>
      </c>
      <c r="K76" s="189">
        <f t="shared" si="6"/>
        <v>5430366.498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D78" s="41"/>
      <c r="E78" s="41"/>
      <c r="F78" s="41"/>
      <c r="G78" s="41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G80" s="42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G83" s="41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>
        <f>717234.24-D4-D5-D16-D52-D53-D69-D70-D71-D74-D6</f>
        <v>536132.4</v>
      </c>
      <c r="E3" s="192">
        <f>121351.589-E4-E5-E16-E52-E53-E69-E70-E71-E74-E6</f>
        <v>58659.501</v>
      </c>
      <c r="F3" s="192">
        <f>1408647-F4-F5-F52</f>
        <v>717463</v>
      </c>
      <c r="G3" s="192">
        <f>-8890268.98+108008-G4-G6-G52-G70</f>
        <v>-8233185.98</v>
      </c>
      <c r="H3" s="182">
        <v>1362493.56</v>
      </c>
      <c r="I3" s="182">
        <v>60832.92600000001</v>
      </c>
      <c r="J3" s="182">
        <v>1204268.5699999996</v>
      </c>
      <c r="K3" s="182">
        <v>6987149.369999998</v>
      </c>
    </row>
    <row r="4">
      <c r="A4" s="1" t="s">
        <v>16</v>
      </c>
      <c r="B4" s="1" t="s">
        <v>14</v>
      </c>
      <c r="C4" s="1" t="s">
        <v>15</v>
      </c>
      <c r="D4" s="192">
        <v>52468.92</v>
      </c>
      <c r="E4" s="192">
        <v>0.0</v>
      </c>
      <c r="F4" s="192">
        <f>200000+186684</f>
        <v>386684</v>
      </c>
      <c r="G4" s="192">
        <v>-1333480.22</v>
      </c>
      <c r="H4" s="182">
        <v>485459.16</v>
      </c>
      <c r="I4" s="182">
        <v>1686.94</v>
      </c>
      <c r="J4" s="182">
        <v>2750423.5700000003</v>
      </c>
      <c r="K4" s="182">
        <v>3788307.200000001</v>
      </c>
    </row>
    <row r="5">
      <c r="A5" s="1" t="s">
        <v>17</v>
      </c>
      <c r="B5" s="1" t="s">
        <v>14</v>
      </c>
      <c r="C5" s="1" t="s">
        <v>15</v>
      </c>
      <c r="D5" s="192">
        <v>0.0</v>
      </c>
      <c r="E5" s="192">
        <v>1073.0</v>
      </c>
      <c r="F5" s="192">
        <v>300000.0</v>
      </c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92">
        <v>63744.0</v>
      </c>
      <c r="E6" s="192">
        <v>3781.062</v>
      </c>
      <c r="F6" s="192"/>
      <c r="G6" s="192">
        <v>202054.22</v>
      </c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>
        <v>11100.0</v>
      </c>
      <c r="E7" s="192">
        <v>0.0</v>
      </c>
      <c r="F7" s="192"/>
      <c r="G7" s="192"/>
      <c r="H7" s="182">
        <v>0.0</v>
      </c>
      <c r="I7" s="182">
        <v>0.0</v>
      </c>
      <c r="J7" s="182">
        <v>0.0</v>
      </c>
      <c r="K7" s="182">
        <v>0.0</v>
      </c>
    </row>
    <row r="8" ht="22.5" customHeight="1">
      <c r="A8" s="24" t="s">
        <v>20</v>
      </c>
      <c r="B8" s="25"/>
      <c r="C8" s="25"/>
      <c r="D8" s="193">
        <f t="shared" ref="D8:K8" si="1">SUM(D3:D7)</f>
        <v>663445.32</v>
      </c>
      <c r="E8" s="193">
        <f t="shared" si="1"/>
        <v>63513.563</v>
      </c>
      <c r="F8" s="193">
        <f t="shared" si="1"/>
        <v>1404147</v>
      </c>
      <c r="G8" s="193">
        <f t="shared" si="1"/>
        <v>-9364611.98</v>
      </c>
      <c r="H8" s="193">
        <f t="shared" si="1"/>
        <v>1847952.72</v>
      </c>
      <c r="I8" s="193">
        <f t="shared" si="1"/>
        <v>62519.866</v>
      </c>
      <c r="J8" s="193">
        <f t="shared" si="1"/>
        <v>3954692.14</v>
      </c>
      <c r="K8" s="193">
        <f t="shared" si="1"/>
        <v>10775456.57</v>
      </c>
    </row>
    <row r="9">
      <c r="A9" s="23" t="s">
        <v>21</v>
      </c>
      <c r="B9" s="1" t="s">
        <v>14</v>
      </c>
      <c r="C9" s="23" t="s">
        <v>22</v>
      </c>
      <c r="D9" s="207">
        <v>0.0</v>
      </c>
      <c r="E9" s="207">
        <v>1145.5</v>
      </c>
      <c r="F9" s="200"/>
      <c r="G9" s="192">
        <v>-209547.48</v>
      </c>
      <c r="H9" s="182">
        <v>0.0</v>
      </c>
      <c r="I9" s="182">
        <v>617.628</v>
      </c>
      <c r="J9" s="182">
        <v>0.0</v>
      </c>
      <c r="K9" s="182">
        <v>-767234.8300000001</v>
      </c>
    </row>
    <row r="10">
      <c r="A10" s="1" t="s">
        <v>23</v>
      </c>
      <c r="B10" s="1" t="s">
        <v>14</v>
      </c>
      <c r="C10" s="1" t="s">
        <v>22</v>
      </c>
      <c r="D10" s="192">
        <v>158017.56</v>
      </c>
      <c r="E10" s="192">
        <v>449438.778</v>
      </c>
      <c r="F10" s="192">
        <v>327814.0</v>
      </c>
      <c r="G10" s="192">
        <v>224388.08</v>
      </c>
      <c r="H10" s="182">
        <v>361901.4</v>
      </c>
      <c r="I10" s="182">
        <v>334731.946</v>
      </c>
      <c r="J10" s="182">
        <v>167308.04</v>
      </c>
      <c r="K10" s="182">
        <v>794581.8300000001</v>
      </c>
    </row>
    <row r="11">
      <c r="A11" s="1" t="s">
        <v>24</v>
      </c>
      <c r="B11" s="1" t="s">
        <v>14</v>
      </c>
      <c r="C11" s="1" t="s">
        <v>22</v>
      </c>
      <c r="D11" s="192">
        <v>0.0</v>
      </c>
      <c r="E11" s="192">
        <v>15101.661</v>
      </c>
      <c r="F11" s="192"/>
      <c r="G11" s="192"/>
      <c r="H11" s="182">
        <v>61680.0</v>
      </c>
      <c r="I11" s="182">
        <v>9797.482</v>
      </c>
      <c r="J11" s="182">
        <v>0.0</v>
      </c>
      <c r="K11" s="182">
        <v>0.0</v>
      </c>
    </row>
    <row r="12">
      <c r="A12" s="1" t="s">
        <v>25</v>
      </c>
      <c r="B12" s="1" t="s">
        <v>14</v>
      </c>
      <c r="C12" s="1" t="s">
        <v>22</v>
      </c>
      <c r="D12" s="192">
        <v>0.0</v>
      </c>
      <c r="E12" s="192">
        <v>-1232.5</v>
      </c>
      <c r="F12" s="192"/>
      <c r="G12" s="192"/>
      <c r="H12" s="182">
        <v>0.0</v>
      </c>
      <c r="I12" s="182">
        <v>84.222</v>
      </c>
      <c r="J12" s="182">
        <v>0.0</v>
      </c>
      <c r="K12" s="182">
        <v>0.0</v>
      </c>
    </row>
    <row r="13">
      <c r="A13" s="1" t="s">
        <v>26</v>
      </c>
      <c r="B13" s="1" t="s">
        <v>14</v>
      </c>
      <c r="C13" s="1" t="s">
        <v>22</v>
      </c>
      <c r="D13" s="192">
        <v>10740.0</v>
      </c>
      <c r="E13" s="192">
        <v>86147.674</v>
      </c>
      <c r="F13" s="192"/>
      <c r="G13" s="192">
        <v>-4433.24</v>
      </c>
      <c r="H13" s="182">
        <v>0.0</v>
      </c>
      <c r="I13" s="182">
        <v>126595.742</v>
      </c>
      <c r="J13" s="182">
        <v>1200.0</v>
      </c>
      <c r="K13" s="182">
        <v>51558.84</v>
      </c>
    </row>
    <row r="14">
      <c r="A14" s="1" t="s">
        <v>27</v>
      </c>
      <c r="B14" s="1" t="s">
        <v>14</v>
      </c>
      <c r="C14" s="1" t="s">
        <v>22</v>
      </c>
      <c r="D14" s="192">
        <v>86130.96</v>
      </c>
      <c r="E14" s="192">
        <v>23017.241</v>
      </c>
      <c r="F14" s="192">
        <v>170200.0</v>
      </c>
      <c r="G14" s="192">
        <v>705593.62</v>
      </c>
      <c r="H14" s="182">
        <v>295213.8</v>
      </c>
      <c r="I14" s="182">
        <v>-814.146</v>
      </c>
      <c r="J14" s="182">
        <v>101712.0</v>
      </c>
      <c r="K14" s="182">
        <v>4458140.000000001</v>
      </c>
    </row>
    <row r="15">
      <c r="A15" s="1" t="s">
        <v>28</v>
      </c>
      <c r="B15" s="1" t="s">
        <v>14</v>
      </c>
      <c r="C15" s="1" t="s">
        <v>22</v>
      </c>
      <c r="D15" s="192"/>
      <c r="E15" s="192"/>
      <c r="F15" s="192"/>
      <c r="G15" s="192"/>
      <c r="H15" s="182">
        <v>0.0</v>
      </c>
      <c r="I15" s="182">
        <v>0.0</v>
      </c>
      <c r="J15" s="182">
        <v>0.0</v>
      </c>
      <c r="K15" s="182">
        <v>0.0</v>
      </c>
    </row>
    <row r="16">
      <c r="A16" s="1" t="s">
        <v>29</v>
      </c>
      <c r="B16" s="1" t="s">
        <v>14</v>
      </c>
      <c r="C16" s="1" t="s">
        <v>22</v>
      </c>
      <c r="D16" s="192">
        <v>0.0</v>
      </c>
      <c r="E16" s="192">
        <v>2646.378</v>
      </c>
      <c r="F16" s="192"/>
      <c r="G16" s="192"/>
      <c r="H16" s="182">
        <v>0.0</v>
      </c>
      <c r="I16" s="182">
        <v>8832.145</v>
      </c>
      <c r="J16" s="182">
        <v>0.0</v>
      </c>
      <c r="K16" s="182">
        <v>0.0</v>
      </c>
    </row>
    <row r="17">
      <c r="A17" s="1" t="s">
        <v>30</v>
      </c>
      <c r="B17" s="1" t="s">
        <v>14</v>
      </c>
      <c r="C17" s="1" t="s">
        <v>22</v>
      </c>
      <c r="D17" s="192">
        <v>0.0</v>
      </c>
      <c r="E17" s="192">
        <v>52817.249</v>
      </c>
      <c r="F17" s="192">
        <v>69319.48</v>
      </c>
      <c r="G17" s="192">
        <v>-1063959.48</v>
      </c>
      <c r="H17" s="182">
        <v>16415.76</v>
      </c>
      <c r="I17" s="182">
        <v>11886.383000000002</v>
      </c>
      <c r="J17" s="182">
        <v>47200.8</v>
      </c>
      <c r="K17" s="182">
        <v>4779.409999999989</v>
      </c>
    </row>
    <row r="18">
      <c r="A18" s="1" t="s">
        <v>31</v>
      </c>
      <c r="B18" s="1" t="s">
        <v>14</v>
      </c>
      <c r="C18" s="1" t="s">
        <v>22</v>
      </c>
      <c r="D18" s="192">
        <v>249802.32</v>
      </c>
      <c r="E18" s="192">
        <v>66247.96</v>
      </c>
      <c r="F18" s="192">
        <v>1689754.0</v>
      </c>
      <c r="G18" s="192">
        <f>2061776.52-14201</f>
        <v>2047575.52</v>
      </c>
      <c r="H18" s="182">
        <v>466815.83999999997</v>
      </c>
      <c r="I18" s="182">
        <v>52476.559</v>
      </c>
      <c r="J18" s="182">
        <v>2832480.8</v>
      </c>
      <c r="K18" s="182">
        <v>6476123.929999999</v>
      </c>
    </row>
    <row r="19">
      <c r="A19" s="1" t="s">
        <v>32</v>
      </c>
      <c r="B19" s="1" t="s">
        <v>14</v>
      </c>
      <c r="C19" s="1" t="s">
        <v>22</v>
      </c>
      <c r="D19" s="192"/>
      <c r="E19" s="192"/>
      <c r="F19" s="192"/>
      <c r="G19" s="192">
        <v>-14201.175</v>
      </c>
      <c r="H19" s="182">
        <v>0.0</v>
      </c>
      <c r="I19" s="182">
        <v>0.0</v>
      </c>
      <c r="J19" s="182">
        <v>0.0</v>
      </c>
      <c r="K19" s="182">
        <v>0.0</v>
      </c>
    </row>
    <row r="20">
      <c r="A20" s="21" t="s">
        <v>33</v>
      </c>
      <c r="B20" s="1" t="s">
        <v>14</v>
      </c>
      <c r="C20" s="1" t="s">
        <v>22</v>
      </c>
      <c r="D20" s="199"/>
      <c r="E20" s="199"/>
      <c r="F20" s="199"/>
      <c r="G20" s="192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99"/>
      <c r="E21" s="199"/>
      <c r="F21" s="199"/>
      <c r="G21" s="192"/>
      <c r="H21" s="182">
        <v>0.0</v>
      </c>
      <c r="I21" s="182">
        <v>0.0</v>
      </c>
      <c r="J21" s="182">
        <v>0.0</v>
      </c>
      <c r="K21" s="182">
        <v>0.0</v>
      </c>
    </row>
    <row r="22" ht="15.75" customHeight="1">
      <c r="A22" s="24" t="s">
        <v>35</v>
      </c>
      <c r="B22" s="25"/>
      <c r="C22" s="25"/>
      <c r="D22" s="193">
        <f t="shared" ref="D22:K22" si="2">SUM(D9:D21)</f>
        <v>504690.84</v>
      </c>
      <c r="E22" s="193">
        <f t="shared" si="2"/>
        <v>695329.941</v>
      </c>
      <c r="F22" s="193">
        <f t="shared" si="2"/>
        <v>2257087.48</v>
      </c>
      <c r="G22" s="193">
        <f t="shared" si="2"/>
        <v>1685415.845</v>
      </c>
      <c r="H22" s="193">
        <f t="shared" si="2"/>
        <v>1202026.8</v>
      </c>
      <c r="I22" s="193">
        <f t="shared" si="2"/>
        <v>544207.961</v>
      </c>
      <c r="J22" s="193">
        <f t="shared" si="2"/>
        <v>3149901.64</v>
      </c>
      <c r="K22" s="193">
        <f t="shared" si="2"/>
        <v>11017949.18</v>
      </c>
    </row>
    <row r="23" ht="15.75" customHeight="1">
      <c r="A23" s="23" t="s">
        <v>36</v>
      </c>
      <c r="B23" s="23" t="s">
        <v>37</v>
      </c>
      <c r="C23" s="23" t="s">
        <v>38</v>
      </c>
      <c r="D23" s="186">
        <v>221661.6</v>
      </c>
      <c r="E23" s="186">
        <v>77189.927</v>
      </c>
      <c r="F23" s="186">
        <v>85074.84</v>
      </c>
      <c r="G23" s="192">
        <v>1894156.49</v>
      </c>
      <c r="H23" s="182">
        <v>0.0</v>
      </c>
      <c r="I23" s="182">
        <v>0.0</v>
      </c>
      <c r="J23" s="182">
        <v>0.0</v>
      </c>
      <c r="K23" s="182">
        <v>0.0</v>
      </c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92"/>
      <c r="H24" s="182">
        <v>0.0</v>
      </c>
      <c r="I24" s="182">
        <v>0.0</v>
      </c>
      <c r="J24" s="182">
        <v>0.0</v>
      </c>
      <c r="K24" s="182">
        <v>605320.9400000001</v>
      </c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92"/>
      <c r="H25" s="182">
        <v>0.0</v>
      </c>
      <c r="I25" s="182">
        <v>0.0</v>
      </c>
      <c r="J25" s="182">
        <v>0.0</v>
      </c>
      <c r="K25" s="182">
        <v>0.0</v>
      </c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92"/>
      <c r="H26" s="182">
        <v>0.0</v>
      </c>
      <c r="I26" s="182">
        <v>0.0</v>
      </c>
      <c r="J26" s="182">
        <v>0.0</v>
      </c>
      <c r="K26" s="182">
        <v>0.0</v>
      </c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92">
        <v>-1795.59</v>
      </c>
      <c r="H27" s="182">
        <v>11248.2</v>
      </c>
      <c r="I27" s="182">
        <v>0.0</v>
      </c>
      <c r="J27" s="182">
        <v>0.0</v>
      </c>
      <c r="K27" s="182">
        <v>0.0</v>
      </c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92"/>
      <c r="H28" s="182">
        <v>0.0</v>
      </c>
      <c r="I28" s="182">
        <v>2330.142</v>
      </c>
      <c r="J28" s="182">
        <v>0.0</v>
      </c>
      <c r="K28" s="182">
        <v>0.0</v>
      </c>
    </row>
    <row r="29" ht="15.75" customHeight="1">
      <c r="A29" s="30" t="s">
        <v>43</v>
      </c>
      <c r="B29" s="1" t="s">
        <v>37</v>
      </c>
      <c r="C29" s="1" t="s">
        <v>38</v>
      </c>
      <c r="D29" s="181">
        <v>0.0</v>
      </c>
      <c r="E29" s="181">
        <v>3432.777</v>
      </c>
      <c r="F29" s="181">
        <v>173481.28</v>
      </c>
      <c r="G29" s="192"/>
      <c r="H29" s="182">
        <v>0.0</v>
      </c>
      <c r="I29" s="182">
        <v>12933.547999999999</v>
      </c>
      <c r="J29" s="182">
        <v>115731.21000000002</v>
      </c>
      <c r="K29" s="182">
        <v>0.0</v>
      </c>
    </row>
    <row r="30" ht="15.75" customHeight="1">
      <c r="A30" s="1" t="s">
        <v>44</v>
      </c>
      <c r="B30" s="1" t="s">
        <v>37</v>
      </c>
      <c r="C30" s="1" t="s">
        <v>38</v>
      </c>
      <c r="D30" s="181">
        <v>0.0</v>
      </c>
      <c r="E30" s="181">
        <v>2653.5</v>
      </c>
      <c r="F30" s="181"/>
      <c r="G30" s="192"/>
      <c r="H30" s="182">
        <v>0.0</v>
      </c>
      <c r="I30" s="182">
        <v>1894.995</v>
      </c>
      <c r="J30" s="182">
        <v>0.0</v>
      </c>
      <c r="K30" s="182">
        <v>0.0</v>
      </c>
    </row>
    <row r="31" ht="15.75" customHeight="1">
      <c r="A31" s="1" t="s">
        <v>45</v>
      </c>
      <c r="B31" s="1" t="s">
        <v>37</v>
      </c>
      <c r="C31" s="1" t="s">
        <v>38</v>
      </c>
      <c r="D31" s="181">
        <v>0.0</v>
      </c>
      <c r="E31" s="181">
        <v>8599.438</v>
      </c>
      <c r="F31" s="181">
        <v>122699.0</v>
      </c>
      <c r="G31" s="192">
        <v>-1553507.79</v>
      </c>
      <c r="H31" s="182">
        <v>153330.24</v>
      </c>
      <c r="I31" s="182">
        <v>23130.881</v>
      </c>
      <c r="J31" s="182">
        <v>86574.44</v>
      </c>
      <c r="K31" s="182">
        <v>2167577.8</v>
      </c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92"/>
      <c r="H32" s="182">
        <v>0.0</v>
      </c>
      <c r="I32" s="182">
        <v>1740.588</v>
      </c>
      <c r="J32" s="182">
        <v>0.0</v>
      </c>
      <c r="K32" s="182">
        <v>0.0</v>
      </c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92"/>
      <c r="H33" s="182">
        <v>0.0</v>
      </c>
      <c r="I33" s="182">
        <v>0.0</v>
      </c>
      <c r="J33" s="182">
        <v>0.0</v>
      </c>
      <c r="K33" s="182">
        <v>0.0</v>
      </c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92"/>
      <c r="H34" s="182">
        <v>0.0</v>
      </c>
      <c r="I34" s="182">
        <v>0.0</v>
      </c>
      <c r="J34" s="182">
        <v>0.0</v>
      </c>
      <c r="K34" s="182">
        <v>0.0</v>
      </c>
    </row>
    <row r="35" ht="15.75" customHeight="1">
      <c r="A35" s="1" t="s">
        <v>49</v>
      </c>
      <c r="B35" s="1" t="s">
        <v>37</v>
      </c>
      <c r="C35" s="1" t="s">
        <v>38</v>
      </c>
      <c r="D35" s="181">
        <v>0.0</v>
      </c>
      <c r="E35" s="181">
        <v>3004.078</v>
      </c>
      <c r="F35" s="181"/>
      <c r="G35" s="192"/>
      <c r="H35" s="182">
        <v>0.0</v>
      </c>
      <c r="I35" s="182">
        <v>649.334</v>
      </c>
      <c r="J35" s="182">
        <v>0.0</v>
      </c>
      <c r="K35" s="182">
        <v>0.0</v>
      </c>
    </row>
    <row r="36" ht="15.75" customHeight="1">
      <c r="A36" s="30" t="s">
        <v>50</v>
      </c>
      <c r="B36" s="1" t="s">
        <v>37</v>
      </c>
      <c r="C36" s="1" t="s">
        <v>38</v>
      </c>
      <c r="D36" s="181">
        <v>71232.96</v>
      </c>
      <c r="E36" s="181">
        <v>0.0</v>
      </c>
      <c r="F36" s="181"/>
      <c r="G36" s="192">
        <v>-103331.13</v>
      </c>
      <c r="H36" s="182">
        <v>0.0</v>
      </c>
      <c r="I36" s="182">
        <v>0.0</v>
      </c>
      <c r="J36" s="182">
        <v>0.0</v>
      </c>
      <c r="K36" s="182">
        <v>-289206.26000000007</v>
      </c>
    </row>
    <row r="37" ht="15.75" customHeight="1">
      <c r="A37" s="1" t="s">
        <v>51</v>
      </c>
      <c r="B37" s="1" t="s">
        <v>37</v>
      </c>
      <c r="C37" s="1" t="s">
        <v>38</v>
      </c>
      <c r="D37" s="181">
        <v>2262.0</v>
      </c>
      <c r="E37" s="181">
        <v>0.0</v>
      </c>
      <c r="F37" s="181"/>
      <c r="G37" s="192"/>
      <c r="H37" s="182">
        <v>0.0</v>
      </c>
      <c r="I37" s="182">
        <v>0.0</v>
      </c>
      <c r="J37" s="182">
        <v>0.0</v>
      </c>
      <c r="K37" s="182">
        <v>0.0</v>
      </c>
    </row>
    <row r="38" ht="15.75" customHeight="1">
      <c r="A38" s="1" t="s">
        <v>52</v>
      </c>
      <c r="B38" s="1" t="s">
        <v>37</v>
      </c>
      <c r="C38" s="1" t="s">
        <v>38</v>
      </c>
      <c r="D38" s="181">
        <v>44755.2</v>
      </c>
      <c r="E38" s="181">
        <v>-3451.0</v>
      </c>
      <c r="F38" s="208">
        <v>24102.44</v>
      </c>
      <c r="G38" s="192">
        <v>-580576.23</v>
      </c>
      <c r="H38" s="182">
        <v>18288.0</v>
      </c>
      <c r="I38" s="182">
        <v>-5474.43</v>
      </c>
      <c r="J38" s="182">
        <v>17809.56</v>
      </c>
      <c r="K38" s="182">
        <v>-194000.42000000004</v>
      </c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92"/>
      <c r="H39" s="182">
        <v>0.0</v>
      </c>
      <c r="I39" s="182">
        <v>0.0</v>
      </c>
      <c r="J39" s="182">
        <v>0.0</v>
      </c>
      <c r="K39" s="182">
        <v>0.0</v>
      </c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92"/>
      <c r="H40" s="182">
        <v>0.0</v>
      </c>
      <c r="I40" s="182">
        <v>0.0</v>
      </c>
      <c r="J40" s="182">
        <v>0.0</v>
      </c>
      <c r="K40" s="182">
        <v>0.0</v>
      </c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92"/>
      <c r="H41" s="182">
        <v>0.0</v>
      </c>
      <c r="I41" s="182">
        <v>0.0</v>
      </c>
      <c r="J41" s="182">
        <v>0.0</v>
      </c>
      <c r="K41" s="182">
        <v>0.0</v>
      </c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92"/>
      <c r="H42" s="182">
        <v>0.0</v>
      </c>
      <c r="I42" s="182">
        <v>0.0</v>
      </c>
      <c r="J42" s="182">
        <v>0.0</v>
      </c>
      <c r="K42" s="182">
        <v>0.0</v>
      </c>
    </row>
    <row r="43" ht="15.75" customHeight="1">
      <c r="A43" s="30" t="s">
        <v>55</v>
      </c>
      <c r="B43" s="1" t="s">
        <v>37</v>
      </c>
      <c r="C43" s="1" t="s">
        <v>38</v>
      </c>
      <c r="D43" s="181">
        <v>0.0</v>
      </c>
      <c r="E43" s="181">
        <v>12090.064</v>
      </c>
      <c r="F43" s="181"/>
      <c r="G43" s="192">
        <v>-1203.12</v>
      </c>
      <c r="H43" s="182">
        <v>0.0</v>
      </c>
      <c r="I43" s="182">
        <v>0.0</v>
      </c>
      <c r="J43" s="182">
        <v>0.0</v>
      </c>
      <c r="K43" s="182">
        <v>0.0</v>
      </c>
    </row>
    <row r="44" ht="15.75" customHeight="1">
      <c r="A44" s="1" t="s">
        <v>56</v>
      </c>
      <c r="B44" s="1" t="s">
        <v>37</v>
      </c>
      <c r="C44" s="1" t="s">
        <v>38</v>
      </c>
      <c r="D44" s="181">
        <v>9990.0</v>
      </c>
      <c r="E44" s="181">
        <v>17171.040999999997</v>
      </c>
      <c r="F44" s="181"/>
      <c r="G44" s="192"/>
      <c r="H44" s="182">
        <v>99417.6</v>
      </c>
      <c r="I44" s="182">
        <v>16247.152</v>
      </c>
      <c r="J44" s="182">
        <v>11200.0</v>
      </c>
      <c r="K44" s="182">
        <v>85019.91</v>
      </c>
    </row>
    <row r="45" ht="15.75" customHeight="1">
      <c r="A45" s="1" t="s">
        <v>57</v>
      </c>
      <c r="B45" s="1" t="s">
        <v>37</v>
      </c>
      <c r="C45" s="1" t="s">
        <v>38</v>
      </c>
      <c r="D45" s="181">
        <v>5141.88</v>
      </c>
      <c r="E45" s="181">
        <v>16283.5</v>
      </c>
      <c r="F45" s="181">
        <v>604514.0</v>
      </c>
      <c r="G45" s="192">
        <v>736975.22</v>
      </c>
      <c r="H45" s="182">
        <v>0.0</v>
      </c>
      <c r="I45" s="182">
        <v>10021.271</v>
      </c>
      <c r="J45" s="182">
        <v>8400.0</v>
      </c>
      <c r="K45" s="182">
        <v>3214977.7500000005</v>
      </c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92"/>
      <c r="H46" s="182">
        <v>0.0</v>
      </c>
      <c r="I46" s="182">
        <v>0.0</v>
      </c>
      <c r="J46" s="182">
        <v>0.0</v>
      </c>
      <c r="K46" s="182">
        <v>0.0</v>
      </c>
    </row>
    <row r="47" ht="15.75" customHeight="1">
      <c r="A47" s="1" t="s">
        <v>68</v>
      </c>
      <c r="B47" s="1" t="s">
        <v>66</v>
      </c>
      <c r="C47" s="1" t="s">
        <v>38</v>
      </c>
      <c r="D47" s="181">
        <v>0.0</v>
      </c>
      <c r="E47" s="181">
        <v>2305.5</v>
      </c>
      <c r="F47" s="181"/>
      <c r="G47" s="192"/>
      <c r="H47" s="182">
        <v>0.0</v>
      </c>
      <c r="I47" s="182">
        <v>0.0</v>
      </c>
      <c r="J47" s="182">
        <v>0.0</v>
      </c>
      <c r="K47" s="182">
        <v>-115261.94</v>
      </c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>
        <v>0.0</v>
      </c>
      <c r="E48" s="181">
        <v>5611.478</v>
      </c>
      <c r="F48" s="181"/>
      <c r="G48" s="192"/>
      <c r="H48" s="182">
        <v>0.0</v>
      </c>
      <c r="I48" s="182">
        <v>0.0</v>
      </c>
      <c r="J48" s="182">
        <v>0.0</v>
      </c>
      <c r="K48" s="182">
        <v>0.0</v>
      </c>
    </row>
    <row r="49" ht="15.75" customHeight="1">
      <c r="A49" s="1" t="s">
        <v>59</v>
      </c>
      <c r="B49" s="1" t="s">
        <v>37</v>
      </c>
      <c r="C49" s="1" t="s">
        <v>38</v>
      </c>
      <c r="D49" s="181">
        <v>3349.2</v>
      </c>
      <c r="E49" s="181">
        <v>-4045.5</v>
      </c>
      <c r="F49" s="181">
        <v>959126.0</v>
      </c>
      <c r="G49" s="181">
        <v>955923.42</v>
      </c>
      <c r="H49" s="182">
        <v>0.0</v>
      </c>
      <c r="I49" s="182">
        <v>0.0</v>
      </c>
      <c r="J49" s="182">
        <v>214495.0</v>
      </c>
      <c r="K49" s="182">
        <v>0.0</v>
      </c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>
        <v>0.0</v>
      </c>
      <c r="I50" s="182">
        <v>0.0</v>
      </c>
      <c r="J50" s="182">
        <v>0.0</v>
      </c>
      <c r="K50" s="182">
        <v>0.0</v>
      </c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>
        <v>0.0</v>
      </c>
      <c r="I51" s="182">
        <v>0.0</v>
      </c>
      <c r="J51" s="182">
        <v>0.0</v>
      </c>
      <c r="K51" s="182">
        <v>0.0</v>
      </c>
    </row>
    <row r="52" ht="15.75" customHeight="1">
      <c r="A52" s="1" t="s">
        <v>62</v>
      </c>
      <c r="B52" s="1" t="s">
        <v>37</v>
      </c>
      <c r="C52" s="1" t="s">
        <v>38</v>
      </c>
      <c r="D52" s="181">
        <v>54528.0</v>
      </c>
      <c r="E52" s="181">
        <v>3121.416</v>
      </c>
      <c r="F52" s="181">
        <v>4500.0</v>
      </c>
      <c r="G52" s="181">
        <v>329702.56</v>
      </c>
      <c r="H52" s="182">
        <v>0.0</v>
      </c>
      <c r="I52" s="182">
        <v>11584.923</v>
      </c>
      <c r="J52" s="182">
        <v>104000.43999999999</v>
      </c>
      <c r="K52" s="182">
        <v>0.0</v>
      </c>
    </row>
    <row r="53" ht="15.75" customHeight="1">
      <c r="A53" s="1" t="s">
        <v>63</v>
      </c>
      <c r="B53" s="1" t="s">
        <v>37</v>
      </c>
      <c r="C53" s="1" t="s">
        <v>38</v>
      </c>
      <c r="D53" s="181">
        <v>0.0</v>
      </c>
      <c r="E53" s="181">
        <v>870.0</v>
      </c>
      <c r="F53" s="181"/>
      <c r="G53" s="181"/>
      <c r="H53" s="182">
        <v>28684.56</v>
      </c>
      <c r="I53" s="182">
        <v>0.0</v>
      </c>
      <c r="J53" s="182">
        <v>0.0</v>
      </c>
      <c r="K53" s="182">
        <v>909374.5900000001</v>
      </c>
    </row>
    <row r="54" ht="15.75" customHeight="1">
      <c r="A54" s="1" t="s">
        <v>70</v>
      </c>
      <c r="B54" s="1" t="s">
        <v>14</v>
      </c>
      <c r="C54" s="23" t="s">
        <v>38</v>
      </c>
      <c r="D54" s="199"/>
      <c r="E54" s="199"/>
      <c r="F54" s="199"/>
      <c r="G54" s="192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92"/>
      <c r="H55" s="182">
        <v>0.0</v>
      </c>
      <c r="I55" s="182">
        <v>0.0</v>
      </c>
      <c r="J55" s="182">
        <v>0.0</v>
      </c>
      <c r="K55" s="182">
        <v>0.0</v>
      </c>
    </row>
    <row r="56" ht="15.75" customHeight="1">
      <c r="A56" s="32" t="s">
        <v>72</v>
      </c>
      <c r="B56" s="25"/>
      <c r="C56" s="25"/>
      <c r="D56" s="193">
        <f t="shared" ref="D56:K56" si="3">SUM(D23:D55)</f>
        <v>412920.84</v>
      </c>
      <c r="E56" s="193">
        <f t="shared" si="3"/>
        <v>144836.219</v>
      </c>
      <c r="F56" s="193">
        <f t="shared" si="3"/>
        <v>1973497.56</v>
      </c>
      <c r="G56" s="193">
        <f t="shared" si="3"/>
        <v>1676343.83</v>
      </c>
      <c r="H56" s="193">
        <f t="shared" si="3"/>
        <v>310968.6</v>
      </c>
      <c r="I56" s="193">
        <f t="shared" si="3"/>
        <v>75058.404</v>
      </c>
      <c r="J56" s="193">
        <f t="shared" si="3"/>
        <v>558210.65</v>
      </c>
      <c r="K56" s="193">
        <f t="shared" si="3"/>
        <v>6383802.37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92"/>
      <c r="H57" s="182">
        <v>0.0</v>
      </c>
      <c r="I57" s="182">
        <v>-12900.003</v>
      </c>
      <c r="J57" s="182">
        <v>0.0</v>
      </c>
      <c r="K57" s="182">
        <v>-13208.32</v>
      </c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/>
      <c r="G58" s="192">
        <v>68346.13</v>
      </c>
      <c r="H58" s="182">
        <v>113251.8</v>
      </c>
      <c r="I58" s="182">
        <v>6592.584</v>
      </c>
      <c r="J58" s="182">
        <v>580896.8999999999</v>
      </c>
      <c r="K58" s="182">
        <v>487887.0200000001</v>
      </c>
    </row>
    <row r="59" ht="15.75" customHeight="1">
      <c r="A59" s="1" t="s">
        <v>76</v>
      </c>
      <c r="B59" s="1" t="s">
        <v>74</v>
      </c>
      <c r="C59" s="1" t="s">
        <v>38</v>
      </c>
      <c r="D59" s="181">
        <v>1266813.72</v>
      </c>
      <c r="E59" s="181">
        <v>92457.075</v>
      </c>
      <c r="F59" s="181">
        <v>1264127.0</v>
      </c>
      <c r="G59" s="192">
        <v>255444.06</v>
      </c>
      <c r="H59" s="182">
        <v>913777.2</v>
      </c>
      <c r="I59" s="182">
        <v>126467.32400000001</v>
      </c>
      <c r="J59" s="182">
        <v>1167914.6000000003</v>
      </c>
      <c r="K59" s="182">
        <v>-812148.1100000003</v>
      </c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92"/>
      <c r="H60" s="182">
        <v>0.0</v>
      </c>
      <c r="I60" s="182">
        <v>0.0</v>
      </c>
      <c r="J60" s="182">
        <v>0.0</v>
      </c>
      <c r="K60" s="182">
        <v>0.0</v>
      </c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92">
        <v>-285711.37</v>
      </c>
      <c r="H61" s="182">
        <v>0.0</v>
      </c>
      <c r="I61" s="182">
        <v>0.0</v>
      </c>
      <c r="J61" s="182">
        <v>0.0</v>
      </c>
      <c r="K61" s="182">
        <v>-221733.92</v>
      </c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92"/>
      <c r="H62" s="182">
        <v>0.0</v>
      </c>
      <c r="I62" s="182">
        <v>0.0</v>
      </c>
      <c r="J62" s="182">
        <v>0.0</v>
      </c>
      <c r="K62" s="182">
        <v>0.0</v>
      </c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92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92">
        <v>439063.23</v>
      </c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92"/>
      <c r="E65" s="192"/>
      <c r="F65" s="181"/>
      <c r="G65" s="192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1266813.72</v>
      </c>
      <c r="E66" s="193">
        <f t="shared" si="4"/>
        <v>92457.075</v>
      </c>
      <c r="F66" s="193">
        <f t="shared" si="4"/>
        <v>1264127</v>
      </c>
      <c r="G66" s="193">
        <f t="shared" si="4"/>
        <v>477142.05</v>
      </c>
      <c r="H66" s="193">
        <f t="shared" si="4"/>
        <v>1027029</v>
      </c>
      <c r="I66" s="193">
        <f t="shared" si="4"/>
        <v>120159.905</v>
      </c>
      <c r="J66" s="193">
        <f t="shared" si="4"/>
        <v>1748811.5</v>
      </c>
      <c r="K66" s="193">
        <f t="shared" si="4"/>
        <v>-559203.33</v>
      </c>
    </row>
    <row r="67" ht="15.75" customHeight="1">
      <c r="A67" s="23" t="s">
        <v>84</v>
      </c>
      <c r="B67" s="1" t="s">
        <v>14</v>
      </c>
      <c r="C67" s="23" t="s">
        <v>85</v>
      </c>
      <c r="D67" s="192">
        <v>160033.8</v>
      </c>
      <c r="E67" s="192">
        <v>13496.886999999999</v>
      </c>
      <c r="F67" s="192"/>
      <c r="G67" s="192">
        <f>2332078.87-108008</f>
        <v>2224070.87</v>
      </c>
      <c r="H67" s="182">
        <v>33995.52</v>
      </c>
      <c r="I67" s="182">
        <v>1879.702</v>
      </c>
      <c r="J67" s="182">
        <v>77991.8</v>
      </c>
      <c r="K67" s="182">
        <v>251451.33999999985</v>
      </c>
    </row>
    <row r="68" ht="15.75" customHeight="1">
      <c r="A68" s="30" t="s">
        <v>86</v>
      </c>
      <c r="B68" s="1" t="s">
        <v>37</v>
      </c>
      <c r="C68" s="1" t="s">
        <v>87</v>
      </c>
      <c r="D68" s="192">
        <v>367110.36000000004</v>
      </c>
      <c r="E68" s="192">
        <v>199602.283</v>
      </c>
      <c r="F68" s="192">
        <v>1244155.0</v>
      </c>
      <c r="G68" s="192">
        <v>1357736.04</v>
      </c>
      <c r="H68" s="182">
        <v>317943.12</v>
      </c>
      <c r="I68" s="182">
        <v>25955.236</v>
      </c>
      <c r="J68" s="182">
        <v>411132.01000000007</v>
      </c>
      <c r="K68" s="182">
        <v>4024117.0</v>
      </c>
    </row>
    <row r="69" ht="15.75" customHeight="1">
      <c r="A69" s="1" t="s">
        <v>88</v>
      </c>
      <c r="B69" s="1" t="s">
        <v>14</v>
      </c>
      <c r="C69" s="1" t="s">
        <v>87</v>
      </c>
      <c r="D69" s="192">
        <v>0.0</v>
      </c>
      <c r="E69" s="192">
        <v>2072.713</v>
      </c>
      <c r="F69" s="192"/>
      <c r="G69" s="192"/>
      <c r="H69" s="182">
        <v>0.0</v>
      </c>
      <c r="I69" s="182">
        <v>14183.414</v>
      </c>
      <c r="J69" s="182">
        <v>0.0</v>
      </c>
      <c r="K69" s="182">
        <v>0.0</v>
      </c>
    </row>
    <row r="70" ht="15.75" customHeight="1">
      <c r="A70" s="1" t="s">
        <v>89</v>
      </c>
      <c r="B70" s="1" t="s">
        <v>37</v>
      </c>
      <c r="C70" s="1" t="s">
        <v>87</v>
      </c>
      <c r="D70" s="192">
        <v>10360.92</v>
      </c>
      <c r="E70" s="192">
        <v>0.0</v>
      </c>
      <c r="F70" s="192"/>
      <c r="G70" s="192">
        <v>252648.44</v>
      </c>
      <c r="H70" s="182">
        <v>19613.04</v>
      </c>
      <c r="I70" s="182">
        <v>0.0</v>
      </c>
      <c r="J70" s="182">
        <v>0.0</v>
      </c>
      <c r="K70" s="182">
        <v>357632.39</v>
      </c>
    </row>
    <row r="71" ht="15.75" customHeight="1">
      <c r="A71" s="1" t="s">
        <v>90</v>
      </c>
      <c r="B71" s="1" t="s">
        <v>37</v>
      </c>
      <c r="C71" s="1" t="s">
        <v>87</v>
      </c>
      <c r="D71" s="192">
        <v>0.0</v>
      </c>
      <c r="E71" s="192">
        <v>39500.926</v>
      </c>
      <c r="F71" s="192"/>
      <c r="G71" s="192"/>
      <c r="H71" s="182">
        <v>0.0</v>
      </c>
      <c r="I71" s="182">
        <v>16857.392</v>
      </c>
      <c r="J71" s="182">
        <v>0.0</v>
      </c>
      <c r="K71" s="182">
        <v>0.0</v>
      </c>
    </row>
    <row r="72" ht="15.75" customHeight="1">
      <c r="A72" s="1" t="s">
        <v>91</v>
      </c>
      <c r="B72" s="1" t="s">
        <v>37</v>
      </c>
      <c r="C72" s="1" t="s">
        <v>87</v>
      </c>
      <c r="D72" s="192">
        <v>126482.88</v>
      </c>
      <c r="E72" s="192">
        <v>11408.821</v>
      </c>
      <c r="F72" s="192">
        <v>810636.25</v>
      </c>
      <c r="G72" s="192">
        <v>2103704.83</v>
      </c>
      <c r="H72" s="182">
        <v>305369.76</v>
      </c>
      <c r="I72" s="182">
        <v>9540.415</v>
      </c>
      <c r="J72" s="182">
        <v>1568357.3000000003</v>
      </c>
      <c r="K72" s="182">
        <v>1520837.6599999997</v>
      </c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92">
        <v>642585.72</v>
      </c>
      <c r="E73" s="192">
        <v>183582.983</v>
      </c>
      <c r="F73" s="192">
        <v>7792283.0</v>
      </c>
      <c r="G73" s="192">
        <v>7892736.38</v>
      </c>
      <c r="H73" s="182">
        <v>452641.32</v>
      </c>
      <c r="I73" s="182">
        <v>105445.894</v>
      </c>
      <c r="J73" s="182">
        <v>3216783.124000001</v>
      </c>
      <c r="K73" s="182">
        <v>4119016.120000001</v>
      </c>
    </row>
    <row r="74" ht="15.75" customHeight="1">
      <c r="A74" s="1" t="s">
        <v>93</v>
      </c>
      <c r="B74" s="1" t="s">
        <v>37</v>
      </c>
      <c r="C74" s="1" t="s">
        <v>87</v>
      </c>
      <c r="D74" s="192">
        <v>0.0</v>
      </c>
      <c r="E74" s="192">
        <v>9626.593</v>
      </c>
      <c r="F74" s="192"/>
      <c r="G74" s="192"/>
      <c r="H74" s="182">
        <v>20280.0</v>
      </c>
      <c r="I74" s="182">
        <v>21951.023</v>
      </c>
      <c r="J74" s="182">
        <v>0.0</v>
      </c>
      <c r="K74" s="182">
        <v>0.0</v>
      </c>
    </row>
    <row r="75" ht="15.75" customHeight="1">
      <c r="A75" s="196" t="s">
        <v>94</v>
      </c>
      <c r="B75" s="197"/>
      <c r="C75" s="197"/>
      <c r="D75" s="198">
        <f t="shared" ref="D75:K75" si="5">SUM(D67:D74)</f>
        <v>1306573.68</v>
      </c>
      <c r="E75" s="198">
        <f t="shared" si="5"/>
        <v>459291.206</v>
      </c>
      <c r="F75" s="198">
        <f t="shared" si="5"/>
        <v>9847074.25</v>
      </c>
      <c r="G75" s="198">
        <f t="shared" si="5"/>
        <v>13830896.56</v>
      </c>
      <c r="H75" s="198">
        <f t="shared" si="5"/>
        <v>1149842.76</v>
      </c>
      <c r="I75" s="198">
        <f t="shared" si="5"/>
        <v>195813.076</v>
      </c>
      <c r="J75" s="198">
        <f t="shared" si="5"/>
        <v>5274264.234</v>
      </c>
      <c r="K75" s="198">
        <f t="shared" si="5"/>
        <v>10273054.51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4154444.4</v>
      </c>
      <c r="E76" s="189">
        <f t="shared" si="6"/>
        <v>1455428.004</v>
      </c>
      <c r="F76" s="189">
        <f t="shared" si="6"/>
        <v>16745933.29</v>
      </c>
      <c r="G76" s="189">
        <f t="shared" si="6"/>
        <v>8305186.305</v>
      </c>
      <c r="H76" s="189">
        <f t="shared" si="6"/>
        <v>5537819.88</v>
      </c>
      <c r="I76" s="189">
        <f t="shared" si="6"/>
        <v>997759.212</v>
      </c>
      <c r="J76" s="189">
        <f t="shared" si="6"/>
        <v>14685880.16</v>
      </c>
      <c r="K76" s="189">
        <f t="shared" si="6"/>
        <v>37891059.3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D78" s="41"/>
      <c r="E78" s="41"/>
      <c r="F78" s="195"/>
      <c r="G78" s="41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D80" s="41"/>
      <c r="E80" s="41"/>
      <c r="F80" s="41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/>
      <c r="E3" s="192"/>
      <c r="F3" s="209">
        <f>192815-F4</f>
        <v>110815</v>
      </c>
      <c r="G3" s="192"/>
      <c r="H3" s="182"/>
      <c r="I3" s="182"/>
      <c r="J3" s="182">
        <v>173715.33999999997</v>
      </c>
      <c r="K3" s="182"/>
    </row>
    <row r="4">
      <c r="A4" s="1" t="s">
        <v>16</v>
      </c>
      <c r="B4" s="1" t="s">
        <v>14</v>
      </c>
      <c r="C4" s="1" t="s">
        <v>15</v>
      </c>
      <c r="D4" s="192"/>
      <c r="E4" s="192"/>
      <c r="F4" s="192">
        <v>82000.0</v>
      </c>
      <c r="G4" s="192"/>
      <c r="H4" s="182"/>
      <c r="I4" s="182"/>
      <c r="J4" s="182">
        <v>149399.24</v>
      </c>
      <c r="K4" s="182"/>
    </row>
    <row r="5">
      <c r="A5" s="1" t="s">
        <v>17</v>
      </c>
      <c r="B5" s="1" t="s">
        <v>14</v>
      </c>
      <c r="C5" s="1" t="s">
        <v>15</v>
      </c>
      <c r="D5" s="192"/>
      <c r="E5" s="192"/>
      <c r="F5" s="192"/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99"/>
      <c r="E6" s="199"/>
      <c r="F6" s="199"/>
      <c r="G6" s="199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/>
      <c r="E7" s="192"/>
      <c r="F7" s="192"/>
      <c r="G7" s="192"/>
      <c r="H7" s="182"/>
      <c r="I7" s="182"/>
      <c r="J7" s="182">
        <v>0.0</v>
      </c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0</v>
      </c>
      <c r="F8" s="193">
        <f t="shared" si="1"/>
        <v>192815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323114.58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>
        <v>0.0</v>
      </c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>
        <v>0.0</v>
      </c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209">
        <v>161700.0</v>
      </c>
      <c r="G11" s="181"/>
      <c r="H11" s="182"/>
      <c r="I11" s="182"/>
      <c r="J11" s="182">
        <v>79000.0</v>
      </c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>
        <v>0.0</v>
      </c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>
        <v>0.0</v>
      </c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>
        <v>0.0</v>
      </c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>
        <v>0.0</v>
      </c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>
        <v>0.0</v>
      </c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209">
        <v>719905.9299999999</v>
      </c>
      <c r="G17" s="181"/>
      <c r="H17" s="182"/>
      <c r="I17" s="182"/>
      <c r="J17" s="182">
        <v>1963406.86</v>
      </c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209">
        <v>248463.53000000003</v>
      </c>
      <c r="G18" s="181"/>
      <c r="H18" s="182"/>
      <c r="I18" s="182"/>
      <c r="J18" s="182">
        <v>318852.25</v>
      </c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>
        <v>0.0</v>
      </c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209">
        <v>79298.28</v>
      </c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>
        <v>0.0</v>
      </c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1209367.74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2361259.11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/>
      <c r="I23" s="182"/>
      <c r="J23" s="182">
        <v>0.0</v>
      </c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>
        <v>0.0</v>
      </c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>
        <v>0.0</v>
      </c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>
        <v>0.0</v>
      </c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>
        <v>0.0</v>
      </c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>
        <v>0.0</v>
      </c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>
        <v>0.0</v>
      </c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>
        <v>0.0</v>
      </c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209">
        <v>130880.8</v>
      </c>
      <c r="G31" s="181"/>
      <c r="H31" s="182"/>
      <c r="I31" s="182"/>
      <c r="J31" s="182">
        <v>0.0</v>
      </c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>
        <v>0.0</v>
      </c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>
        <v>0.0</v>
      </c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>
        <v>0.0</v>
      </c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>
        <v>0.0</v>
      </c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>
        <v>0.0</v>
      </c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>
        <v>0.0</v>
      </c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>
        <v>0.0</v>
      </c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>
        <v>0.0</v>
      </c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>
        <v>0.0</v>
      </c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>
        <v>0.0</v>
      </c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>
        <v>0.0</v>
      </c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>
        <v>0.0</v>
      </c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>
        <v>0.0</v>
      </c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>
        <v>0.0</v>
      </c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>
        <v>0.0</v>
      </c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>
        <v>0.0</v>
      </c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>
        <v>0.0</v>
      </c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>
        <v>0.0</v>
      </c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>
        <v>0.0</v>
      </c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>
        <v>0.0</v>
      </c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>
        <v>0.0</v>
      </c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>
        <v>0.0</v>
      </c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/>
      <c r="J55" s="182">
        <v>0.0</v>
      </c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0</v>
      </c>
      <c r="F56" s="193">
        <f t="shared" si="3"/>
        <v>130880.8</v>
      </c>
      <c r="G56" s="193">
        <f t="shared" si="3"/>
        <v>0</v>
      </c>
      <c r="H56" s="193">
        <f t="shared" si="3"/>
        <v>0</v>
      </c>
      <c r="I56" s="193">
        <f t="shared" si="3"/>
        <v>0</v>
      </c>
      <c r="J56" s="193">
        <f t="shared" si="3"/>
        <v>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>
        <v>0.0</v>
      </c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209">
        <v>169023.62</v>
      </c>
      <c r="G58" s="181"/>
      <c r="H58" s="182"/>
      <c r="I58" s="182"/>
      <c r="J58" s="182">
        <v>0.0</v>
      </c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/>
      <c r="I59" s="182"/>
      <c r="J59" s="182">
        <v>30000.0</v>
      </c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>
        <v>0.0</v>
      </c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>
        <v>559461.71</v>
      </c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>
        <v>0.0</v>
      </c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0</v>
      </c>
      <c r="F66" s="193">
        <f t="shared" si="4"/>
        <v>169023.62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589461.71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186"/>
      <c r="G67" s="186"/>
      <c r="H67" s="182"/>
      <c r="I67" s="182"/>
      <c r="J67" s="182">
        <v>0.0</v>
      </c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/>
      <c r="F68" s="209">
        <v>12055.51</v>
      </c>
      <c r="G68" s="181"/>
      <c r="H68" s="182"/>
      <c r="I68" s="182"/>
      <c r="J68" s="182">
        <v>383100.49000000005</v>
      </c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>
        <v>0.0</v>
      </c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>
        <v>0.0</v>
      </c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>
        <v>0.0</v>
      </c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209">
        <v>36400.0</v>
      </c>
      <c r="G73" s="181"/>
      <c r="H73" s="182"/>
      <c r="I73" s="182"/>
      <c r="J73" s="182">
        <v>389003.38</v>
      </c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81"/>
      <c r="G74" s="181"/>
      <c r="H74" s="182"/>
      <c r="I74" s="182"/>
      <c r="J74" s="182">
        <v>0.0</v>
      </c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0</v>
      </c>
      <c r="F75" s="198">
        <f t="shared" si="5"/>
        <v>48455.51</v>
      </c>
      <c r="G75" s="198">
        <f t="shared" si="5"/>
        <v>0</v>
      </c>
      <c r="H75" s="198">
        <f t="shared" si="5"/>
        <v>0</v>
      </c>
      <c r="I75" s="198">
        <f t="shared" si="5"/>
        <v>0</v>
      </c>
      <c r="J75" s="198">
        <f t="shared" si="5"/>
        <v>772103.87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0</v>
      </c>
      <c r="E76" s="189">
        <f t="shared" si="6"/>
        <v>0</v>
      </c>
      <c r="F76" s="189">
        <f t="shared" si="6"/>
        <v>1750542.67</v>
      </c>
      <c r="G76" s="189">
        <f t="shared" si="6"/>
        <v>0</v>
      </c>
      <c r="H76" s="189">
        <f t="shared" si="6"/>
        <v>0</v>
      </c>
      <c r="I76" s="189">
        <f t="shared" si="6"/>
        <v>0</v>
      </c>
      <c r="J76" s="189">
        <f t="shared" si="6"/>
        <v>4045939.27</v>
      </c>
      <c r="K76" s="189">
        <f t="shared" si="6"/>
        <v>0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F78" s="41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F80" s="195"/>
      <c r="H80" s="10"/>
      <c r="I80" s="10"/>
      <c r="J80" s="10"/>
    </row>
    <row r="81" ht="15.75" customHeight="1">
      <c r="A81" s="40"/>
      <c r="B81" s="40"/>
      <c r="C81" s="40"/>
      <c r="F81" s="195"/>
      <c r="H81" s="10"/>
      <c r="I81" s="10"/>
      <c r="J81" s="10"/>
    </row>
    <row r="82" ht="15.75" customHeight="1">
      <c r="A82" s="40"/>
      <c r="B82" s="40"/>
      <c r="C82" s="40"/>
      <c r="F82" s="195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81"/>
      <c r="F3" s="181">
        <v>7400.0</v>
      </c>
      <c r="G3" s="181"/>
      <c r="H3" s="182"/>
      <c r="I3" s="182"/>
      <c r="J3" s="182">
        <v>10150.0</v>
      </c>
      <c r="K3" s="182"/>
    </row>
    <row r="4">
      <c r="A4" s="1" t="s">
        <v>16</v>
      </c>
      <c r="B4" s="1" t="s">
        <v>14</v>
      </c>
      <c r="C4" s="1" t="s">
        <v>15</v>
      </c>
      <c r="D4" s="181"/>
      <c r="E4" s="181"/>
      <c r="F4" s="181"/>
      <c r="G4" s="181"/>
      <c r="H4" s="182"/>
      <c r="I4" s="182"/>
      <c r="J4" s="182">
        <v>0.0</v>
      </c>
      <c r="K4" s="182"/>
    </row>
    <row r="5">
      <c r="A5" s="1" t="s">
        <v>17</v>
      </c>
      <c r="B5" s="1" t="s">
        <v>14</v>
      </c>
      <c r="C5" s="1" t="s">
        <v>15</v>
      </c>
      <c r="D5" s="181"/>
      <c r="E5" s="181"/>
      <c r="F5" s="181"/>
      <c r="G5" s="181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83"/>
      <c r="E6" s="183"/>
      <c r="F6" s="183"/>
      <c r="G6" s="183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81"/>
      <c r="E7" s="181"/>
      <c r="F7" s="181"/>
      <c r="G7" s="181"/>
      <c r="H7" s="182"/>
      <c r="I7" s="182"/>
      <c r="J7" s="182">
        <v>0.0</v>
      </c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0</v>
      </c>
      <c r="F8" s="193">
        <f t="shared" si="1"/>
        <v>7400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10150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>
        <v>0.0</v>
      </c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>
        <v>0.0</v>
      </c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81"/>
      <c r="G11" s="181"/>
      <c r="H11" s="182"/>
      <c r="I11" s="182"/>
      <c r="J11" s="182">
        <v>0.0</v>
      </c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>
        <v>0.0</v>
      </c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>
        <v>0.0</v>
      </c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>
        <v>0.0</v>
      </c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>
        <v>0.0</v>
      </c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>
        <v>0.0</v>
      </c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81">
        <v>142226.0</v>
      </c>
      <c r="G17" s="181"/>
      <c r="H17" s="182"/>
      <c r="I17" s="182"/>
      <c r="J17" s="182">
        <v>75700.0</v>
      </c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81">
        <v>65900.0</v>
      </c>
      <c r="G18" s="181"/>
      <c r="H18" s="182"/>
      <c r="I18" s="182"/>
      <c r="J18" s="182">
        <v>11000.0</v>
      </c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>
        <v>0.0</v>
      </c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>
        <v>0.0</v>
      </c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208126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86700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/>
      <c r="I23" s="182"/>
      <c r="J23" s="182">
        <v>0.0</v>
      </c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>
        <v>0.0</v>
      </c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>
        <v>0.0</v>
      </c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>
        <v>0.0</v>
      </c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>
        <v>0.0</v>
      </c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>
        <v>0.0</v>
      </c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>
        <v>0.0</v>
      </c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>
        <v>0.0</v>
      </c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>
        <v>1600.0</v>
      </c>
      <c r="G31" s="181"/>
      <c r="H31" s="182"/>
      <c r="I31" s="182"/>
      <c r="J31" s="182">
        <v>1400.0</v>
      </c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>
        <v>0.0</v>
      </c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>
        <v>0.0</v>
      </c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>
        <v>0.0</v>
      </c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>
        <v>0.0</v>
      </c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>
        <v>0.0</v>
      </c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>
        <v>0.0</v>
      </c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>
        <v>0.0</v>
      </c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>
        <v>0.0</v>
      </c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>
        <v>0.0</v>
      </c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>
        <v>0.0</v>
      </c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>
        <v>0.0</v>
      </c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>
        <v>0.0</v>
      </c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>
        <v>0.0</v>
      </c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>
        <v>0.0</v>
      </c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>
        <v>0.0</v>
      </c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>
        <v>0.0</v>
      </c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>
        <v>0.0</v>
      </c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>
        <v>0.0</v>
      </c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>
        <v>0.0</v>
      </c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>
        <v>0.0</v>
      </c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>
        <v>0.0</v>
      </c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/>
      <c r="J55" s="182">
        <v>0.0</v>
      </c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0</v>
      </c>
      <c r="F56" s="193">
        <f t="shared" si="3"/>
        <v>1600</v>
      </c>
      <c r="G56" s="193">
        <f t="shared" si="3"/>
        <v>0</v>
      </c>
      <c r="H56" s="193">
        <f t="shared" si="3"/>
        <v>0</v>
      </c>
      <c r="I56" s="193">
        <f t="shared" si="3"/>
        <v>0</v>
      </c>
      <c r="J56" s="193">
        <f t="shared" si="3"/>
        <v>1400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>
        <v>0.0</v>
      </c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/>
      <c r="G58" s="181"/>
      <c r="H58" s="182"/>
      <c r="I58" s="182"/>
      <c r="J58" s="182">
        <v>0.0</v>
      </c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>
        <v>2800.0</v>
      </c>
      <c r="G59" s="181"/>
      <c r="H59" s="182"/>
      <c r="I59" s="182"/>
      <c r="J59" s="182">
        <v>2050.0</v>
      </c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>
        <v>0.0</v>
      </c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>
        <v>0.0</v>
      </c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>
        <v>0.0</v>
      </c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0</v>
      </c>
      <c r="F66" s="193">
        <f t="shared" si="4"/>
        <v>2800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2050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186"/>
      <c r="G67" s="186"/>
      <c r="H67" s="182"/>
      <c r="I67" s="182"/>
      <c r="J67" s="182"/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>
        <v>12000.0</v>
      </c>
      <c r="E68" s="181"/>
      <c r="F68" s="181"/>
      <c r="G68" s="181"/>
      <c r="H68" s="182"/>
      <c r="I68" s="182"/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181"/>
      <c r="G73" s="181"/>
      <c r="H73" s="182"/>
      <c r="I73" s="182"/>
      <c r="J73" s="182"/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81"/>
      <c r="G74" s="181"/>
      <c r="H74" s="182"/>
      <c r="I74" s="182"/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12000</v>
      </c>
      <c r="E75" s="198">
        <f t="shared" si="5"/>
        <v>0</v>
      </c>
      <c r="F75" s="198">
        <f t="shared" si="5"/>
        <v>0</v>
      </c>
      <c r="G75" s="198">
        <f t="shared" si="5"/>
        <v>0</v>
      </c>
      <c r="H75" s="198">
        <f t="shared" si="5"/>
        <v>0</v>
      </c>
      <c r="I75" s="198">
        <f t="shared" si="5"/>
        <v>0</v>
      </c>
      <c r="J75" s="198">
        <f t="shared" si="5"/>
        <v>0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12000</v>
      </c>
      <c r="E76" s="189">
        <f t="shared" si="6"/>
        <v>0</v>
      </c>
      <c r="F76" s="189">
        <f t="shared" si="6"/>
        <v>219926</v>
      </c>
      <c r="G76" s="189">
        <f t="shared" si="6"/>
        <v>0</v>
      </c>
      <c r="H76" s="189">
        <f t="shared" si="6"/>
        <v>0</v>
      </c>
      <c r="I76" s="189">
        <f t="shared" si="6"/>
        <v>0</v>
      </c>
      <c r="J76" s="189">
        <f t="shared" si="6"/>
        <v>100300</v>
      </c>
      <c r="K76" s="189">
        <f t="shared" si="6"/>
        <v>0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F78" s="195"/>
      <c r="H78" s="10"/>
      <c r="I78" s="10"/>
      <c r="J78" s="10"/>
    </row>
    <row r="79" ht="15.75" customHeight="1">
      <c r="A79" s="40"/>
      <c r="B79" s="40"/>
      <c r="C79" s="40"/>
      <c r="F79" s="41"/>
      <c r="H79" s="10"/>
      <c r="I79" s="10"/>
      <c r="J79" s="10"/>
    </row>
    <row r="80" ht="15.75" customHeight="1">
      <c r="A80" s="40"/>
      <c r="B80" s="40"/>
      <c r="C80" s="40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81">
        <v>4298.0</v>
      </c>
      <c r="F3" s="181"/>
      <c r="G3" s="181"/>
      <c r="H3" s="182"/>
      <c r="I3" s="182">
        <v>1242.0</v>
      </c>
      <c r="J3" s="182"/>
      <c r="K3" s="182"/>
    </row>
    <row r="4">
      <c r="A4" s="1" t="s">
        <v>16</v>
      </c>
      <c r="B4" s="1" t="s">
        <v>14</v>
      </c>
      <c r="C4" s="1" t="s">
        <v>15</v>
      </c>
      <c r="D4" s="181"/>
      <c r="E4" s="181"/>
      <c r="F4" s="181"/>
      <c r="G4" s="181"/>
      <c r="H4" s="182"/>
      <c r="I4" s="182"/>
      <c r="J4" s="182"/>
      <c r="K4" s="182"/>
    </row>
    <row r="5">
      <c r="A5" s="1" t="s">
        <v>17</v>
      </c>
      <c r="B5" s="1" t="s">
        <v>14</v>
      </c>
      <c r="C5" s="1" t="s">
        <v>15</v>
      </c>
      <c r="D5" s="181"/>
      <c r="E5" s="181"/>
      <c r="F5" s="181"/>
      <c r="G5" s="181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83"/>
      <c r="E6" s="183"/>
      <c r="F6" s="183"/>
      <c r="G6" s="183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81"/>
      <c r="E7" s="181"/>
      <c r="F7" s="181"/>
      <c r="G7" s="181"/>
      <c r="H7" s="182"/>
      <c r="I7" s="182"/>
      <c r="J7" s="182"/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4298</v>
      </c>
      <c r="F8" s="193">
        <f t="shared" si="1"/>
        <v>0</v>
      </c>
      <c r="G8" s="193">
        <f t="shared" si="1"/>
        <v>0</v>
      </c>
      <c r="H8" s="193">
        <f t="shared" si="1"/>
        <v>0</v>
      </c>
      <c r="I8" s="193">
        <f t="shared" si="1"/>
        <v>1242</v>
      </c>
      <c r="J8" s="193">
        <f t="shared" si="1"/>
        <v>0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/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81"/>
      <c r="G11" s="181"/>
      <c r="H11" s="182"/>
      <c r="I11" s="182"/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/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81"/>
      <c r="G17" s="181"/>
      <c r="H17" s="182"/>
      <c r="I17" s="182"/>
      <c r="J17" s="182"/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81"/>
      <c r="G18" s="181"/>
      <c r="H18" s="182"/>
      <c r="I18" s="182"/>
      <c r="J18" s="182"/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/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0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0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>
        <v>1008.0</v>
      </c>
      <c r="F23" s="186"/>
      <c r="G23" s="186"/>
      <c r="H23" s="182"/>
      <c r="I23" s="182">
        <v>288.0</v>
      </c>
      <c r="J23" s="182"/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>
        <v>1260.0</v>
      </c>
      <c r="F31" s="181"/>
      <c r="G31" s="181"/>
      <c r="H31" s="182"/>
      <c r="I31" s="182"/>
      <c r="J31" s="182"/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>
        <v>-198.0</v>
      </c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/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>
        <v>144.0</v>
      </c>
      <c r="J55" s="182"/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2268</v>
      </c>
      <c r="F56" s="193">
        <f t="shared" si="3"/>
        <v>0</v>
      </c>
      <c r="G56" s="193">
        <f t="shared" si="3"/>
        <v>0</v>
      </c>
      <c r="H56" s="193">
        <f t="shared" si="3"/>
        <v>0</v>
      </c>
      <c r="I56" s="193">
        <f t="shared" si="3"/>
        <v>234</v>
      </c>
      <c r="J56" s="193">
        <f t="shared" si="3"/>
        <v>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>
        <v>594.0</v>
      </c>
      <c r="F58" s="181"/>
      <c r="G58" s="181"/>
      <c r="H58" s="182"/>
      <c r="I58" s="182"/>
      <c r="J58" s="182"/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/>
      <c r="I59" s="182"/>
      <c r="J59" s="182"/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/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/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594</v>
      </c>
      <c r="F66" s="193">
        <f t="shared" si="4"/>
        <v>0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0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>
        <v>3150.0</v>
      </c>
      <c r="F67" s="186"/>
      <c r="G67" s="186"/>
      <c r="H67" s="182"/>
      <c r="I67" s="182">
        <v>432.0</v>
      </c>
      <c r="J67" s="182"/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>
        <v>9069.0</v>
      </c>
      <c r="F68" s="181"/>
      <c r="G68" s="181"/>
      <c r="H68" s="182"/>
      <c r="I68" s="182">
        <v>1422.0</v>
      </c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>
        <v>504.0</v>
      </c>
      <c r="F73" s="181"/>
      <c r="G73" s="181"/>
      <c r="H73" s="182"/>
      <c r="I73" s="182">
        <v>144.0</v>
      </c>
      <c r="J73" s="182"/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81"/>
      <c r="G74" s="181"/>
      <c r="H74" s="182"/>
      <c r="I74" s="182"/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12723</v>
      </c>
      <c r="F75" s="198">
        <f t="shared" si="5"/>
        <v>0</v>
      </c>
      <c r="G75" s="198">
        <f t="shared" si="5"/>
        <v>0</v>
      </c>
      <c r="H75" s="198">
        <f t="shared" si="5"/>
        <v>0</v>
      </c>
      <c r="I75" s="198">
        <f t="shared" si="5"/>
        <v>1998</v>
      </c>
      <c r="J75" s="198">
        <f t="shared" si="5"/>
        <v>0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0</v>
      </c>
      <c r="E76" s="189">
        <f t="shared" si="6"/>
        <v>19883</v>
      </c>
      <c r="F76" s="189">
        <f t="shared" si="6"/>
        <v>0</v>
      </c>
      <c r="G76" s="189">
        <f t="shared" si="6"/>
        <v>0</v>
      </c>
      <c r="H76" s="189">
        <f t="shared" si="6"/>
        <v>0</v>
      </c>
      <c r="I76" s="189">
        <f t="shared" si="6"/>
        <v>3474</v>
      </c>
      <c r="J76" s="189">
        <f t="shared" si="6"/>
        <v>0</v>
      </c>
      <c r="K76" s="189">
        <f t="shared" si="6"/>
        <v>0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E78" s="41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7.14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92"/>
      <c r="E3" s="192"/>
      <c r="F3" s="199">
        <f>10883768.29-42206-F4-F70</f>
        <v>10047375.98</v>
      </c>
      <c r="G3" s="192"/>
      <c r="H3" s="182"/>
      <c r="I3" s="182"/>
      <c r="J3" s="182">
        <f>10349503.95-J4-J67</f>
        <v>8342586.22</v>
      </c>
      <c r="K3" s="182"/>
    </row>
    <row r="4">
      <c r="A4" s="1" t="s">
        <v>16</v>
      </c>
      <c r="B4" s="1" t="s">
        <v>14</v>
      </c>
      <c r="C4" s="1" t="s">
        <v>15</v>
      </c>
      <c r="D4" s="192"/>
      <c r="E4" s="192"/>
      <c r="F4" s="199">
        <v>766081.68</v>
      </c>
      <c r="G4" s="192"/>
      <c r="H4" s="182"/>
      <c r="I4" s="182"/>
      <c r="J4" s="182">
        <v>289505.83</v>
      </c>
      <c r="K4" s="182"/>
    </row>
    <row r="5">
      <c r="A5" s="1" t="s">
        <v>17</v>
      </c>
      <c r="B5" s="1" t="s">
        <v>14</v>
      </c>
      <c r="C5" s="1" t="s">
        <v>15</v>
      </c>
      <c r="D5" s="192"/>
      <c r="E5" s="192"/>
      <c r="F5" s="199"/>
      <c r="G5" s="192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99"/>
      <c r="E6" s="199"/>
      <c r="F6" s="199"/>
      <c r="G6" s="199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92"/>
      <c r="E7" s="192"/>
      <c r="F7" s="192"/>
      <c r="G7" s="192"/>
      <c r="H7" s="182"/>
      <c r="I7" s="182"/>
      <c r="J7" s="182"/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0</v>
      </c>
      <c r="F8" s="193">
        <f t="shared" si="1"/>
        <v>10813457.66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8632092.05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/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92"/>
      <c r="G10" s="181"/>
      <c r="H10" s="182"/>
      <c r="I10" s="182"/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92"/>
      <c r="G11" s="181"/>
      <c r="H11" s="182"/>
      <c r="I11" s="182"/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92"/>
      <c r="G12" s="181"/>
      <c r="H12" s="182"/>
      <c r="I12" s="182"/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92"/>
      <c r="G13" s="181"/>
      <c r="H13" s="182"/>
      <c r="I13" s="182"/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92">
        <v>483446.19</v>
      </c>
      <c r="G14" s="181"/>
      <c r="H14" s="182"/>
      <c r="I14" s="182"/>
      <c r="J14" s="182">
        <v>1283067.16</v>
      </c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92"/>
      <c r="G15" s="181"/>
      <c r="H15" s="182"/>
      <c r="I15" s="182"/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92"/>
      <c r="G16" s="181"/>
      <c r="H16" s="182"/>
      <c r="I16" s="182"/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92">
        <v>1692004.87</v>
      </c>
      <c r="G17" s="181"/>
      <c r="H17" s="182"/>
      <c r="I17" s="182"/>
      <c r="J17" s="182">
        <v>3280838.87</v>
      </c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92">
        <v>566224.25</v>
      </c>
      <c r="G18" s="181"/>
      <c r="H18" s="182"/>
      <c r="I18" s="182"/>
      <c r="J18" s="182">
        <v>4386478.14</v>
      </c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92"/>
      <c r="G19" s="181"/>
      <c r="H19" s="182"/>
      <c r="I19" s="182"/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/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2741675.31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8950384.17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/>
      <c r="I23" s="182"/>
      <c r="J23" s="182"/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>
        <v>1122023.23</v>
      </c>
      <c r="G31" s="181"/>
      <c r="H31" s="182"/>
      <c r="I31" s="182"/>
      <c r="J31" s="182">
        <v>695607.29</v>
      </c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/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/>
      <c r="J55" s="182"/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0</v>
      </c>
      <c r="F56" s="193">
        <f t="shared" si="3"/>
        <v>1122023.23</v>
      </c>
      <c r="G56" s="193">
        <f t="shared" si="3"/>
        <v>0</v>
      </c>
      <c r="H56" s="193">
        <f t="shared" si="3"/>
        <v>0</v>
      </c>
      <c r="I56" s="193">
        <f t="shared" si="3"/>
        <v>0</v>
      </c>
      <c r="J56" s="193">
        <f t="shared" si="3"/>
        <v>695607.29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>
        <v>406786.68</v>
      </c>
      <c r="G58" s="181"/>
      <c r="H58" s="182"/>
      <c r="I58" s="182"/>
      <c r="J58" s="182">
        <v>51110.38</v>
      </c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92"/>
      <c r="G59" s="181"/>
      <c r="H59" s="182"/>
      <c r="I59" s="182"/>
      <c r="J59" s="182"/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92"/>
      <c r="G60" s="181"/>
      <c r="H60" s="182"/>
      <c r="I60" s="182"/>
      <c r="J60" s="182"/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92">
        <v>1492362.88</v>
      </c>
      <c r="G61" s="181"/>
      <c r="H61" s="182"/>
      <c r="I61" s="182"/>
      <c r="J61" s="182">
        <v>5999358.18</v>
      </c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92"/>
      <c r="G62" s="181"/>
      <c r="H62" s="182"/>
      <c r="I62" s="182"/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92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0</v>
      </c>
      <c r="F66" s="193">
        <f t="shared" si="4"/>
        <v>1899149.56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6050468.56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200">
        <f>1025035.55+42206</f>
        <v>1067241.55</v>
      </c>
      <c r="G67" s="186"/>
      <c r="H67" s="182"/>
      <c r="I67" s="182"/>
      <c r="J67" s="182">
        <v>1717411.9</v>
      </c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/>
      <c r="F68" s="192">
        <v>217015.57</v>
      </c>
      <c r="G68" s="181"/>
      <c r="H68" s="182"/>
      <c r="I68" s="182"/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92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92">
        <v>28104.63</v>
      </c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92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92">
        <v>54675.26</v>
      </c>
      <c r="G72" s="181"/>
      <c r="H72" s="182"/>
      <c r="I72" s="182"/>
      <c r="J72" s="182">
        <v>257295.97</v>
      </c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192">
        <v>173195.4</v>
      </c>
      <c r="G73" s="181"/>
      <c r="H73" s="182"/>
      <c r="I73" s="182"/>
      <c r="J73" s="182">
        <v>4440218.12</v>
      </c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92"/>
      <c r="G74" s="181"/>
      <c r="H74" s="182"/>
      <c r="I74" s="182"/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0</v>
      </c>
      <c r="F75" s="198">
        <f t="shared" si="5"/>
        <v>1540232.41</v>
      </c>
      <c r="G75" s="198">
        <f t="shared" si="5"/>
        <v>0</v>
      </c>
      <c r="H75" s="198">
        <f t="shared" si="5"/>
        <v>0</v>
      </c>
      <c r="I75" s="198">
        <f t="shared" si="5"/>
        <v>0</v>
      </c>
      <c r="J75" s="198">
        <f t="shared" si="5"/>
        <v>6414925.99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0</v>
      </c>
      <c r="E76" s="189">
        <f t="shared" si="6"/>
        <v>0</v>
      </c>
      <c r="F76" s="189">
        <f t="shared" si="6"/>
        <v>18116538.17</v>
      </c>
      <c r="G76" s="189">
        <f t="shared" si="6"/>
        <v>0</v>
      </c>
      <c r="H76" s="189">
        <f t="shared" si="6"/>
        <v>0</v>
      </c>
      <c r="I76" s="189">
        <f t="shared" si="6"/>
        <v>0</v>
      </c>
      <c r="J76" s="189">
        <f t="shared" si="6"/>
        <v>30743478.06</v>
      </c>
      <c r="K76" s="189">
        <f t="shared" si="6"/>
        <v>0</v>
      </c>
    </row>
    <row r="77" ht="15.75" customHeight="1">
      <c r="A77" s="40"/>
      <c r="B77" s="40"/>
      <c r="C77" s="40"/>
      <c r="H77" s="16"/>
      <c r="I77" s="16"/>
      <c r="J77" s="16"/>
    </row>
    <row r="78" ht="15.75" customHeight="1">
      <c r="A78" s="40"/>
      <c r="B78" s="40"/>
      <c r="C78" s="40"/>
      <c r="D78" s="204"/>
      <c r="E78" s="204"/>
      <c r="F78" s="204"/>
      <c r="G78" s="204"/>
      <c r="H78" s="10"/>
      <c r="I78" s="10"/>
      <c r="J78" s="210"/>
    </row>
    <row r="79" ht="15.75" customHeight="1">
      <c r="A79" s="40"/>
      <c r="B79" s="40"/>
      <c r="C79" s="40"/>
      <c r="D79" s="194"/>
      <c r="E79" s="194"/>
      <c r="F79" s="211"/>
      <c r="G79" s="194"/>
      <c r="H79" s="10"/>
      <c r="I79" s="10"/>
      <c r="J79" s="16"/>
    </row>
    <row r="80" ht="15.75" customHeight="1">
      <c r="A80" s="40"/>
      <c r="B80" s="40"/>
      <c r="C80" s="40"/>
      <c r="D80" s="204"/>
      <c r="E80" s="204"/>
      <c r="F80" s="204"/>
      <c r="G80" s="204"/>
      <c r="H80" s="10"/>
      <c r="I80" s="10"/>
      <c r="J80" s="10"/>
    </row>
    <row r="81" ht="15.75" customHeight="1">
      <c r="A81" s="40"/>
      <c r="B81" s="40"/>
      <c r="C81" s="40"/>
      <c r="D81" s="204"/>
      <c r="E81" s="194"/>
      <c r="F81" s="194"/>
      <c r="G81" s="194"/>
      <c r="H81" s="10"/>
      <c r="I81" s="10"/>
      <c r="J81" s="16"/>
    </row>
    <row r="82" ht="15.75" customHeight="1">
      <c r="A82" s="40"/>
      <c r="B82" s="40"/>
      <c r="C82" s="40"/>
      <c r="D82" s="204"/>
      <c r="E82" s="204"/>
      <c r="F82" s="204"/>
      <c r="G82" s="204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81"/>
      <c r="F3" s="181"/>
      <c r="G3" s="181"/>
      <c r="H3" s="182"/>
      <c r="I3" s="182"/>
      <c r="J3" s="182"/>
      <c r="K3" s="182"/>
    </row>
    <row r="4">
      <c r="A4" s="1" t="s">
        <v>16</v>
      </c>
      <c r="B4" s="1" t="s">
        <v>14</v>
      </c>
      <c r="C4" s="1" t="s">
        <v>15</v>
      </c>
      <c r="D4" s="181"/>
      <c r="E4" s="181"/>
      <c r="F4" s="181"/>
      <c r="G4" s="181"/>
      <c r="H4" s="182"/>
      <c r="I4" s="182"/>
      <c r="J4" s="182"/>
      <c r="K4" s="182"/>
    </row>
    <row r="5">
      <c r="A5" s="1" t="s">
        <v>17</v>
      </c>
      <c r="B5" s="1" t="s">
        <v>14</v>
      </c>
      <c r="C5" s="1" t="s">
        <v>15</v>
      </c>
      <c r="D5" s="181"/>
      <c r="E5" s="181"/>
      <c r="F5" s="181"/>
      <c r="G5" s="181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83"/>
      <c r="E6" s="183"/>
      <c r="F6" s="183"/>
      <c r="G6" s="183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81"/>
      <c r="E7" s="181"/>
      <c r="F7" s="181"/>
      <c r="G7" s="181"/>
      <c r="H7" s="182"/>
      <c r="I7" s="182"/>
      <c r="J7" s="182"/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0</v>
      </c>
      <c r="F8" s="193">
        <f t="shared" si="1"/>
        <v>0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0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/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81"/>
      <c r="G11" s="181"/>
      <c r="H11" s="182"/>
      <c r="I11" s="182"/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/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81"/>
      <c r="G17" s="181"/>
      <c r="H17" s="182"/>
      <c r="I17" s="182"/>
      <c r="J17" s="182"/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81"/>
      <c r="G18" s="181"/>
      <c r="H18" s="182"/>
      <c r="I18" s="182"/>
      <c r="J18" s="182"/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/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0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0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/>
      <c r="I23" s="182"/>
      <c r="J23" s="182"/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/>
      <c r="G31" s="181"/>
      <c r="H31" s="182"/>
      <c r="I31" s="182"/>
      <c r="J31" s="182"/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/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/>
      <c r="J55" s="182"/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0</v>
      </c>
      <c r="F56" s="193">
        <f t="shared" si="3"/>
        <v>0</v>
      </c>
      <c r="G56" s="193">
        <f t="shared" si="3"/>
        <v>0</v>
      </c>
      <c r="H56" s="193">
        <f t="shared" si="3"/>
        <v>0</v>
      </c>
      <c r="I56" s="193">
        <f t="shared" si="3"/>
        <v>0</v>
      </c>
      <c r="J56" s="193">
        <f t="shared" si="3"/>
        <v>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/>
      <c r="G58" s="181"/>
      <c r="H58" s="182"/>
      <c r="I58" s="182"/>
      <c r="J58" s="182"/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/>
      <c r="I59" s="182"/>
      <c r="J59" s="182"/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/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/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0</v>
      </c>
      <c r="F66" s="193">
        <f t="shared" si="4"/>
        <v>0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0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186"/>
      <c r="G67" s="186"/>
      <c r="H67" s="182"/>
      <c r="I67" s="182"/>
      <c r="J67" s="182"/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/>
      <c r="F68" s="181"/>
      <c r="G68" s="181"/>
      <c r="H68" s="182"/>
      <c r="I68" s="182"/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181"/>
      <c r="G73" s="181"/>
      <c r="H73" s="182"/>
      <c r="I73" s="182"/>
      <c r="J73" s="182"/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81"/>
      <c r="G74" s="181"/>
      <c r="H74" s="182"/>
      <c r="I74" s="182"/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0</v>
      </c>
      <c r="F75" s="198">
        <f t="shared" si="5"/>
        <v>0</v>
      </c>
      <c r="G75" s="198">
        <f t="shared" si="5"/>
        <v>0</v>
      </c>
      <c r="H75" s="198">
        <f t="shared" si="5"/>
        <v>0</v>
      </c>
      <c r="I75" s="198">
        <f t="shared" si="5"/>
        <v>0</v>
      </c>
      <c r="J75" s="198">
        <f t="shared" si="5"/>
        <v>0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0</v>
      </c>
      <c r="E76" s="189">
        <f t="shared" si="6"/>
        <v>0</v>
      </c>
      <c r="F76" s="189">
        <f t="shared" si="6"/>
        <v>0</v>
      </c>
      <c r="G76" s="189">
        <f t="shared" si="6"/>
        <v>0</v>
      </c>
      <c r="H76" s="189">
        <f t="shared" si="6"/>
        <v>0</v>
      </c>
      <c r="I76" s="189">
        <f t="shared" si="6"/>
        <v>0</v>
      </c>
      <c r="J76" s="189">
        <f t="shared" si="6"/>
        <v>0</v>
      </c>
      <c r="K76" s="189">
        <f t="shared" si="6"/>
        <v>0</v>
      </c>
    </row>
    <row r="77" ht="15.75" customHeight="1">
      <c r="A77" s="40"/>
      <c r="B77" s="40"/>
      <c r="C77" s="40"/>
      <c r="H77" s="10"/>
      <c r="I77" s="10"/>
      <c r="J77" s="10"/>
    </row>
    <row r="78" ht="15.75" customHeight="1">
      <c r="A78" s="40"/>
      <c r="B78" s="40"/>
      <c r="C78" s="40"/>
      <c r="H78" s="10"/>
      <c r="I78" s="10"/>
      <c r="J78" s="10"/>
    </row>
    <row r="79" ht="15.75" customHeight="1">
      <c r="A79" s="40"/>
      <c r="B79" s="40"/>
      <c r="C79" s="40"/>
      <c r="H79" s="10"/>
      <c r="I79" s="10"/>
      <c r="J79" s="10"/>
    </row>
    <row r="80" ht="15.75" customHeight="1">
      <c r="A80" s="40"/>
      <c r="B80" s="40"/>
      <c r="C80" s="40"/>
      <c r="H80" s="10"/>
      <c r="I80" s="10"/>
      <c r="J80" s="10"/>
    </row>
    <row r="81" ht="15.75" customHeight="1">
      <c r="A81" s="40"/>
      <c r="B81" s="40"/>
      <c r="C81" s="40"/>
      <c r="H81" s="10"/>
      <c r="I81" s="10"/>
      <c r="J81" s="10"/>
    </row>
    <row r="82" ht="15.75" customHeight="1">
      <c r="A82" s="40"/>
      <c r="B82" s="40"/>
      <c r="C82" s="40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11.43"/>
    <col customWidth="1" min="3" max="3" width="11.71"/>
    <col customWidth="1" min="4" max="4" width="16.86"/>
    <col customWidth="1" min="5" max="5" width="15.14"/>
    <col customWidth="1" min="6" max="6" width="16.86"/>
    <col customWidth="1" min="7" max="7" width="19.0"/>
    <col customWidth="1" min="8" max="9" width="15.14"/>
    <col customWidth="1" min="10" max="10" width="16.86"/>
    <col customWidth="1" min="11" max="11" width="19.0"/>
    <col customWidth="1" min="12" max="26" width="30.14"/>
  </cols>
  <sheetData>
    <row r="1">
      <c r="A1" s="1"/>
      <c r="B1" s="1"/>
      <c r="C1" s="1"/>
      <c r="D1" s="177">
        <v>2025.0</v>
      </c>
      <c r="E1" s="3"/>
      <c r="F1" s="3"/>
      <c r="G1" s="4"/>
      <c r="H1" s="178">
        <v>2024.0</v>
      </c>
      <c r="I1" s="3"/>
      <c r="J1" s="3"/>
      <c r="K1" s="4"/>
    </row>
    <row r="2">
      <c r="A2" s="11" t="s">
        <v>3</v>
      </c>
      <c r="B2" s="12" t="s">
        <v>4</v>
      </c>
      <c r="C2" s="12" t="s">
        <v>5</v>
      </c>
      <c r="D2" s="179" t="s">
        <v>6</v>
      </c>
      <c r="E2" s="179" t="s">
        <v>11</v>
      </c>
      <c r="F2" s="179" t="s">
        <v>10</v>
      </c>
      <c r="G2" s="179" t="s">
        <v>9</v>
      </c>
      <c r="H2" s="180" t="s">
        <v>6</v>
      </c>
      <c r="I2" s="180" t="s">
        <v>11</v>
      </c>
      <c r="J2" s="180" t="s">
        <v>10</v>
      </c>
      <c r="K2" s="180" t="s">
        <v>12</v>
      </c>
    </row>
    <row r="3">
      <c r="A3" s="1" t="s">
        <v>13</v>
      </c>
      <c r="B3" s="1" t="s">
        <v>14</v>
      </c>
      <c r="C3" s="1" t="s">
        <v>15</v>
      </c>
      <c r="D3" s="181"/>
      <c r="E3" s="181"/>
      <c r="F3" s="181"/>
      <c r="G3" s="181"/>
      <c r="H3" s="182"/>
      <c r="I3" s="182"/>
      <c r="J3" s="182"/>
      <c r="K3" s="182"/>
    </row>
    <row r="4">
      <c r="A4" s="1" t="s">
        <v>16</v>
      </c>
      <c r="B4" s="1" t="s">
        <v>14</v>
      </c>
      <c r="C4" s="1" t="s">
        <v>15</v>
      </c>
      <c r="D4" s="181"/>
      <c r="E4" s="181"/>
      <c r="F4" s="181"/>
      <c r="G4" s="181"/>
      <c r="H4" s="182"/>
      <c r="I4" s="182"/>
      <c r="J4" s="182"/>
      <c r="K4" s="182"/>
    </row>
    <row r="5">
      <c r="A5" s="1" t="s">
        <v>17</v>
      </c>
      <c r="B5" s="1" t="s">
        <v>14</v>
      </c>
      <c r="C5" s="1" t="s">
        <v>15</v>
      </c>
      <c r="D5" s="181"/>
      <c r="E5" s="181"/>
      <c r="F5" s="181"/>
      <c r="G5" s="181"/>
      <c r="H5" s="182"/>
      <c r="I5" s="182"/>
      <c r="J5" s="182"/>
      <c r="K5" s="182"/>
    </row>
    <row r="6">
      <c r="A6" s="21" t="s">
        <v>18</v>
      </c>
      <c r="B6" s="1" t="s">
        <v>14</v>
      </c>
      <c r="C6" s="21" t="s">
        <v>15</v>
      </c>
      <c r="D6" s="183"/>
      <c r="E6" s="183"/>
      <c r="F6" s="183"/>
      <c r="G6" s="183"/>
      <c r="H6" s="182"/>
      <c r="I6" s="182"/>
      <c r="J6" s="182"/>
      <c r="K6" s="182"/>
    </row>
    <row r="7">
      <c r="A7" s="1" t="s">
        <v>19</v>
      </c>
      <c r="B7" s="1" t="s">
        <v>14</v>
      </c>
      <c r="C7" s="1" t="s">
        <v>15</v>
      </c>
      <c r="D7" s="181"/>
      <c r="E7" s="181"/>
      <c r="F7" s="181"/>
      <c r="G7" s="181"/>
      <c r="H7" s="182"/>
      <c r="I7" s="182"/>
      <c r="J7" s="182"/>
      <c r="K7" s="182"/>
    </row>
    <row r="8">
      <c r="A8" s="24" t="s">
        <v>20</v>
      </c>
      <c r="B8" s="25"/>
      <c r="C8" s="25"/>
      <c r="D8" s="193">
        <f t="shared" ref="D8:K8" si="1">SUM(D3:D7)</f>
        <v>0</v>
      </c>
      <c r="E8" s="193">
        <f t="shared" si="1"/>
        <v>0</v>
      </c>
      <c r="F8" s="193">
        <f t="shared" si="1"/>
        <v>0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0</v>
      </c>
      <c r="K8" s="193">
        <f t="shared" si="1"/>
        <v>0</v>
      </c>
    </row>
    <row r="9">
      <c r="A9" s="23" t="s">
        <v>21</v>
      </c>
      <c r="B9" s="1" t="s">
        <v>14</v>
      </c>
      <c r="C9" s="23" t="s">
        <v>22</v>
      </c>
      <c r="D9" s="186"/>
      <c r="E9" s="186"/>
      <c r="F9" s="186"/>
      <c r="G9" s="186"/>
      <c r="H9" s="182"/>
      <c r="I9" s="182"/>
      <c r="J9" s="182"/>
      <c r="K9" s="182"/>
    </row>
    <row r="10">
      <c r="A10" s="1" t="s">
        <v>23</v>
      </c>
      <c r="B10" s="1" t="s">
        <v>14</v>
      </c>
      <c r="C10" s="1" t="s">
        <v>22</v>
      </c>
      <c r="D10" s="181"/>
      <c r="E10" s="181"/>
      <c r="F10" s="181"/>
      <c r="G10" s="181"/>
      <c r="H10" s="182"/>
      <c r="I10" s="182"/>
      <c r="J10" s="182"/>
      <c r="K10" s="182"/>
    </row>
    <row r="11">
      <c r="A11" s="1" t="s">
        <v>24</v>
      </c>
      <c r="B11" s="1" t="s">
        <v>14</v>
      </c>
      <c r="C11" s="1" t="s">
        <v>22</v>
      </c>
      <c r="D11" s="181"/>
      <c r="E11" s="181"/>
      <c r="F11" s="181"/>
      <c r="G11" s="181"/>
      <c r="H11" s="182"/>
      <c r="I11" s="182"/>
      <c r="J11" s="182"/>
      <c r="K11" s="182"/>
    </row>
    <row r="12">
      <c r="A12" s="1" t="s">
        <v>25</v>
      </c>
      <c r="B12" s="1" t="s">
        <v>14</v>
      </c>
      <c r="C12" s="1" t="s">
        <v>22</v>
      </c>
      <c r="D12" s="181"/>
      <c r="E12" s="181"/>
      <c r="F12" s="181"/>
      <c r="G12" s="181"/>
      <c r="H12" s="182"/>
      <c r="I12" s="182"/>
      <c r="J12" s="182"/>
      <c r="K12" s="182"/>
    </row>
    <row r="13">
      <c r="A13" s="1" t="s">
        <v>26</v>
      </c>
      <c r="B13" s="1" t="s">
        <v>14</v>
      </c>
      <c r="C13" s="1" t="s">
        <v>22</v>
      </c>
      <c r="D13" s="181"/>
      <c r="E13" s="181"/>
      <c r="F13" s="181"/>
      <c r="G13" s="181"/>
      <c r="H13" s="182"/>
      <c r="I13" s="182"/>
      <c r="J13" s="182"/>
      <c r="K13" s="182"/>
    </row>
    <row r="14">
      <c r="A14" s="1" t="s">
        <v>27</v>
      </c>
      <c r="B14" s="1" t="s">
        <v>14</v>
      </c>
      <c r="C14" s="1" t="s">
        <v>22</v>
      </c>
      <c r="D14" s="181"/>
      <c r="E14" s="181"/>
      <c r="F14" s="181"/>
      <c r="G14" s="181"/>
      <c r="H14" s="182"/>
      <c r="I14" s="182"/>
      <c r="J14" s="182"/>
      <c r="K14" s="182"/>
    </row>
    <row r="15">
      <c r="A15" s="1" t="s">
        <v>28</v>
      </c>
      <c r="B15" s="1" t="s">
        <v>14</v>
      </c>
      <c r="C15" s="1" t="s">
        <v>22</v>
      </c>
      <c r="D15" s="181"/>
      <c r="E15" s="181"/>
      <c r="F15" s="181"/>
      <c r="G15" s="181"/>
      <c r="H15" s="182"/>
      <c r="I15" s="182"/>
      <c r="J15" s="182"/>
      <c r="K15" s="182"/>
    </row>
    <row r="16">
      <c r="A16" s="1" t="s">
        <v>29</v>
      </c>
      <c r="B16" s="1" t="s">
        <v>14</v>
      </c>
      <c r="C16" s="1" t="s">
        <v>22</v>
      </c>
      <c r="D16" s="181"/>
      <c r="E16" s="181"/>
      <c r="F16" s="181"/>
      <c r="G16" s="181"/>
      <c r="H16" s="182"/>
      <c r="I16" s="182"/>
      <c r="J16" s="182"/>
      <c r="K16" s="182"/>
    </row>
    <row r="17">
      <c r="A17" s="1" t="s">
        <v>30</v>
      </c>
      <c r="B17" s="1" t="s">
        <v>14</v>
      </c>
      <c r="C17" s="1" t="s">
        <v>22</v>
      </c>
      <c r="D17" s="181"/>
      <c r="E17" s="181"/>
      <c r="F17" s="181"/>
      <c r="G17" s="181"/>
      <c r="H17" s="182"/>
      <c r="I17" s="182"/>
      <c r="J17" s="182"/>
      <c r="K17" s="182"/>
    </row>
    <row r="18">
      <c r="A18" s="1" t="s">
        <v>31</v>
      </c>
      <c r="B18" s="1" t="s">
        <v>14</v>
      </c>
      <c r="C18" s="1" t="s">
        <v>22</v>
      </c>
      <c r="D18" s="181"/>
      <c r="E18" s="181"/>
      <c r="F18" s="181"/>
      <c r="G18" s="181"/>
      <c r="H18" s="182"/>
      <c r="I18" s="182"/>
      <c r="J18" s="182"/>
      <c r="K18" s="182"/>
    </row>
    <row r="19">
      <c r="A19" s="1" t="s">
        <v>32</v>
      </c>
      <c r="B19" s="1" t="s">
        <v>14</v>
      </c>
      <c r="C19" s="1" t="s">
        <v>22</v>
      </c>
      <c r="D19" s="181"/>
      <c r="E19" s="181"/>
      <c r="F19" s="181"/>
      <c r="G19" s="181"/>
      <c r="H19" s="182"/>
      <c r="I19" s="182"/>
      <c r="J19" s="182"/>
      <c r="K19" s="182"/>
    </row>
    <row r="20">
      <c r="A20" s="21" t="s">
        <v>33</v>
      </c>
      <c r="B20" s="1" t="s">
        <v>14</v>
      </c>
      <c r="C20" s="1" t="s">
        <v>22</v>
      </c>
      <c r="D20" s="183"/>
      <c r="E20" s="183"/>
      <c r="F20" s="183"/>
      <c r="G20" s="183"/>
      <c r="H20" s="182"/>
      <c r="I20" s="182"/>
      <c r="J20" s="182"/>
      <c r="K20" s="182"/>
    </row>
    <row r="21" ht="15.75" customHeight="1">
      <c r="A21" s="21" t="s">
        <v>34</v>
      </c>
      <c r="B21" s="1" t="s">
        <v>14</v>
      </c>
      <c r="C21" s="21" t="s">
        <v>22</v>
      </c>
      <c r="D21" s="183"/>
      <c r="E21" s="183"/>
      <c r="F21" s="183"/>
      <c r="G21" s="183"/>
      <c r="H21" s="182"/>
      <c r="I21" s="182"/>
      <c r="J21" s="182"/>
      <c r="K21" s="182"/>
    </row>
    <row r="22" ht="15.75" customHeight="1">
      <c r="A22" s="24" t="s">
        <v>35</v>
      </c>
      <c r="B22" s="25"/>
      <c r="C22" s="25"/>
      <c r="D22" s="193">
        <f t="shared" ref="D22:K22" si="2">SUM(D9:D21)</f>
        <v>0</v>
      </c>
      <c r="E22" s="193">
        <f t="shared" si="2"/>
        <v>0</v>
      </c>
      <c r="F22" s="193">
        <f t="shared" si="2"/>
        <v>0</v>
      </c>
      <c r="G22" s="193">
        <f t="shared" si="2"/>
        <v>0</v>
      </c>
      <c r="H22" s="193">
        <f t="shared" si="2"/>
        <v>0</v>
      </c>
      <c r="I22" s="193">
        <f t="shared" si="2"/>
        <v>0</v>
      </c>
      <c r="J22" s="193">
        <f t="shared" si="2"/>
        <v>0</v>
      </c>
      <c r="K22" s="193">
        <f t="shared" si="2"/>
        <v>0</v>
      </c>
    </row>
    <row r="23" ht="15.75" customHeight="1">
      <c r="A23" s="23" t="s">
        <v>36</v>
      </c>
      <c r="B23" s="23" t="s">
        <v>37</v>
      </c>
      <c r="C23" s="23" t="s">
        <v>38</v>
      </c>
      <c r="D23" s="186"/>
      <c r="E23" s="186"/>
      <c r="F23" s="186"/>
      <c r="G23" s="186"/>
      <c r="H23" s="182"/>
      <c r="I23" s="182"/>
      <c r="J23" s="182"/>
      <c r="K23" s="182"/>
    </row>
    <row r="24" ht="15.75" customHeight="1">
      <c r="A24" s="30" t="s">
        <v>39</v>
      </c>
      <c r="B24" s="1" t="s">
        <v>37</v>
      </c>
      <c r="C24" s="1" t="s">
        <v>38</v>
      </c>
      <c r="D24" s="181"/>
      <c r="E24" s="181"/>
      <c r="F24" s="181"/>
      <c r="G24" s="181"/>
      <c r="H24" s="182"/>
      <c r="I24" s="182"/>
      <c r="J24" s="182"/>
      <c r="K24" s="182"/>
    </row>
    <row r="25" ht="15.75" customHeight="1">
      <c r="A25" s="30" t="s">
        <v>40</v>
      </c>
      <c r="B25" s="1" t="s">
        <v>37</v>
      </c>
      <c r="C25" s="1" t="s">
        <v>38</v>
      </c>
      <c r="D25" s="181"/>
      <c r="E25" s="181"/>
      <c r="F25" s="181"/>
      <c r="G25" s="181"/>
      <c r="H25" s="182"/>
      <c r="I25" s="182"/>
      <c r="J25" s="182"/>
      <c r="K25" s="182"/>
    </row>
    <row r="26" ht="15.75" customHeight="1">
      <c r="A26" s="1" t="s">
        <v>65</v>
      </c>
      <c r="B26" s="1" t="s">
        <v>66</v>
      </c>
      <c r="C26" s="1" t="s">
        <v>38</v>
      </c>
      <c r="D26" s="181"/>
      <c r="E26" s="181"/>
      <c r="F26" s="181"/>
      <c r="G26" s="181"/>
      <c r="H26" s="182"/>
      <c r="I26" s="182"/>
      <c r="J26" s="182"/>
      <c r="K26" s="182"/>
    </row>
    <row r="27" ht="15.75" customHeight="1">
      <c r="A27" s="30" t="s">
        <v>41</v>
      </c>
      <c r="B27" s="1" t="s">
        <v>37</v>
      </c>
      <c r="C27" s="1" t="s">
        <v>38</v>
      </c>
      <c r="D27" s="181"/>
      <c r="E27" s="181"/>
      <c r="F27" s="181"/>
      <c r="G27" s="181"/>
      <c r="H27" s="182"/>
      <c r="I27" s="182"/>
      <c r="J27" s="182"/>
      <c r="K27" s="182"/>
    </row>
    <row r="28" ht="15.75" customHeight="1">
      <c r="A28" s="30" t="s">
        <v>42</v>
      </c>
      <c r="B28" s="1" t="s">
        <v>37</v>
      </c>
      <c r="C28" s="1" t="s">
        <v>38</v>
      </c>
      <c r="D28" s="181"/>
      <c r="E28" s="181"/>
      <c r="F28" s="181"/>
      <c r="G28" s="181"/>
      <c r="H28" s="182"/>
      <c r="I28" s="182"/>
      <c r="J28" s="182"/>
      <c r="K28" s="182"/>
    </row>
    <row r="29" ht="15.75" customHeight="1">
      <c r="A29" s="30" t="s">
        <v>43</v>
      </c>
      <c r="B29" s="1" t="s">
        <v>37</v>
      </c>
      <c r="C29" s="1" t="s">
        <v>38</v>
      </c>
      <c r="D29" s="181"/>
      <c r="E29" s="181"/>
      <c r="F29" s="181"/>
      <c r="G29" s="181"/>
      <c r="H29" s="182"/>
      <c r="I29" s="182"/>
      <c r="J29" s="182"/>
      <c r="K29" s="182"/>
    </row>
    <row r="30" ht="15.75" customHeight="1">
      <c r="A30" s="1" t="s">
        <v>44</v>
      </c>
      <c r="B30" s="1" t="s">
        <v>37</v>
      </c>
      <c r="C30" s="1" t="s">
        <v>38</v>
      </c>
      <c r="D30" s="181"/>
      <c r="E30" s="181"/>
      <c r="F30" s="181"/>
      <c r="G30" s="181"/>
      <c r="H30" s="182"/>
      <c r="I30" s="182"/>
      <c r="J30" s="182"/>
      <c r="K30" s="182"/>
    </row>
    <row r="31" ht="15.75" customHeight="1">
      <c r="A31" s="1" t="s">
        <v>45</v>
      </c>
      <c r="B31" s="1" t="s">
        <v>37</v>
      </c>
      <c r="C31" s="1" t="s">
        <v>38</v>
      </c>
      <c r="D31" s="181"/>
      <c r="E31" s="181"/>
      <c r="F31" s="181"/>
      <c r="G31" s="181"/>
      <c r="H31" s="182"/>
      <c r="I31" s="182"/>
      <c r="J31" s="182"/>
      <c r="K31" s="182"/>
    </row>
    <row r="32" ht="15.75" customHeight="1">
      <c r="A32" s="1" t="s">
        <v>46</v>
      </c>
      <c r="B32" s="1" t="s">
        <v>37</v>
      </c>
      <c r="C32" s="1" t="s">
        <v>38</v>
      </c>
      <c r="D32" s="181"/>
      <c r="E32" s="181"/>
      <c r="F32" s="181"/>
      <c r="G32" s="181"/>
      <c r="H32" s="182"/>
      <c r="I32" s="182"/>
      <c r="J32" s="182"/>
      <c r="K32" s="182"/>
    </row>
    <row r="33" ht="15.75" customHeight="1">
      <c r="A33" s="1" t="s">
        <v>47</v>
      </c>
      <c r="B33" s="1" t="s">
        <v>37</v>
      </c>
      <c r="C33" s="1" t="s">
        <v>38</v>
      </c>
      <c r="D33" s="181"/>
      <c r="E33" s="181"/>
      <c r="F33" s="181"/>
      <c r="G33" s="181"/>
      <c r="H33" s="182"/>
      <c r="I33" s="182"/>
      <c r="J33" s="182"/>
      <c r="K33" s="182"/>
    </row>
    <row r="34" ht="15.75" customHeight="1">
      <c r="A34" s="1" t="s">
        <v>48</v>
      </c>
      <c r="B34" s="1" t="s">
        <v>37</v>
      </c>
      <c r="C34" s="1" t="s">
        <v>38</v>
      </c>
      <c r="D34" s="181"/>
      <c r="E34" s="181"/>
      <c r="F34" s="181"/>
      <c r="G34" s="181"/>
      <c r="H34" s="182"/>
      <c r="I34" s="182"/>
      <c r="J34" s="182"/>
      <c r="K34" s="182"/>
    </row>
    <row r="35" ht="15.75" customHeight="1">
      <c r="A35" s="1" t="s">
        <v>49</v>
      </c>
      <c r="B35" s="1" t="s">
        <v>37</v>
      </c>
      <c r="C35" s="1" t="s">
        <v>38</v>
      </c>
      <c r="D35" s="181"/>
      <c r="E35" s="181"/>
      <c r="F35" s="181"/>
      <c r="G35" s="181"/>
      <c r="H35" s="182"/>
      <c r="I35" s="182"/>
      <c r="J35" s="182"/>
      <c r="K35" s="182"/>
    </row>
    <row r="36" ht="15.75" customHeight="1">
      <c r="A36" s="30" t="s">
        <v>50</v>
      </c>
      <c r="B36" s="1" t="s">
        <v>37</v>
      </c>
      <c r="C36" s="1" t="s">
        <v>38</v>
      </c>
      <c r="D36" s="181"/>
      <c r="E36" s="181"/>
      <c r="F36" s="181"/>
      <c r="G36" s="181"/>
      <c r="H36" s="182"/>
      <c r="I36" s="182"/>
      <c r="J36" s="182"/>
      <c r="K36" s="182"/>
    </row>
    <row r="37" ht="15.75" customHeight="1">
      <c r="A37" s="1" t="s">
        <v>51</v>
      </c>
      <c r="B37" s="1" t="s">
        <v>37</v>
      </c>
      <c r="C37" s="1" t="s">
        <v>38</v>
      </c>
      <c r="D37" s="181"/>
      <c r="E37" s="181"/>
      <c r="F37" s="181"/>
      <c r="G37" s="181"/>
      <c r="H37" s="182"/>
      <c r="I37" s="182"/>
      <c r="J37" s="182"/>
      <c r="K37" s="182"/>
    </row>
    <row r="38" ht="15.75" customHeight="1">
      <c r="A38" s="1" t="s">
        <v>52</v>
      </c>
      <c r="B38" s="1" t="s">
        <v>37</v>
      </c>
      <c r="C38" s="1" t="s">
        <v>38</v>
      </c>
      <c r="D38" s="181"/>
      <c r="E38" s="181"/>
      <c r="F38" s="181"/>
      <c r="G38" s="181"/>
      <c r="H38" s="182"/>
      <c r="I38" s="182"/>
      <c r="J38" s="182"/>
      <c r="K38" s="182"/>
    </row>
    <row r="39" ht="15.75" customHeight="1">
      <c r="A39" s="1" t="s">
        <v>53</v>
      </c>
      <c r="B39" s="1" t="s">
        <v>37</v>
      </c>
      <c r="C39" s="1" t="s">
        <v>38</v>
      </c>
      <c r="D39" s="181"/>
      <c r="E39" s="181"/>
      <c r="F39" s="181"/>
      <c r="G39" s="181"/>
      <c r="H39" s="182"/>
      <c r="I39" s="182"/>
      <c r="J39" s="182"/>
      <c r="K39" s="182"/>
    </row>
    <row r="40" ht="15.75" customHeight="1">
      <c r="A40" s="1" t="s">
        <v>54</v>
      </c>
      <c r="B40" s="1" t="s">
        <v>37</v>
      </c>
      <c r="C40" s="1" t="s">
        <v>38</v>
      </c>
      <c r="D40" s="181"/>
      <c r="E40" s="181"/>
      <c r="F40" s="181"/>
      <c r="G40" s="181"/>
      <c r="H40" s="182"/>
      <c r="I40" s="182"/>
      <c r="J40" s="182"/>
      <c r="K40" s="182"/>
    </row>
    <row r="41" ht="15.75" customHeight="1">
      <c r="A41" s="1" t="s">
        <v>69</v>
      </c>
      <c r="B41" s="1" t="s">
        <v>66</v>
      </c>
      <c r="C41" s="1" t="s">
        <v>38</v>
      </c>
      <c r="D41" s="181"/>
      <c r="E41" s="181"/>
      <c r="F41" s="181"/>
      <c r="G41" s="181"/>
      <c r="H41" s="182"/>
      <c r="I41" s="182"/>
      <c r="J41" s="182"/>
      <c r="K41" s="182"/>
    </row>
    <row r="42" ht="15.75" customHeight="1">
      <c r="A42" s="1" t="s">
        <v>71</v>
      </c>
      <c r="B42" s="1" t="s">
        <v>66</v>
      </c>
      <c r="C42" s="1" t="s">
        <v>38</v>
      </c>
      <c r="D42" s="181"/>
      <c r="E42" s="181"/>
      <c r="F42" s="181"/>
      <c r="G42" s="181"/>
      <c r="H42" s="182"/>
      <c r="I42" s="182"/>
      <c r="J42" s="182"/>
      <c r="K42" s="182"/>
    </row>
    <row r="43" ht="15.75" customHeight="1">
      <c r="A43" s="30" t="s">
        <v>55</v>
      </c>
      <c r="B43" s="1" t="s">
        <v>37</v>
      </c>
      <c r="C43" s="1" t="s">
        <v>38</v>
      </c>
      <c r="D43" s="181"/>
      <c r="E43" s="181"/>
      <c r="F43" s="181"/>
      <c r="G43" s="181"/>
      <c r="H43" s="182"/>
      <c r="I43" s="182"/>
      <c r="J43" s="182"/>
      <c r="K43" s="182"/>
    </row>
    <row r="44" ht="15.75" customHeight="1">
      <c r="A44" s="1" t="s">
        <v>56</v>
      </c>
      <c r="B44" s="1" t="s">
        <v>37</v>
      </c>
      <c r="C44" s="1" t="s">
        <v>38</v>
      </c>
      <c r="D44" s="181"/>
      <c r="E44" s="181"/>
      <c r="F44" s="181"/>
      <c r="G44" s="181"/>
      <c r="H44" s="182"/>
      <c r="I44" s="182"/>
      <c r="J44" s="182"/>
      <c r="K44" s="182"/>
    </row>
    <row r="45" ht="15.75" customHeight="1">
      <c r="A45" s="1" t="s">
        <v>57</v>
      </c>
      <c r="B45" s="1" t="s">
        <v>37</v>
      </c>
      <c r="C45" s="1" t="s">
        <v>38</v>
      </c>
      <c r="D45" s="181"/>
      <c r="E45" s="181"/>
      <c r="F45" s="181"/>
      <c r="G45" s="181"/>
      <c r="H45" s="182"/>
      <c r="I45" s="182"/>
      <c r="J45" s="182"/>
      <c r="K45" s="182"/>
    </row>
    <row r="46" ht="15.75" customHeight="1">
      <c r="A46" s="1" t="s">
        <v>67</v>
      </c>
      <c r="B46" s="1" t="s">
        <v>66</v>
      </c>
      <c r="C46" s="1" t="s">
        <v>38</v>
      </c>
      <c r="D46" s="181"/>
      <c r="E46" s="181"/>
      <c r="F46" s="181"/>
      <c r="G46" s="181"/>
      <c r="H46" s="182"/>
      <c r="I46" s="182"/>
      <c r="J46" s="182"/>
      <c r="K46" s="182"/>
    </row>
    <row r="47" ht="15.75" customHeight="1">
      <c r="A47" s="1" t="s">
        <v>68</v>
      </c>
      <c r="B47" s="1" t="s">
        <v>66</v>
      </c>
      <c r="C47" s="1" t="s">
        <v>38</v>
      </c>
      <c r="D47" s="181"/>
      <c r="E47" s="181"/>
      <c r="F47" s="181"/>
      <c r="G47" s="181"/>
      <c r="H47" s="182"/>
      <c r="I47" s="182"/>
      <c r="J47" s="182"/>
      <c r="K47" s="182"/>
      <c r="L47" s="42"/>
    </row>
    <row r="48" ht="15.75" customHeight="1">
      <c r="A48" s="1" t="s">
        <v>58</v>
      </c>
      <c r="B48" s="1" t="s">
        <v>37</v>
      </c>
      <c r="C48" s="1" t="s">
        <v>38</v>
      </c>
      <c r="D48" s="181"/>
      <c r="E48" s="181"/>
      <c r="F48" s="181"/>
      <c r="G48" s="181"/>
      <c r="H48" s="182"/>
      <c r="I48" s="182"/>
      <c r="J48" s="182"/>
      <c r="K48" s="182"/>
    </row>
    <row r="49" ht="15.75" customHeight="1">
      <c r="A49" s="1" t="s">
        <v>59</v>
      </c>
      <c r="B49" s="1" t="s">
        <v>37</v>
      </c>
      <c r="C49" s="1" t="s">
        <v>38</v>
      </c>
      <c r="D49" s="181"/>
      <c r="E49" s="181"/>
      <c r="F49" s="181"/>
      <c r="G49" s="181"/>
      <c r="H49" s="182"/>
      <c r="I49" s="182"/>
      <c r="J49" s="182"/>
      <c r="K49" s="182"/>
    </row>
    <row r="50" ht="15.75" customHeight="1">
      <c r="A50" s="1" t="s">
        <v>60</v>
      </c>
      <c r="B50" s="1" t="s">
        <v>37</v>
      </c>
      <c r="C50" s="1" t="s">
        <v>38</v>
      </c>
      <c r="D50" s="181"/>
      <c r="E50" s="181"/>
      <c r="F50" s="181"/>
      <c r="G50" s="181"/>
      <c r="H50" s="182"/>
      <c r="I50" s="182"/>
      <c r="J50" s="182"/>
      <c r="K50" s="182"/>
    </row>
    <row r="51" ht="15.75" customHeight="1">
      <c r="A51" s="1" t="s">
        <v>61</v>
      </c>
      <c r="B51" s="1" t="s">
        <v>37</v>
      </c>
      <c r="C51" s="1" t="s">
        <v>38</v>
      </c>
      <c r="D51" s="181"/>
      <c r="E51" s="181"/>
      <c r="F51" s="181"/>
      <c r="G51" s="181"/>
      <c r="H51" s="182"/>
      <c r="I51" s="182"/>
      <c r="J51" s="182"/>
      <c r="K51" s="182"/>
    </row>
    <row r="52" ht="15.75" customHeight="1">
      <c r="A52" s="1" t="s">
        <v>62</v>
      </c>
      <c r="B52" s="1" t="s">
        <v>37</v>
      </c>
      <c r="C52" s="1" t="s">
        <v>38</v>
      </c>
      <c r="D52" s="181"/>
      <c r="E52" s="181"/>
      <c r="F52" s="181"/>
      <c r="G52" s="181"/>
      <c r="H52" s="182"/>
      <c r="I52" s="182"/>
      <c r="J52" s="182"/>
      <c r="K52" s="182"/>
    </row>
    <row r="53" ht="15.75" customHeight="1">
      <c r="A53" s="1" t="s">
        <v>63</v>
      </c>
      <c r="B53" s="1" t="s">
        <v>37</v>
      </c>
      <c r="C53" s="1" t="s">
        <v>38</v>
      </c>
      <c r="D53" s="181"/>
      <c r="E53" s="181"/>
      <c r="F53" s="181"/>
      <c r="G53" s="181"/>
      <c r="H53" s="182"/>
      <c r="I53" s="182"/>
      <c r="J53" s="182"/>
      <c r="K53" s="182"/>
    </row>
    <row r="54" ht="15.75" customHeight="1">
      <c r="A54" s="1" t="s">
        <v>70</v>
      </c>
      <c r="B54" s="1" t="s">
        <v>14</v>
      </c>
      <c r="C54" s="23" t="s">
        <v>38</v>
      </c>
      <c r="D54" s="183"/>
      <c r="E54" s="183"/>
      <c r="F54" s="183"/>
      <c r="G54" s="183"/>
      <c r="H54" s="182"/>
      <c r="I54" s="182"/>
      <c r="J54" s="182"/>
      <c r="K54" s="182"/>
    </row>
    <row r="55" ht="15.75" customHeight="1">
      <c r="A55" s="21" t="s">
        <v>64</v>
      </c>
      <c r="B55" s="21" t="s">
        <v>37</v>
      </c>
      <c r="C55" s="21" t="s">
        <v>38</v>
      </c>
      <c r="D55" s="183"/>
      <c r="E55" s="183"/>
      <c r="F55" s="183"/>
      <c r="G55" s="183"/>
      <c r="H55" s="182"/>
      <c r="I55" s="182"/>
      <c r="J55" s="182"/>
      <c r="K55" s="182"/>
    </row>
    <row r="56" ht="15.75" customHeight="1">
      <c r="A56" s="32" t="s">
        <v>72</v>
      </c>
      <c r="B56" s="25"/>
      <c r="C56" s="25"/>
      <c r="D56" s="193">
        <f t="shared" ref="D56:K56" si="3">SUM(D23:D55)</f>
        <v>0</v>
      </c>
      <c r="E56" s="193">
        <f t="shared" si="3"/>
        <v>0</v>
      </c>
      <c r="F56" s="193">
        <f t="shared" si="3"/>
        <v>0</v>
      </c>
      <c r="G56" s="193">
        <f t="shared" si="3"/>
        <v>0</v>
      </c>
      <c r="H56" s="193">
        <f t="shared" si="3"/>
        <v>0</v>
      </c>
      <c r="I56" s="193">
        <f t="shared" si="3"/>
        <v>0</v>
      </c>
      <c r="J56" s="193">
        <f t="shared" si="3"/>
        <v>0</v>
      </c>
      <c r="K56" s="193">
        <f t="shared" si="3"/>
        <v>0</v>
      </c>
    </row>
    <row r="57" ht="15.75" customHeight="1">
      <c r="A57" s="30" t="s">
        <v>77</v>
      </c>
      <c r="B57" s="1" t="s">
        <v>74</v>
      </c>
      <c r="C57" s="1" t="s">
        <v>38</v>
      </c>
      <c r="D57" s="181"/>
      <c r="E57" s="181"/>
      <c r="F57" s="181"/>
      <c r="G57" s="181"/>
      <c r="H57" s="182"/>
      <c r="I57" s="182"/>
      <c r="J57" s="182"/>
      <c r="K57" s="182"/>
    </row>
    <row r="58" ht="15.75" customHeight="1">
      <c r="A58" s="1" t="s">
        <v>78</v>
      </c>
      <c r="B58" s="1" t="s">
        <v>74</v>
      </c>
      <c r="C58" s="1" t="s">
        <v>38</v>
      </c>
      <c r="D58" s="181"/>
      <c r="E58" s="181"/>
      <c r="F58" s="181"/>
      <c r="G58" s="181"/>
      <c r="H58" s="182"/>
      <c r="I58" s="182"/>
      <c r="J58" s="182"/>
      <c r="K58" s="182"/>
    </row>
    <row r="59" ht="15.75" customHeight="1">
      <c r="A59" s="1" t="s">
        <v>76</v>
      </c>
      <c r="B59" s="1" t="s">
        <v>74</v>
      </c>
      <c r="C59" s="1" t="s">
        <v>38</v>
      </c>
      <c r="D59" s="181"/>
      <c r="E59" s="181"/>
      <c r="F59" s="181"/>
      <c r="G59" s="181"/>
      <c r="H59" s="182"/>
      <c r="I59" s="182"/>
      <c r="J59" s="182"/>
      <c r="K59" s="182"/>
      <c r="M59" s="195"/>
    </row>
    <row r="60" ht="15.75" customHeight="1">
      <c r="A60" s="1" t="s">
        <v>73</v>
      </c>
      <c r="B60" s="1" t="s">
        <v>74</v>
      </c>
      <c r="C60" s="1" t="s">
        <v>38</v>
      </c>
      <c r="D60" s="181"/>
      <c r="E60" s="181"/>
      <c r="F60" s="181"/>
      <c r="G60" s="181"/>
      <c r="H60" s="182"/>
      <c r="I60" s="182"/>
      <c r="J60" s="182"/>
      <c r="K60" s="182"/>
      <c r="M60" s="195"/>
    </row>
    <row r="61" ht="15.75" customHeight="1">
      <c r="A61" s="23" t="s">
        <v>75</v>
      </c>
      <c r="B61" s="23" t="s">
        <v>74</v>
      </c>
      <c r="C61" s="23" t="s">
        <v>38</v>
      </c>
      <c r="D61" s="181"/>
      <c r="E61" s="181"/>
      <c r="F61" s="181"/>
      <c r="G61" s="181"/>
      <c r="H61" s="182"/>
      <c r="I61" s="182"/>
      <c r="J61" s="182"/>
      <c r="K61" s="182"/>
      <c r="M61" s="195"/>
    </row>
    <row r="62" ht="15.75" customHeight="1">
      <c r="A62" s="30" t="s">
        <v>82</v>
      </c>
      <c r="B62" s="1" t="s">
        <v>74</v>
      </c>
      <c r="C62" s="1" t="s">
        <v>38</v>
      </c>
      <c r="D62" s="181"/>
      <c r="E62" s="181"/>
      <c r="F62" s="181"/>
      <c r="G62" s="181"/>
      <c r="H62" s="182"/>
      <c r="I62" s="182"/>
      <c r="J62" s="182"/>
      <c r="K62" s="182"/>
    </row>
    <row r="63" ht="15.75" customHeight="1">
      <c r="A63" s="35" t="s">
        <v>80</v>
      </c>
      <c r="B63" s="1" t="s">
        <v>74</v>
      </c>
      <c r="C63" s="23" t="s">
        <v>38</v>
      </c>
      <c r="D63" s="181"/>
      <c r="E63" s="181"/>
      <c r="F63" s="181"/>
      <c r="G63" s="181"/>
      <c r="H63" s="182"/>
      <c r="I63" s="182"/>
      <c r="J63" s="182"/>
      <c r="K63" s="182"/>
    </row>
    <row r="64" ht="15.75" customHeight="1">
      <c r="A64" s="36" t="s">
        <v>81</v>
      </c>
      <c r="B64" s="1" t="s">
        <v>74</v>
      </c>
      <c r="C64" s="23" t="s">
        <v>38</v>
      </c>
      <c r="D64" s="181"/>
      <c r="E64" s="181"/>
      <c r="F64" s="181"/>
      <c r="G64" s="181"/>
      <c r="H64" s="182"/>
      <c r="I64" s="182"/>
      <c r="J64" s="182"/>
      <c r="K64" s="182"/>
    </row>
    <row r="65" ht="15.75" customHeight="1">
      <c r="A65" s="174" t="s">
        <v>79</v>
      </c>
      <c r="B65" s="1" t="s">
        <v>74</v>
      </c>
      <c r="C65" s="1" t="s">
        <v>38</v>
      </c>
      <c r="D65" s="181"/>
      <c r="E65" s="181"/>
      <c r="F65" s="181"/>
      <c r="G65" s="181"/>
      <c r="H65" s="182"/>
      <c r="I65" s="182"/>
      <c r="J65" s="182"/>
      <c r="K65" s="182"/>
    </row>
    <row r="66" ht="15.75" customHeight="1">
      <c r="A66" s="32" t="s">
        <v>83</v>
      </c>
      <c r="B66" s="25"/>
      <c r="C66" s="25"/>
      <c r="D66" s="193">
        <f t="shared" ref="D66:K66" si="4">SUM(D57:D65)</f>
        <v>0</v>
      </c>
      <c r="E66" s="193">
        <f t="shared" si="4"/>
        <v>0</v>
      </c>
      <c r="F66" s="193">
        <f t="shared" si="4"/>
        <v>0</v>
      </c>
      <c r="G66" s="193">
        <f t="shared" si="4"/>
        <v>0</v>
      </c>
      <c r="H66" s="193">
        <f t="shared" si="4"/>
        <v>0</v>
      </c>
      <c r="I66" s="193">
        <f t="shared" si="4"/>
        <v>0</v>
      </c>
      <c r="J66" s="193">
        <f t="shared" si="4"/>
        <v>0</v>
      </c>
      <c r="K66" s="193">
        <f t="shared" si="4"/>
        <v>0</v>
      </c>
    </row>
    <row r="67" ht="15.75" customHeight="1">
      <c r="A67" s="23" t="s">
        <v>84</v>
      </c>
      <c r="B67" s="1" t="s">
        <v>14</v>
      </c>
      <c r="C67" s="23" t="s">
        <v>85</v>
      </c>
      <c r="D67" s="186"/>
      <c r="E67" s="186"/>
      <c r="F67" s="186"/>
      <c r="G67" s="186"/>
      <c r="H67" s="182"/>
      <c r="I67" s="182"/>
      <c r="J67" s="182"/>
      <c r="K67" s="182"/>
    </row>
    <row r="68" ht="15.75" customHeight="1">
      <c r="A68" s="30" t="s">
        <v>86</v>
      </c>
      <c r="B68" s="1" t="s">
        <v>37</v>
      </c>
      <c r="C68" s="1" t="s">
        <v>87</v>
      </c>
      <c r="D68" s="181"/>
      <c r="E68" s="181"/>
      <c r="F68" s="181"/>
      <c r="G68" s="181"/>
      <c r="H68" s="182"/>
      <c r="I68" s="182"/>
      <c r="J68" s="182"/>
      <c r="K68" s="182"/>
    </row>
    <row r="69" ht="15.75" customHeight="1">
      <c r="A69" s="1" t="s">
        <v>88</v>
      </c>
      <c r="B69" s="1" t="s">
        <v>14</v>
      </c>
      <c r="C69" s="1" t="s">
        <v>87</v>
      </c>
      <c r="D69" s="181"/>
      <c r="E69" s="181"/>
      <c r="F69" s="181"/>
      <c r="G69" s="181"/>
      <c r="H69" s="182"/>
      <c r="I69" s="182"/>
      <c r="J69" s="182"/>
      <c r="K69" s="182"/>
    </row>
    <row r="70" ht="15.75" customHeight="1">
      <c r="A70" s="1" t="s">
        <v>89</v>
      </c>
      <c r="B70" s="1" t="s">
        <v>37</v>
      </c>
      <c r="C70" s="1" t="s">
        <v>87</v>
      </c>
      <c r="D70" s="181"/>
      <c r="E70" s="181"/>
      <c r="F70" s="181"/>
      <c r="G70" s="181"/>
      <c r="H70" s="182"/>
      <c r="I70" s="182"/>
      <c r="J70" s="182"/>
      <c r="K70" s="182"/>
    </row>
    <row r="71" ht="15.75" customHeight="1">
      <c r="A71" s="1" t="s">
        <v>90</v>
      </c>
      <c r="B71" s="1" t="s">
        <v>37</v>
      </c>
      <c r="C71" s="1" t="s">
        <v>87</v>
      </c>
      <c r="D71" s="181"/>
      <c r="E71" s="181"/>
      <c r="F71" s="181"/>
      <c r="G71" s="181"/>
      <c r="H71" s="182"/>
      <c r="I71" s="182"/>
      <c r="J71" s="182"/>
      <c r="K71" s="182"/>
    </row>
    <row r="72" ht="15.75" customHeight="1">
      <c r="A72" s="1" t="s">
        <v>91</v>
      </c>
      <c r="B72" s="1" t="s">
        <v>37</v>
      </c>
      <c r="C72" s="1" t="s">
        <v>87</v>
      </c>
      <c r="D72" s="181"/>
      <c r="E72" s="181"/>
      <c r="F72" s="181"/>
      <c r="G72" s="181"/>
      <c r="H72" s="182"/>
      <c r="I72" s="182"/>
      <c r="J72" s="182"/>
      <c r="K72" s="182"/>
      <c r="L72" s="42"/>
    </row>
    <row r="73" ht="15.75" customHeight="1">
      <c r="A73" s="126" t="s">
        <v>92</v>
      </c>
      <c r="B73" s="1" t="s">
        <v>37</v>
      </c>
      <c r="C73" s="1" t="s">
        <v>87</v>
      </c>
      <c r="D73" s="181"/>
      <c r="E73" s="181"/>
      <c r="F73" s="181"/>
      <c r="G73" s="181"/>
      <c r="H73" s="182"/>
      <c r="I73" s="182"/>
      <c r="J73" s="182"/>
      <c r="K73" s="182"/>
    </row>
    <row r="74" ht="15.75" customHeight="1">
      <c r="A74" s="1" t="s">
        <v>93</v>
      </c>
      <c r="B74" s="1" t="s">
        <v>37</v>
      </c>
      <c r="C74" s="1" t="s">
        <v>87</v>
      </c>
      <c r="D74" s="181"/>
      <c r="E74" s="181"/>
      <c r="F74" s="181"/>
      <c r="G74" s="181"/>
      <c r="H74" s="182"/>
      <c r="I74" s="182"/>
      <c r="J74" s="182"/>
      <c r="K74" s="182"/>
    </row>
    <row r="75" ht="15.75" customHeight="1">
      <c r="A75" s="196" t="s">
        <v>94</v>
      </c>
      <c r="B75" s="197"/>
      <c r="C75" s="197"/>
      <c r="D75" s="198">
        <f t="shared" ref="D75:K75" si="5">SUM(D67:D74)</f>
        <v>0</v>
      </c>
      <c r="E75" s="198">
        <f t="shared" si="5"/>
        <v>0</v>
      </c>
      <c r="F75" s="198">
        <f t="shared" si="5"/>
        <v>0</v>
      </c>
      <c r="G75" s="198">
        <f t="shared" si="5"/>
        <v>0</v>
      </c>
      <c r="H75" s="198">
        <f t="shared" si="5"/>
        <v>0</v>
      </c>
      <c r="I75" s="198">
        <f t="shared" si="5"/>
        <v>0</v>
      </c>
      <c r="J75" s="198">
        <f t="shared" si="5"/>
        <v>0</v>
      </c>
      <c r="K75" s="198">
        <f t="shared" si="5"/>
        <v>0</v>
      </c>
    </row>
    <row r="76" ht="15.75" customHeight="1">
      <c r="A76" s="24" t="s">
        <v>95</v>
      </c>
      <c r="B76" s="25"/>
      <c r="C76" s="25"/>
      <c r="D76" s="189">
        <f t="shared" ref="D76:K76" si="6">D75+D66+D56+D22+D8</f>
        <v>0</v>
      </c>
      <c r="E76" s="189">
        <f t="shared" si="6"/>
        <v>0</v>
      </c>
      <c r="F76" s="189">
        <f t="shared" si="6"/>
        <v>0</v>
      </c>
      <c r="G76" s="189">
        <f t="shared" si="6"/>
        <v>0</v>
      </c>
      <c r="H76" s="189">
        <f t="shared" si="6"/>
        <v>0</v>
      </c>
      <c r="I76" s="189">
        <f t="shared" si="6"/>
        <v>0</v>
      </c>
      <c r="J76" s="189">
        <f t="shared" si="6"/>
        <v>0</v>
      </c>
      <c r="K76" s="189">
        <f t="shared" si="6"/>
        <v>0</v>
      </c>
    </row>
    <row r="77" ht="15.75" customHeight="1">
      <c r="A77" s="40"/>
      <c r="B77" s="40"/>
      <c r="C77" s="40"/>
      <c r="H77" s="16"/>
      <c r="I77" s="16"/>
      <c r="J77" s="16"/>
    </row>
    <row r="78" ht="15.75" customHeight="1">
      <c r="A78" s="40"/>
      <c r="B78" s="40"/>
      <c r="C78" s="40"/>
      <c r="D78" s="204"/>
      <c r="E78" s="204"/>
      <c r="F78" s="204"/>
      <c r="G78" s="204"/>
      <c r="H78" s="10"/>
      <c r="I78" s="10"/>
      <c r="J78" s="10"/>
    </row>
    <row r="79" ht="15.75" customHeight="1">
      <c r="A79" s="40"/>
      <c r="B79" s="40"/>
      <c r="C79" s="40"/>
      <c r="D79" s="194"/>
      <c r="E79" s="194"/>
      <c r="F79" s="194"/>
      <c r="G79" s="194"/>
      <c r="H79" s="10"/>
      <c r="I79" s="10"/>
      <c r="J79" s="10"/>
    </row>
    <row r="80" ht="15.75" customHeight="1">
      <c r="A80" s="40"/>
      <c r="B80" s="40"/>
      <c r="C80" s="40"/>
      <c r="D80" s="204"/>
      <c r="E80" s="204"/>
      <c r="F80" s="204"/>
      <c r="G80" s="204"/>
      <c r="H80" s="10"/>
      <c r="I80" s="10"/>
      <c r="J80" s="10"/>
    </row>
    <row r="81" ht="15.75" customHeight="1">
      <c r="A81" s="40"/>
      <c r="B81" s="40"/>
      <c r="C81" s="40"/>
      <c r="D81" s="204"/>
      <c r="E81" s="194"/>
      <c r="F81" s="194"/>
      <c r="G81" s="194"/>
      <c r="H81" s="10"/>
      <c r="I81" s="10"/>
      <c r="J81" s="10"/>
    </row>
    <row r="82" ht="15.75" customHeight="1">
      <c r="A82" s="40"/>
      <c r="B82" s="40"/>
      <c r="C82" s="40"/>
      <c r="D82" s="204"/>
      <c r="E82" s="204"/>
      <c r="F82" s="204"/>
      <c r="G82" s="204"/>
      <c r="H82" s="10"/>
      <c r="I82" s="10"/>
      <c r="J82" s="10"/>
    </row>
    <row r="83" ht="15.75" customHeight="1">
      <c r="A83" s="40"/>
      <c r="B83" s="40"/>
      <c r="C83" s="40"/>
      <c r="H83" s="10"/>
      <c r="I83" s="10"/>
      <c r="J83" s="10"/>
    </row>
    <row r="84" ht="15.75" customHeight="1">
      <c r="A84" s="40"/>
      <c r="B84" s="40"/>
      <c r="C84" s="40"/>
      <c r="H84" s="10"/>
      <c r="I84" s="10"/>
      <c r="J84" s="10"/>
    </row>
    <row r="85" ht="15.75" customHeight="1">
      <c r="A85" s="40"/>
      <c r="B85" s="40"/>
      <c r="C85" s="40"/>
      <c r="H85" s="10"/>
      <c r="I85" s="10"/>
      <c r="J85" s="10"/>
    </row>
    <row r="86" ht="15.75" customHeight="1">
      <c r="A86" s="40"/>
      <c r="B86" s="40"/>
      <c r="C86" s="40"/>
      <c r="H86" s="10"/>
      <c r="I86" s="10"/>
      <c r="J86" s="10"/>
    </row>
    <row r="87" ht="15.75" customHeight="1">
      <c r="A87" s="40"/>
      <c r="B87" s="40"/>
      <c r="C87" s="40"/>
      <c r="H87" s="10"/>
      <c r="I87" s="10"/>
      <c r="J87" s="10"/>
    </row>
    <row r="88" ht="15.75" customHeight="1">
      <c r="A88" s="40"/>
      <c r="B88" s="40"/>
      <c r="C88" s="40"/>
      <c r="H88" s="10"/>
      <c r="I88" s="10"/>
      <c r="J88" s="10"/>
    </row>
    <row r="89" ht="15.75" customHeight="1">
      <c r="A89" s="40"/>
      <c r="B89" s="40"/>
      <c r="C89" s="40"/>
      <c r="H89" s="10"/>
      <c r="I89" s="10"/>
      <c r="J89" s="10"/>
    </row>
    <row r="90" ht="15.75" customHeight="1">
      <c r="A90" s="40"/>
      <c r="B90" s="40"/>
      <c r="C90" s="40"/>
      <c r="H90" s="10"/>
      <c r="I90" s="10"/>
      <c r="J90" s="10"/>
    </row>
    <row r="91" ht="15.75" customHeight="1">
      <c r="A91" s="40"/>
      <c r="B91" s="40"/>
      <c r="C91" s="40"/>
      <c r="H91" s="10"/>
      <c r="I91" s="10"/>
      <c r="J91" s="10"/>
    </row>
    <row r="92" ht="15.75" customHeight="1">
      <c r="A92" s="40"/>
      <c r="B92" s="40"/>
      <c r="C92" s="40"/>
      <c r="H92" s="10"/>
      <c r="I92" s="10"/>
      <c r="J92" s="10"/>
    </row>
    <row r="93" ht="15.75" customHeight="1">
      <c r="A93" s="40"/>
      <c r="B93" s="40"/>
      <c r="C93" s="40"/>
      <c r="H93" s="10"/>
      <c r="I93" s="10"/>
      <c r="J93" s="10"/>
    </row>
    <row r="94" ht="15.75" customHeight="1">
      <c r="A94" s="40"/>
      <c r="B94" s="40"/>
      <c r="C94" s="40"/>
      <c r="H94" s="10"/>
      <c r="I94" s="10"/>
      <c r="J94" s="10"/>
    </row>
    <row r="95" ht="15.75" customHeight="1">
      <c r="A95" s="40"/>
      <c r="B95" s="40"/>
      <c r="C95" s="40"/>
      <c r="H95" s="10"/>
      <c r="I95" s="10"/>
      <c r="J95" s="10"/>
    </row>
    <row r="96" ht="15.75" customHeight="1">
      <c r="A96" s="40"/>
      <c r="B96" s="40"/>
      <c r="C96" s="40"/>
      <c r="H96" s="10"/>
      <c r="I96" s="10"/>
      <c r="J96" s="10"/>
    </row>
    <row r="97" ht="15.75" customHeight="1">
      <c r="A97" s="40"/>
      <c r="B97" s="40"/>
      <c r="C97" s="40"/>
      <c r="H97" s="10"/>
      <c r="I97" s="10"/>
      <c r="J97" s="10"/>
    </row>
    <row r="98" ht="15.75" customHeight="1">
      <c r="A98" s="40"/>
      <c r="B98" s="40"/>
      <c r="C98" s="40"/>
      <c r="H98" s="10"/>
      <c r="I98" s="10"/>
      <c r="J98" s="10"/>
    </row>
    <row r="99" ht="15.75" customHeight="1">
      <c r="A99" s="40"/>
      <c r="B99" s="40"/>
      <c r="C99" s="40"/>
      <c r="H99" s="10"/>
      <c r="I99" s="10"/>
      <c r="J99" s="10"/>
    </row>
    <row r="100" ht="15.75" customHeight="1">
      <c r="A100" s="40"/>
      <c r="B100" s="40"/>
      <c r="C100" s="40"/>
      <c r="H100" s="10"/>
      <c r="I100" s="10"/>
      <c r="J100" s="10"/>
    </row>
    <row r="101" ht="15.75" customHeight="1">
      <c r="A101" s="40"/>
      <c r="B101" s="40"/>
      <c r="C101" s="40"/>
      <c r="H101" s="10"/>
      <c r="I101" s="10"/>
      <c r="J101" s="10"/>
    </row>
    <row r="102" ht="15.75" customHeight="1">
      <c r="A102" s="40"/>
      <c r="B102" s="40"/>
      <c r="C102" s="40"/>
      <c r="H102" s="10"/>
      <c r="I102" s="10"/>
      <c r="J102" s="10"/>
    </row>
    <row r="103" ht="15.75" customHeight="1">
      <c r="A103" s="40"/>
      <c r="B103" s="40"/>
      <c r="C103" s="40"/>
      <c r="H103" s="10"/>
      <c r="I103" s="10"/>
      <c r="J103" s="10"/>
    </row>
    <row r="104" ht="15.75" customHeight="1">
      <c r="A104" s="40"/>
      <c r="B104" s="40"/>
      <c r="C104" s="40"/>
      <c r="H104" s="10"/>
      <c r="I104" s="10"/>
      <c r="J104" s="10"/>
    </row>
    <row r="105" ht="15.75" customHeight="1">
      <c r="A105" s="40"/>
      <c r="B105" s="40"/>
      <c r="C105" s="40"/>
      <c r="H105" s="10"/>
      <c r="I105" s="10"/>
      <c r="J105" s="10"/>
    </row>
    <row r="106" ht="15.75" customHeight="1">
      <c r="A106" s="40"/>
      <c r="B106" s="40"/>
      <c r="C106" s="40"/>
      <c r="H106" s="10"/>
      <c r="I106" s="10"/>
      <c r="J106" s="10"/>
    </row>
    <row r="107" ht="15.75" customHeight="1">
      <c r="A107" s="40"/>
      <c r="B107" s="40"/>
      <c r="C107" s="40"/>
      <c r="H107" s="10"/>
      <c r="I107" s="10"/>
      <c r="J107" s="10"/>
    </row>
    <row r="108" ht="15.75" customHeight="1">
      <c r="A108" s="40"/>
      <c r="B108" s="40"/>
      <c r="C108" s="40"/>
      <c r="H108" s="10"/>
      <c r="I108" s="10"/>
      <c r="J108" s="10"/>
    </row>
    <row r="109" ht="15.75" customHeight="1">
      <c r="A109" s="40"/>
      <c r="B109" s="40"/>
      <c r="C109" s="40"/>
      <c r="H109" s="10"/>
      <c r="I109" s="10"/>
      <c r="J109" s="10"/>
    </row>
    <row r="110" ht="15.75" customHeight="1">
      <c r="A110" s="40"/>
      <c r="B110" s="40"/>
      <c r="C110" s="40"/>
      <c r="H110" s="10"/>
      <c r="I110" s="10"/>
      <c r="J110" s="10"/>
    </row>
    <row r="111" ht="15.75" customHeight="1">
      <c r="A111" s="40"/>
      <c r="B111" s="40"/>
      <c r="C111" s="40"/>
      <c r="H111" s="10"/>
      <c r="I111" s="10"/>
      <c r="J111" s="10"/>
    </row>
    <row r="112" ht="15.75" customHeight="1">
      <c r="A112" s="40"/>
      <c r="B112" s="40"/>
      <c r="C112" s="40"/>
      <c r="H112" s="10"/>
      <c r="I112" s="10"/>
      <c r="J112" s="10"/>
    </row>
    <row r="113" ht="15.75" customHeight="1">
      <c r="A113" s="40"/>
      <c r="B113" s="40"/>
      <c r="C113" s="40"/>
      <c r="H113" s="10"/>
      <c r="I113" s="10"/>
      <c r="J113" s="10"/>
    </row>
    <row r="114" ht="15.75" customHeight="1">
      <c r="A114" s="40"/>
      <c r="B114" s="40"/>
      <c r="C114" s="40"/>
      <c r="H114" s="10"/>
      <c r="I114" s="10"/>
      <c r="J114" s="10"/>
    </row>
    <row r="115" ht="15.75" customHeight="1">
      <c r="A115" s="40"/>
      <c r="B115" s="40"/>
      <c r="C115" s="40"/>
      <c r="H115" s="10"/>
      <c r="I115" s="10"/>
      <c r="J115" s="10"/>
    </row>
    <row r="116" ht="15.75" customHeight="1">
      <c r="A116" s="40"/>
      <c r="B116" s="40"/>
      <c r="C116" s="40"/>
      <c r="H116" s="10"/>
      <c r="I116" s="10"/>
      <c r="J116" s="10"/>
    </row>
    <row r="117" ht="15.75" customHeight="1">
      <c r="A117" s="40"/>
      <c r="B117" s="40"/>
      <c r="C117" s="40"/>
      <c r="H117" s="10"/>
      <c r="I117" s="10"/>
      <c r="J117" s="10"/>
    </row>
    <row r="118" ht="15.75" customHeight="1">
      <c r="A118" s="40"/>
      <c r="B118" s="40"/>
      <c r="C118" s="40"/>
      <c r="H118" s="10"/>
      <c r="I118" s="10"/>
      <c r="J118" s="10"/>
    </row>
    <row r="119" ht="15.75" customHeight="1">
      <c r="A119" s="40"/>
      <c r="B119" s="40"/>
      <c r="C119" s="40"/>
      <c r="H119" s="10"/>
      <c r="I119" s="10"/>
      <c r="J119" s="10"/>
    </row>
    <row r="120" ht="15.75" customHeight="1">
      <c r="A120" s="40"/>
      <c r="B120" s="40"/>
      <c r="C120" s="40"/>
      <c r="H120" s="10"/>
      <c r="I120" s="10"/>
      <c r="J120" s="10"/>
    </row>
    <row r="121" ht="15.75" customHeight="1">
      <c r="A121" s="40"/>
      <c r="B121" s="40"/>
      <c r="C121" s="40"/>
      <c r="H121" s="10"/>
      <c r="I121" s="10"/>
      <c r="J121" s="10"/>
    </row>
    <row r="122" ht="15.75" customHeight="1">
      <c r="A122" s="40"/>
      <c r="B122" s="40"/>
      <c r="C122" s="40"/>
      <c r="H122" s="10"/>
      <c r="I122" s="10"/>
      <c r="J122" s="10"/>
    </row>
    <row r="123" ht="15.75" customHeight="1">
      <c r="A123" s="40"/>
      <c r="B123" s="40"/>
      <c r="C123" s="40"/>
      <c r="H123" s="10"/>
      <c r="I123" s="10"/>
      <c r="J123" s="10"/>
    </row>
    <row r="124" ht="15.75" customHeight="1">
      <c r="A124" s="40"/>
      <c r="B124" s="40"/>
      <c r="C124" s="40"/>
      <c r="H124" s="10"/>
      <c r="I124" s="10"/>
      <c r="J124" s="10"/>
    </row>
    <row r="125" ht="15.75" customHeight="1">
      <c r="A125" s="40"/>
      <c r="B125" s="40"/>
      <c r="C125" s="40"/>
      <c r="H125" s="10"/>
      <c r="I125" s="10"/>
      <c r="J125" s="10"/>
    </row>
    <row r="126" ht="15.75" customHeight="1">
      <c r="A126" s="40"/>
      <c r="B126" s="40"/>
      <c r="C126" s="40"/>
      <c r="H126" s="10"/>
      <c r="I126" s="10"/>
      <c r="J126" s="10"/>
    </row>
    <row r="127" ht="15.75" customHeight="1">
      <c r="A127" s="40"/>
      <c r="B127" s="40"/>
      <c r="C127" s="40"/>
      <c r="H127" s="10"/>
      <c r="I127" s="10"/>
      <c r="J127" s="10"/>
    </row>
    <row r="128" ht="15.75" customHeight="1">
      <c r="A128" s="40"/>
      <c r="B128" s="40"/>
      <c r="C128" s="40"/>
      <c r="H128" s="10"/>
      <c r="I128" s="10"/>
      <c r="J128" s="10"/>
    </row>
    <row r="129" ht="15.75" customHeight="1">
      <c r="A129" s="40"/>
      <c r="B129" s="40"/>
      <c r="C129" s="40"/>
      <c r="H129" s="10"/>
      <c r="I129" s="10"/>
      <c r="J129" s="10"/>
    </row>
    <row r="130" ht="15.75" customHeight="1">
      <c r="A130" s="40"/>
      <c r="B130" s="40"/>
      <c r="C130" s="40"/>
      <c r="H130" s="10"/>
      <c r="I130" s="10"/>
      <c r="J130" s="10"/>
    </row>
    <row r="131" ht="15.75" customHeight="1">
      <c r="A131" s="40"/>
      <c r="B131" s="40"/>
      <c r="C131" s="40"/>
      <c r="H131" s="10"/>
      <c r="I131" s="10"/>
      <c r="J131" s="10"/>
    </row>
    <row r="132" ht="15.75" customHeight="1">
      <c r="A132" s="40"/>
      <c r="B132" s="40"/>
      <c r="C132" s="40"/>
      <c r="H132" s="10"/>
      <c r="I132" s="10"/>
      <c r="J132" s="10"/>
    </row>
    <row r="133" ht="15.75" customHeight="1">
      <c r="A133" s="40"/>
      <c r="B133" s="40"/>
      <c r="C133" s="40"/>
      <c r="H133" s="10"/>
      <c r="I133" s="10"/>
      <c r="J133" s="10"/>
    </row>
    <row r="134" ht="15.75" customHeight="1">
      <c r="A134" s="40"/>
      <c r="B134" s="40"/>
      <c r="C134" s="40"/>
      <c r="H134" s="10"/>
      <c r="I134" s="10"/>
      <c r="J134" s="10"/>
    </row>
    <row r="135" ht="15.75" customHeight="1">
      <c r="A135" s="40"/>
      <c r="B135" s="40"/>
      <c r="C135" s="40"/>
      <c r="H135" s="10"/>
      <c r="I135" s="10"/>
      <c r="J135" s="10"/>
    </row>
    <row r="136" ht="15.75" customHeight="1">
      <c r="A136" s="40"/>
      <c r="B136" s="40"/>
      <c r="C136" s="40"/>
      <c r="H136" s="10"/>
      <c r="I136" s="10"/>
      <c r="J136" s="10"/>
    </row>
    <row r="137" ht="15.75" customHeight="1">
      <c r="A137" s="40"/>
      <c r="B137" s="40"/>
      <c r="C137" s="40"/>
      <c r="H137" s="10"/>
      <c r="I137" s="10"/>
      <c r="J137" s="10"/>
    </row>
    <row r="138" ht="15.75" customHeight="1">
      <c r="A138" s="40"/>
      <c r="B138" s="40"/>
      <c r="C138" s="40"/>
      <c r="H138" s="10"/>
      <c r="I138" s="10"/>
      <c r="J138" s="10"/>
    </row>
    <row r="139" ht="15.75" customHeight="1">
      <c r="A139" s="40"/>
      <c r="B139" s="40"/>
      <c r="C139" s="40"/>
      <c r="H139" s="10"/>
      <c r="I139" s="10"/>
      <c r="J139" s="10"/>
    </row>
    <row r="140" ht="15.75" customHeight="1">
      <c r="A140" s="40"/>
      <c r="B140" s="40"/>
      <c r="C140" s="40"/>
      <c r="H140" s="10"/>
      <c r="I140" s="10"/>
      <c r="J140" s="10"/>
    </row>
    <row r="141" ht="15.75" customHeight="1">
      <c r="A141" s="40"/>
      <c r="B141" s="40"/>
      <c r="C141" s="40"/>
      <c r="H141" s="10"/>
      <c r="I141" s="10"/>
      <c r="J141" s="10"/>
    </row>
    <row r="142" ht="15.75" customHeight="1">
      <c r="A142" s="40"/>
      <c r="B142" s="40"/>
      <c r="C142" s="40"/>
      <c r="H142" s="10"/>
      <c r="I142" s="10"/>
      <c r="J142" s="10"/>
    </row>
    <row r="143" ht="15.75" customHeight="1">
      <c r="A143" s="40"/>
      <c r="B143" s="40"/>
      <c r="C143" s="40"/>
      <c r="H143" s="10"/>
      <c r="I143" s="10"/>
      <c r="J143" s="10"/>
    </row>
    <row r="144" ht="15.75" customHeight="1">
      <c r="A144" s="40"/>
      <c r="B144" s="40"/>
      <c r="C144" s="40"/>
      <c r="H144" s="10"/>
      <c r="I144" s="10"/>
      <c r="J144" s="10"/>
    </row>
    <row r="145" ht="15.75" customHeight="1">
      <c r="A145" s="40"/>
      <c r="B145" s="40"/>
      <c r="C145" s="40"/>
      <c r="H145" s="10"/>
      <c r="I145" s="10"/>
      <c r="J145" s="10"/>
    </row>
    <row r="146" ht="15.75" customHeight="1">
      <c r="A146" s="40"/>
      <c r="B146" s="40"/>
      <c r="C146" s="40"/>
      <c r="H146" s="10"/>
      <c r="I146" s="10"/>
      <c r="J146" s="10"/>
    </row>
    <row r="147" ht="15.75" customHeight="1">
      <c r="A147" s="40"/>
      <c r="B147" s="40"/>
      <c r="C147" s="40"/>
      <c r="H147" s="10"/>
      <c r="I147" s="10"/>
      <c r="J147" s="10"/>
    </row>
    <row r="148" ht="15.75" customHeight="1">
      <c r="A148" s="40"/>
      <c r="B148" s="40"/>
      <c r="C148" s="40"/>
      <c r="H148" s="10"/>
      <c r="I148" s="10"/>
      <c r="J148" s="10"/>
    </row>
    <row r="149" ht="15.75" customHeight="1">
      <c r="A149" s="40"/>
      <c r="B149" s="40"/>
      <c r="C149" s="40"/>
      <c r="H149" s="10"/>
      <c r="I149" s="10"/>
      <c r="J149" s="10"/>
    </row>
    <row r="150" ht="15.75" customHeight="1">
      <c r="A150" s="40"/>
      <c r="B150" s="40"/>
      <c r="C150" s="40"/>
      <c r="H150" s="10"/>
      <c r="I150" s="10"/>
      <c r="J150" s="10"/>
    </row>
    <row r="151" ht="15.75" customHeight="1">
      <c r="A151" s="40"/>
      <c r="B151" s="40"/>
      <c r="C151" s="40"/>
      <c r="H151" s="10"/>
      <c r="I151" s="10"/>
      <c r="J151" s="10"/>
    </row>
    <row r="152" ht="15.75" customHeight="1">
      <c r="A152" s="40"/>
      <c r="B152" s="40"/>
      <c r="C152" s="40"/>
      <c r="H152" s="10"/>
      <c r="I152" s="10"/>
      <c r="J152" s="10"/>
    </row>
    <row r="153" ht="15.75" customHeight="1">
      <c r="A153" s="40"/>
      <c r="B153" s="40"/>
      <c r="C153" s="40"/>
      <c r="H153" s="10"/>
      <c r="I153" s="10"/>
      <c r="J153" s="10"/>
    </row>
    <row r="154" ht="15.75" customHeight="1">
      <c r="A154" s="40"/>
      <c r="B154" s="40"/>
      <c r="C154" s="40"/>
      <c r="H154" s="10"/>
      <c r="I154" s="10"/>
      <c r="J154" s="10"/>
    </row>
    <row r="155" ht="15.75" customHeight="1">
      <c r="A155" s="40"/>
      <c r="B155" s="40"/>
      <c r="C155" s="40"/>
      <c r="H155" s="10"/>
      <c r="I155" s="10"/>
      <c r="J155" s="10"/>
    </row>
    <row r="156" ht="15.75" customHeight="1">
      <c r="A156" s="40"/>
      <c r="B156" s="40"/>
      <c r="C156" s="40"/>
      <c r="H156" s="10"/>
      <c r="I156" s="10"/>
      <c r="J156" s="10"/>
    </row>
    <row r="157" ht="15.75" customHeight="1">
      <c r="A157" s="40"/>
      <c r="B157" s="40"/>
      <c r="C157" s="40"/>
      <c r="H157" s="10"/>
      <c r="I157" s="10"/>
      <c r="J157" s="10"/>
    </row>
    <row r="158" ht="15.75" customHeight="1">
      <c r="A158" s="40"/>
      <c r="B158" s="40"/>
      <c r="C158" s="40"/>
      <c r="H158" s="10"/>
      <c r="I158" s="10"/>
      <c r="J158" s="10"/>
    </row>
    <row r="159" ht="15.75" customHeight="1">
      <c r="A159" s="40"/>
      <c r="B159" s="40"/>
      <c r="C159" s="40"/>
      <c r="H159" s="10"/>
      <c r="I159" s="10"/>
      <c r="J159" s="10"/>
    </row>
    <row r="160" ht="15.75" customHeight="1">
      <c r="A160" s="40"/>
      <c r="B160" s="40"/>
      <c r="C160" s="40"/>
      <c r="H160" s="10"/>
      <c r="I160" s="10"/>
      <c r="J160" s="10"/>
    </row>
    <row r="161" ht="15.75" customHeight="1">
      <c r="A161" s="40"/>
      <c r="B161" s="40"/>
      <c r="C161" s="40"/>
      <c r="H161" s="10"/>
      <c r="I161" s="10"/>
      <c r="J161" s="10"/>
    </row>
    <row r="162" ht="15.75" customHeight="1">
      <c r="A162" s="40"/>
      <c r="B162" s="40"/>
      <c r="C162" s="40"/>
      <c r="H162" s="10"/>
      <c r="I162" s="10"/>
      <c r="J162" s="10"/>
    </row>
    <row r="163" ht="15.75" customHeight="1">
      <c r="A163" s="40"/>
      <c r="B163" s="40"/>
      <c r="C163" s="40"/>
      <c r="H163" s="10"/>
      <c r="I163" s="10"/>
      <c r="J163" s="10"/>
    </row>
    <row r="164" ht="15.75" customHeight="1">
      <c r="A164" s="40"/>
      <c r="B164" s="40"/>
      <c r="C164" s="40"/>
      <c r="H164" s="10"/>
      <c r="I164" s="10"/>
      <c r="J164" s="10"/>
    </row>
    <row r="165" ht="15.75" customHeight="1">
      <c r="A165" s="40"/>
      <c r="B165" s="40"/>
      <c r="C165" s="40"/>
      <c r="H165" s="10"/>
      <c r="I165" s="10"/>
      <c r="J165" s="10"/>
    </row>
    <row r="166" ht="15.75" customHeight="1">
      <c r="A166" s="40"/>
      <c r="B166" s="40"/>
      <c r="C166" s="40"/>
      <c r="H166" s="10"/>
      <c r="I166" s="10"/>
      <c r="J166" s="10"/>
    </row>
    <row r="167" ht="15.75" customHeight="1">
      <c r="A167" s="40"/>
      <c r="B167" s="40"/>
      <c r="C167" s="40"/>
      <c r="H167" s="10"/>
      <c r="I167" s="10"/>
      <c r="J167" s="10"/>
    </row>
    <row r="168" ht="15.75" customHeight="1">
      <c r="A168" s="40"/>
      <c r="B168" s="40"/>
      <c r="C168" s="40"/>
      <c r="H168" s="10"/>
      <c r="I168" s="10"/>
      <c r="J168" s="10"/>
    </row>
    <row r="169" ht="15.75" customHeight="1">
      <c r="A169" s="40"/>
      <c r="B169" s="40"/>
      <c r="C169" s="40"/>
      <c r="H169" s="10"/>
      <c r="I169" s="10"/>
      <c r="J169" s="10"/>
    </row>
    <row r="170" ht="15.75" customHeight="1">
      <c r="A170" s="40"/>
      <c r="B170" s="40"/>
      <c r="C170" s="40"/>
      <c r="H170" s="10"/>
      <c r="I170" s="10"/>
      <c r="J170" s="10"/>
    </row>
    <row r="171" ht="15.75" customHeight="1">
      <c r="A171" s="40"/>
      <c r="B171" s="40"/>
      <c r="C171" s="40"/>
      <c r="H171" s="10"/>
      <c r="I171" s="10"/>
      <c r="J171" s="10"/>
    </row>
    <row r="172" ht="15.75" customHeight="1">
      <c r="A172" s="40"/>
      <c r="B172" s="40"/>
      <c r="C172" s="40"/>
      <c r="H172" s="10"/>
      <c r="I172" s="10"/>
      <c r="J172" s="10"/>
    </row>
    <row r="173" ht="15.75" customHeight="1">
      <c r="A173" s="40"/>
      <c r="B173" s="40"/>
      <c r="C173" s="40"/>
      <c r="H173" s="10"/>
      <c r="I173" s="10"/>
      <c r="J173" s="10"/>
    </row>
    <row r="174" ht="15.75" customHeight="1">
      <c r="A174" s="40"/>
      <c r="B174" s="40"/>
      <c r="C174" s="40"/>
      <c r="H174" s="10"/>
      <c r="I174" s="10"/>
      <c r="J174" s="10"/>
    </row>
    <row r="175" ht="15.75" customHeight="1">
      <c r="A175" s="40"/>
      <c r="B175" s="40"/>
      <c r="C175" s="40"/>
      <c r="H175" s="10"/>
      <c r="I175" s="10"/>
      <c r="J175" s="10"/>
    </row>
    <row r="176" ht="15.75" customHeight="1">
      <c r="A176" s="40"/>
      <c r="B176" s="40"/>
      <c r="C176" s="40"/>
      <c r="H176" s="10"/>
      <c r="I176" s="10"/>
      <c r="J176" s="10"/>
    </row>
    <row r="177" ht="15.75" customHeight="1">
      <c r="A177" s="40"/>
      <c r="B177" s="40"/>
      <c r="C177" s="40"/>
      <c r="H177" s="10"/>
      <c r="I177" s="10"/>
      <c r="J177" s="10"/>
    </row>
    <row r="178" ht="15.75" customHeight="1">
      <c r="A178" s="40"/>
      <c r="B178" s="40"/>
      <c r="C178" s="40"/>
      <c r="H178" s="10"/>
      <c r="I178" s="10"/>
      <c r="J178" s="10"/>
    </row>
    <row r="179" ht="15.75" customHeight="1">
      <c r="A179" s="40"/>
      <c r="B179" s="40"/>
      <c r="C179" s="40"/>
      <c r="H179" s="10"/>
      <c r="I179" s="10"/>
      <c r="J179" s="10"/>
    </row>
    <row r="180" ht="15.75" customHeight="1">
      <c r="A180" s="40"/>
      <c r="B180" s="40"/>
      <c r="C180" s="40"/>
      <c r="H180" s="10"/>
      <c r="I180" s="10"/>
      <c r="J180" s="10"/>
    </row>
    <row r="181" ht="15.75" customHeight="1">
      <c r="A181" s="40"/>
      <c r="B181" s="40"/>
      <c r="C181" s="40"/>
      <c r="H181" s="10"/>
      <c r="I181" s="10"/>
      <c r="J181" s="10"/>
    </row>
    <row r="182" ht="15.75" customHeight="1">
      <c r="A182" s="40"/>
      <c r="B182" s="40"/>
      <c r="C182" s="40"/>
      <c r="H182" s="10"/>
      <c r="I182" s="10"/>
      <c r="J182" s="10"/>
    </row>
    <row r="183" ht="15.75" customHeight="1">
      <c r="A183" s="40"/>
      <c r="B183" s="40"/>
      <c r="C183" s="40"/>
      <c r="H183" s="10"/>
      <c r="I183" s="10"/>
      <c r="J183" s="10"/>
    </row>
    <row r="184" ht="15.75" customHeight="1">
      <c r="A184" s="40"/>
      <c r="B184" s="40"/>
      <c r="C184" s="40"/>
      <c r="H184" s="10"/>
      <c r="I184" s="10"/>
      <c r="J184" s="10"/>
    </row>
    <row r="185" ht="15.75" customHeight="1">
      <c r="A185" s="40"/>
      <c r="B185" s="40"/>
      <c r="C185" s="40"/>
      <c r="H185" s="10"/>
      <c r="I185" s="10"/>
      <c r="J185" s="10"/>
    </row>
    <row r="186" ht="15.75" customHeight="1">
      <c r="A186" s="40"/>
      <c r="B186" s="40"/>
      <c r="C186" s="40"/>
      <c r="H186" s="10"/>
      <c r="I186" s="10"/>
      <c r="J186" s="10"/>
    </row>
    <row r="187" ht="15.75" customHeight="1">
      <c r="A187" s="40"/>
      <c r="B187" s="40"/>
      <c r="C187" s="40"/>
      <c r="H187" s="10"/>
      <c r="I187" s="10"/>
      <c r="J187" s="10"/>
    </row>
    <row r="188" ht="15.75" customHeight="1">
      <c r="A188" s="40"/>
      <c r="B188" s="40"/>
      <c r="C188" s="40"/>
      <c r="H188" s="10"/>
      <c r="I188" s="10"/>
      <c r="J188" s="10"/>
    </row>
    <row r="189" ht="15.75" customHeight="1">
      <c r="A189" s="40"/>
      <c r="B189" s="40"/>
      <c r="C189" s="40"/>
      <c r="H189" s="10"/>
      <c r="I189" s="10"/>
      <c r="J189" s="10"/>
    </row>
    <row r="190" ht="15.75" customHeight="1">
      <c r="A190" s="40"/>
      <c r="B190" s="40"/>
      <c r="C190" s="40"/>
      <c r="H190" s="10"/>
      <c r="I190" s="10"/>
      <c r="J190" s="10"/>
    </row>
    <row r="191" ht="15.75" customHeight="1">
      <c r="A191" s="40"/>
      <c r="B191" s="40"/>
      <c r="C191" s="40"/>
      <c r="H191" s="10"/>
      <c r="I191" s="10"/>
      <c r="J191" s="10"/>
    </row>
    <row r="192" ht="15.75" customHeight="1">
      <c r="A192" s="40"/>
      <c r="B192" s="40"/>
      <c r="C192" s="40"/>
      <c r="H192" s="10"/>
      <c r="I192" s="10"/>
      <c r="J192" s="10"/>
    </row>
    <row r="193" ht="15.75" customHeight="1">
      <c r="A193" s="40"/>
      <c r="B193" s="40"/>
      <c r="C193" s="40"/>
      <c r="H193" s="10"/>
      <c r="I193" s="10"/>
      <c r="J193" s="10"/>
    </row>
    <row r="194" ht="15.75" customHeight="1">
      <c r="A194" s="40"/>
      <c r="B194" s="40"/>
      <c r="C194" s="40"/>
      <c r="H194" s="10"/>
      <c r="I194" s="10"/>
      <c r="J194" s="10"/>
    </row>
    <row r="195" ht="15.75" customHeight="1">
      <c r="A195" s="40"/>
      <c r="B195" s="40"/>
      <c r="C195" s="40"/>
      <c r="H195" s="10"/>
      <c r="I195" s="10"/>
      <c r="J195" s="10"/>
    </row>
    <row r="196" ht="15.75" customHeight="1">
      <c r="A196" s="40"/>
      <c r="B196" s="40"/>
      <c r="C196" s="40"/>
      <c r="H196" s="10"/>
      <c r="I196" s="10"/>
      <c r="J196" s="10"/>
    </row>
    <row r="197" ht="15.75" customHeight="1">
      <c r="A197" s="40"/>
      <c r="B197" s="40"/>
      <c r="C197" s="40"/>
      <c r="H197" s="10"/>
      <c r="I197" s="10"/>
      <c r="J197" s="10"/>
    </row>
    <row r="198" ht="15.75" customHeight="1">
      <c r="A198" s="40"/>
      <c r="B198" s="40"/>
      <c r="C198" s="40"/>
      <c r="H198" s="10"/>
      <c r="I198" s="10"/>
      <c r="J198" s="10"/>
    </row>
    <row r="199" ht="15.75" customHeight="1">
      <c r="A199" s="40"/>
      <c r="B199" s="40"/>
      <c r="C199" s="40"/>
      <c r="H199" s="10"/>
      <c r="I199" s="10"/>
      <c r="J199" s="10"/>
    </row>
    <row r="200" ht="15.75" customHeight="1">
      <c r="A200" s="40"/>
      <c r="B200" s="40"/>
      <c r="C200" s="40"/>
      <c r="H200" s="10"/>
      <c r="I200" s="10"/>
      <c r="J200" s="10"/>
    </row>
    <row r="201" ht="15.75" customHeight="1">
      <c r="A201" s="40"/>
      <c r="B201" s="40"/>
      <c r="C201" s="40"/>
      <c r="H201" s="10"/>
      <c r="I201" s="10"/>
      <c r="J201" s="10"/>
    </row>
    <row r="202" ht="15.75" customHeight="1">
      <c r="A202" s="40"/>
      <c r="B202" s="40"/>
      <c r="C202" s="40"/>
      <c r="H202" s="10"/>
      <c r="I202" s="10"/>
      <c r="J202" s="10"/>
    </row>
    <row r="203" ht="15.75" customHeight="1">
      <c r="A203" s="40"/>
      <c r="B203" s="40"/>
      <c r="C203" s="40"/>
      <c r="H203" s="10"/>
      <c r="I203" s="10"/>
      <c r="J203" s="10"/>
    </row>
    <row r="204" ht="15.75" customHeight="1">
      <c r="A204" s="40"/>
      <c r="B204" s="40"/>
      <c r="C204" s="40"/>
      <c r="H204" s="10"/>
      <c r="I204" s="10"/>
      <c r="J204" s="10"/>
    </row>
    <row r="205" ht="15.75" customHeight="1">
      <c r="A205" s="40"/>
      <c r="B205" s="40"/>
      <c r="C205" s="40"/>
      <c r="H205" s="10"/>
      <c r="I205" s="10"/>
      <c r="J205" s="10"/>
    </row>
    <row r="206" ht="15.75" customHeight="1">
      <c r="A206" s="40"/>
      <c r="B206" s="40"/>
      <c r="C206" s="40"/>
      <c r="H206" s="10"/>
      <c r="I206" s="10"/>
      <c r="J206" s="10"/>
    </row>
    <row r="207" ht="15.75" customHeight="1">
      <c r="A207" s="40"/>
      <c r="B207" s="40"/>
      <c r="C207" s="40"/>
      <c r="H207" s="10"/>
      <c r="I207" s="10"/>
      <c r="J207" s="10"/>
    </row>
    <row r="208" ht="15.75" customHeight="1">
      <c r="A208" s="40"/>
      <c r="B208" s="40"/>
      <c r="C208" s="40"/>
      <c r="H208" s="10"/>
      <c r="I208" s="10"/>
      <c r="J208" s="10"/>
    </row>
    <row r="209" ht="15.75" customHeight="1">
      <c r="A209" s="40"/>
      <c r="B209" s="40"/>
      <c r="C209" s="40"/>
      <c r="H209" s="10"/>
      <c r="I209" s="10"/>
      <c r="J209" s="10"/>
    </row>
    <row r="210" ht="15.75" customHeight="1">
      <c r="A210" s="40"/>
      <c r="B210" s="40"/>
      <c r="C210" s="40"/>
      <c r="H210" s="10"/>
      <c r="I210" s="10"/>
      <c r="J210" s="10"/>
    </row>
    <row r="211" ht="15.75" customHeight="1">
      <c r="A211" s="40"/>
      <c r="B211" s="40"/>
      <c r="C211" s="40"/>
      <c r="H211" s="10"/>
      <c r="I211" s="10"/>
      <c r="J211" s="10"/>
    </row>
    <row r="212" ht="15.75" customHeight="1">
      <c r="A212" s="40"/>
      <c r="B212" s="40"/>
      <c r="C212" s="40"/>
      <c r="H212" s="10"/>
      <c r="I212" s="10"/>
      <c r="J212" s="10"/>
    </row>
    <row r="213" ht="15.75" customHeight="1">
      <c r="A213" s="40"/>
      <c r="B213" s="40"/>
      <c r="C213" s="40"/>
      <c r="H213" s="10"/>
      <c r="I213" s="10"/>
      <c r="J213" s="10"/>
    </row>
    <row r="214" ht="15.75" customHeight="1">
      <c r="A214" s="40"/>
      <c r="B214" s="40"/>
      <c r="C214" s="40"/>
      <c r="H214" s="10"/>
      <c r="I214" s="10"/>
      <c r="J214" s="10"/>
    </row>
    <row r="215" ht="15.75" customHeight="1">
      <c r="A215" s="40"/>
      <c r="B215" s="40"/>
      <c r="C215" s="40"/>
      <c r="H215" s="10"/>
      <c r="I215" s="10"/>
      <c r="J215" s="10"/>
    </row>
    <row r="216" ht="15.75" customHeight="1">
      <c r="A216" s="40"/>
      <c r="B216" s="40"/>
      <c r="C216" s="40"/>
      <c r="H216" s="10"/>
      <c r="I216" s="10"/>
      <c r="J216" s="10"/>
    </row>
    <row r="217" ht="15.75" customHeight="1">
      <c r="A217" s="40"/>
      <c r="B217" s="40"/>
      <c r="C217" s="40"/>
      <c r="H217" s="10"/>
      <c r="I217" s="10"/>
      <c r="J217" s="10"/>
    </row>
    <row r="218" ht="15.75" customHeight="1">
      <c r="A218" s="40"/>
      <c r="B218" s="40"/>
      <c r="C218" s="40"/>
      <c r="H218" s="10"/>
      <c r="I218" s="10"/>
      <c r="J218" s="10"/>
    </row>
    <row r="219" ht="15.75" customHeight="1">
      <c r="A219" s="40"/>
      <c r="B219" s="40"/>
      <c r="C219" s="40"/>
      <c r="H219" s="10"/>
      <c r="I219" s="10"/>
      <c r="J219" s="10"/>
    </row>
    <row r="220" ht="15.75" customHeight="1">
      <c r="A220" s="40"/>
      <c r="B220" s="40"/>
      <c r="C220" s="40"/>
      <c r="H220" s="10"/>
      <c r="I220" s="10"/>
      <c r="J220" s="10"/>
    </row>
    <row r="221" ht="15.75" customHeight="1">
      <c r="A221" s="40"/>
      <c r="B221" s="40"/>
      <c r="C221" s="40"/>
      <c r="H221" s="10"/>
      <c r="I221" s="10"/>
      <c r="J221" s="10"/>
    </row>
    <row r="222" ht="15.75" customHeight="1">
      <c r="A222" s="40"/>
      <c r="B222" s="40"/>
      <c r="C222" s="40"/>
      <c r="H222" s="10"/>
      <c r="I222" s="10"/>
      <c r="J222" s="10"/>
    </row>
    <row r="223" ht="15.75" customHeight="1">
      <c r="A223" s="40"/>
      <c r="B223" s="40"/>
      <c r="C223" s="40"/>
      <c r="H223" s="10"/>
      <c r="I223" s="10"/>
      <c r="J223" s="10"/>
    </row>
    <row r="224" ht="15.75" customHeight="1">
      <c r="A224" s="40"/>
      <c r="B224" s="40"/>
      <c r="C224" s="40"/>
      <c r="H224" s="10"/>
      <c r="I224" s="10"/>
      <c r="J224" s="10"/>
    </row>
    <row r="225" ht="15.75" customHeight="1">
      <c r="A225" s="40"/>
      <c r="B225" s="40"/>
      <c r="C225" s="40"/>
      <c r="H225" s="10"/>
      <c r="I225" s="10"/>
      <c r="J225" s="10"/>
    </row>
    <row r="226" ht="15.75" customHeight="1">
      <c r="A226" s="40"/>
      <c r="B226" s="40"/>
      <c r="C226" s="40"/>
      <c r="H226" s="10"/>
      <c r="I226" s="10"/>
      <c r="J226" s="10"/>
    </row>
    <row r="227" ht="15.75" customHeight="1">
      <c r="A227" s="40"/>
      <c r="B227" s="40"/>
      <c r="C227" s="40"/>
      <c r="H227" s="10"/>
      <c r="I227" s="10"/>
      <c r="J227" s="10"/>
    </row>
    <row r="228" ht="15.75" customHeight="1">
      <c r="A228" s="40"/>
      <c r="B228" s="40"/>
      <c r="C228" s="40"/>
      <c r="H228" s="10"/>
      <c r="I228" s="10"/>
      <c r="J228" s="10"/>
    </row>
    <row r="229" ht="15.75" customHeight="1">
      <c r="A229" s="40"/>
      <c r="B229" s="40"/>
      <c r="C229" s="40"/>
      <c r="H229" s="10"/>
      <c r="I229" s="10"/>
      <c r="J229" s="10"/>
    </row>
    <row r="230" ht="15.75" customHeight="1">
      <c r="A230" s="40"/>
      <c r="B230" s="40"/>
      <c r="C230" s="40"/>
      <c r="H230" s="10"/>
      <c r="I230" s="10"/>
      <c r="J230" s="10"/>
    </row>
    <row r="231" ht="15.75" customHeight="1">
      <c r="A231" s="40"/>
      <c r="B231" s="40"/>
      <c r="C231" s="40"/>
      <c r="H231" s="10"/>
      <c r="I231" s="10"/>
      <c r="J231" s="10"/>
    </row>
    <row r="232" ht="15.75" customHeight="1">
      <c r="A232" s="40"/>
      <c r="B232" s="40"/>
      <c r="C232" s="40"/>
      <c r="H232" s="10"/>
      <c r="I232" s="10"/>
      <c r="J232" s="10"/>
    </row>
    <row r="233" ht="15.75" customHeight="1">
      <c r="A233" s="40"/>
      <c r="B233" s="40"/>
      <c r="C233" s="40"/>
      <c r="H233" s="10"/>
      <c r="I233" s="10"/>
      <c r="J233" s="10"/>
    </row>
    <row r="234" ht="15.75" customHeight="1">
      <c r="A234" s="40"/>
      <c r="B234" s="40"/>
      <c r="C234" s="40"/>
      <c r="H234" s="10"/>
      <c r="I234" s="10"/>
      <c r="J234" s="10"/>
    </row>
    <row r="235" ht="15.75" customHeight="1">
      <c r="A235" s="40"/>
      <c r="B235" s="40"/>
      <c r="C235" s="40"/>
      <c r="H235" s="10"/>
      <c r="I235" s="10"/>
      <c r="J235" s="10"/>
    </row>
    <row r="236" ht="15.75" customHeight="1">
      <c r="A236" s="40"/>
      <c r="B236" s="40"/>
      <c r="C236" s="40"/>
      <c r="H236" s="10"/>
      <c r="I236" s="10"/>
      <c r="J236" s="10"/>
    </row>
    <row r="237" ht="15.75" customHeight="1">
      <c r="A237" s="40"/>
      <c r="B237" s="40"/>
      <c r="C237" s="40"/>
      <c r="H237" s="10"/>
      <c r="I237" s="10"/>
      <c r="J237" s="10"/>
    </row>
    <row r="238" ht="15.75" customHeight="1">
      <c r="A238" s="40"/>
      <c r="B238" s="40"/>
      <c r="C238" s="40"/>
      <c r="H238" s="10"/>
      <c r="I238" s="10"/>
      <c r="J238" s="10"/>
    </row>
    <row r="239" ht="15.75" customHeight="1">
      <c r="A239" s="40"/>
      <c r="B239" s="40"/>
      <c r="C239" s="40"/>
      <c r="H239" s="10"/>
      <c r="I239" s="10"/>
      <c r="J239" s="10"/>
    </row>
    <row r="240" ht="15.75" customHeight="1">
      <c r="A240" s="40"/>
      <c r="B240" s="40"/>
      <c r="C240" s="40"/>
      <c r="H240" s="10"/>
      <c r="I240" s="10"/>
      <c r="J240" s="10"/>
    </row>
    <row r="241" ht="15.75" customHeight="1">
      <c r="A241" s="40"/>
      <c r="B241" s="40"/>
      <c r="C241" s="40"/>
      <c r="H241" s="10"/>
      <c r="I241" s="10"/>
      <c r="J241" s="10"/>
    </row>
    <row r="242" ht="15.75" customHeight="1">
      <c r="A242" s="40"/>
      <c r="B242" s="40"/>
      <c r="C242" s="40"/>
      <c r="H242" s="10"/>
      <c r="I242" s="10"/>
      <c r="J242" s="10"/>
    </row>
    <row r="243" ht="15.75" customHeight="1">
      <c r="A243" s="40"/>
      <c r="B243" s="40"/>
      <c r="C243" s="40"/>
      <c r="H243" s="10"/>
      <c r="I243" s="10"/>
      <c r="J243" s="10"/>
    </row>
    <row r="244" ht="15.75" customHeight="1">
      <c r="A244" s="40"/>
      <c r="B244" s="40"/>
      <c r="C244" s="40"/>
      <c r="H244" s="10"/>
      <c r="I244" s="10"/>
      <c r="J244" s="10"/>
    </row>
    <row r="245" ht="15.75" customHeight="1">
      <c r="A245" s="40"/>
      <c r="B245" s="40"/>
      <c r="C245" s="40"/>
      <c r="H245" s="10"/>
      <c r="I245" s="10"/>
      <c r="J245" s="10"/>
    </row>
    <row r="246" ht="15.75" customHeight="1">
      <c r="A246" s="40"/>
      <c r="B246" s="40"/>
      <c r="C246" s="40"/>
      <c r="H246" s="10"/>
      <c r="I246" s="10"/>
      <c r="J246" s="10"/>
    </row>
    <row r="247" ht="15.75" customHeight="1">
      <c r="A247" s="40"/>
      <c r="B247" s="40"/>
      <c r="C247" s="40"/>
      <c r="H247" s="10"/>
      <c r="I247" s="10"/>
      <c r="J247" s="10"/>
    </row>
    <row r="248" ht="15.75" customHeight="1">
      <c r="A248" s="40"/>
      <c r="B248" s="40"/>
      <c r="C248" s="40"/>
      <c r="H248" s="10"/>
      <c r="I248" s="10"/>
      <c r="J248" s="10"/>
    </row>
    <row r="249" ht="15.75" customHeight="1">
      <c r="A249" s="40"/>
      <c r="B249" s="40"/>
      <c r="C249" s="40"/>
      <c r="H249" s="10"/>
      <c r="I249" s="10"/>
      <c r="J249" s="10"/>
    </row>
    <row r="250" ht="15.75" customHeight="1">
      <c r="A250" s="40"/>
      <c r="B250" s="40"/>
      <c r="C250" s="40"/>
      <c r="H250" s="10"/>
      <c r="I250" s="10"/>
      <c r="J250" s="10"/>
    </row>
    <row r="251" ht="15.75" customHeight="1">
      <c r="A251" s="40"/>
      <c r="B251" s="40"/>
      <c r="C251" s="40"/>
      <c r="H251" s="10"/>
      <c r="I251" s="10"/>
      <c r="J251" s="10"/>
    </row>
    <row r="252" ht="15.75" customHeight="1">
      <c r="A252" s="40"/>
      <c r="B252" s="40"/>
      <c r="C252" s="40"/>
      <c r="H252" s="10"/>
      <c r="I252" s="10"/>
      <c r="J252" s="10"/>
    </row>
    <row r="253" ht="15.75" customHeight="1">
      <c r="A253" s="40"/>
      <c r="B253" s="40"/>
      <c r="C253" s="40"/>
      <c r="H253" s="10"/>
      <c r="I253" s="10"/>
      <c r="J253" s="10"/>
    </row>
    <row r="254" ht="15.75" customHeight="1">
      <c r="A254" s="40"/>
      <c r="B254" s="40"/>
      <c r="C254" s="40"/>
      <c r="H254" s="10"/>
      <c r="I254" s="10"/>
      <c r="J254" s="10"/>
    </row>
    <row r="255" ht="15.75" customHeight="1">
      <c r="A255" s="40"/>
      <c r="B255" s="40"/>
      <c r="C255" s="40"/>
      <c r="H255" s="10"/>
      <c r="I255" s="10"/>
      <c r="J255" s="10"/>
    </row>
    <row r="256" ht="15.75" customHeight="1">
      <c r="A256" s="40"/>
      <c r="B256" s="40"/>
      <c r="C256" s="40"/>
      <c r="H256" s="10"/>
      <c r="I256" s="10"/>
      <c r="J256" s="10"/>
    </row>
    <row r="257" ht="15.75" customHeight="1">
      <c r="A257" s="40"/>
      <c r="B257" s="40"/>
      <c r="C257" s="40"/>
      <c r="H257" s="10"/>
      <c r="I257" s="10"/>
      <c r="J257" s="10"/>
    </row>
    <row r="258" ht="15.75" customHeight="1">
      <c r="A258" s="40"/>
      <c r="B258" s="40"/>
      <c r="C258" s="40"/>
      <c r="H258" s="10"/>
      <c r="I258" s="10"/>
      <c r="J258" s="10"/>
    </row>
    <row r="259" ht="15.75" customHeight="1">
      <c r="A259" s="40"/>
      <c r="B259" s="40"/>
      <c r="C259" s="40"/>
      <c r="H259" s="10"/>
      <c r="I259" s="10"/>
      <c r="J259" s="10"/>
    </row>
    <row r="260" ht="15.75" customHeight="1">
      <c r="A260" s="40"/>
      <c r="B260" s="40"/>
      <c r="C260" s="40"/>
      <c r="H260" s="10"/>
      <c r="I260" s="10"/>
      <c r="J260" s="10"/>
    </row>
    <row r="261" ht="15.75" customHeight="1">
      <c r="A261" s="40"/>
      <c r="B261" s="40"/>
      <c r="C261" s="40"/>
      <c r="H261" s="10"/>
      <c r="I261" s="10"/>
      <c r="J261" s="10"/>
    </row>
    <row r="262" ht="15.75" customHeight="1">
      <c r="A262" s="40"/>
      <c r="B262" s="40"/>
      <c r="C262" s="40"/>
      <c r="H262" s="10"/>
      <c r="I262" s="10"/>
      <c r="J262" s="10"/>
    </row>
    <row r="263" ht="15.75" customHeight="1">
      <c r="A263" s="40"/>
      <c r="B263" s="40"/>
      <c r="C263" s="40"/>
      <c r="H263" s="10"/>
      <c r="I263" s="10"/>
      <c r="J263" s="10"/>
    </row>
    <row r="264" ht="15.75" customHeight="1">
      <c r="A264" s="40"/>
      <c r="B264" s="40"/>
      <c r="C264" s="40"/>
      <c r="H264" s="10"/>
      <c r="I264" s="10"/>
      <c r="J264" s="10"/>
    </row>
    <row r="265" ht="15.75" customHeight="1">
      <c r="A265" s="40"/>
      <c r="B265" s="40"/>
      <c r="C265" s="40"/>
      <c r="H265" s="10"/>
      <c r="I265" s="10"/>
      <c r="J265" s="10"/>
    </row>
    <row r="266" ht="15.75" customHeight="1">
      <c r="A266" s="40"/>
      <c r="B266" s="40"/>
      <c r="C266" s="40"/>
      <c r="H266" s="10"/>
      <c r="I266" s="10"/>
      <c r="J266" s="10"/>
    </row>
    <row r="267" ht="15.75" customHeight="1">
      <c r="A267" s="40"/>
      <c r="B267" s="40"/>
      <c r="C267" s="40"/>
      <c r="H267" s="10"/>
      <c r="I267" s="10"/>
      <c r="J267" s="10"/>
    </row>
    <row r="268" ht="15.75" customHeight="1">
      <c r="A268" s="40"/>
      <c r="B268" s="40"/>
      <c r="C268" s="40"/>
      <c r="H268" s="10"/>
      <c r="I268" s="10"/>
      <c r="J268" s="10"/>
    </row>
    <row r="269" ht="15.75" customHeight="1">
      <c r="A269" s="40"/>
      <c r="B269" s="40"/>
      <c r="C269" s="40"/>
      <c r="H269" s="10"/>
      <c r="I269" s="10"/>
      <c r="J269" s="10"/>
    </row>
    <row r="270" ht="15.75" customHeight="1">
      <c r="A270" s="40"/>
      <c r="B270" s="40"/>
      <c r="C270" s="40"/>
      <c r="H270" s="10"/>
      <c r="I270" s="10"/>
      <c r="J270" s="10"/>
    </row>
    <row r="271" ht="15.75" customHeight="1">
      <c r="A271" s="40"/>
      <c r="B271" s="40"/>
      <c r="C271" s="40"/>
      <c r="H271" s="10"/>
      <c r="I271" s="10"/>
      <c r="J271" s="10"/>
    </row>
    <row r="272" ht="15.75" customHeight="1">
      <c r="A272" s="40"/>
      <c r="B272" s="40"/>
      <c r="C272" s="40"/>
      <c r="H272" s="10"/>
      <c r="I272" s="10"/>
      <c r="J272" s="10"/>
    </row>
    <row r="273" ht="15.75" customHeight="1">
      <c r="A273" s="40"/>
      <c r="B273" s="40"/>
      <c r="C273" s="40"/>
      <c r="H273" s="10"/>
      <c r="I273" s="10"/>
      <c r="J273" s="10"/>
    </row>
    <row r="274" ht="15.75" customHeight="1">
      <c r="A274" s="40"/>
      <c r="B274" s="40"/>
      <c r="C274" s="40"/>
      <c r="H274" s="10"/>
      <c r="I274" s="10"/>
      <c r="J274" s="10"/>
    </row>
    <row r="275" ht="15.75" customHeight="1">
      <c r="A275" s="40"/>
      <c r="B275" s="40"/>
      <c r="C275" s="40"/>
      <c r="H275" s="10"/>
      <c r="I275" s="10"/>
      <c r="J275" s="10"/>
    </row>
    <row r="276" ht="15.75" customHeight="1">
      <c r="A276" s="40"/>
      <c r="B276" s="40"/>
      <c r="C276" s="40"/>
      <c r="H276" s="10"/>
      <c r="I276" s="10"/>
      <c r="J276" s="10"/>
    </row>
    <row r="277" ht="15.75" customHeight="1">
      <c r="A277" s="40"/>
      <c r="B277" s="40"/>
      <c r="C277" s="40"/>
      <c r="H277" s="10"/>
      <c r="I277" s="10"/>
      <c r="J277" s="10"/>
    </row>
    <row r="278" ht="15.75" customHeight="1">
      <c r="A278" s="40"/>
      <c r="B278" s="40"/>
      <c r="C278" s="40"/>
      <c r="H278" s="10"/>
      <c r="I278" s="10"/>
      <c r="J278" s="10"/>
    </row>
    <row r="279" ht="15.75" customHeight="1">
      <c r="A279" s="40"/>
      <c r="B279" s="40"/>
      <c r="C279" s="40"/>
      <c r="H279" s="10"/>
      <c r="I279" s="10"/>
      <c r="J279" s="10"/>
    </row>
    <row r="280" ht="15.75" customHeight="1">
      <c r="A280" s="40"/>
      <c r="B280" s="40"/>
      <c r="C280" s="40"/>
      <c r="H280" s="10"/>
      <c r="I280" s="10"/>
      <c r="J280" s="10"/>
    </row>
    <row r="281" ht="15.75" customHeight="1">
      <c r="A281" s="40"/>
      <c r="B281" s="40"/>
      <c r="C281" s="40"/>
      <c r="H281" s="10"/>
      <c r="I281" s="10"/>
      <c r="J281" s="10"/>
    </row>
    <row r="282" ht="15.75" customHeight="1">
      <c r="A282" s="40"/>
      <c r="B282" s="40"/>
      <c r="C282" s="40"/>
      <c r="H282" s="10"/>
      <c r="I282" s="10"/>
      <c r="J282" s="10"/>
    </row>
    <row r="283" ht="15.75" customHeight="1">
      <c r="A283" s="40"/>
      <c r="B283" s="40"/>
      <c r="C283" s="40"/>
      <c r="H283" s="10"/>
      <c r="I283" s="10"/>
      <c r="J283" s="10"/>
    </row>
    <row r="284" ht="15.75" customHeight="1">
      <c r="A284" s="40"/>
      <c r="B284" s="40"/>
      <c r="C284" s="40"/>
      <c r="H284" s="10"/>
      <c r="I284" s="10"/>
      <c r="J284" s="10"/>
    </row>
    <row r="285" ht="15.75" customHeight="1">
      <c r="A285" s="40"/>
      <c r="B285" s="40"/>
      <c r="C285" s="40"/>
      <c r="H285" s="10"/>
      <c r="I285" s="10"/>
      <c r="J285" s="10"/>
    </row>
    <row r="286" ht="15.75" customHeight="1">
      <c r="A286" s="40"/>
      <c r="B286" s="40"/>
      <c r="C286" s="40"/>
      <c r="H286" s="10"/>
      <c r="I286" s="10"/>
      <c r="J286" s="10"/>
    </row>
    <row r="287" ht="15.75" customHeight="1">
      <c r="A287" s="40"/>
      <c r="B287" s="40"/>
      <c r="C287" s="40"/>
      <c r="H287" s="10"/>
      <c r="I287" s="10"/>
      <c r="J287" s="10"/>
    </row>
    <row r="288" ht="15.75" customHeight="1">
      <c r="A288" s="40"/>
      <c r="B288" s="40"/>
      <c r="C288" s="40"/>
      <c r="H288" s="10"/>
      <c r="I288" s="10"/>
      <c r="J288" s="10"/>
    </row>
    <row r="289" ht="15.75" customHeight="1">
      <c r="A289" s="40"/>
      <c r="B289" s="40"/>
      <c r="C289" s="40"/>
      <c r="H289" s="10"/>
      <c r="I289" s="10"/>
      <c r="J289" s="10"/>
    </row>
    <row r="290" ht="15.75" customHeight="1">
      <c r="A290" s="40"/>
      <c r="B290" s="40"/>
      <c r="C290" s="40"/>
      <c r="H290" s="10"/>
      <c r="I290" s="10"/>
      <c r="J290" s="10"/>
    </row>
    <row r="291" ht="15.75" customHeight="1">
      <c r="A291" s="40"/>
      <c r="B291" s="40"/>
      <c r="C291" s="40"/>
      <c r="H291" s="10"/>
      <c r="I291" s="10"/>
      <c r="J291" s="10"/>
    </row>
    <row r="292" ht="15.75" customHeight="1">
      <c r="A292" s="40"/>
      <c r="B292" s="40"/>
      <c r="C292" s="40"/>
      <c r="H292" s="10"/>
      <c r="I292" s="10"/>
      <c r="J292" s="10"/>
    </row>
    <row r="293" ht="15.75" customHeight="1">
      <c r="A293" s="40"/>
      <c r="B293" s="40"/>
      <c r="C293" s="40"/>
      <c r="H293" s="10"/>
      <c r="I293" s="10"/>
      <c r="J293" s="10"/>
    </row>
    <row r="294" ht="15.75" customHeight="1">
      <c r="A294" s="40"/>
      <c r="B294" s="40"/>
      <c r="C294" s="40"/>
      <c r="H294" s="10"/>
      <c r="I294" s="10"/>
      <c r="J294" s="10"/>
    </row>
    <row r="295" ht="15.75" customHeight="1">
      <c r="A295" s="40"/>
      <c r="B295" s="40"/>
      <c r="C295" s="40"/>
      <c r="H295" s="10"/>
      <c r="I295" s="10"/>
      <c r="J295" s="10"/>
    </row>
    <row r="296" ht="15.75" customHeight="1">
      <c r="A296" s="40"/>
      <c r="B296" s="40"/>
      <c r="C296" s="40"/>
      <c r="H296" s="10"/>
      <c r="I296" s="10"/>
      <c r="J296" s="10"/>
    </row>
    <row r="297" ht="15.75" customHeight="1">
      <c r="A297" s="40"/>
      <c r="B297" s="40"/>
      <c r="C297" s="40"/>
      <c r="H297" s="10"/>
      <c r="I297" s="10"/>
      <c r="J297" s="10"/>
    </row>
    <row r="298" ht="15.75" customHeight="1">
      <c r="A298" s="40"/>
      <c r="B298" s="40"/>
      <c r="C298" s="40"/>
      <c r="H298" s="10"/>
      <c r="I298" s="10"/>
      <c r="J298" s="10"/>
    </row>
    <row r="299" ht="15.75" customHeight="1">
      <c r="A299" s="40"/>
      <c r="B299" s="40"/>
      <c r="C299" s="40"/>
      <c r="H299" s="10"/>
      <c r="I299" s="10"/>
      <c r="J299" s="10"/>
    </row>
    <row r="300" ht="15.75" customHeight="1">
      <c r="A300" s="40"/>
      <c r="B300" s="40"/>
      <c r="C300" s="40"/>
      <c r="H300" s="10"/>
      <c r="I300" s="10"/>
      <c r="J300" s="10"/>
    </row>
    <row r="301" ht="15.75" customHeight="1">
      <c r="A301" s="40"/>
      <c r="B301" s="40"/>
      <c r="C301" s="40"/>
      <c r="H301" s="10"/>
      <c r="I301" s="10"/>
      <c r="J301" s="10"/>
    </row>
    <row r="302" ht="15.75" customHeight="1">
      <c r="A302" s="40"/>
      <c r="B302" s="40"/>
      <c r="C302" s="40"/>
      <c r="H302" s="10"/>
      <c r="I302" s="10"/>
      <c r="J302" s="10"/>
    </row>
    <row r="303" ht="15.75" customHeight="1">
      <c r="A303" s="40"/>
      <c r="B303" s="40"/>
      <c r="C303" s="40"/>
      <c r="H303" s="10"/>
      <c r="I303" s="10"/>
      <c r="J303" s="10"/>
    </row>
    <row r="304" ht="15.75" customHeight="1">
      <c r="A304" s="40"/>
      <c r="B304" s="40"/>
      <c r="C304" s="40"/>
      <c r="H304" s="10"/>
      <c r="I304" s="10"/>
      <c r="J304" s="10"/>
    </row>
    <row r="305" ht="15.75" customHeight="1">
      <c r="A305" s="40"/>
      <c r="B305" s="40"/>
      <c r="C305" s="40"/>
      <c r="H305" s="10"/>
      <c r="I305" s="10"/>
      <c r="J305" s="10"/>
    </row>
    <row r="306" ht="15.75" customHeight="1">
      <c r="A306" s="40"/>
      <c r="B306" s="40"/>
      <c r="C306" s="40"/>
      <c r="H306" s="10"/>
      <c r="I306" s="10"/>
      <c r="J306" s="10"/>
    </row>
    <row r="307" ht="15.75" customHeight="1">
      <c r="A307" s="40"/>
      <c r="B307" s="40"/>
      <c r="C307" s="40"/>
      <c r="H307" s="10"/>
      <c r="I307" s="10"/>
      <c r="J307" s="10"/>
    </row>
    <row r="308" ht="15.75" customHeight="1">
      <c r="A308" s="40"/>
      <c r="B308" s="40"/>
      <c r="C308" s="40"/>
      <c r="H308" s="10"/>
      <c r="I308" s="10"/>
      <c r="J308" s="10"/>
    </row>
    <row r="309" ht="15.75" customHeight="1">
      <c r="A309" s="40"/>
      <c r="B309" s="40"/>
      <c r="C309" s="40"/>
      <c r="H309" s="10"/>
      <c r="I309" s="10"/>
      <c r="J309" s="10"/>
    </row>
    <row r="310" ht="15.75" customHeight="1">
      <c r="A310" s="40"/>
      <c r="B310" s="40"/>
      <c r="C310" s="40"/>
      <c r="H310" s="10"/>
      <c r="I310" s="10"/>
      <c r="J310" s="10"/>
    </row>
    <row r="311" ht="15.75" customHeight="1">
      <c r="A311" s="40"/>
      <c r="B311" s="40"/>
      <c r="C311" s="40"/>
      <c r="H311" s="10"/>
      <c r="I311" s="10"/>
      <c r="J311" s="10"/>
    </row>
    <row r="312" ht="15.75" customHeight="1">
      <c r="A312" s="40"/>
      <c r="B312" s="40"/>
      <c r="C312" s="40"/>
      <c r="H312" s="10"/>
      <c r="I312" s="10"/>
      <c r="J312" s="10"/>
    </row>
    <row r="313" ht="15.75" customHeight="1">
      <c r="A313" s="40"/>
      <c r="B313" s="40"/>
      <c r="C313" s="40"/>
      <c r="H313" s="10"/>
      <c r="I313" s="10"/>
      <c r="J313" s="10"/>
    </row>
    <row r="314" ht="15.75" customHeight="1">
      <c r="A314" s="40"/>
      <c r="B314" s="40"/>
      <c r="C314" s="40"/>
      <c r="H314" s="10"/>
      <c r="I314" s="10"/>
      <c r="J314" s="10"/>
    </row>
    <row r="315" ht="15.75" customHeight="1">
      <c r="A315" s="40"/>
      <c r="B315" s="40"/>
      <c r="C315" s="40"/>
      <c r="H315" s="10"/>
      <c r="I315" s="10"/>
      <c r="J315" s="10"/>
    </row>
    <row r="316" ht="15.75" customHeight="1">
      <c r="A316" s="40"/>
      <c r="B316" s="40"/>
      <c r="C316" s="40"/>
      <c r="H316" s="10"/>
      <c r="I316" s="10"/>
      <c r="J316" s="10"/>
    </row>
    <row r="317" ht="15.75" customHeight="1">
      <c r="A317" s="40"/>
      <c r="B317" s="40"/>
      <c r="C317" s="40"/>
      <c r="H317" s="10"/>
      <c r="I317" s="10"/>
      <c r="J317" s="10"/>
    </row>
    <row r="318" ht="15.75" customHeight="1">
      <c r="A318" s="40"/>
      <c r="B318" s="40"/>
      <c r="C318" s="40"/>
      <c r="H318" s="10"/>
      <c r="I318" s="10"/>
      <c r="J318" s="10"/>
    </row>
    <row r="319" ht="15.75" customHeight="1">
      <c r="A319" s="40"/>
      <c r="B319" s="40"/>
      <c r="C319" s="40"/>
      <c r="H319" s="10"/>
      <c r="I319" s="10"/>
      <c r="J319" s="10"/>
    </row>
    <row r="320" ht="15.75" customHeight="1">
      <c r="A320" s="40"/>
      <c r="B320" s="40"/>
      <c r="C320" s="40"/>
      <c r="H320" s="10"/>
      <c r="I320" s="10"/>
      <c r="J320" s="10"/>
    </row>
    <row r="321" ht="15.75" customHeight="1">
      <c r="A321" s="40"/>
      <c r="B321" s="40"/>
      <c r="C321" s="40"/>
      <c r="H321" s="10"/>
      <c r="I321" s="10"/>
      <c r="J321" s="10"/>
    </row>
    <row r="322" ht="15.75" customHeight="1">
      <c r="A322" s="40"/>
      <c r="B322" s="40"/>
      <c r="C322" s="40"/>
      <c r="H322" s="10"/>
      <c r="I322" s="10"/>
      <c r="J322" s="10"/>
    </row>
    <row r="323" ht="15.75" customHeight="1">
      <c r="A323" s="40"/>
      <c r="B323" s="40"/>
      <c r="C323" s="40"/>
      <c r="H323" s="10"/>
      <c r="I323" s="10"/>
      <c r="J323" s="10"/>
    </row>
    <row r="324" ht="15.75" customHeight="1">
      <c r="A324" s="40"/>
      <c r="B324" s="40"/>
      <c r="C324" s="40"/>
      <c r="H324" s="10"/>
      <c r="I324" s="10"/>
      <c r="J324" s="10"/>
    </row>
    <row r="325" ht="15.75" customHeight="1">
      <c r="A325" s="40"/>
      <c r="B325" s="40"/>
      <c r="C325" s="40"/>
      <c r="H325" s="10"/>
      <c r="I325" s="10"/>
      <c r="J325" s="10"/>
    </row>
    <row r="326" ht="15.75" customHeight="1">
      <c r="A326" s="40"/>
      <c r="B326" s="40"/>
      <c r="C326" s="40"/>
      <c r="H326" s="10"/>
      <c r="I326" s="10"/>
      <c r="J326" s="10"/>
    </row>
    <row r="327" ht="15.75" customHeight="1">
      <c r="A327" s="40"/>
      <c r="B327" s="40"/>
      <c r="C327" s="40"/>
      <c r="H327" s="10"/>
      <c r="I327" s="10"/>
      <c r="J327" s="10"/>
    </row>
    <row r="328" ht="15.75" customHeight="1">
      <c r="A328" s="40"/>
      <c r="B328" s="40"/>
      <c r="C328" s="40"/>
      <c r="H328" s="10"/>
      <c r="I328" s="10"/>
      <c r="J328" s="10"/>
    </row>
    <row r="329" ht="15.75" customHeight="1">
      <c r="A329" s="40"/>
      <c r="B329" s="40"/>
      <c r="C329" s="40"/>
      <c r="H329" s="10"/>
      <c r="I329" s="10"/>
      <c r="J329" s="10"/>
    </row>
    <row r="330" ht="15.75" customHeight="1">
      <c r="A330" s="40"/>
      <c r="B330" s="40"/>
      <c r="C330" s="40"/>
      <c r="H330" s="10"/>
      <c r="I330" s="10"/>
      <c r="J330" s="10"/>
    </row>
    <row r="331" ht="15.75" customHeight="1">
      <c r="A331" s="40"/>
      <c r="B331" s="40"/>
      <c r="C331" s="40"/>
      <c r="H331" s="10"/>
      <c r="I331" s="10"/>
      <c r="J331" s="10"/>
    </row>
    <row r="332" ht="15.75" customHeight="1">
      <c r="A332" s="40"/>
      <c r="B332" s="40"/>
      <c r="C332" s="40"/>
      <c r="H332" s="10"/>
      <c r="I332" s="10"/>
      <c r="J332" s="10"/>
    </row>
    <row r="333" ht="15.75" customHeight="1">
      <c r="A333" s="40"/>
      <c r="B333" s="40"/>
      <c r="C333" s="40"/>
      <c r="H333" s="10"/>
      <c r="I333" s="10"/>
      <c r="J333" s="10"/>
    </row>
    <row r="334" ht="15.75" customHeight="1">
      <c r="A334" s="40"/>
      <c r="B334" s="40"/>
      <c r="C334" s="40"/>
      <c r="H334" s="10"/>
      <c r="I334" s="10"/>
      <c r="J334" s="10"/>
    </row>
    <row r="335" ht="15.75" customHeight="1">
      <c r="A335" s="40"/>
      <c r="B335" s="40"/>
      <c r="C335" s="40"/>
      <c r="H335" s="10"/>
      <c r="I335" s="10"/>
      <c r="J335" s="10"/>
    </row>
    <row r="336" ht="15.75" customHeight="1">
      <c r="A336" s="40"/>
      <c r="B336" s="40"/>
      <c r="C336" s="40"/>
      <c r="H336" s="10"/>
      <c r="I336" s="10"/>
      <c r="J336" s="10"/>
    </row>
    <row r="337" ht="15.75" customHeight="1">
      <c r="A337" s="40"/>
      <c r="B337" s="40"/>
      <c r="C337" s="40"/>
      <c r="H337" s="10"/>
      <c r="I337" s="10"/>
      <c r="J337" s="10"/>
    </row>
    <row r="338" ht="15.75" customHeight="1">
      <c r="A338" s="40"/>
      <c r="B338" s="40"/>
      <c r="C338" s="40"/>
      <c r="H338" s="10"/>
      <c r="I338" s="10"/>
      <c r="J338" s="10"/>
    </row>
    <row r="339" ht="15.75" customHeight="1">
      <c r="A339" s="40"/>
      <c r="B339" s="40"/>
      <c r="C339" s="40"/>
      <c r="H339" s="10"/>
      <c r="I339" s="10"/>
      <c r="J339" s="10"/>
    </row>
    <row r="340" ht="15.75" customHeight="1">
      <c r="A340" s="40"/>
      <c r="B340" s="40"/>
      <c r="C340" s="40"/>
      <c r="H340" s="10"/>
      <c r="I340" s="10"/>
      <c r="J340" s="10"/>
    </row>
    <row r="341" ht="15.75" customHeight="1">
      <c r="A341" s="40"/>
      <c r="B341" s="40"/>
      <c r="C341" s="40"/>
      <c r="H341" s="10"/>
      <c r="I341" s="10"/>
      <c r="J341" s="10"/>
    </row>
    <row r="342" ht="15.75" customHeight="1">
      <c r="A342" s="40"/>
      <c r="B342" s="40"/>
      <c r="C342" s="40"/>
      <c r="H342" s="10"/>
      <c r="I342" s="10"/>
      <c r="J342" s="10"/>
    </row>
    <row r="343" ht="15.75" customHeight="1">
      <c r="A343" s="40"/>
      <c r="B343" s="40"/>
      <c r="C343" s="40"/>
      <c r="H343" s="10"/>
      <c r="I343" s="10"/>
      <c r="J343" s="10"/>
    </row>
    <row r="344" ht="15.75" customHeight="1">
      <c r="A344" s="40"/>
      <c r="B344" s="40"/>
      <c r="C344" s="40"/>
      <c r="H344" s="10"/>
      <c r="I344" s="10"/>
      <c r="J344" s="10"/>
    </row>
    <row r="345" ht="15.75" customHeight="1">
      <c r="A345" s="40"/>
      <c r="B345" s="40"/>
      <c r="C345" s="40"/>
      <c r="H345" s="10"/>
      <c r="I345" s="10"/>
      <c r="J345" s="10"/>
    </row>
    <row r="346" ht="15.75" customHeight="1">
      <c r="A346" s="40"/>
      <c r="B346" s="40"/>
      <c r="C346" s="40"/>
      <c r="H346" s="10"/>
      <c r="I346" s="10"/>
      <c r="J346" s="10"/>
    </row>
    <row r="347" ht="15.75" customHeight="1">
      <c r="A347" s="40"/>
      <c r="B347" s="40"/>
      <c r="C347" s="40"/>
      <c r="H347" s="10"/>
      <c r="I347" s="10"/>
      <c r="J347" s="10"/>
    </row>
    <row r="348" ht="15.75" customHeight="1">
      <c r="A348" s="40"/>
      <c r="B348" s="40"/>
      <c r="C348" s="40"/>
      <c r="H348" s="10"/>
      <c r="I348" s="10"/>
      <c r="J348" s="10"/>
    </row>
    <row r="349" ht="15.75" customHeight="1">
      <c r="A349" s="40"/>
      <c r="B349" s="40"/>
      <c r="C349" s="40"/>
      <c r="H349" s="10"/>
      <c r="I349" s="10"/>
      <c r="J349" s="10"/>
    </row>
    <row r="350" ht="15.75" customHeight="1">
      <c r="A350" s="40"/>
      <c r="B350" s="40"/>
      <c r="C350" s="40"/>
      <c r="H350" s="10"/>
      <c r="I350" s="10"/>
      <c r="J350" s="10"/>
    </row>
    <row r="351" ht="15.75" customHeight="1">
      <c r="A351" s="40"/>
      <c r="B351" s="40"/>
      <c r="C351" s="40"/>
      <c r="H351" s="10"/>
      <c r="I351" s="10"/>
      <c r="J351" s="10"/>
    </row>
    <row r="352" ht="15.75" customHeight="1">
      <c r="A352" s="40"/>
      <c r="B352" s="40"/>
      <c r="C352" s="40"/>
      <c r="H352" s="10"/>
      <c r="I352" s="10"/>
      <c r="J352" s="10"/>
    </row>
    <row r="353" ht="15.75" customHeight="1">
      <c r="A353" s="40"/>
      <c r="B353" s="40"/>
      <c r="C353" s="40"/>
      <c r="H353" s="10"/>
      <c r="I353" s="10"/>
      <c r="J353" s="10"/>
    </row>
    <row r="354" ht="15.75" customHeight="1">
      <c r="A354" s="40"/>
      <c r="B354" s="40"/>
      <c r="C354" s="40"/>
      <c r="H354" s="10"/>
      <c r="I354" s="10"/>
      <c r="J354" s="10"/>
    </row>
    <row r="355" ht="15.75" customHeight="1">
      <c r="A355" s="40"/>
      <c r="B355" s="40"/>
      <c r="C355" s="40"/>
      <c r="H355" s="10"/>
      <c r="I355" s="10"/>
      <c r="J355" s="10"/>
    </row>
    <row r="356" ht="15.75" customHeight="1">
      <c r="A356" s="40"/>
      <c r="B356" s="40"/>
      <c r="C356" s="40"/>
      <c r="H356" s="10"/>
      <c r="I356" s="10"/>
      <c r="J356" s="10"/>
    </row>
    <row r="357" ht="15.75" customHeight="1">
      <c r="A357" s="40"/>
      <c r="B357" s="40"/>
      <c r="C357" s="40"/>
      <c r="H357" s="10"/>
      <c r="I357" s="10"/>
      <c r="J357" s="10"/>
    </row>
    <row r="358" ht="15.75" customHeight="1">
      <c r="A358" s="40"/>
      <c r="B358" s="40"/>
      <c r="C358" s="40"/>
      <c r="H358" s="10"/>
      <c r="I358" s="10"/>
      <c r="J358" s="10"/>
    </row>
    <row r="359" ht="15.75" customHeight="1">
      <c r="A359" s="40"/>
      <c r="B359" s="40"/>
      <c r="C359" s="40"/>
      <c r="H359" s="10"/>
      <c r="I359" s="10"/>
      <c r="J359" s="10"/>
    </row>
    <row r="360" ht="15.75" customHeight="1">
      <c r="A360" s="40"/>
      <c r="B360" s="40"/>
      <c r="C360" s="40"/>
      <c r="H360" s="10"/>
      <c r="I360" s="10"/>
      <c r="J360" s="10"/>
    </row>
    <row r="361" ht="15.75" customHeight="1">
      <c r="A361" s="40"/>
      <c r="B361" s="40"/>
      <c r="C361" s="40"/>
      <c r="H361" s="10"/>
      <c r="I361" s="10"/>
      <c r="J361" s="10"/>
    </row>
    <row r="362" ht="15.75" customHeight="1">
      <c r="A362" s="40"/>
      <c r="B362" s="40"/>
      <c r="C362" s="40"/>
      <c r="H362" s="10"/>
      <c r="I362" s="10"/>
      <c r="J362" s="10"/>
    </row>
    <row r="363" ht="15.75" customHeight="1">
      <c r="A363" s="40"/>
      <c r="B363" s="40"/>
      <c r="C363" s="40"/>
      <c r="H363" s="10"/>
      <c r="I363" s="10"/>
      <c r="J363" s="10"/>
    </row>
    <row r="364" ht="15.75" customHeight="1">
      <c r="A364" s="40"/>
      <c r="B364" s="40"/>
      <c r="C364" s="40"/>
      <c r="H364" s="10"/>
      <c r="I364" s="10"/>
      <c r="J364" s="10"/>
    </row>
    <row r="365" ht="15.75" customHeight="1">
      <c r="A365" s="40"/>
      <c r="B365" s="40"/>
      <c r="C365" s="40"/>
      <c r="H365" s="10"/>
      <c r="I365" s="10"/>
      <c r="J365" s="10"/>
    </row>
    <row r="366" ht="15.75" customHeight="1">
      <c r="A366" s="40"/>
      <c r="B366" s="40"/>
      <c r="C366" s="40"/>
      <c r="H366" s="10"/>
      <c r="I366" s="10"/>
      <c r="J366" s="10"/>
    </row>
    <row r="367" ht="15.75" customHeight="1">
      <c r="A367" s="40"/>
      <c r="B367" s="40"/>
      <c r="C367" s="40"/>
      <c r="H367" s="10"/>
      <c r="I367" s="10"/>
      <c r="J367" s="10"/>
    </row>
    <row r="368" ht="15.75" customHeight="1">
      <c r="A368" s="40"/>
      <c r="B368" s="40"/>
      <c r="C368" s="40"/>
      <c r="H368" s="10"/>
      <c r="I368" s="10"/>
      <c r="J368" s="10"/>
    </row>
    <row r="369" ht="15.75" customHeight="1">
      <c r="A369" s="40"/>
      <c r="B369" s="40"/>
      <c r="C369" s="40"/>
      <c r="H369" s="10"/>
      <c r="I369" s="10"/>
      <c r="J369" s="10"/>
    </row>
    <row r="370" ht="15.75" customHeight="1">
      <c r="A370" s="40"/>
      <c r="B370" s="40"/>
      <c r="C370" s="40"/>
      <c r="H370" s="10"/>
      <c r="I370" s="10"/>
      <c r="J370" s="10"/>
    </row>
    <row r="371" ht="15.75" customHeight="1">
      <c r="A371" s="40"/>
      <c r="B371" s="40"/>
      <c r="C371" s="40"/>
      <c r="H371" s="10"/>
      <c r="I371" s="10"/>
      <c r="J371" s="10"/>
    </row>
    <row r="372" ht="15.75" customHeight="1">
      <c r="A372" s="40"/>
      <c r="B372" s="40"/>
      <c r="C372" s="40"/>
      <c r="H372" s="10"/>
      <c r="I372" s="10"/>
      <c r="J372" s="10"/>
    </row>
    <row r="373" ht="15.75" customHeight="1">
      <c r="A373" s="40"/>
      <c r="B373" s="40"/>
      <c r="C373" s="40"/>
      <c r="H373" s="10"/>
      <c r="I373" s="10"/>
      <c r="J373" s="10"/>
    </row>
    <row r="374" ht="15.75" customHeight="1">
      <c r="A374" s="40"/>
      <c r="B374" s="40"/>
      <c r="C374" s="40"/>
      <c r="H374" s="10"/>
      <c r="I374" s="10"/>
      <c r="J374" s="10"/>
    </row>
    <row r="375" ht="15.75" customHeight="1">
      <c r="A375" s="40"/>
      <c r="B375" s="40"/>
      <c r="C375" s="40"/>
      <c r="H375" s="10"/>
      <c r="I375" s="10"/>
      <c r="J375" s="10"/>
    </row>
    <row r="376" ht="15.75" customHeight="1">
      <c r="A376" s="40"/>
      <c r="B376" s="40"/>
      <c r="C376" s="40"/>
      <c r="H376" s="10"/>
      <c r="I376" s="10"/>
      <c r="J376" s="10"/>
    </row>
    <row r="377" ht="15.75" customHeight="1">
      <c r="A377" s="40"/>
      <c r="B377" s="40"/>
      <c r="C377" s="40"/>
      <c r="H377" s="10"/>
      <c r="I377" s="10"/>
      <c r="J377" s="10"/>
    </row>
    <row r="378" ht="15.75" customHeight="1">
      <c r="A378" s="40"/>
      <c r="B378" s="40"/>
      <c r="C378" s="40"/>
      <c r="H378" s="10"/>
      <c r="I378" s="10"/>
      <c r="J378" s="10"/>
    </row>
    <row r="379" ht="15.75" customHeight="1">
      <c r="A379" s="40"/>
      <c r="B379" s="40"/>
      <c r="C379" s="40"/>
      <c r="H379" s="10"/>
      <c r="I379" s="10"/>
      <c r="J379" s="10"/>
    </row>
    <row r="380" ht="15.75" customHeight="1">
      <c r="A380" s="40"/>
      <c r="B380" s="40"/>
      <c r="C380" s="40"/>
      <c r="H380" s="10"/>
      <c r="I380" s="10"/>
      <c r="J380" s="10"/>
    </row>
    <row r="381" ht="15.75" customHeight="1">
      <c r="A381" s="40"/>
      <c r="B381" s="40"/>
      <c r="C381" s="40"/>
      <c r="H381" s="10"/>
      <c r="I381" s="10"/>
      <c r="J381" s="10"/>
    </row>
    <row r="382" ht="15.75" customHeight="1">
      <c r="A382" s="40"/>
      <c r="B382" s="40"/>
      <c r="C382" s="40"/>
      <c r="H382" s="10"/>
      <c r="I382" s="10"/>
      <c r="J382" s="10"/>
    </row>
    <row r="383" ht="15.75" customHeight="1">
      <c r="A383" s="40"/>
      <c r="B383" s="40"/>
      <c r="C383" s="40"/>
      <c r="H383" s="10"/>
      <c r="I383" s="10"/>
      <c r="J383" s="10"/>
    </row>
    <row r="384" ht="15.75" customHeight="1">
      <c r="A384" s="40"/>
      <c r="B384" s="40"/>
      <c r="C384" s="40"/>
      <c r="H384" s="10"/>
      <c r="I384" s="10"/>
      <c r="J384" s="10"/>
    </row>
    <row r="385" ht="15.75" customHeight="1">
      <c r="A385" s="40"/>
      <c r="B385" s="40"/>
      <c r="C385" s="40"/>
      <c r="H385" s="10"/>
      <c r="I385" s="10"/>
      <c r="J385" s="10"/>
    </row>
    <row r="386" ht="15.75" customHeight="1">
      <c r="A386" s="40"/>
      <c r="B386" s="40"/>
      <c r="C386" s="40"/>
      <c r="H386" s="10"/>
      <c r="I386" s="10"/>
      <c r="J386" s="10"/>
    </row>
    <row r="387" ht="15.75" customHeight="1">
      <c r="A387" s="40"/>
      <c r="B387" s="40"/>
      <c r="C387" s="40"/>
      <c r="H387" s="10"/>
      <c r="I387" s="10"/>
      <c r="J387" s="10"/>
    </row>
    <row r="388" ht="15.75" customHeight="1">
      <c r="A388" s="40"/>
      <c r="B388" s="40"/>
      <c r="C388" s="40"/>
      <c r="H388" s="10"/>
      <c r="I388" s="10"/>
      <c r="J388" s="10"/>
    </row>
    <row r="389" ht="15.75" customHeight="1">
      <c r="A389" s="40"/>
      <c r="B389" s="40"/>
      <c r="C389" s="40"/>
      <c r="H389" s="10"/>
      <c r="I389" s="10"/>
      <c r="J389" s="10"/>
    </row>
    <row r="390" ht="15.75" customHeight="1">
      <c r="A390" s="40"/>
      <c r="B390" s="40"/>
      <c r="C390" s="40"/>
      <c r="H390" s="10"/>
      <c r="I390" s="10"/>
      <c r="J390" s="10"/>
    </row>
    <row r="391" ht="15.75" customHeight="1">
      <c r="A391" s="40"/>
      <c r="B391" s="40"/>
      <c r="C391" s="40"/>
      <c r="H391" s="10"/>
      <c r="I391" s="10"/>
      <c r="J391" s="10"/>
    </row>
    <row r="392" ht="15.75" customHeight="1">
      <c r="A392" s="40"/>
      <c r="B392" s="40"/>
      <c r="C392" s="40"/>
      <c r="H392" s="10"/>
      <c r="I392" s="10"/>
      <c r="J392" s="10"/>
    </row>
    <row r="393" ht="15.75" customHeight="1">
      <c r="A393" s="40"/>
      <c r="B393" s="40"/>
      <c r="C393" s="40"/>
      <c r="H393" s="10"/>
      <c r="I393" s="10"/>
      <c r="J393" s="10"/>
    </row>
    <row r="394" ht="15.75" customHeight="1">
      <c r="A394" s="40"/>
      <c r="B394" s="40"/>
      <c r="C394" s="40"/>
      <c r="H394" s="10"/>
      <c r="I394" s="10"/>
      <c r="J394" s="10"/>
    </row>
    <row r="395" ht="15.75" customHeight="1">
      <c r="A395" s="40"/>
      <c r="B395" s="40"/>
      <c r="C395" s="40"/>
      <c r="H395" s="10"/>
      <c r="I395" s="10"/>
      <c r="J395" s="10"/>
    </row>
    <row r="396" ht="15.75" customHeight="1">
      <c r="A396" s="40"/>
      <c r="B396" s="40"/>
      <c r="C396" s="40"/>
      <c r="H396" s="10"/>
      <c r="I396" s="10"/>
      <c r="J396" s="10"/>
    </row>
    <row r="397" ht="15.75" customHeight="1">
      <c r="A397" s="40"/>
      <c r="B397" s="40"/>
      <c r="C397" s="40"/>
      <c r="H397" s="10"/>
      <c r="I397" s="10"/>
      <c r="J397" s="10"/>
    </row>
    <row r="398" ht="15.75" customHeight="1">
      <c r="A398" s="40"/>
      <c r="B398" s="40"/>
      <c r="C398" s="40"/>
      <c r="H398" s="10"/>
      <c r="I398" s="10"/>
      <c r="J398" s="10"/>
    </row>
    <row r="399" ht="15.75" customHeight="1">
      <c r="A399" s="40"/>
      <c r="B399" s="40"/>
      <c r="C399" s="40"/>
      <c r="H399" s="10"/>
      <c r="I399" s="10"/>
      <c r="J399" s="10"/>
    </row>
    <row r="400" ht="15.75" customHeight="1">
      <c r="A400" s="40"/>
      <c r="B400" s="40"/>
      <c r="C400" s="40"/>
      <c r="H400" s="10"/>
      <c r="I400" s="10"/>
      <c r="J400" s="10"/>
    </row>
    <row r="401" ht="15.75" customHeight="1">
      <c r="A401" s="40"/>
      <c r="B401" s="40"/>
      <c r="C401" s="40"/>
      <c r="H401" s="10"/>
      <c r="I401" s="10"/>
      <c r="J401" s="10"/>
    </row>
    <row r="402" ht="15.75" customHeight="1">
      <c r="A402" s="40"/>
      <c r="B402" s="40"/>
      <c r="C402" s="40"/>
      <c r="H402" s="10"/>
      <c r="I402" s="10"/>
      <c r="J402" s="10"/>
    </row>
    <row r="403" ht="15.75" customHeight="1">
      <c r="A403" s="40"/>
      <c r="B403" s="40"/>
      <c r="C403" s="40"/>
      <c r="H403" s="10"/>
      <c r="I403" s="10"/>
      <c r="J403" s="10"/>
    </row>
    <row r="404" ht="15.75" customHeight="1">
      <c r="A404" s="40"/>
      <c r="B404" s="40"/>
      <c r="C404" s="40"/>
      <c r="H404" s="10"/>
      <c r="I404" s="10"/>
      <c r="J404" s="10"/>
    </row>
    <row r="405" ht="15.75" customHeight="1">
      <c r="A405" s="40"/>
      <c r="B405" s="40"/>
      <c r="C405" s="40"/>
      <c r="H405" s="10"/>
      <c r="I405" s="10"/>
      <c r="J405" s="10"/>
    </row>
    <row r="406" ht="15.75" customHeight="1">
      <c r="A406" s="40"/>
      <c r="B406" s="40"/>
      <c r="C406" s="40"/>
      <c r="H406" s="10"/>
      <c r="I406" s="10"/>
      <c r="J406" s="10"/>
    </row>
    <row r="407" ht="15.75" customHeight="1">
      <c r="A407" s="40"/>
      <c r="B407" s="40"/>
      <c r="C407" s="40"/>
      <c r="H407" s="10"/>
      <c r="I407" s="10"/>
      <c r="J407" s="10"/>
    </row>
    <row r="408" ht="15.75" customHeight="1">
      <c r="A408" s="40"/>
      <c r="B408" s="40"/>
      <c r="C408" s="40"/>
      <c r="H408" s="10"/>
      <c r="I408" s="10"/>
      <c r="J408" s="10"/>
    </row>
    <row r="409" ht="15.75" customHeight="1">
      <c r="A409" s="40"/>
      <c r="B409" s="40"/>
      <c r="C409" s="40"/>
      <c r="H409" s="10"/>
      <c r="I409" s="10"/>
      <c r="J409" s="10"/>
    </row>
    <row r="410" ht="15.75" customHeight="1">
      <c r="A410" s="40"/>
      <c r="B410" s="40"/>
      <c r="C410" s="40"/>
      <c r="H410" s="10"/>
      <c r="I410" s="10"/>
      <c r="J410" s="10"/>
    </row>
    <row r="411" ht="15.75" customHeight="1">
      <c r="A411" s="40"/>
      <c r="B411" s="40"/>
      <c r="C411" s="40"/>
      <c r="H411" s="10"/>
      <c r="I411" s="10"/>
      <c r="J411" s="10"/>
    </row>
    <row r="412" ht="15.75" customHeight="1">
      <c r="A412" s="40"/>
      <c r="B412" s="40"/>
      <c r="C412" s="40"/>
      <c r="H412" s="10"/>
      <c r="I412" s="10"/>
      <c r="J412" s="10"/>
    </row>
    <row r="413" ht="15.75" customHeight="1">
      <c r="A413" s="40"/>
      <c r="B413" s="40"/>
      <c r="C413" s="40"/>
      <c r="H413" s="10"/>
      <c r="I413" s="10"/>
      <c r="J413" s="10"/>
    </row>
    <row r="414" ht="15.75" customHeight="1">
      <c r="A414" s="40"/>
      <c r="B414" s="40"/>
      <c r="C414" s="40"/>
      <c r="H414" s="10"/>
      <c r="I414" s="10"/>
      <c r="J414" s="10"/>
    </row>
    <row r="415" ht="15.75" customHeight="1">
      <c r="A415" s="40"/>
      <c r="B415" s="40"/>
      <c r="C415" s="40"/>
      <c r="H415" s="10"/>
      <c r="I415" s="10"/>
      <c r="J415" s="10"/>
    </row>
    <row r="416" ht="15.75" customHeight="1">
      <c r="A416" s="40"/>
      <c r="B416" s="40"/>
      <c r="C416" s="40"/>
      <c r="H416" s="10"/>
      <c r="I416" s="10"/>
      <c r="J416" s="10"/>
    </row>
    <row r="417" ht="15.75" customHeight="1">
      <c r="A417" s="40"/>
      <c r="B417" s="40"/>
      <c r="C417" s="40"/>
      <c r="H417" s="10"/>
      <c r="I417" s="10"/>
      <c r="J417" s="10"/>
    </row>
    <row r="418" ht="15.75" customHeight="1">
      <c r="A418" s="40"/>
      <c r="B418" s="40"/>
      <c r="C418" s="40"/>
      <c r="H418" s="10"/>
      <c r="I418" s="10"/>
      <c r="J418" s="10"/>
    </row>
    <row r="419" ht="15.75" customHeight="1">
      <c r="A419" s="40"/>
      <c r="B419" s="40"/>
      <c r="C419" s="40"/>
      <c r="H419" s="10"/>
      <c r="I419" s="10"/>
      <c r="J419" s="10"/>
    </row>
    <row r="420" ht="15.75" customHeight="1">
      <c r="A420" s="40"/>
      <c r="B420" s="40"/>
      <c r="C420" s="40"/>
      <c r="H420" s="10"/>
      <c r="I420" s="10"/>
      <c r="J420" s="10"/>
    </row>
    <row r="421" ht="15.75" customHeight="1">
      <c r="A421" s="40"/>
      <c r="B421" s="40"/>
      <c r="C421" s="40"/>
      <c r="H421" s="10"/>
      <c r="I421" s="10"/>
      <c r="J421" s="10"/>
    </row>
    <row r="422" ht="15.75" customHeight="1">
      <c r="A422" s="40"/>
      <c r="B422" s="40"/>
      <c r="C422" s="40"/>
      <c r="H422" s="10"/>
      <c r="I422" s="10"/>
      <c r="J422" s="10"/>
    </row>
    <row r="423" ht="15.75" customHeight="1">
      <c r="A423" s="40"/>
      <c r="B423" s="40"/>
      <c r="C423" s="40"/>
      <c r="H423" s="10"/>
      <c r="I423" s="10"/>
      <c r="J423" s="10"/>
    </row>
    <row r="424" ht="15.75" customHeight="1">
      <c r="A424" s="40"/>
      <c r="B424" s="40"/>
      <c r="C424" s="40"/>
      <c r="H424" s="10"/>
      <c r="I424" s="10"/>
      <c r="J424" s="10"/>
    </row>
    <row r="425" ht="15.75" customHeight="1">
      <c r="A425" s="40"/>
      <c r="B425" s="40"/>
      <c r="C425" s="40"/>
      <c r="H425" s="10"/>
      <c r="I425" s="10"/>
      <c r="J425" s="10"/>
    </row>
    <row r="426" ht="15.75" customHeight="1">
      <c r="A426" s="40"/>
      <c r="B426" s="40"/>
      <c r="C426" s="40"/>
      <c r="H426" s="10"/>
      <c r="I426" s="10"/>
      <c r="J426" s="10"/>
    </row>
    <row r="427" ht="15.75" customHeight="1">
      <c r="A427" s="40"/>
      <c r="B427" s="40"/>
      <c r="C427" s="40"/>
      <c r="H427" s="10"/>
      <c r="I427" s="10"/>
      <c r="J427" s="10"/>
    </row>
    <row r="428" ht="15.75" customHeight="1">
      <c r="A428" s="40"/>
      <c r="B428" s="40"/>
      <c r="C428" s="40"/>
      <c r="H428" s="10"/>
      <c r="I428" s="10"/>
      <c r="J428" s="10"/>
    </row>
    <row r="429" ht="15.75" customHeight="1">
      <c r="A429" s="40"/>
      <c r="B429" s="40"/>
      <c r="C429" s="40"/>
      <c r="H429" s="10"/>
      <c r="I429" s="10"/>
      <c r="J429" s="10"/>
    </row>
    <row r="430" ht="15.75" customHeight="1">
      <c r="A430" s="40"/>
      <c r="B430" s="40"/>
      <c r="C430" s="40"/>
      <c r="H430" s="10"/>
      <c r="I430" s="10"/>
      <c r="J430" s="10"/>
    </row>
    <row r="431" ht="15.75" customHeight="1">
      <c r="A431" s="40"/>
      <c r="B431" s="40"/>
      <c r="C431" s="40"/>
      <c r="H431" s="10"/>
      <c r="I431" s="10"/>
      <c r="J431" s="10"/>
    </row>
    <row r="432" ht="15.75" customHeight="1">
      <c r="A432" s="40"/>
      <c r="B432" s="40"/>
      <c r="C432" s="40"/>
      <c r="H432" s="10"/>
      <c r="I432" s="10"/>
      <c r="J432" s="10"/>
    </row>
    <row r="433" ht="15.75" customHeight="1">
      <c r="A433" s="40"/>
      <c r="B433" s="40"/>
      <c r="C433" s="40"/>
      <c r="H433" s="10"/>
      <c r="I433" s="10"/>
      <c r="J433" s="10"/>
    </row>
    <row r="434" ht="15.75" customHeight="1">
      <c r="A434" s="40"/>
      <c r="B434" s="40"/>
      <c r="C434" s="40"/>
      <c r="H434" s="10"/>
      <c r="I434" s="10"/>
      <c r="J434" s="10"/>
    </row>
    <row r="435" ht="15.75" customHeight="1">
      <c r="A435" s="40"/>
      <c r="B435" s="40"/>
      <c r="C435" s="40"/>
      <c r="H435" s="10"/>
      <c r="I435" s="10"/>
      <c r="J435" s="10"/>
    </row>
    <row r="436" ht="15.75" customHeight="1">
      <c r="A436" s="40"/>
      <c r="B436" s="40"/>
      <c r="C436" s="40"/>
      <c r="H436" s="10"/>
      <c r="I436" s="10"/>
      <c r="J436" s="10"/>
    </row>
    <row r="437" ht="15.75" customHeight="1">
      <c r="A437" s="40"/>
      <c r="B437" s="40"/>
      <c r="C437" s="40"/>
      <c r="H437" s="10"/>
      <c r="I437" s="10"/>
      <c r="J437" s="10"/>
    </row>
    <row r="438" ht="15.75" customHeight="1">
      <c r="A438" s="40"/>
      <c r="B438" s="40"/>
      <c r="C438" s="40"/>
      <c r="H438" s="10"/>
      <c r="I438" s="10"/>
      <c r="J438" s="10"/>
    </row>
    <row r="439" ht="15.75" customHeight="1">
      <c r="A439" s="40"/>
      <c r="B439" s="40"/>
      <c r="C439" s="40"/>
      <c r="H439" s="10"/>
      <c r="I439" s="10"/>
      <c r="J439" s="10"/>
    </row>
    <row r="440" ht="15.75" customHeight="1">
      <c r="A440" s="40"/>
      <c r="B440" s="40"/>
      <c r="C440" s="40"/>
      <c r="H440" s="10"/>
      <c r="I440" s="10"/>
      <c r="J440" s="10"/>
    </row>
    <row r="441" ht="15.75" customHeight="1">
      <c r="A441" s="40"/>
      <c r="B441" s="40"/>
      <c r="C441" s="40"/>
      <c r="H441" s="10"/>
      <c r="I441" s="10"/>
      <c r="J441" s="10"/>
    </row>
    <row r="442" ht="15.75" customHeight="1">
      <c r="A442" s="40"/>
      <c r="B442" s="40"/>
      <c r="C442" s="40"/>
      <c r="H442" s="10"/>
      <c r="I442" s="10"/>
      <c r="J442" s="10"/>
    </row>
    <row r="443" ht="15.75" customHeight="1">
      <c r="A443" s="40"/>
      <c r="B443" s="40"/>
      <c r="C443" s="40"/>
      <c r="H443" s="10"/>
      <c r="I443" s="10"/>
      <c r="J443" s="10"/>
    </row>
    <row r="444" ht="15.75" customHeight="1">
      <c r="A444" s="40"/>
      <c r="B444" s="40"/>
      <c r="C444" s="40"/>
      <c r="H444" s="10"/>
      <c r="I444" s="10"/>
      <c r="J444" s="10"/>
    </row>
    <row r="445" ht="15.75" customHeight="1">
      <c r="A445" s="40"/>
      <c r="B445" s="40"/>
      <c r="C445" s="40"/>
      <c r="H445" s="10"/>
      <c r="I445" s="10"/>
      <c r="J445" s="10"/>
    </row>
    <row r="446" ht="15.75" customHeight="1">
      <c r="A446" s="40"/>
      <c r="B446" s="40"/>
      <c r="C446" s="40"/>
      <c r="H446" s="10"/>
      <c r="I446" s="10"/>
      <c r="J446" s="10"/>
    </row>
    <row r="447" ht="15.75" customHeight="1">
      <c r="A447" s="40"/>
      <c r="B447" s="40"/>
      <c r="C447" s="40"/>
      <c r="H447" s="10"/>
      <c r="I447" s="10"/>
      <c r="J447" s="10"/>
    </row>
    <row r="448" ht="15.75" customHeight="1">
      <c r="A448" s="40"/>
      <c r="B448" s="40"/>
      <c r="C448" s="40"/>
      <c r="H448" s="10"/>
      <c r="I448" s="10"/>
      <c r="J448" s="10"/>
    </row>
    <row r="449" ht="15.75" customHeight="1">
      <c r="A449" s="40"/>
      <c r="B449" s="40"/>
      <c r="C449" s="40"/>
      <c r="H449" s="10"/>
      <c r="I449" s="10"/>
      <c r="J449" s="10"/>
    </row>
    <row r="450" ht="15.75" customHeight="1">
      <c r="A450" s="40"/>
      <c r="B450" s="40"/>
      <c r="C450" s="40"/>
      <c r="H450" s="10"/>
      <c r="I450" s="10"/>
      <c r="J450" s="10"/>
    </row>
    <row r="451" ht="15.75" customHeight="1">
      <c r="A451" s="40"/>
      <c r="B451" s="40"/>
      <c r="C451" s="40"/>
      <c r="H451" s="10"/>
      <c r="I451" s="10"/>
      <c r="J451" s="10"/>
    </row>
    <row r="452" ht="15.75" customHeight="1">
      <c r="A452" s="40"/>
      <c r="B452" s="40"/>
      <c r="C452" s="40"/>
      <c r="H452" s="10"/>
      <c r="I452" s="10"/>
      <c r="J452" s="10"/>
    </row>
    <row r="453" ht="15.75" customHeight="1">
      <c r="A453" s="40"/>
      <c r="B453" s="40"/>
      <c r="C453" s="40"/>
      <c r="H453" s="10"/>
      <c r="I453" s="10"/>
      <c r="J453" s="10"/>
    </row>
    <row r="454" ht="15.75" customHeight="1">
      <c r="A454" s="40"/>
      <c r="B454" s="40"/>
      <c r="C454" s="40"/>
      <c r="H454" s="10"/>
      <c r="I454" s="10"/>
      <c r="J454" s="10"/>
    </row>
    <row r="455" ht="15.75" customHeight="1">
      <c r="A455" s="40"/>
      <c r="B455" s="40"/>
      <c r="C455" s="40"/>
      <c r="H455" s="10"/>
      <c r="I455" s="10"/>
      <c r="J455" s="10"/>
    </row>
    <row r="456" ht="15.75" customHeight="1">
      <c r="A456" s="40"/>
      <c r="B456" s="40"/>
      <c r="C456" s="40"/>
      <c r="H456" s="10"/>
      <c r="I456" s="10"/>
      <c r="J456" s="10"/>
    </row>
    <row r="457" ht="15.75" customHeight="1">
      <c r="A457" s="40"/>
      <c r="B457" s="40"/>
      <c r="C457" s="40"/>
      <c r="H457" s="10"/>
      <c r="I457" s="10"/>
      <c r="J457" s="10"/>
    </row>
    <row r="458" ht="15.75" customHeight="1">
      <c r="A458" s="40"/>
      <c r="B458" s="40"/>
      <c r="C458" s="40"/>
      <c r="H458" s="10"/>
      <c r="I458" s="10"/>
      <c r="J458" s="10"/>
    </row>
    <row r="459" ht="15.75" customHeight="1">
      <c r="A459" s="40"/>
      <c r="B459" s="40"/>
      <c r="C459" s="40"/>
      <c r="H459" s="10"/>
      <c r="I459" s="10"/>
      <c r="J459" s="10"/>
    </row>
    <row r="460" ht="15.75" customHeight="1">
      <c r="A460" s="40"/>
      <c r="B460" s="40"/>
      <c r="C460" s="40"/>
      <c r="H460" s="10"/>
      <c r="I460" s="10"/>
      <c r="J460" s="10"/>
    </row>
    <row r="461" ht="15.75" customHeight="1">
      <c r="A461" s="40"/>
      <c r="B461" s="40"/>
      <c r="C461" s="40"/>
      <c r="H461" s="10"/>
      <c r="I461" s="10"/>
      <c r="J461" s="10"/>
    </row>
    <row r="462" ht="15.75" customHeight="1">
      <c r="A462" s="40"/>
      <c r="B462" s="40"/>
      <c r="C462" s="40"/>
      <c r="H462" s="10"/>
      <c r="I462" s="10"/>
      <c r="J462" s="10"/>
    </row>
    <row r="463" ht="15.75" customHeight="1">
      <c r="A463" s="40"/>
      <c r="B463" s="40"/>
      <c r="C463" s="40"/>
      <c r="H463" s="10"/>
      <c r="I463" s="10"/>
      <c r="J463" s="10"/>
    </row>
    <row r="464" ht="15.75" customHeight="1">
      <c r="A464" s="40"/>
      <c r="B464" s="40"/>
      <c r="C464" s="40"/>
      <c r="H464" s="10"/>
      <c r="I464" s="10"/>
      <c r="J464" s="10"/>
    </row>
    <row r="465" ht="15.75" customHeight="1">
      <c r="A465" s="40"/>
      <c r="B465" s="40"/>
      <c r="C465" s="40"/>
      <c r="H465" s="10"/>
      <c r="I465" s="10"/>
      <c r="J465" s="10"/>
    </row>
    <row r="466" ht="15.75" customHeight="1">
      <c r="A466" s="40"/>
      <c r="B466" s="40"/>
      <c r="C466" s="40"/>
      <c r="H466" s="10"/>
      <c r="I466" s="10"/>
      <c r="J466" s="10"/>
    </row>
    <row r="467" ht="15.75" customHeight="1">
      <c r="A467" s="40"/>
      <c r="B467" s="40"/>
      <c r="C467" s="40"/>
      <c r="H467" s="10"/>
      <c r="I467" s="10"/>
      <c r="J467" s="10"/>
    </row>
    <row r="468" ht="15.75" customHeight="1">
      <c r="A468" s="40"/>
      <c r="B468" s="40"/>
      <c r="C468" s="40"/>
      <c r="H468" s="10"/>
      <c r="I468" s="10"/>
      <c r="J468" s="10"/>
    </row>
    <row r="469" ht="15.75" customHeight="1">
      <c r="A469" s="40"/>
      <c r="B469" s="40"/>
      <c r="C469" s="40"/>
      <c r="H469" s="10"/>
      <c r="I469" s="10"/>
      <c r="J469" s="10"/>
    </row>
    <row r="470" ht="15.75" customHeight="1">
      <c r="A470" s="40"/>
      <c r="B470" s="40"/>
      <c r="C470" s="40"/>
      <c r="H470" s="10"/>
      <c r="I470" s="10"/>
      <c r="J470" s="10"/>
    </row>
    <row r="471" ht="15.75" customHeight="1">
      <c r="A471" s="40"/>
      <c r="B471" s="40"/>
      <c r="C471" s="40"/>
      <c r="H471" s="10"/>
      <c r="I471" s="10"/>
      <c r="J471" s="10"/>
    </row>
    <row r="472" ht="15.75" customHeight="1">
      <c r="A472" s="40"/>
      <c r="B472" s="40"/>
      <c r="C472" s="40"/>
      <c r="H472" s="10"/>
      <c r="I472" s="10"/>
      <c r="J472" s="10"/>
    </row>
    <row r="473" ht="15.75" customHeight="1">
      <c r="A473" s="40"/>
      <c r="B473" s="40"/>
      <c r="C473" s="40"/>
      <c r="H473" s="10"/>
      <c r="I473" s="10"/>
      <c r="J473" s="10"/>
    </row>
    <row r="474" ht="15.75" customHeight="1">
      <c r="A474" s="40"/>
      <c r="B474" s="40"/>
      <c r="C474" s="40"/>
      <c r="H474" s="10"/>
      <c r="I474" s="10"/>
      <c r="J474" s="10"/>
    </row>
    <row r="475" ht="15.75" customHeight="1">
      <c r="A475" s="40"/>
      <c r="B475" s="40"/>
      <c r="C475" s="40"/>
      <c r="H475" s="10"/>
      <c r="I475" s="10"/>
      <c r="J475" s="10"/>
    </row>
    <row r="476" ht="15.75" customHeight="1">
      <c r="A476" s="40"/>
      <c r="B476" s="40"/>
      <c r="C476" s="40"/>
      <c r="H476" s="10"/>
      <c r="I476" s="10"/>
      <c r="J476" s="10"/>
    </row>
    <row r="477" ht="15.75" customHeight="1">
      <c r="A477" s="40"/>
      <c r="B477" s="40"/>
      <c r="C477" s="40"/>
      <c r="H477" s="10"/>
      <c r="I477" s="10"/>
      <c r="J477" s="10"/>
    </row>
    <row r="478" ht="15.75" customHeight="1">
      <c r="A478" s="40"/>
      <c r="B478" s="40"/>
      <c r="C478" s="40"/>
      <c r="H478" s="10"/>
      <c r="I478" s="10"/>
      <c r="J478" s="10"/>
    </row>
    <row r="479" ht="15.75" customHeight="1">
      <c r="A479" s="40"/>
      <c r="B479" s="40"/>
      <c r="C479" s="40"/>
      <c r="H479" s="10"/>
      <c r="I479" s="10"/>
      <c r="J479" s="10"/>
    </row>
    <row r="480" ht="15.75" customHeight="1">
      <c r="A480" s="40"/>
      <c r="B480" s="40"/>
      <c r="C480" s="40"/>
      <c r="H480" s="10"/>
      <c r="I480" s="10"/>
      <c r="J480" s="10"/>
    </row>
    <row r="481" ht="15.75" customHeight="1">
      <c r="A481" s="40"/>
      <c r="B481" s="40"/>
      <c r="C481" s="40"/>
      <c r="H481" s="10"/>
      <c r="I481" s="10"/>
      <c r="J481" s="10"/>
    </row>
    <row r="482" ht="15.75" customHeight="1">
      <c r="A482" s="40"/>
      <c r="B482" s="40"/>
      <c r="C482" s="40"/>
      <c r="H482" s="10"/>
      <c r="I482" s="10"/>
      <c r="J482" s="10"/>
    </row>
    <row r="483" ht="15.75" customHeight="1">
      <c r="A483" s="40"/>
      <c r="B483" s="40"/>
      <c r="C483" s="40"/>
      <c r="H483" s="10"/>
      <c r="I483" s="10"/>
      <c r="J483" s="10"/>
    </row>
    <row r="484" ht="15.75" customHeight="1">
      <c r="A484" s="40"/>
      <c r="B484" s="40"/>
      <c r="C484" s="40"/>
      <c r="H484" s="10"/>
      <c r="I484" s="10"/>
      <c r="J484" s="10"/>
    </row>
    <row r="485" ht="15.75" customHeight="1">
      <c r="A485" s="40"/>
      <c r="B485" s="40"/>
      <c r="C485" s="40"/>
      <c r="H485" s="10"/>
      <c r="I485" s="10"/>
      <c r="J485" s="10"/>
    </row>
    <row r="486" ht="15.75" customHeight="1">
      <c r="A486" s="40"/>
      <c r="B486" s="40"/>
      <c r="C486" s="40"/>
      <c r="H486" s="10"/>
      <c r="I486" s="10"/>
      <c r="J486" s="10"/>
    </row>
    <row r="487" ht="15.75" customHeight="1">
      <c r="A487" s="40"/>
      <c r="B487" s="40"/>
      <c r="C487" s="40"/>
      <c r="H487" s="10"/>
      <c r="I487" s="10"/>
      <c r="J487" s="10"/>
    </row>
    <row r="488" ht="15.75" customHeight="1">
      <c r="A488" s="40"/>
      <c r="B488" s="40"/>
      <c r="C488" s="40"/>
      <c r="H488" s="10"/>
      <c r="I488" s="10"/>
      <c r="J488" s="10"/>
    </row>
    <row r="489" ht="15.75" customHeight="1">
      <c r="A489" s="40"/>
      <c r="B489" s="40"/>
      <c r="C489" s="40"/>
      <c r="H489" s="10"/>
      <c r="I489" s="10"/>
      <c r="J489" s="10"/>
    </row>
    <row r="490" ht="15.75" customHeight="1">
      <c r="A490" s="40"/>
      <c r="B490" s="40"/>
      <c r="C490" s="40"/>
      <c r="H490" s="10"/>
      <c r="I490" s="10"/>
      <c r="J490" s="10"/>
    </row>
    <row r="491" ht="15.75" customHeight="1">
      <c r="A491" s="40"/>
      <c r="B491" s="40"/>
      <c r="C491" s="40"/>
      <c r="H491" s="10"/>
      <c r="I491" s="10"/>
      <c r="J491" s="10"/>
    </row>
    <row r="492" ht="15.75" customHeight="1">
      <c r="A492" s="40"/>
      <c r="B492" s="40"/>
      <c r="C492" s="40"/>
      <c r="H492" s="10"/>
      <c r="I492" s="10"/>
      <c r="J492" s="10"/>
    </row>
    <row r="493" ht="15.75" customHeight="1">
      <c r="A493" s="40"/>
      <c r="B493" s="40"/>
      <c r="C493" s="40"/>
      <c r="H493" s="10"/>
      <c r="I493" s="10"/>
      <c r="J493" s="10"/>
    </row>
    <row r="494" ht="15.75" customHeight="1">
      <c r="A494" s="40"/>
      <c r="B494" s="40"/>
      <c r="C494" s="40"/>
      <c r="H494" s="10"/>
      <c r="I494" s="10"/>
      <c r="J494" s="10"/>
    </row>
    <row r="495" ht="15.75" customHeight="1">
      <c r="A495" s="40"/>
      <c r="B495" s="40"/>
      <c r="C495" s="40"/>
      <c r="H495" s="10"/>
      <c r="I495" s="10"/>
      <c r="J495" s="10"/>
    </row>
    <row r="496" ht="15.75" customHeight="1">
      <c r="A496" s="40"/>
      <c r="B496" s="40"/>
      <c r="C496" s="40"/>
      <c r="H496" s="10"/>
      <c r="I496" s="10"/>
      <c r="J496" s="10"/>
    </row>
    <row r="497" ht="15.75" customHeight="1">
      <c r="A497" s="40"/>
      <c r="B497" s="40"/>
      <c r="C497" s="40"/>
      <c r="H497" s="10"/>
      <c r="I497" s="10"/>
      <c r="J497" s="10"/>
    </row>
    <row r="498" ht="15.75" customHeight="1">
      <c r="A498" s="40"/>
      <c r="B498" s="40"/>
      <c r="C498" s="40"/>
      <c r="H498" s="10"/>
      <c r="I498" s="10"/>
      <c r="J498" s="10"/>
    </row>
    <row r="499" ht="15.75" customHeight="1">
      <c r="A499" s="40"/>
      <c r="B499" s="40"/>
      <c r="C499" s="40"/>
      <c r="H499" s="10"/>
      <c r="I499" s="10"/>
      <c r="J499" s="10"/>
    </row>
    <row r="500" ht="15.75" customHeight="1">
      <c r="A500" s="40"/>
      <c r="B500" s="40"/>
      <c r="C500" s="40"/>
      <c r="H500" s="10"/>
      <c r="I500" s="10"/>
      <c r="J500" s="10"/>
    </row>
    <row r="501" ht="15.75" customHeight="1">
      <c r="A501" s="40"/>
      <c r="B501" s="40"/>
      <c r="C501" s="40"/>
      <c r="H501" s="10"/>
      <c r="I501" s="10"/>
      <c r="J501" s="10"/>
    </row>
    <row r="502" ht="15.75" customHeight="1">
      <c r="A502" s="40"/>
      <c r="B502" s="40"/>
      <c r="C502" s="40"/>
      <c r="H502" s="10"/>
      <c r="I502" s="10"/>
      <c r="J502" s="10"/>
    </row>
    <row r="503" ht="15.75" customHeight="1">
      <c r="A503" s="40"/>
      <c r="B503" s="40"/>
      <c r="C503" s="40"/>
      <c r="H503" s="10"/>
      <c r="I503" s="10"/>
      <c r="J503" s="10"/>
    </row>
    <row r="504" ht="15.75" customHeight="1">
      <c r="A504" s="40"/>
      <c r="B504" s="40"/>
      <c r="C504" s="40"/>
      <c r="H504" s="10"/>
      <c r="I504" s="10"/>
      <c r="J504" s="10"/>
    </row>
    <row r="505" ht="15.75" customHeight="1">
      <c r="A505" s="40"/>
      <c r="B505" s="40"/>
      <c r="C505" s="40"/>
      <c r="H505" s="10"/>
      <c r="I505" s="10"/>
      <c r="J505" s="10"/>
    </row>
    <row r="506" ht="15.75" customHeight="1">
      <c r="A506" s="40"/>
      <c r="B506" s="40"/>
      <c r="C506" s="40"/>
      <c r="H506" s="10"/>
      <c r="I506" s="10"/>
      <c r="J506" s="10"/>
    </row>
    <row r="507" ht="15.75" customHeight="1">
      <c r="A507" s="40"/>
      <c r="B507" s="40"/>
      <c r="C507" s="40"/>
      <c r="H507" s="10"/>
      <c r="I507" s="10"/>
      <c r="J507" s="10"/>
    </row>
    <row r="508" ht="15.75" customHeight="1">
      <c r="A508" s="40"/>
      <c r="B508" s="40"/>
      <c r="C508" s="40"/>
      <c r="H508" s="10"/>
      <c r="I508" s="10"/>
      <c r="J508" s="10"/>
    </row>
    <row r="509" ht="15.75" customHeight="1">
      <c r="A509" s="40"/>
      <c r="B509" s="40"/>
      <c r="C509" s="40"/>
      <c r="H509" s="10"/>
      <c r="I509" s="10"/>
      <c r="J509" s="10"/>
    </row>
    <row r="510" ht="15.75" customHeight="1">
      <c r="A510" s="40"/>
      <c r="B510" s="40"/>
      <c r="C510" s="40"/>
      <c r="H510" s="10"/>
      <c r="I510" s="10"/>
      <c r="J510" s="10"/>
    </row>
    <row r="511" ht="15.75" customHeight="1">
      <c r="A511" s="40"/>
      <c r="B511" s="40"/>
      <c r="C511" s="40"/>
      <c r="H511" s="10"/>
      <c r="I511" s="10"/>
      <c r="J511" s="10"/>
    </row>
    <row r="512" ht="15.75" customHeight="1">
      <c r="A512" s="40"/>
      <c r="B512" s="40"/>
      <c r="C512" s="40"/>
      <c r="H512" s="10"/>
      <c r="I512" s="10"/>
      <c r="J512" s="10"/>
    </row>
    <row r="513" ht="15.75" customHeight="1">
      <c r="A513" s="40"/>
      <c r="B513" s="40"/>
      <c r="C513" s="40"/>
      <c r="H513" s="10"/>
      <c r="I513" s="10"/>
      <c r="J513" s="10"/>
    </row>
    <row r="514" ht="15.75" customHeight="1">
      <c r="A514" s="40"/>
      <c r="B514" s="40"/>
      <c r="C514" s="40"/>
      <c r="H514" s="10"/>
      <c r="I514" s="10"/>
      <c r="J514" s="10"/>
    </row>
    <row r="515" ht="15.75" customHeight="1">
      <c r="A515" s="40"/>
      <c r="B515" s="40"/>
      <c r="C515" s="40"/>
      <c r="H515" s="10"/>
      <c r="I515" s="10"/>
      <c r="J515" s="10"/>
    </row>
    <row r="516" ht="15.75" customHeight="1">
      <c r="A516" s="40"/>
      <c r="B516" s="40"/>
      <c r="C516" s="40"/>
      <c r="H516" s="10"/>
      <c r="I516" s="10"/>
      <c r="J516" s="10"/>
    </row>
    <row r="517" ht="15.75" customHeight="1">
      <c r="A517" s="40"/>
      <c r="B517" s="40"/>
      <c r="C517" s="40"/>
      <c r="H517" s="10"/>
      <c r="I517" s="10"/>
      <c r="J517" s="10"/>
    </row>
    <row r="518" ht="15.75" customHeight="1">
      <c r="A518" s="40"/>
      <c r="B518" s="40"/>
      <c r="C518" s="40"/>
      <c r="H518" s="10"/>
      <c r="I518" s="10"/>
      <c r="J518" s="10"/>
    </row>
    <row r="519" ht="15.75" customHeight="1">
      <c r="A519" s="40"/>
      <c r="B519" s="40"/>
      <c r="C519" s="40"/>
      <c r="H519" s="10"/>
      <c r="I519" s="10"/>
      <c r="J519" s="10"/>
    </row>
    <row r="520" ht="15.75" customHeight="1">
      <c r="A520" s="40"/>
      <c r="B520" s="40"/>
      <c r="C520" s="40"/>
      <c r="H520" s="10"/>
      <c r="I520" s="10"/>
      <c r="J520" s="10"/>
    </row>
    <row r="521" ht="15.75" customHeight="1">
      <c r="A521" s="40"/>
      <c r="B521" s="40"/>
      <c r="C521" s="40"/>
      <c r="H521" s="10"/>
      <c r="I521" s="10"/>
      <c r="J521" s="10"/>
    </row>
    <row r="522" ht="15.75" customHeight="1">
      <c r="A522" s="40"/>
      <c r="B522" s="40"/>
      <c r="C522" s="40"/>
      <c r="H522" s="10"/>
      <c r="I522" s="10"/>
      <c r="J522" s="10"/>
    </row>
    <row r="523" ht="15.75" customHeight="1">
      <c r="A523" s="40"/>
      <c r="B523" s="40"/>
      <c r="C523" s="40"/>
      <c r="H523" s="10"/>
      <c r="I523" s="10"/>
      <c r="J523" s="10"/>
    </row>
    <row r="524" ht="15.75" customHeight="1">
      <c r="A524" s="40"/>
      <c r="B524" s="40"/>
      <c r="C524" s="40"/>
      <c r="H524" s="10"/>
      <c r="I524" s="10"/>
      <c r="J524" s="10"/>
    </row>
    <row r="525" ht="15.75" customHeight="1">
      <c r="A525" s="40"/>
      <c r="B525" s="40"/>
      <c r="C525" s="40"/>
      <c r="H525" s="10"/>
      <c r="I525" s="10"/>
      <c r="J525" s="10"/>
    </row>
    <row r="526" ht="15.75" customHeight="1">
      <c r="A526" s="40"/>
      <c r="B526" s="40"/>
      <c r="C526" s="40"/>
      <c r="H526" s="10"/>
      <c r="I526" s="10"/>
      <c r="J526" s="10"/>
    </row>
    <row r="527" ht="15.75" customHeight="1">
      <c r="A527" s="40"/>
      <c r="B527" s="40"/>
      <c r="C527" s="40"/>
      <c r="H527" s="10"/>
      <c r="I527" s="10"/>
      <c r="J527" s="10"/>
    </row>
    <row r="528" ht="15.75" customHeight="1">
      <c r="A528" s="40"/>
      <c r="B528" s="40"/>
      <c r="C528" s="40"/>
      <c r="H528" s="10"/>
      <c r="I528" s="10"/>
      <c r="J528" s="10"/>
    </row>
    <row r="529" ht="15.75" customHeight="1">
      <c r="A529" s="40"/>
      <c r="B529" s="40"/>
      <c r="C529" s="40"/>
      <c r="H529" s="10"/>
      <c r="I529" s="10"/>
      <c r="J529" s="10"/>
    </row>
    <row r="530" ht="15.75" customHeight="1">
      <c r="A530" s="40"/>
      <c r="B530" s="40"/>
      <c r="C530" s="40"/>
      <c r="H530" s="10"/>
      <c r="I530" s="10"/>
      <c r="J530" s="10"/>
    </row>
    <row r="531" ht="15.75" customHeight="1">
      <c r="A531" s="40"/>
      <c r="B531" s="40"/>
      <c r="C531" s="40"/>
      <c r="H531" s="10"/>
      <c r="I531" s="10"/>
      <c r="J531" s="10"/>
    </row>
    <row r="532" ht="15.75" customHeight="1">
      <c r="A532" s="40"/>
      <c r="B532" s="40"/>
      <c r="C532" s="40"/>
      <c r="H532" s="10"/>
      <c r="I532" s="10"/>
      <c r="J532" s="10"/>
    </row>
    <row r="533" ht="15.75" customHeight="1">
      <c r="A533" s="40"/>
      <c r="B533" s="40"/>
      <c r="C533" s="40"/>
      <c r="H533" s="10"/>
      <c r="I533" s="10"/>
      <c r="J533" s="10"/>
    </row>
    <row r="534" ht="15.75" customHeight="1">
      <c r="A534" s="40"/>
      <c r="B534" s="40"/>
      <c r="C534" s="40"/>
      <c r="H534" s="10"/>
      <c r="I534" s="10"/>
      <c r="J534" s="10"/>
    </row>
    <row r="535" ht="15.75" customHeight="1">
      <c r="A535" s="40"/>
      <c r="B535" s="40"/>
      <c r="C535" s="40"/>
      <c r="H535" s="10"/>
      <c r="I535" s="10"/>
      <c r="J535" s="10"/>
    </row>
    <row r="536" ht="15.75" customHeight="1">
      <c r="A536" s="40"/>
      <c r="B536" s="40"/>
      <c r="C536" s="40"/>
      <c r="H536" s="10"/>
      <c r="I536" s="10"/>
      <c r="J536" s="10"/>
    </row>
    <row r="537" ht="15.75" customHeight="1">
      <c r="A537" s="40"/>
      <c r="B537" s="40"/>
      <c r="C537" s="40"/>
      <c r="H537" s="10"/>
      <c r="I537" s="10"/>
      <c r="J537" s="10"/>
    </row>
    <row r="538" ht="15.75" customHeight="1">
      <c r="A538" s="40"/>
      <c r="B538" s="40"/>
      <c r="C538" s="40"/>
      <c r="H538" s="10"/>
      <c r="I538" s="10"/>
      <c r="J538" s="10"/>
    </row>
    <row r="539" ht="15.75" customHeight="1">
      <c r="A539" s="40"/>
      <c r="B539" s="40"/>
      <c r="C539" s="40"/>
      <c r="H539" s="10"/>
      <c r="I539" s="10"/>
      <c r="J539" s="10"/>
    </row>
    <row r="540" ht="15.75" customHeight="1">
      <c r="A540" s="40"/>
      <c r="B540" s="40"/>
      <c r="C540" s="40"/>
      <c r="H540" s="10"/>
      <c r="I540" s="10"/>
      <c r="J540" s="10"/>
    </row>
    <row r="541" ht="15.75" customHeight="1">
      <c r="A541" s="40"/>
      <c r="B541" s="40"/>
      <c r="C541" s="40"/>
      <c r="H541" s="10"/>
      <c r="I541" s="10"/>
      <c r="J541" s="10"/>
    </row>
    <row r="542" ht="15.75" customHeight="1">
      <c r="A542" s="40"/>
      <c r="B542" s="40"/>
      <c r="C542" s="40"/>
      <c r="H542" s="10"/>
      <c r="I542" s="10"/>
      <c r="J542" s="10"/>
    </row>
    <row r="543" ht="15.75" customHeight="1">
      <c r="A543" s="40"/>
      <c r="B543" s="40"/>
      <c r="C543" s="40"/>
      <c r="H543" s="10"/>
      <c r="I543" s="10"/>
      <c r="J543" s="10"/>
    </row>
    <row r="544" ht="15.75" customHeight="1">
      <c r="A544" s="40"/>
      <c r="B544" s="40"/>
      <c r="C544" s="40"/>
      <c r="H544" s="10"/>
      <c r="I544" s="10"/>
      <c r="J544" s="10"/>
    </row>
    <row r="545" ht="15.75" customHeight="1">
      <c r="A545" s="40"/>
      <c r="B545" s="40"/>
      <c r="C545" s="40"/>
      <c r="H545" s="10"/>
      <c r="I545" s="10"/>
      <c r="J545" s="10"/>
    </row>
    <row r="546" ht="15.75" customHeight="1">
      <c r="A546" s="40"/>
      <c r="B546" s="40"/>
      <c r="C546" s="40"/>
      <c r="H546" s="10"/>
      <c r="I546" s="10"/>
      <c r="J546" s="10"/>
    </row>
    <row r="547" ht="15.75" customHeight="1">
      <c r="A547" s="40"/>
      <c r="B547" s="40"/>
      <c r="C547" s="40"/>
      <c r="H547" s="10"/>
      <c r="I547" s="10"/>
      <c r="J547" s="10"/>
    </row>
    <row r="548" ht="15.75" customHeight="1">
      <c r="A548" s="40"/>
      <c r="B548" s="40"/>
      <c r="C548" s="40"/>
      <c r="H548" s="10"/>
      <c r="I548" s="10"/>
      <c r="J548" s="10"/>
    </row>
    <row r="549" ht="15.75" customHeight="1">
      <c r="A549" s="40"/>
      <c r="B549" s="40"/>
      <c r="C549" s="40"/>
      <c r="H549" s="10"/>
      <c r="I549" s="10"/>
      <c r="J549" s="10"/>
    </row>
    <row r="550" ht="15.75" customHeight="1">
      <c r="A550" s="40"/>
      <c r="B550" s="40"/>
      <c r="C550" s="40"/>
      <c r="H550" s="10"/>
      <c r="I550" s="10"/>
      <c r="J550" s="10"/>
    </row>
    <row r="551" ht="15.75" customHeight="1">
      <c r="A551" s="40"/>
      <c r="B551" s="40"/>
      <c r="C551" s="40"/>
      <c r="H551" s="10"/>
      <c r="I551" s="10"/>
      <c r="J551" s="10"/>
    </row>
    <row r="552" ht="15.75" customHeight="1">
      <c r="A552" s="40"/>
      <c r="B552" s="40"/>
      <c r="C552" s="40"/>
      <c r="H552" s="10"/>
      <c r="I552" s="10"/>
      <c r="J552" s="10"/>
    </row>
    <row r="553" ht="15.75" customHeight="1">
      <c r="A553" s="40"/>
      <c r="B553" s="40"/>
      <c r="C553" s="40"/>
      <c r="H553" s="10"/>
      <c r="I553" s="10"/>
      <c r="J553" s="10"/>
    </row>
    <row r="554" ht="15.75" customHeight="1">
      <c r="A554" s="40"/>
      <c r="B554" s="40"/>
      <c r="C554" s="40"/>
      <c r="H554" s="10"/>
      <c r="I554" s="10"/>
      <c r="J554" s="10"/>
    </row>
    <row r="555" ht="15.75" customHeight="1">
      <c r="A555" s="40"/>
      <c r="B555" s="40"/>
      <c r="C555" s="40"/>
      <c r="H555" s="10"/>
      <c r="I555" s="10"/>
      <c r="J555" s="10"/>
    </row>
    <row r="556" ht="15.75" customHeight="1">
      <c r="A556" s="40"/>
      <c r="B556" s="40"/>
      <c r="C556" s="40"/>
      <c r="H556" s="10"/>
      <c r="I556" s="10"/>
      <c r="J556" s="10"/>
    </row>
    <row r="557" ht="15.75" customHeight="1">
      <c r="A557" s="40"/>
      <c r="B557" s="40"/>
      <c r="C557" s="40"/>
      <c r="H557" s="10"/>
      <c r="I557" s="10"/>
      <c r="J557" s="10"/>
    </row>
    <row r="558" ht="15.75" customHeight="1">
      <c r="A558" s="40"/>
      <c r="B558" s="40"/>
      <c r="C558" s="40"/>
      <c r="H558" s="10"/>
      <c r="I558" s="10"/>
      <c r="J558" s="10"/>
    </row>
    <row r="559" ht="15.75" customHeight="1">
      <c r="A559" s="40"/>
      <c r="B559" s="40"/>
      <c r="C559" s="40"/>
      <c r="H559" s="10"/>
      <c r="I559" s="10"/>
      <c r="J559" s="10"/>
    </row>
    <row r="560" ht="15.75" customHeight="1">
      <c r="A560" s="40"/>
      <c r="B560" s="40"/>
      <c r="C560" s="40"/>
      <c r="H560" s="10"/>
      <c r="I560" s="10"/>
      <c r="J560" s="10"/>
    </row>
    <row r="561" ht="15.75" customHeight="1">
      <c r="A561" s="40"/>
      <c r="B561" s="40"/>
      <c r="C561" s="40"/>
      <c r="H561" s="10"/>
      <c r="I561" s="10"/>
      <c r="J561" s="10"/>
    </row>
    <row r="562" ht="15.75" customHeight="1">
      <c r="A562" s="40"/>
      <c r="B562" s="40"/>
      <c r="C562" s="40"/>
      <c r="H562" s="10"/>
      <c r="I562" s="10"/>
      <c r="J562" s="10"/>
    </row>
    <row r="563" ht="15.75" customHeight="1">
      <c r="A563" s="40"/>
      <c r="B563" s="40"/>
      <c r="C563" s="40"/>
      <c r="H563" s="10"/>
      <c r="I563" s="10"/>
      <c r="J563" s="10"/>
    </row>
    <row r="564" ht="15.75" customHeight="1">
      <c r="A564" s="40"/>
      <c r="B564" s="40"/>
      <c r="C564" s="40"/>
      <c r="H564" s="10"/>
      <c r="I564" s="10"/>
      <c r="J564" s="10"/>
    </row>
    <row r="565" ht="15.75" customHeight="1">
      <c r="A565" s="40"/>
      <c r="B565" s="40"/>
      <c r="C565" s="40"/>
      <c r="H565" s="10"/>
      <c r="I565" s="10"/>
      <c r="J565" s="10"/>
    </row>
    <row r="566" ht="15.75" customHeight="1">
      <c r="A566" s="40"/>
      <c r="B566" s="40"/>
      <c r="C566" s="40"/>
      <c r="H566" s="10"/>
      <c r="I566" s="10"/>
      <c r="J566" s="10"/>
    </row>
    <row r="567" ht="15.75" customHeight="1">
      <c r="A567" s="40"/>
      <c r="B567" s="40"/>
      <c r="C567" s="40"/>
      <c r="H567" s="10"/>
      <c r="I567" s="10"/>
      <c r="J567" s="10"/>
    </row>
    <row r="568" ht="15.75" customHeight="1">
      <c r="A568" s="40"/>
      <c r="B568" s="40"/>
      <c r="C568" s="40"/>
      <c r="H568" s="10"/>
      <c r="I568" s="10"/>
      <c r="J568" s="10"/>
    </row>
    <row r="569" ht="15.75" customHeight="1">
      <c r="A569" s="40"/>
      <c r="B569" s="40"/>
      <c r="C569" s="40"/>
      <c r="H569" s="10"/>
      <c r="I569" s="10"/>
      <c r="J569" s="10"/>
    </row>
    <row r="570" ht="15.75" customHeight="1">
      <c r="A570" s="40"/>
      <c r="B570" s="40"/>
      <c r="C570" s="40"/>
      <c r="H570" s="10"/>
      <c r="I570" s="10"/>
      <c r="J570" s="10"/>
    </row>
    <row r="571" ht="15.75" customHeight="1">
      <c r="A571" s="40"/>
      <c r="B571" s="40"/>
      <c r="C571" s="40"/>
      <c r="H571" s="10"/>
      <c r="I571" s="10"/>
      <c r="J571" s="10"/>
    </row>
    <row r="572" ht="15.75" customHeight="1">
      <c r="A572" s="40"/>
      <c r="B572" s="40"/>
      <c r="C572" s="40"/>
      <c r="H572" s="10"/>
      <c r="I572" s="10"/>
      <c r="J572" s="10"/>
    </row>
    <row r="573" ht="15.75" customHeight="1">
      <c r="A573" s="40"/>
      <c r="B573" s="40"/>
      <c r="C573" s="40"/>
      <c r="H573" s="10"/>
      <c r="I573" s="10"/>
      <c r="J573" s="10"/>
    </row>
    <row r="574" ht="15.75" customHeight="1">
      <c r="A574" s="40"/>
      <c r="B574" s="40"/>
      <c r="C574" s="40"/>
      <c r="H574" s="10"/>
      <c r="I574" s="10"/>
      <c r="J574" s="10"/>
    </row>
    <row r="575" ht="15.75" customHeight="1">
      <c r="A575" s="40"/>
      <c r="B575" s="40"/>
      <c r="C575" s="40"/>
      <c r="H575" s="10"/>
      <c r="I575" s="10"/>
      <c r="J575" s="10"/>
    </row>
    <row r="576" ht="15.75" customHeight="1">
      <c r="A576" s="40"/>
      <c r="B576" s="40"/>
      <c r="C576" s="40"/>
      <c r="H576" s="10"/>
      <c r="I576" s="10"/>
      <c r="J576" s="10"/>
    </row>
    <row r="577" ht="15.75" customHeight="1">
      <c r="A577" s="40"/>
      <c r="B577" s="40"/>
      <c r="C577" s="40"/>
      <c r="H577" s="10"/>
      <c r="I577" s="10"/>
      <c r="J577" s="10"/>
    </row>
    <row r="578" ht="15.75" customHeight="1">
      <c r="A578" s="40"/>
      <c r="B578" s="40"/>
      <c r="C578" s="40"/>
      <c r="H578" s="10"/>
      <c r="I578" s="10"/>
      <c r="J578" s="10"/>
    </row>
    <row r="579" ht="15.75" customHeight="1">
      <c r="A579" s="40"/>
      <c r="B579" s="40"/>
      <c r="C579" s="40"/>
      <c r="H579" s="10"/>
      <c r="I579" s="10"/>
      <c r="J579" s="10"/>
    </row>
    <row r="580" ht="15.75" customHeight="1">
      <c r="A580" s="40"/>
      <c r="B580" s="40"/>
      <c r="C580" s="40"/>
      <c r="H580" s="10"/>
      <c r="I580" s="10"/>
      <c r="J580" s="10"/>
    </row>
    <row r="581" ht="15.75" customHeight="1">
      <c r="A581" s="40"/>
      <c r="B581" s="40"/>
      <c r="C581" s="40"/>
      <c r="H581" s="10"/>
      <c r="I581" s="10"/>
      <c r="J581" s="10"/>
    </row>
    <row r="582" ht="15.75" customHeight="1">
      <c r="A582" s="40"/>
      <c r="B582" s="40"/>
      <c r="C582" s="40"/>
      <c r="H582" s="10"/>
      <c r="I582" s="10"/>
      <c r="J582" s="10"/>
    </row>
    <row r="583" ht="15.75" customHeight="1">
      <c r="A583" s="40"/>
      <c r="B583" s="40"/>
      <c r="C583" s="40"/>
      <c r="H583" s="10"/>
      <c r="I583" s="10"/>
      <c r="J583" s="10"/>
    </row>
    <row r="584" ht="15.75" customHeight="1">
      <c r="A584" s="40"/>
      <c r="B584" s="40"/>
      <c r="C584" s="40"/>
      <c r="H584" s="10"/>
      <c r="I584" s="10"/>
      <c r="J584" s="10"/>
    </row>
    <row r="585" ht="15.75" customHeight="1">
      <c r="A585" s="40"/>
      <c r="B585" s="40"/>
      <c r="C585" s="40"/>
      <c r="H585" s="10"/>
      <c r="I585" s="10"/>
      <c r="J585" s="10"/>
    </row>
    <row r="586" ht="15.75" customHeight="1">
      <c r="A586" s="40"/>
      <c r="B586" s="40"/>
      <c r="C586" s="40"/>
      <c r="H586" s="10"/>
      <c r="I586" s="10"/>
      <c r="J586" s="10"/>
    </row>
    <row r="587" ht="15.75" customHeight="1">
      <c r="A587" s="40"/>
      <c r="B587" s="40"/>
      <c r="C587" s="40"/>
      <c r="H587" s="10"/>
      <c r="I587" s="10"/>
      <c r="J587" s="10"/>
    </row>
    <row r="588" ht="15.75" customHeight="1">
      <c r="A588" s="40"/>
      <c r="B588" s="40"/>
      <c r="C588" s="40"/>
      <c r="H588" s="10"/>
      <c r="I588" s="10"/>
      <c r="J588" s="10"/>
    </row>
    <row r="589" ht="15.75" customHeight="1">
      <c r="A589" s="40"/>
      <c r="B589" s="40"/>
      <c r="C589" s="40"/>
      <c r="H589" s="10"/>
      <c r="I589" s="10"/>
      <c r="J589" s="10"/>
    </row>
    <row r="590" ht="15.75" customHeight="1">
      <c r="A590" s="40"/>
      <c r="B590" s="40"/>
      <c r="C590" s="40"/>
      <c r="H590" s="10"/>
      <c r="I590" s="10"/>
      <c r="J590" s="10"/>
    </row>
    <row r="591" ht="15.75" customHeight="1">
      <c r="A591" s="40"/>
      <c r="B591" s="40"/>
      <c r="C591" s="40"/>
      <c r="H591" s="10"/>
      <c r="I591" s="10"/>
      <c r="J591" s="10"/>
    </row>
    <row r="592" ht="15.75" customHeight="1">
      <c r="A592" s="40"/>
      <c r="B592" s="40"/>
      <c r="C592" s="40"/>
      <c r="H592" s="10"/>
      <c r="I592" s="10"/>
      <c r="J592" s="10"/>
    </row>
    <row r="593" ht="15.75" customHeight="1">
      <c r="A593" s="40"/>
      <c r="B593" s="40"/>
      <c r="C593" s="40"/>
      <c r="H593" s="10"/>
      <c r="I593" s="10"/>
      <c r="J593" s="10"/>
    </row>
    <row r="594" ht="15.75" customHeight="1">
      <c r="A594" s="40"/>
      <c r="B594" s="40"/>
      <c r="C594" s="40"/>
      <c r="H594" s="10"/>
      <c r="I594" s="10"/>
      <c r="J594" s="10"/>
    </row>
    <row r="595" ht="15.75" customHeight="1">
      <c r="A595" s="40"/>
      <c r="B595" s="40"/>
      <c r="C595" s="40"/>
      <c r="H595" s="10"/>
      <c r="I595" s="10"/>
      <c r="J595" s="10"/>
    </row>
    <row r="596" ht="15.75" customHeight="1">
      <c r="A596" s="40"/>
      <c r="B596" s="40"/>
      <c r="C596" s="40"/>
      <c r="H596" s="10"/>
      <c r="I596" s="10"/>
      <c r="J596" s="10"/>
    </row>
    <row r="597" ht="15.75" customHeight="1">
      <c r="A597" s="40"/>
      <c r="B597" s="40"/>
      <c r="C597" s="40"/>
      <c r="H597" s="10"/>
      <c r="I597" s="10"/>
      <c r="J597" s="10"/>
    </row>
    <row r="598" ht="15.75" customHeight="1">
      <c r="A598" s="40"/>
      <c r="B598" s="40"/>
      <c r="C598" s="40"/>
      <c r="H598" s="10"/>
      <c r="I598" s="10"/>
      <c r="J598" s="10"/>
    </row>
    <row r="599" ht="15.75" customHeight="1">
      <c r="A599" s="40"/>
      <c r="B599" s="40"/>
      <c r="C599" s="40"/>
      <c r="H599" s="10"/>
      <c r="I599" s="10"/>
      <c r="J599" s="10"/>
    </row>
    <row r="600" ht="15.75" customHeight="1">
      <c r="A600" s="40"/>
      <c r="B600" s="40"/>
      <c r="C600" s="40"/>
      <c r="H600" s="10"/>
      <c r="I600" s="10"/>
      <c r="J600" s="10"/>
    </row>
    <row r="601" ht="15.75" customHeight="1">
      <c r="A601" s="40"/>
      <c r="B601" s="40"/>
      <c r="C601" s="40"/>
      <c r="H601" s="10"/>
      <c r="I601" s="10"/>
      <c r="J601" s="10"/>
    </row>
    <row r="602" ht="15.75" customHeight="1">
      <c r="A602" s="40"/>
      <c r="B602" s="40"/>
      <c r="C602" s="40"/>
      <c r="H602" s="10"/>
      <c r="I602" s="10"/>
      <c r="J602" s="10"/>
    </row>
    <row r="603" ht="15.75" customHeight="1">
      <c r="A603" s="40"/>
      <c r="B603" s="40"/>
      <c r="C603" s="40"/>
      <c r="H603" s="10"/>
      <c r="I603" s="10"/>
      <c r="J603" s="10"/>
    </row>
    <row r="604" ht="15.75" customHeight="1">
      <c r="A604" s="40"/>
      <c r="B604" s="40"/>
      <c r="C604" s="40"/>
      <c r="H604" s="10"/>
      <c r="I604" s="10"/>
      <c r="J604" s="10"/>
    </row>
    <row r="605" ht="15.75" customHeight="1">
      <c r="A605" s="40"/>
      <c r="B605" s="40"/>
      <c r="C605" s="40"/>
      <c r="H605" s="10"/>
      <c r="I605" s="10"/>
      <c r="J605" s="10"/>
    </row>
    <row r="606" ht="15.75" customHeight="1">
      <c r="A606" s="40"/>
      <c r="B606" s="40"/>
      <c r="C606" s="40"/>
      <c r="H606" s="10"/>
      <c r="I606" s="10"/>
      <c r="J606" s="10"/>
    </row>
    <row r="607" ht="15.75" customHeight="1">
      <c r="A607" s="40"/>
      <c r="B607" s="40"/>
      <c r="C607" s="40"/>
      <c r="H607" s="10"/>
      <c r="I607" s="10"/>
      <c r="J607" s="10"/>
    </row>
    <row r="608" ht="15.75" customHeight="1">
      <c r="A608" s="40"/>
      <c r="B608" s="40"/>
      <c r="C608" s="40"/>
      <c r="H608" s="10"/>
      <c r="I608" s="10"/>
      <c r="J608" s="10"/>
    </row>
    <row r="609" ht="15.75" customHeight="1">
      <c r="A609" s="40"/>
      <c r="B609" s="40"/>
      <c r="C609" s="40"/>
      <c r="H609" s="10"/>
      <c r="I609" s="10"/>
      <c r="J609" s="10"/>
    </row>
    <row r="610" ht="15.75" customHeight="1">
      <c r="A610" s="40"/>
      <c r="B610" s="40"/>
      <c r="C610" s="40"/>
      <c r="H610" s="10"/>
      <c r="I610" s="10"/>
      <c r="J610" s="10"/>
    </row>
    <row r="611" ht="15.75" customHeight="1">
      <c r="A611" s="40"/>
      <c r="B611" s="40"/>
      <c r="C611" s="40"/>
      <c r="H611" s="10"/>
      <c r="I611" s="10"/>
      <c r="J611" s="10"/>
    </row>
    <row r="612" ht="15.75" customHeight="1">
      <c r="A612" s="40"/>
      <c r="B612" s="40"/>
      <c r="C612" s="40"/>
      <c r="H612" s="10"/>
      <c r="I612" s="10"/>
      <c r="J612" s="10"/>
    </row>
    <row r="613" ht="15.75" customHeight="1">
      <c r="A613" s="40"/>
      <c r="B613" s="40"/>
      <c r="C613" s="40"/>
      <c r="H613" s="10"/>
      <c r="I613" s="10"/>
      <c r="J613" s="10"/>
    </row>
    <row r="614" ht="15.75" customHeight="1">
      <c r="A614" s="40"/>
      <c r="B614" s="40"/>
      <c r="C614" s="40"/>
      <c r="H614" s="10"/>
      <c r="I614" s="10"/>
      <c r="J614" s="10"/>
    </row>
    <row r="615" ht="15.75" customHeight="1">
      <c r="A615" s="40"/>
      <c r="B615" s="40"/>
      <c r="C615" s="40"/>
      <c r="H615" s="10"/>
      <c r="I615" s="10"/>
      <c r="J615" s="10"/>
    </row>
    <row r="616" ht="15.75" customHeight="1">
      <c r="A616" s="40"/>
      <c r="B616" s="40"/>
      <c r="C616" s="40"/>
      <c r="H616" s="10"/>
      <c r="I616" s="10"/>
      <c r="J616" s="10"/>
    </row>
    <row r="617" ht="15.75" customHeight="1">
      <c r="A617" s="40"/>
      <c r="B617" s="40"/>
      <c r="C617" s="40"/>
      <c r="H617" s="10"/>
      <c r="I617" s="10"/>
      <c r="J617" s="10"/>
    </row>
    <row r="618" ht="15.75" customHeight="1">
      <c r="A618" s="40"/>
      <c r="B618" s="40"/>
      <c r="C618" s="40"/>
      <c r="H618" s="10"/>
      <c r="I618" s="10"/>
      <c r="J618" s="10"/>
    </row>
    <row r="619" ht="15.75" customHeight="1">
      <c r="A619" s="40"/>
      <c r="B619" s="40"/>
      <c r="C619" s="40"/>
      <c r="H619" s="10"/>
      <c r="I619" s="10"/>
      <c r="J619" s="10"/>
    </row>
    <row r="620" ht="15.75" customHeight="1">
      <c r="A620" s="40"/>
      <c r="B620" s="40"/>
      <c r="C620" s="40"/>
      <c r="H620" s="10"/>
      <c r="I620" s="10"/>
      <c r="J620" s="10"/>
    </row>
    <row r="621" ht="15.75" customHeight="1">
      <c r="A621" s="40"/>
      <c r="B621" s="40"/>
      <c r="C621" s="40"/>
      <c r="H621" s="10"/>
      <c r="I621" s="10"/>
      <c r="J621" s="10"/>
    </row>
    <row r="622" ht="15.75" customHeight="1">
      <c r="A622" s="40"/>
      <c r="B622" s="40"/>
      <c r="C622" s="40"/>
      <c r="H622" s="10"/>
      <c r="I622" s="10"/>
      <c r="J622" s="10"/>
    </row>
    <row r="623" ht="15.75" customHeight="1">
      <c r="A623" s="40"/>
      <c r="B623" s="40"/>
      <c r="C623" s="40"/>
      <c r="H623" s="10"/>
      <c r="I623" s="10"/>
      <c r="J623" s="10"/>
    </row>
    <row r="624" ht="15.75" customHeight="1">
      <c r="A624" s="40"/>
      <c r="B624" s="40"/>
      <c r="C624" s="40"/>
      <c r="H624" s="10"/>
      <c r="I624" s="10"/>
      <c r="J624" s="10"/>
    </row>
    <row r="625" ht="15.75" customHeight="1">
      <c r="A625" s="40"/>
      <c r="B625" s="40"/>
      <c r="C625" s="40"/>
      <c r="H625" s="10"/>
      <c r="I625" s="10"/>
      <c r="J625" s="10"/>
    </row>
    <row r="626" ht="15.75" customHeight="1">
      <c r="A626" s="40"/>
      <c r="B626" s="40"/>
      <c r="C626" s="40"/>
      <c r="H626" s="10"/>
      <c r="I626" s="10"/>
      <c r="J626" s="10"/>
    </row>
    <row r="627" ht="15.75" customHeight="1">
      <c r="A627" s="40"/>
      <c r="B627" s="40"/>
      <c r="C627" s="40"/>
      <c r="H627" s="10"/>
      <c r="I627" s="10"/>
      <c r="J627" s="10"/>
    </row>
    <row r="628" ht="15.75" customHeight="1">
      <c r="A628" s="40"/>
      <c r="B628" s="40"/>
      <c r="C628" s="40"/>
      <c r="H628" s="10"/>
      <c r="I628" s="10"/>
      <c r="J628" s="10"/>
    </row>
    <row r="629" ht="15.75" customHeight="1">
      <c r="A629" s="40"/>
      <c r="B629" s="40"/>
      <c r="C629" s="40"/>
      <c r="H629" s="10"/>
      <c r="I629" s="10"/>
      <c r="J629" s="10"/>
    </row>
    <row r="630" ht="15.75" customHeight="1">
      <c r="A630" s="40"/>
      <c r="B630" s="40"/>
      <c r="C630" s="40"/>
      <c r="H630" s="10"/>
      <c r="I630" s="10"/>
      <c r="J630" s="10"/>
    </row>
    <row r="631" ht="15.75" customHeight="1">
      <c r="A631" s="40"/>
      <c r="B631" s="40"/>
      <c r="C631" s="40"/>
      <c r="H631" s="10"/>
      <c r="I631" s="10"/>
      <c r="J631" s="10"/>
    </row>
    <row r="632" ht="15.75" customHeight="1">
      <c r="A632" s="40"/>
      <c r="B632" s="40"/>
      <c r="C632" s="40"/>
      <c r="H632" s="10"/>
      <c r="I632" s="10"/>
      <c r="J632" s="10"/>
    </row>
    <row r="633" ht="15.75" customHeight="1">
      <c r="A633" s="40"/>
      <c r="B633" s="40"/>
      <c r="C633" s="40"/>
      <c r="H633" s="10"/>
      <c r="I633" s="10"/>
      <c r="J633" s="10"/>
    </row>
    <row r="634" ht="15.75" customHeight="1">
      <c r="A634" s="40"/>
      <c r="B634" s="40"/>
      <c r="C634" s="40"/>
      <c r="H634" s="10"/>
      <c r="I634" s="10"/>
      <c r="J634" s="10"/>
    </row>
    <row r="635" ht="15.75" customHeight="1">
      <c r="A635" s="40"/>
      <c r="B635" s="40"/>
      <c r="C635" s="40"/>
      <c r="H635" s="10"/>
      <c r="I635" s="10"/>
      <c r="J635" s="10"/>
    </row>
    <row r="636" ht="15.75" customHeight="1">
      <c r="A636" s="40"/>
      <c r="B636" s="40"/>
      <c r="C636" s="40"/>
      <c r="H636" s="10"/>
      <c r="I636" s="10"/>
      <c r="J636" s="10"/>
    </row>
    <row r="637" ht="15.75" customHeight="1">
      <c r="A637" s="40"/>
      <c r="B637" s="40"/>
      <c r="C637" s="40"/>
      <c r="H637" s="10"/>
      <c r="I637" s="10"/>
      <c r="J637" s="10"/>
    </row>
    <row r="638" ht="15.75" customHeight="1">
      <c r="A638" s="40"/>
      <c r="B638" s="40"/>
      <c r="C638" s="40"/>
      <c r="H638" s="10"/>
      <c r="I638" s="10"/>
      <c r="J638" s="10"/>
    </row>
    <row r="639" ht="15.75" customHeight="1">
      <c r="A639" s="40"/>
      <c r="B639" s="40"/>
      <c r="C639" s="40"/>
      <c r="H639" s="10"/>
      <c r="I639" s="10"/>
      <c r="J639" s="10"/>
    </row>
    <row r="640" ht="15.75" customHeight="1">
      <c r="A640" s="40"/>
      <c r="B640" s="40"/>
      <c r="C640" s="40"/>
      <c r="H640" s="10"/>
      <c r="I640" s="10"/>
      <c r="J640" s="10"/>
    </row>
    <row r="641" ht="15.75" customHeight="1">
      <c r="A641" s="40"/>
      <c r="B641" s="40"/>
      <c r="C641" s="40"/>
      <c r="H641" s="10"/>
      <c r="I641" s="10"/>
      <c r="J641" s="10"/>
    </row>
    <row r="642" ht="15.75" customHeight="1">
      <c r="A642" s="40"/>
      <c r="B642" s="40"/>
      <c r="C642" s="40"/>
      <c r="H642" s="10"/>
      <c r="I642" s="10"/>
      <c r="J642" s="10"/>
    </row>
    <row r="643" ht="15.75" customHeight="1">
      <c r="A643" s="40"/>
      <c r="B643" s="40"/>
      <c r="C643" s="40"/>
      <c r="H643" s="10"/>
      <c r="I643" s="10"/>
      <c r="J643" s="10"/>
    </row>
    <row r="644" ht="15.75" customHeight="1">
      <c r="A644" s="40"/>
      <c r="B644" s="40"/>
      <c r="C644" s="40"/>
      <c r="H644" s="10"/>
      <c r="I644" s="10"/>
      <c r="J644" s="10"/>
    </row>
    <row r="645" ht="15.75" customHeight="1">
      <c r="A645" s="40"/>
      <c r="B645" s="40"/>
      <c r="C645" s="40"/>
      <c r="H645" s="10"/>
      <c r="I645" s="10"/>
      <c r="J645" s="10"/>
    </row>
    <row r="646" ht="15.75" customHeight="1">
      <c r="A646" s="40"/>
      <c r="B646" s="40"/>
      <c r="C646" s="40"/>
      <c r="H646" s="10"/>
      <c r="I646" s="10"/>
      <c r="J646" s="10"/>
    </row>
    <row r="647" ht="15.75" customHeight="1">
      <c r="A647" s="40"/>
      <c r="B647" s="40"/>
      <c r="C647" s="40"/>
      <c r="H647" s="10"/>
      <c r="I647" s="10"/>
      <c r="J647" s="10"/>
    </row>
    <row r="648" ht="15.75" customHeight="1">
      <c r="A648" s="40"/>
      <c r="B648" s="40"/>
      <c r="C648" s="40"/>
      <c r="H648" s="10"/>
      <c r="I648" s="10"/>
      <c r="J648" s="10"/>
    </row>
    <row r="649" ht="15.75" customHeight="1">
      <c r="A649" s="40"/>
      <c r="B649" s="40"/>
      <c r="C649" s="40"/>
      <c r="H649" s="10"/>
      <c r="I649" s="10"/>
      <c r="J649" s="10"/>
    </row>
    <row r="650" ht="15.75" customHeight="1">
      <c r="A650" s="40"/>
      <c r="B650" s="40"/>
      <c r="C650" s="40"/>
      <c r="H650" s="10"/>
      <c r="I650" s="10"/>
      <c r="J650" s="10"/>
    </row>
    <row r="651" ht="15.75" customHeight="1">
      <c r="A651" s="40"/>
      <c r="B651" s="40"/>
      <c r="C651" s="40"/>
      <c r="H651" s="10"/>
      <c r="I651" s="10"/>
      <c r="J651" s="10"/>
    </row>
    <row r="652" ht="15.75" customHeight="1">
      <c r="A652" s="40"/>
      <c r="B652" s="40"/>
      <c r="C652" s="40"/>
      <c r="H652" s="10"/>
      <c r="I652" s="10"/>
      <c r="J652" s="10"/>
    </row>
    <row r="653" ht="15.75" customHeight="1">
      <c r="A653" s="40"/>
      <c r="B653" s="40"/>
      <c r="C653" s="40"/>
      <c r="H653" s="10"/>
      <c r="I653" s="10"/>
      <c r="J653" s="10"/>
    </row>
    <row r="654" ht="15.75" customHeight="1">
      <c r="A654" s="40"/>
      <c r="B654" s="40"/>
      <c r="C654" s="40"/>
      <c r="H654" s="10"/>
      <c r="I654" s="10"/>
      <c r="J654" s="10"/>
    </row>
    <row r="655" ht="15.75" customHeight="1">
      <c r="A655" s="40"/>
      <c r="B655" s="40"/>
      <c r="C655" s="40"/>
      <c r="H655" s="10"/>
      <c r="I655" s="10"/>
      <c r="J655" s="10"/>
    </row>
    <row r="656" ht="15.75" customHeight="1">
      <c r="A656" s="40"/>
      <c r="B656" s="40"/>
      <c r="C656" s="40"/>
      <c r="H656" s="10"/>
      <c r="I656" s="10"/>
      <c r="J656" s="10"/>
    </row>
    <row r="657" ht="15.75" customHeight="1">
      <c r="A657" s="40"/>
      <c r="B657" s="40"/>
      <c r="C657" s="40"/>
      <c r="H657" s="10"/>
      <c r="I657" s="10"/>
      <c r="J657" s="10"/>
    </row>
    <row r="658" ht="15.75" customHeight="1">
      <c r="A658" s="40"/>
      <c r="B658" s="40"/>
      <c r="C658" s="40"/>
      <c r="H658" s="10"/>
      <c r="I658" s="10"/>
      <c r="J658" s="10"/>
    </row>
    <row r="659" ht="15.75" customHeight="1">
      <c r="A659" s="40"/>
      <c r="B659" s="40"/>
      <c r="C659" s="40"/>
      <c r="H659" s="10"/>
      <c r="I659" s="10"/>
      <c r="J659" s="10"/>
    </row>
    <row r="660" ht="15.75" customHeight="1">
      <c r="A660" s="40"/>
      <c r="B660" s="40"/>
      <c r="C660" s="40"/>
      <c r="H660" s="10"/>
      <c r="I660" s="10"/>
      <c r="J660" s="10"/>
    </row>
    <row r="661" ht="15.75" customHeight="1">
      <c r="A661" s="40"/>
      <c r="B661" s="40"/>
      <c r="C661" s="40"/>
      <c r="H661" s="10"/>
      <c r="I661" s="10"/>
      <c r="J661" s="10"/>
    </row>
    <row r="662" ht="15.75" customHeight="1">
      <c r="A662" s="40"/>
      <c r="B662" s="40"/>
      <c r="C662" s="40"/>
      <c r="H662" s="10"/>
      <c r="I662" s="10"/>
      <c r="J662" s="10"/>
    </row>
    <row r="663" ht="15.75" customHeight="1">
      <c r="A663" s="40"/>
      <c r="B663" s="40"/>
      <c r="C663" s="40"/>
      <c r="H663" s="10"/>
      <c r="I663" s="10"/>
      <c r="J663" s="10"/>
    </row>
    <row r="664" ht="15.75" customHeight="1">
      <c r="A664" s="40"/>
      <c r="B664" s="40"/>
      <c r="C664" s="40"/>
      <c r="H664" s="10"/>
      <c r="I664" s="10"/>
      <c r="J664" s="10"/>
    </row>
    <row r="665" ht="15.75" customHeight="1">
      <c r="A665" s="40"/>
      <c r="B665" s="40"/>
      <c r="C665" s="40"/>
      <c r="H665" s="10"/>
      <c r="I665" s="10"/>
      <c r="J665" s="10"/>
    </row>
    <row r="666" ht="15.75" customHeight="1">
      <c r="A666" s="40"/>
      <c r="B666" s="40"/>
      <c r="C666" s="40"/>
      <c r="H666" s="10"/>
      <c r="I666" s="10"/>
      <c r="J666" s="10"/>
    </row>
    <row r="667" ht="15.75" customHeight="1">
      <c r="A667" s="40"/>
      <c r="B667" s="40"/>
      <c r="C667" s="40"/>
      <c r="H667" s="10"/>
      <c r="I667" s="10"/>
      <c r="J667" s="10"/>
    </row>
    <row r="668" ht="15.75" customHeight="1">
      <c r="A668" s="40"/>
      <c r="B668" s="40"/>
      <c r="C668" s="40"/>
      <c r="H668" s="10"/>
      <c r="I668" s="10"/>
      <c r="J668" s="10"/>
    </row>
    <row r="669" ht="15.75" customHeight="1">
      <c r="A669" s="40"/>
      <c r="B669" s="40"/>
      <c r="C669" s="40"/>
      <c r="H669" s="10"/>
      <c r="I669" s="10"/>
      <c r="J669" s="10"/>
    </row>
    <row r="670" ht="15.75" customHeight="1">
      <c r="A670" s="40"/>
      <c r="B670" s="40"/>
      <c r="C670" s="40"/>
      <c r="H670" s="10"/>
      <c r="I670" s="10"/>
      <c r="J670" s="10"/>
    </row>
    <row r="671" ht="15.75" customHeight="1">
      <c r="A671" s="40"/>
      <c r="B671" s="40"/>
      <c r="C671" s="40"/>
      <c r="H671" s="10"/>
      <c r="I671" s="10"/>
      <c r="J671" s="10"/>
    </row>
    <row r="672" ht="15.75" customHeight="1">
      <c r="A672" s="40"/>
      <c r="B672" s="40"/>
      <c r="C672" s="40"/>
      <c r="H672" s="10"/>
      <c r="I672" s="10"/>
      <c r="J672" s="10"/>
    </row>
    <row r="673" ht="15.75" customHeight="1">
      <c r="A673" s="40"/>
      <c r="B673" s="40"/>
      <c r="C673" s="40"/>
      <c r="H673" s="10"/>
      <c r="I673" s="10"/>
      <c r="J673" s="10"/>
    </row>
    <row r="674" ht="15.75" customHeight="1">
      <c r="A674" s="40"/>
      <c r="B674" s="40"/>
      <c r="C674" s="40"/>
      <c r="H674" s="10"/>
      <c r="I674" s="10"/>
      <c r="J674" s="10"/>
    </row>
    <row r="675" ht="15.75" customHeight="1">
      <c r="A675" s="40"/>
      <c r="B675" s="40"/>
      <c r="C675" s="40"/>
      <c r="H675" s="10"/>
      <c r="I675" s="10"/>
      <c r="J675" s="10"/>
    </row>
    <row r="676" ht="15.75" customHeight="1">
      <c r="A676" s="40"/>
      <c r="B676" s="40"/>
      <c r="C676" s="40"/>
      <c r="H676" s="10"/>
      <c r="I676" s="10"/>
      <c r="J676" s="10"/>
    </row>
    <row r="677" ht="15.75" customHeight="1">
      <c r="A677" s="40"/>
      <c r="B677" s="40"/>
      <c r="C677" s="40"/>
      <c r="H677" s="10"/>
      <c r="I677" s="10"/>
      <c r="J677" s="10"/>
    </row>
    <row r="678" ht="15.75" customHeight="1">
      <c r="A678" s="40"/>
      <c r="B678" s="40"/>
      <c r="C678" s="40"/>
      <c r="H678" s="10"/>
      <c r="I678" s="10"/>
      <c r="J678" s="10"/>
    </row>
    <row r="679" ht="15.75" customHeight="1">
      <c r="A679" s="40"/>
      <c r="B679" s="40"/>
      <c r="C679" s="40"/>
      <c r="H679" s="10"/>
      <c r="I679" s="10"/>
      <c r="J679" s="10"/>
    </row>
    <row r="680" ht="15.75" customHeight="1">
      <c r="A680" s="40"/>
      <c r="B680" s="40"/>
      <c r="C680" s="40"/>
      <c r="H680" s="10"/>
      <c r="I680" s="10"/>
      <c r="J680" s="10"/>
    </row>
    <row r="681" ht="15.75" customHeight="1">
      <c r="A681" s="40"/>
      <c r="B681" s="40"/>
      <c r="C681" s="40"/>
      <c r="H681" s="10"/>
      <c r="I681" s="10"/>
      <c r="J681" s="10"/>
    </row>
    <row r="682" ht="15.75" customHeight="1">
      <c r="A682" s="40"/>
      <c r="B682" s="40"/>
      <c r="C682" s="40"/>
      <c r="H682" s="10"/>
      <c r="I682" s="10"/>
      <c r="J682" s="10"/>
    </row>
    <row r="683" ht="15.75" customHeight="1">
      <c r="A683" s="40"/>
      <c r="B683" s="40"/>
      <c r="C683" s="40"/>
      <c r="H683" s="10"/>
      <c r="I683" s="10"/>
      <c r="J683" s="10"/>
    </row>
    <row r="684" ht="15.75" customHeight="1">
      <c r="A684" s="40"/>
      <c r="B684" s="40"/>
      <c r="C684" s="40"/>
      <c r="H684" s="10"/>
      <c r="I684" s="10"/>
      <c r="J684" s="10"/>
    </row>
    <row r="685" ht="15.75" customHeight="1">
      <c r="A685" s="40"/>
      <c r="B685" s="40"/>
      <c r="C685" s="40"/>
      <c r="H685" s="10"/>
      <c r="I685" s="10"/>
      <c r="J685" s="10"/>
    </row>
    <row r="686" ht="15.75" customHeight="1">
      <c r="A686" s="40"/>
      <c r="B686" s="40"/>
      <c r="C686" s="40"/>
      <c r="H686" s="10"/>
      <c r="I686" s="10"/>
      <c r="J686" s="10"/>
    </row>
    <row r="687" ht="15.75" customHeight="1">
      <c r="A687" s="40"/>
      <c r="B687" s="40"/>
      <c r="C687" s="40"/>
      <c r="H687" s="10"/>
      <c r="I687" s="10"/>
      <c r="J687" s="10"/>
    </row>
    <row r="688" ht="15.75" customHeight="1">
      <c r="A688" s="40"/>
      <c r="B688" s="40"/>
      <c r="C688" s="40"/>
      <c r="H688" s="10"/>
      <c r="I688" s="10"/>
      <c r="J688" s="10"/>
    </row>
    <row r="689" ht="15.75" customHeight="1">
      <c r="A689" s="40"/>
      <c r="B689" s="40"/>
      <c r="C689" s="40"/>
      <c r="H689" s="10"/>
      <c r="I689" s="10"/>
      <c r="J689" s="10"/>
    </row>
    <row r="690" ht="15.75" customHeight="1">
      <c r="A690" s="40"/>
      <c r="B690" s="40"/>
      <c r="C690" s="40"/>
      <c r="H690" s="10"/>
      <c r="I690" s="10"/>
      <c r="J690" s="10"/>
    </row>
    <row r="691" ht="15.75" customHeight="1">
      <c r="A691" s="40"/>
      <c r="B691" s="40"/>
      <c r="C691" s="40"/>
      <c r="H691" s="10"/>
      <c r="I691" s="10"/>
      <c r="J691" s="10"/>
    </row>
    <row r="692" ht="15.75" customHeight="1">
      <c r="A692" s="40"/>
      <c r="B692" s="40"/>
      <c r="C692" s="40"/>
      <c r="H692" s="10"/>
      <c r="I692" s="10"/>
      <c r="J692" s="10"/>
    </row>
    <row r="693" ht="15.75" customHeight="1">
      <c r="A693" s="40"/>
      <c r="B693" s="40"/>
      <c r="C693" s="40"/>
      <c r="H693" s="10"/>
      <c r="I693" s="10"/>
      <c r="J693" s="10"/>
    </row>
    <row r="694" ht="15.75" customHeight="1">
      <c r="A694" s="40"/>
      <c r="B694" s="40"/>
      <c r="C694" s="40"/>
      <c r="H694" s="10"/>
      <c r="I694" s="10"/>
      <c r="J694" s="10"/>
    </row>
    <row r="695" ht="15.75" customHeight="1">
      <c r="A695" s="40"/>
      <c r="B695" s="40"/>
      <c r="C695" s="40"/>
      <c r="H695" s="10"/>
      <c r="I695" s="10"/>
      <c r="J695" s="10"/>
    </row>
    <row r="696" ht="15.75" customHeight="1">
      <c r="A696" s="40"/>
      <c r="B696" s="40"/>
      <c r="C696" s="40"/>
      <c r="H696" s="10"/>
      <c r="I696" s="10"/>
      <c r="J696" s="10"/>
    </row>
    <row r="697" ht="15.75" customHeight="1">
      <c r="A697" s="40"/>
      <c r="B697" s="40"/>
      <c r="C697" s="40"/>
      <c r="H697" s="10"/>
      <c r="I697" s="10"/>
      <c r="J697" s="10"/>
    </row>
    <row r="698" ht="15.75" customHeight="1">
      <c r="A698" s="40"/>
      <c r="B698" s="40"/>
      <c r="C698" s="40"/>
      <c r="H698" s="10"/>
      <c r="I698" s="10"/>
      <c r="J698" s="10"/>
    </row>
    <row r="699" ht="15.75" customHeight="1">
      <c r="A699" s="40"/>
      <c r="B699" s="40"/>
      <c r="C699" s="40"/>
      <c r="H699" s="10"/>
      <c r="I699" s="10"/>
      <c r="J699" s="10"/>
    </row>
    <row r="700" ht="15.75" customHeight="1">
      <c r="A700" s="40"/>
      <c r="B700" s="40"/>
      <c r="C700" s="40"/>
      <c r="H700" s="10"/>
      <c r="I700" s="10"/>
      <c r="J700" s="10"/>
    </row>
    <row r="701" ht="15.75" customHeight="1">
      <c r="A701" s="40"/>
      <c r="B701" s="40"/>
      <c r="C701" s="40"/>
      <c r="H701" s="10"/>
      <c r="I701" s="10"/>
      <c r="J701" s="10"/>
    </row>
    <row r="702" ht="15.75" customHeight="1">
      <c r="A702" s="40"/>
      <c r="B702" s="40"/>
      <c r="C702" s="40"/>
      <c r="H702" s="10"/>
      <c r="I702" s="10"/>
      <c r="J702" s="10"/>
    </row>
    <row r="703" ht="15.75" customHeight="1">
      <c r="A703" s="40"/>
      <c r="B703" s="40"/>
      <c r="C703" s="40"/>
      <c r="H703" s="10"/>
      <c r="I703" s="10"/>
      <c r="J703" s="10"/>
    </row>
    <row r="704" ht="15.75" customHeight="1">
      <c r="A704" s="40"/>
      <c r="B704" s="40"/>
      <c r="C704" s="40"/>
      <c r="H704" s="10"/>
      <c r="I704" s="10"/>
      <c r="J704" s="10"/>
    </row>
    <row r="705" ht="15.75" customHeight="1">
      <c r="A705" s="40"/>
      <c r="B705" s="40"/>
      <c r="C705" s="40"/>
      <c r="H705" s="10"/>
      <c r="I705" s="10"/>
      <c r="J705" s="10"/>
    </row>
    <row r="706" ht="15.75" customHeight="1">
      <c r="A706" s="40"/>
      <c r="B706" s="40"/>
      <c r="C706" s="40"/>
      <c r="H706" s="10"/>
      <c r="I706" s="10"/>
      <c r="J706" s="10"/>
    </row>
    <row r="707" ht="15.75" customHeight="1">
      <c r="A707" s="40"/>
      <c r="B707" s="40"/>
      <c r="C707" s="40"/>
      <c r="H707" s="10"/>
      <c r="I707" s="10"/>
      <c r="J707" s="10"/>
    </row>
    <row r="708" ht="15.75" customHeight="1">
      <c r="A708" s="40"/>
      <c r="B708" s="40"/>
      <c r="C708" s="40"/>
      <c r="H708" s="10"/>
      <c r="I708" s="10"/>
      <c r="J708" s="10"/>
    </row>
    <row r="709" ht="15.75" customHeight="1">
      <c r="A709" s="40"/>
      <c r="B709" s="40"/>
      <c r="C709" s="40"/>
      <c r="H709" s="10"/>
      <c r="I709" s="10"/>
      <c r="J709" s="10"/>
    </row>
    <row r="710" ht="15.75" customHeight="1">
      <c r="A710" s="40"/>
      <c r="B710" s="40"/>
      <c r="C710" s="40"/>
      <c r="H710" s="10"/>
      <c r="I710" s="10"/>
      <c r="J710" s="10"/>
    </row>
    <row r="711" ht="15.75" customHeight="1">
      <c r="A711" s="40"/>
      <c r="B711" s="40"/>
      <c r="C711" s="40"/>
      <c r="H711" s="10"/>
      <c r="I711" s="10"/>
      <c r="J711" s="10"/>
    </row>
    <row r="712" ht="15.75" customHeight="1">
      <c r="A712" s="40"/>
      <c r="B712" s="40"/>
      <c r="C712" s="40"/>
      <c r="H712" s="10"/>
      <c r="I712" s="10"/>
      <c r="J712" s="10"/>
    </row>
    <row r="713" ht="15.75" customHeight="1">
      <c r="A713" s="40"/>
      <c r="B713" s="40"/>
      <c r="C713" s="40"/>
      <c r="H713" s="10"/>
      <c r="I713" s="10"/>
      <c r="J713" s="10"/>
    </row>
    <row r="714" ht="15.75" customHeight="1">
      <c r="A714" s="40"/>
      <c r="B714" s="40"/>
      <c r="C714" s="40"/>
      <c r="H714" s="10"/>
      <c r="I714" s="10"/>
      <c r="J714" s="10"/>
    </row>
    <row r="715" ht="15.75" customHeight="1">
      <c r="A715" s="40"/>
      <c r="B715" s="40"/>
      <c r="C715" s="40"/>
      <c r="H715" s="10"/>
      <c r="I715" s="10"/>
      <c r="J715" s="10"/>
    </row>
    <row r="716" ht="15.75" customHeight="1">
      <c r="A716" s="40"/>
      <c r="B716" s="40"/>
      <c r="C716" s="40"/>
      <c r="H716" s="10"/>
      <c r="I716" s="10"/>
      <c r="J716" s="10"/>
    </row>
    <row r="717" ht="15.75" customHeight="1">
      <c r="A717" s="40"/>
      <c r="B717" s="40"/>
      <c r="C717" s="40"/>
      <c r="H717" s="10"/>
      <c r="I717" s="10"/>
      <c r="J717" s="10"/>
    </row>
    <row r="718" ht="15.75" customHeight="1">
      <c r="A718" s="40"/>
      <c r="B718" s="40"/>
      <c r="C718" s="40"/>
      <c r="H718" s="10"/>
      <c r="I718" s="10"/>
      <c r="J718" s="10"/>
    </row>
    <row r="719" ht="15.75" customHeight="1">
      <c r="A719" s="40"/>
      <c r="B719" s="40"/>
      <c r="C719" s="40"/>
      <c r="H719" s="10"/>
      <c r="I719" s="10"/>
      <c r="J719" s="10"/>
    </row>
    <row r="720" ht="15.75" customHeight="1">
      <c r="A720" s="40"/>
      <c r="B720" s="40"/>
      <c r="C720" s="40"/>
      <c r="H720" s="10"/>
      <c r="I720" s="10"/>
      <c r="J720" s="10"/>
    </row>
    <row r="721" ht="15.75" customHeight="1">
      <c r="A721" s="40"/>
      <c r="B721" s="40"/>
      <c r="C721" s="40"/>
      <c r="H721" s="10"/>
      <c r="I721" s="10"/>
      <c r="J721" s="10"/>
    </row>
    <row r="722" ht="15.75" customHeight="1">
      <c r="A722" s="40"/>
      <c r="B722" s="40"/>
      <c r="C722" s="40"/>
      <c r="H722" s="10"/>
      <c r="I722" s="10"/>
      <c r="J722" s="10"/>
    </row>
    <row r="723" ht="15.75" customHeight="1">
      <c r="A723" s="40"/>
      <c r="B723" s="40"/>
      <c r="C723" s="40"/>
      <c r="H723" s="10"/>
      <c r="I723" s="10"/>
      <c r="J723" s="10"/>
    </row>
    <row r="724" ht="15.75" customHeight="1">
      <c r="A724" s="40"/>
      <c r="B724" s="40"/>
      <c r="C724" s="40"/>
      <c r="H724" s="10"/>
      <c r="I724" s="10"/>
      <c r="J724" s="10"/>
    </row>
    <row r="725" ht="15.75" customHeight="1">
      <c r="A725" s="40"/>
      <c r="B725" s="40"/>
      <c r="C725" s="40"/>
      <c r="H725" s="10"/>
      <c r="I725" s="10"/>
      <c r="J725" s="10"/>
    </row>
    <row r="726" ht="15.75" customHeight="1">
      <c r="A726" s="40"/>
      <c r="B726" s="40"/>
      <c r="C726" s="40"/>
      <c r="H726" s="10"/>
      <c r="I726" s="10"/>
      <c r="J726" s="10"/>
    </row>
    <row r="727" ht="15.75" customHeight="1">
      <c r="A727" s="40"/>
      <c r="B727" s="40"/>
      <c r="C727" s="40"/>
      <c r="H727" s="10"/>
      <c r="I727" s="10"/>
      <c r="J727" s="10"/>
    </row>
    <row r="728" ht="15.75" customHeight="1">
      <c r="A728" s="40"/>
      <c r="B728" s="40"/>
      <c r="C728" s="40"/>
      <c r="H728" s="10"/>
      <c r="I728" s="10"/>
      <c r="J728" s="10"/>
    </row>
    <row r="729" ht="15.75" customHeight="1">
      <c r="A729" s="40"/>
      <c r="B729" s="40"/>
      <c r="C729" s="40"/>
      <c r="H729" s="10"/>
      <c r="I729" s="10"/>
      <c r="J729" s="10"/>
    </row>
    <row r="730" ht="15.75" customHeight="1">
      <c r="A730" s="40"/>
      <c r="B730" s="40"/>
      <c r="C730" s="40"/>
      <c r="H730" s="10"/>
      <c r="I730" s="10"/>
      <c r="J730" s="10"/>
    </row>
    <row r="731" ht="15.75" customHeight="1">
      <c r="A731" s="40"/>
      <c r="B731" s="40"/>
      <c r="C731" s="40"/>
      <c r="H731" s="10"/>
      <c r="I731" s="10"/>
      <c r="J731" s="10"/>
    </row>
    <row r="732" ht="15.75" customHeight="1">
      <c r="A732" s="40"/>
      <c r="B732" s="40"/>
      <c r="C732" s="40"/>
      <c r="H732" s="10"/>
      <c r="I732" s="10"/>
      <c r="J732" s="10"/>
    </row>
    <row r="733" ht="15.75" customHeight="1">
      <c r="A733" s="40"/>
      <c r="B733" s="40"/>
      <c r="C733" s="40"/>
      <c r="H733" s="10"/>
      <c r="I733" s="10"/>
      <c r="J733" s="10"/>
    </row>
    <row r="734" ht="15.75" customHeight="1">
      <c r="A734" s="40"/>
      <c r="B734" s="40"/>
      <c r="C734" s="40"/>
      <c r="H734" s="10"/>
      <c r="I734" s="10"/>
      <c r="J734" s="10"/>
    </row>
    <row r="735" ht="15.75" customHeight="1">
      <c r="A735" s="40"/>
      <c r="B735" s="40"/>
      <c r="C735" s="40"/>
      <c r="H735" s="10"/>
      <c r="I735" s="10"/>
      <c r="J735" s="10"/>
    </row>
    <row r="736" ht="15.75" customHeight="1">
      <c r="A736" s="40"/>
      <c r="B736" s="40"/>
      <c r="C736" s="40"/>
      <c r="H736" s="10"/>
      <c r="I736" s="10"/>
      <c r="J736" s="10"/>
    </row>
    <row r="737" ht="15.75" customHeight="1">
      <c r="A737" s="40"/>
      <c r="B737" s="40"/>
      <c r="C737" s="40"/>
      <c r="H737" s="10"/>
      <c r="I737" s="10"/>
      <c r="J737" s="10"/>
    </row>
    <row r="738" ht="15.75" customHeight="1">
      <c r="A738" s="40"/>
      <c r="B738" s="40"/>
      <c r="C738" s="40"/>
      <c r="H738" s="10"/>
      <c r="I738" s="10"/>
      <c r="J738" s="10"/>
    </row>
    <row r="739" ht="15.75" customHeight="1">
      <c r="A739" s="40"/>
      <c r="B739" s="40"/>
      <c r="C739" s="40"/>
      <c r="H739" s="10"/>
      <c r="I739" s="10"/>
      <c r="J739" s="10"/>
    </row>
    <row r="740" ht="15.75" customHeight="1">
      <c r="A740" s="40"/>
      <c r="B740" s="40"/>
      <c r="C740" s="40"/>
      <c r="H740" s="10"/>
      <c r="I740" s="10"/>
      <c r="J740" s="10"/>
    </row>
    <row r="741" ht="15.75" customHeight="1">
      <c r="A741" s="40"/>
      <c r="B741" s="40"/>
      <c r="C741" s="40"/>
      <c r="H741" s="10"/>
      <c r="I741" s="10"/>
      <c r="J741" s="10"/>
    </row>
    <row r="742" ht="15.75" customHeight="1">
      <c r="A742" s="40"/>
      <c r="B742" s="40"/>
      <c r="C742" s="40"/>
      <c r="H742" s="10"/>
      <c r="I742" s="10"/>
      <c r="J742" s="10"/>
    </row>
    <row r="743" ht="15.75" customHeight="1">
      <c r="A743" s="40"/>
      <c r="B743" s="40"/>
      <c r="C743" s="40"/>
      <c r="H743" s="10"/>
      <c r="I743" s="10"/>
      <c r="J743" s="10"/>
    </row>
    <row r="744" ht="15.75" customHeight="1">
      <c r="A744" s="40"/>
      <c r="B744" s="40"/>
      <c r="C744" s="40"/>
      <c r="H744" s="10"/>
      <c r="I744" s="10"/>
      <c r="J744" s="10"/>
    </row>
    <row r="745" ht="15.75" customHeight="1">
      <c r="A745" s="40"/>
      <c r="B745" s="40"/>
      <c r="C745" s="40"/>
      <c r="H745" s="10"/>
      <c r="I745" s="10"/>
      <c r="J745" s="10"/>
    </row>
    <row r="746" ht="15.75" customHeight="1">
      <c r="A746" s="40"/>
      <c r="B746" s="40"/>
      <c r="C746" s="40"/>
      <c r="H746" s="10"/>
      <c r="I746" s="10"/>
      <c r="J746" s="10"/>
    </row>
    <row r="747" ht="15.75" customHeight="1">
      <c r="A747" s="40"/>
      <c r="B747" s="40"/>
      <c r="C747" s="40"/>
      <c r="H747" s="10"/>
      <c r="I747" s="10"/>
      <c r="J747" s="10"/>
    </row>
    <row r="748" ht="15.75" customHeight="1">
      <c r="A748" s="40"/>
      <c r="B748" s="40"/>
      <c r="C748" s="40"/>
      <c r="H748" s="10"/>
      <c r="I748" s="10"/>
      <c r="J748" s="10"/>
    </row>
    <row r="749" ht="15.75" customHeight="1">
      <c r="A749" s="40"/>
      <c r="B749" s="40"/>
      <c r="C749" s="40"/>
      <c r="H749" s="10"/>
      <c r="I749" s="10"/>
      <c r="J749" s="10"/>
    </row>
    <row r="750" ht="15.75" customHeight="1">
      <c r="A750" s="40"/>
      <c r="B750" s="40"/>
      <c r="C750" s="40"/>
      <c r="H750" s="10"/>
      <c r="I750" s="10"/>
      <c r="J750" s="10"/>
    </row>
    <row r="751" ht="15.75" customHeight="1">
      <c r="A751" s="40"/>
      <c r="B751" s="40"/>
      <c r="C751" s="40"/>
      <c r="H751" s="10"/>
      <c r="I751" s="10"/>
      <c r="J751" s="10"/>
    </row>
    <row r="752" ht="15.75" customHeight="1">
      <c r="A752" s="40"/>
      <c r="B752" s="40"/>
      <c r="C752" s="40"/>
      <c r="H752" s="10"/>
      <c r="I752" s="10"/>
      <c r="J752" s="10"/>
    </row>
    <row r="753" ht="15.75" customHeight="1">
      <c r="A753" s="40"/>
      <c r="B753" s="40"/>
      <c r="C753" s="40"/>
      <c r="H753" s="10"/>
      <c r="I753" s="10"/>
      <c r="J753" s="10"/>
    </row>
    <row r="754" ht="15.75" customHeight="1">
      <c r="A754" s="40"/>
      <c r="B754" s="40"/>
      <c r="C754" s="40"/>
      <c r="H754" s="10"/>
      <c r="I754" s="10"/>
      <c r="J754" s="10"/>
    </row>
    <row r="755" ht="15.75" customHeight="1">
      <c r="A755" s="40"/>
      <c r="B755" s="40"/>
      <c r="C755" s="40"/>
      <c r="H755" s="10"/>
      <c r="I755" s="10"/>
      <c r="J755" s="10"/>
    </row>
    <row r="756" ht="15.75" customHeight="1">
      <c r="A756" s="40"/>
      <c r="B756" s="40"/>
      <c r="C756" s="40"/>
      <c r="H756" s="10"/>
      <c r="I756" s="10"/>
      <c r="J756" s="10"/>
    </row>
    <row r="757" ht="15.75" customHeight="1">
      <c r="A757" s="40"/>
      <c r="B757" s="40"/>
      <c r="C757" s="40"/>
      <c r="H757" s="10"/>
      <c r="I757" s="10"/>
      <c r="J757" s="10"/>
    </row>
    <row r="758" ht="15.75" customHeight="1">
      <c r="A758" s="40"/>
      <c r="B758" s="40"/>
      <c r="C758" s="40"/>
      <c r="H758" s="10"/>
      <c r="I758" s="10"/>
      <c r="J758" s="10"/>
    </row>
    <row r="759" ht="15.75" customHeight="1">
      <c r="A759" s="40"/>
      <c r="B759" s="40"/>
      <c r="C759" s="40"/>
      <c r="H759" s="10"/>
      <c r="I759" s="10"/>
      <c r="J759" s="10"/>
    </row>
    <row r="760" ht="15.75" customHeight="1">
      <c r="A760" s="40"/>
      <c r="B760" s="40"/>
      <c r="C760" s="40"/>
      <c r="H760" s="10"/>
      <c r="I760" s="10"/>
      <c r="J760" s="10"/>
    </row>
    <row r="761" ht="15.75" customHeight="1">
      <c r="A761" s="40"/>
      <c r="B761" s="40"/>
      <c r="C761" s="40"/>
      <c r="H761" s="10"/>
      <c r="I761" s="10"/>
      <c r="J761" s="10"/>
    </row>
    <row r="762" ht="15.75" customHeight="1">
      <c r="A762" s="40"/>
      <c r="B762" s="40"/>
      <c r="C762" s="40"/>
      <c r="H762" s="10"/>
      <c r="I762" s="10"/>
      <c r="J762" s="10"/>
    </row>
    <row r="763" ht="15.75" customHeight="1">
      <c r="A763" s="40"/>
      <c r="B763" s="40"/>
      <c r="C763" s="40"/>
      <c r="H763" s="10"/>
      <c r="I763" s="10"/>
      <c r="J763" s="10"/>
    </row>
    <row r="764" ht="15.75" customHeight="1">
      <c r="A764" s="40"/>
      <c r="B764" s="40"/>
      <c r="C764" s="40"/>
      <c r="H764" s="10"/>
      <c r="I764" s="10"/>
      <c r="J764" s="10"/>
    </row>
    <row r="765" ht="15.75" customHeight="1">
      <c r="A765" s="40"/>
      <c r="B765" s="40"/>
      <c r="C765" s="40"/>
      <c r="H765" s="10"/>
      <c r="I765" s="10"/>
      <c r="J765" s="10"/>
    </row>
    <row r="766" ht="15.75" customHeight="1">
      <c r="A766" s="40"/>
      <c r="B766" s="40"/>
      <c r="C766" s="40"/>
      <c r="H766" s="10"/>
      <c r="I766" s="10"/>
      <c r="J766" s="10"/>
    </row>
    <row r="767" ht="15.75" customHeight="1">
      <c r="A767" s="40"/>
      <c r="B767" s="40"/>
      <c r="C767" s="40"/>
      <c r="H767" s="10"/>
      <c r="I767" s="10"/>
      <c r="J767" s="10"/>
    </row>
    <row r="768" ht="15.75" customHeight="1">
      <c r="A768" s="40"/>
      <c r="B768" s="40"/>
      <c r="C768" s="40"/>
      <c r="H768" s="10"/>
      <c r="I768" s="10"/>
      <c r="J768" s="10"/>
    </row>
    <row r="769" ht="15.75" customHeight="1">
      <c r="A769" s="40"/>
      <c r="B769" s="40"/>
      <c r="C769" s="40"/>
      <c r="H769" s="10"/>
      <c r="I769" s="10"/>
      <c r="J769" s="10"/>
    </row>
    <row r="770" ht="15.75" customHeight="1">
      <c r="A770" s="40"/>
      <c r="B770" s="40"/>
      <c r="C770" s="40"/>
      <c r="H770" s="10"/>
      <c r="I770" s="10"/>
      <c r="J770" s="10"/>
    </row>
    <row r="771" ht="15.75" customHeight="1">
      <c r="A771" s="40"/>
      <c r="B771" s="40"/>
      <c r="C771" s="40"/>
      <c r="H771" s="10"/>
      <c r="I771" s="10"/>
      <c r="J771" s="10"/>
    </row>
    <row r="772" ht="15.75" customHeight="1">
      <c r="A772" s="40"/>
      <c r="B772" s="40"/>
      <c r="C772" s="40"/>
      <c r="H772" s="10"/>
      <c r="I772" s="10"/>
      <c r="J772" s="10"/>
    </row>
    <row r="773" ht="15.75" customHeight="1">
      <c r="A773" s="40"/>
      <c r="B773" s="40"/>
      <c r="C773" s="40"/>
      <c r="H773" s="10"/>
      <c r="I773" s="10"/>
      <c r="J773" s="10"/>
    </row>
    <row r="774" ht="15.75" customHeight="1">
      <c r="A774" s="40"/>
      <c r="B774" s="40"/>
      <c r="C774" s="40"/>
      <c r="H774" s="10"/>
      <c r="I774" s="10"/>
      <c r="J774" s="10"/>
    </row>
    <row r="775" ht="15.75" customHeight="1">
      <c r="A775" s="40"/>
      <c r="B775" s="40"/>
      <c r="C775" s="40"/>
      <c r="H775" s="10"/>
      <c r="I775" s="10"/>
      <c r="J775" s="10"/>
    </row>
    <row r="776" ht="15.75" customHeight="1">
      <c r="A776" s="40"/>
      <c r="B776" s="40"/>
      <c r="C776" s="40"/>
      <c r="H776" s="10"/>
      <c r="I776" s="10"/>
      <c r="J776" s="10"/>
    </row>
    <row r="777" ht="15.75" customHeight="1">
      <c r="A777" s="40"/>
      <c r="B777" s="40"/>
      <c r="C777" s="40"/>
      <c r="H777" s="10"/>
      <c r="I777" s="10"/>
      <c r="J777" s="10"/>
    </row>
    <row r="778" ht="15.75" customHeight="1">
      <c r="A778" s="40"/>
      <c r="B778" s="40"/>
      <c r="C778" s="40"/>
      <c r="H778" s="10"/>
      <c r="I778" s="10"/>
      <c r="J778" s="10"/>
    </row>
    <row r="779" ht="15.75" customHeight="1">
      <c r="A779" s="40"/>
      <c r="B779" s="40"/>
      <c r="C779" s="40"/>
      <c r="H779" s="10"/>
      <c r="I779" s="10"/>
      <c r="J779" s="10"/>
    </row>
    <row r="780" ht="15.75" customHeight="1">
      <c r="A780" s="40"/>
      <c r="B780" s="40"/>
      <c r="C780" s="40"/>
      <c r="H780" s="10"/>
      <c r="I780" s="10"/>
      <c r="J780" s="10"/>
    </row>
    <row r="781" ht="15.75" customHeight="1">
      <c r="A781" s="40"/>
      <c r="B781" s="40"/>
      <c r="C781" s="40"/>
      <c r="H781" s="10"/>
      <c r="I781" s="10"/>
      <c r="J781" s="10"/>
    </row>
    <row r="782" ht="15.75" customHeight="1">
      <c r="A782" s="40"/>
      <c r="B782" s="40"/>
      <c r="C782" s="40"/>
      <c r="H782" s="10"/>
      <c r="I782" s="10"/>
      <c r="J782" s="10"/>
    </row>
    <row r="783" ht="15.75" customHeight="1">
      <c r="A783" s="40"/>
      <c r="B783" s="40"/>
      <c r="C783" s="40"/>
      <c r="H783" s="10"/>
      <c r="I783" s="10"/>
      <c r="J783" s="10"/>
    </row>
    <row r="784" ht="15.75" customHeight="1">
      <c r="A784" s="40"/>
      <c r="B784" s="40"/>
      <c r="C784" s="40"/>
      <c r="H784" s="10"/>
      <c r="I784" s="10"/>
      <c r="J784" s="10"/>
    </row>
    <row r="785" ht="15.75" customHeight="1">
      <c r="A785" s="40"/>
      <c r="B785" s="40"/>
      <c r="C785" s="40"/>
      <c r="H785" s="10"/>
      <c r="I785" s="10"/>
      <c r="J785" s="10"/>
    </row>
    <row r="786" ht="15.75" customHeight="1">
      <c r="A786" s="40"/>
      <c r="B786" s="40"/>
      <c r="C786" s="40"/>
      <c r="H786" s="10"/>
      <c r="I786" s="10"/>
      <c r="J786" s="10"/>
    </row>
    <row r="787" ht="15.75" customHeight="1">
      <c r="A787" s="40"/>
      <c r="B787" s="40"/>
      <c r="C787" s="40"/>
      <c r="H787" s="10"/>
      <c r="I787" s="10"/>
      <c r="J787" s="10"/>
    </row>
    <row r="788" ht="15.75" customHeight="1">
      <c r="A788" s="40"/>
      <c r="B788" s="40"/>
      <c r="C788" s="40"/>
      <c r="H788" s="10"/>
      <c r="I788" s="10"/>
      <c r="J788" s="10"/>
    </row>
    <row r="789" ht="15.75" customHeight="1">
      <c r="A789" s="40"/>
      <c r="B789" s="40"/>
      <c r="C789" s="40"/>
      <c r="H789" s="10"/>
      <c r="I789" s="10"/>
      <c r="J789" s="10"/>
    </row>
    <row r="790" ht="15.75" customHeight="1">
      <c r="A790" s="40"/>
      <c r="B790" s="40"/>
      <c r="C790" s="40"/>
      <c r="H790" s="10"/>
      <c r="I790" s="10"/>
      <c r="J790" s="10"/>
    </row>
    <row r="791" ht="15.75" customHeight="1">
      <c r="A791" s="40"/>
      <c r="B791" s="40"/>
      <c r="C791" s="40"/>
      <c r="H791" s="10"/>
      <c r="I791" s="10"/>
      <c r="J791" s="10"/>
    </row>
    <row r="792" ht="15.75" customHeight="1">
      <c r="A792" s="40"/>
      <c r="B792" s="40"/>
      <c r="C792" s="40"/>
      <c r="H792" s="10"/>
      <c r="I792" s="10"/>
      <c r="J792" s="10"/>
    </row>
    <row r="793" ht="15.75" customHeight="1">
      <c r="A793" s="40"/>
      <c r="B793" s="40"/>
      <c r="C793" s="40"/>
      <c r="H793" s="10"/>
      <c r="I793" s="10"/>
      <c r="J793" s="10"/>
    </row>
    <row r="794" ht="15.75" customHeight="1">
      <c r="A794" s="40"/>
      <c r="B794" s="40"/>
      <c r="C794" s="40"/>
      <c r="H794" s="10"/>
      <c r="I794" s="10"/>
      <c r="J794" s="10"/>
    </row>
    <row r="795" ht="15.75" customHeight="1">
      <c r="A795" s="40"/>
      <c r="B795" s="40"/>
      <c r="C795" s="40"/>
      <c r="H795" s="10"/>
      <c r="I795" s="10"/>
      <c r="J795" s="10"/>
    </row>
    <row r="796" ht="15.75" customHeight="1">
      <c r="A796" s="40"/>
      <c r="B796" s="40"/>
      <c r="C796" s="40"/>
      <c r="H796" s="10"/>
      <c r="I796" s="10"/>
      <c r="J796" s="10"/>
    </row>
    <row r="797" ht="15.75" customHeight="1">
      <c r="A797" s="40"/>
      <c r="B797" s="40"/>
      <c r="C797" s="40"/>
      <c r="H797" s="10"/>
      <c r="I797" s="10"/>
      <c r="J797" s="10"/>
    </row>
    <row r="798" ht="15.75" customHeight="1">
      <c r="A798" s="40"/>
      <c r="B798" s="40"/>
      <c r="C798" s="40"/>
      <c r="H798" s="10"/>
      <c r="I798" s="10"/>
      <c r="J798" s="10"/>
    </row>
    <row r="799" ht="15.75" customHeight="1">
      <c r="A799" s="40"/>
      <c r="B799" s="40"/>
      <c r="C799" s="40"/>
      <c r="H799" s="10"/>
      <c r="I799" s="10"/>
      <c r="J799" s="10"/>
    </row>
    <row r="800" ht="15.75" customHeight="1">
      <c r="A800" s="40"/>
      <c r="B800" s="40"/>
      <c r="C800" s="40"/>
      <c r="H800" s="10"/>
      <c r="I800" s="10"/>
      <c r="J800" s="10"/>
    </row>
    <row r="801" ht="15.75" customHeight="1">
      <c r="A801" s="40"/>
      <c r="B801" s="40"/>
      <c r="C801" s="40"/>
      <c r="H801" s="10"/>
      <c r="I801" s="10"/>
      <c r="J801" s="10"/>
    </row>
    <row r="802" ht="15.75" customHeight="1">
      <c r="A802" s="40"/>
      <c r="B802" s="40"/>
      <c r="C802" s="40"/>
      <c r="H802" s="10"/>
      <c r="I802" s="10"/>
      <c r="J802" s="10"/>
    </row>
    <row r="803" ht="15.75" customHeight="1">
      <c r="A803" s="40"/>
      <c r="B803" s="40"/>
      <c r="C803" s="40"/>
      <c r="H803" s="10"/>
      <c r="I803" s="10"/>
      <c r="J803" s="10"/>
    </row>
    <row r="804" ht="15.75" customHeight="1">
      <c r="A804" s="40"/>
      <c r="B804" s="40"/>
      <c r="C804" s="40"/>
      <c r="H804" s="10"/>
      <c r="I804" s="10"/>
      <c r="J804" s="10"/>
    </row>
    <row r="805" ht="15.75" customHeight="1">
      <c r="A805" s="40"/>
      <c r="B805" s="40"/>
      <c r="C805" s="40"/>
      <c r="H805" s="10"/>
      <c r="I805" s="10"/>
      <c r="J805" s="10"/>
    </row>
    <row r="806" ht="15.75" customHeight="1">
      <c r="A806" s="40"/>
      <c r="B806" s="40"/>
      <c r="C806" s="40"/>
      <c r="H806" s="10"/>
      <c r="I806" s="10"/>
      <c r="J806" s="10"/>
    </row>
    <row r="807" ht="15.75" customHeight="1">
      <c r="A807" s="40"/>
      <c r="B807" s="40"/>
      <c r="C807" s="40"/>
      <c r="H807" s="10"/>
      <c r="I807" s="10"/>
      <c r="J807" s="10"/>
    </row>
    <row r="808" ht="15.75" customHeight="1">
      <c r="A808" s="40"/>
      <c r="B808" s="40"/>
      <c r="C808" s="40"/>
      <c r="H808" s="10"/>
      <c r="I808" s="10"/>
      <c r="J808" s="10"/>
    </row>
    <row r="809" ht="15.75" customHeight="1">
      <c r="A809" s="40"/>
      <c r="B809" s="40"/>
      <c r="C809" s="40"/>
      <c r="H809" s="10"/>
      <c r="I809" s="10"/>
      <c r="J809" s="10"/>
    </row>
    <row r="810" ht="15.75" customHeight="1">
      <c r="A810" s="40"/>
      <c r="B810" s="40"/>
      <c r="C810" s="40"/>
      <c r="H810" s="10"/>
      <c r="I810" s="10"/>
      <c r="J810" s="10"/>
    </row>
    <row r="811" ht="15.75" customHeight="1">
      <c r="A811" s="40"/>
      <c r="B811" s="40"/>
      <c r="C811" s="40"/>
      <c r="H811" s="10"/>
      <c r="I811" s="10"/>
      <c r="J811" s="10"/>
    </row>
    <row r="812" ht="15.75" customHeight="1">
      <c r="A812" s="40"/>
      <c r="B812" s="40"/>
      <c r="C812" s="40"/>
      <c r="H812" s="10"/>
      <c r="I812" s="10"/>
      <c r="J812" s="10"/>
    </row>
    <row r="813" ht="15.75" customHeight="1">
      <c r="A813" s="40"/>
      <c r="B813" s="40"/>
      <c r="C813" s="40"/>
      <c r="H813" s="10"/>
      <c r="I813" s="10"/>
      <c r="J813" s="10"/>
    </row>
    <row r="814" ht="15.75" customHeight="1">
      <c r="A814" s="40"/>
      <c r="B814" s="40"/>
      <c r="C814" s="40"/>
      <c r="H814" s="10"/>
      <c r="I814" s="10"/>
      <c r="J814" s="10"/>
    </row>
    <row r="815" ht="15.75" customHeight="1">
      <c r="A815" s="40"/>
      <c r="B815" s="40"/>
      <c r="C815" s="40"/>
      <c r="H815" s="10"/>
      <c r="I815" s="10"/>
      <c r="J815" s="10"/>
    </row>
    <row r="816" ht="15.75" customHeight="1">
      <c r="A816" s="40"/>
      <c r="B816" s="40"/>
      <c r="C816" s="40"/>
      <c r="H816" s="10"/>
      <c r="I816" s="10"/>
      <c r="J816" s="10"/>
    </row>
    <row r="817" ht="15.75" customHeight="1">
      <c r="A817" s="40"/>
      <c r="B817" s="40"/>
      <c r="C817" s="40"/>
      <c r="H817" s="10"/>
      <c r="I817" s="10"/>
      <c r="J817" s="10"/>
    </row>
    <row r="818" ht="15.75" customHeight="1">
      <c r="A818" s="40"/>
      <c r="B818" s="40"/>
      <c r="C818" s="40"/>
      <c r="H818" s="10"/>
      <c r="I818" s="10"/>
      <c r="J818" s="10"/>
    </row>
    <row r="819" ht="15.75" customHeight="1">
      <c r="A819" s="40"/>
      <c r="B819" s="40"/>
      <c r="C819" s="40"/>
      <c r="H819" s="10"/>
      <c r="I819" s="10"/>
      <c r="J819" s="10"/>
    </row>
    <row r="820" ht="15.75" customHeight="1">
      <c r="A820" s="40"/>
      <c r="B820" s="40"/>
      <c r="C820" s="40"/>
      <c r="H820" s="10"/>
      <c r="I820" s="10"/>
      <c r="J820" s="10"/>
    </row>
    <row r="821" ht="15.75" customHeight="1">
      <c r="A821" s="40"/>
      <c r="B821" s="40"/>
      <c r="C821" s="40"/>
      <c r="H821" s="10"/>
      <c r="I821" s="10"/>
      <c r="J821" s="10"/>
    </row>
    <row r="822" ht="15.75" customHeight="1">
      <c r="A822" s="40"/>
      <c r="B822" s="40"/>
      <c r="C822" s="40"/>
      <c r="H822" s="10"/>
      <c r="I822" s="10"/>
      <c r="J822" s="10"/>
    </row>
    <row r="823" ht="15.75" customHeight="1">
      <c r="A823" s="40"/>
      <c r="B823" s="40"/>
      <c r="C823" s="40"/>
      <c r="H823" s="10"/>
      <c r="I823" s="10"/>
      <c r="J823" s="10"/>
    </row>
    <row r="824" ht="15.75" customHeight="1">
      <c r="A824" s="40"/>
      <c r="B824" s="40"/>
      <c r="C824" s="40"/>
      <c r="H824" s="10"/>
      <c r="I824" s="10"/>
      <c r="J824" s="10"/>
    </row>
    <row r="825" ht="15.75" customHeight="1">
      <c r="A825" s="40"/>
      <c r="B825" s="40"/>
      <c r="C825" s="40"/>
      <c r="H825" s="10"/>
      <c r="I825" s="10"/>
      <c r="J825" s="10"/>
    </row>
    <row r="826" ht="15.75" customHeight="1">
      <c r="A826" s="40"/>
      <c r="B826" s="40"/>
      <c r="C826" s="40"/>
      <c r="H826" s="10"/>
      <c r="I826" s="10"/>
      <c r="J826" s="10"/>
    </row>
    <row r="827" ht="15.75" customHeight="1">
      <c r="A827" s="40"/>
      <c r="B827" s="40"/>
      <c r="C827" s="40"/>
      <c r="H827" s="10"/>
      <c r="I827" s="10"/>
      <c r="J827" s="10"/>
    </row>
    <row r="828" ht="15.75" customHeight="1">
      <c r="A828" s="40"/>
      <c r="B828" s="40"/>
      <c r="C828" s="40"/>
      <c r="H828" s="10"/>
      <c r="I828" s="10"/>
      <c r="J828" s="10"/>
    </row>
    <row r="829" ht="15.75" customHeight="1">
      <c r="A829" s="40"/>
      <c r="B829" s="40"/>
      <c r="C829" s="40"/>
      <c r="H829" s="10"/>
      <c r="I829" s="10"/>
      <c r="J829" s="10"/>
    </row>
    <row r="830" ht="15.75" customHeight="1">
      <c r="A830" s="40"/>
      <c r="B830" s="40"/>
      <c r="C830" s="40"/>
      <c r="H830" s="10"/>
      <c r="I830" s="10"/>
      <c r="J830" s="10"/>
    </row>
    <row r="831" ht="15.75" customHeight="1">
      <c r="A831" s="40"/>
      <c r="B831" s="40"/>
      <c r="C831" s="40"/>
      <c r="H831" s="10"/>
      <c r="I831" s="10"/>
      <c r="J831" s="10"/>
    </row>
    <row r="832" ht="15.75" customHeight="1">
      <c r="A832" s="40"/>
      <c r="B832" s="40"/>
      <c r="C832" s="40"/>
      <c r="H832" s="10"/>
      <c r="I832" s="10"/>
      <c r="J832" s="10"/>
    </row>
    <row r="833" ht="15.75" customHeight="1">
      <c r="A833" s="40"/>
      <c r="B833" s="40"/>
      <c r="C833" s="40"/>
      <c r="H833" s="10"/>
      <c r="I833" s="10"/>
      <c r="J833" s="10"/>
    </row>
    <row r="834" ht="15.75" customHeight="1">
      <c r="A834" s="40"/>
      <c r="B834" s="40"/>
      <c r="C834" s="40"/>
      <c r="H834" s="10"/>
      <c r="I834" s="10"/>
      <c r="J834" s="10"/>
    </row>
    <row r="835" ht="15.75" customHeight="1">
      <c r="A835" s="40"/>
      <c r="B835" s="40"/>
      <c r="C835" s="40"/>
      <c r="H835" s="10"/>
      <c r="I835" s="10"/>
      <c r="J835" s="10"/>
    </row>
    <row r="836" ht="15.75" customHeight="1">
      <c r="A836" s="40"/>
      <c r="B836" s="40"/>
      <c r="C836" s="40"/>
      <c r="H836" s="10"/>
      <c r="I836" s="10"/>
      <c r="J836" s="10"/>
    </row>
    <row r="837" ht="15.75" customHeight="1">
      <c r="A837" s="40"/>
      <c r="B837" s="40"/>
      <c r="C837" s="40"/>
      <c r="H837" s="10"/>
      <c r="I837" s="10"/>
      <c r="J837" s="10"/>
    </row>
    <row r="838" ht="15.75" customHeight="1">
      <c r="A838" s="40"/>
      <c r="B838" s="40"/>
      <c r="C838" s="40"/>
      <c r="H838" s="10"/>
      <c r="I838" s="10"/>
      <c r="J838" s="10"/>
    </row>
    <row r="839" ht="15.75" customHeight="1">
      <c r="A839" s="40"/>
      <c r="B839" s="40"/>
      <c r="C839" s="40"/>
      <c r="H839" s="10"/>
      <c r="I839" s="10"/>
      <c r="J839" s="10"/>
    </row>
    <row r="840" ht="15.75" customHeight="1">
      <c r="A840" s="40"/>
      <c r="B840" s="40"/>
      <c r="C840" s="40"/>
      <c r="H840" s="10"/>
      <c r="I840" s="10"/>
      <c r="J840" s="10"/>
    </row>
    <row r="841" ht="15.75" customHeight="1">
      <c r="A841" s="40"/>
      <c r="B841" s="40"/>
      <c r="C841" s="40"/>
      <c r="H841" s="10"/>
      <c r="I841" s="10"/>
      <c r="J841" s="10"/>
    </row>
    <row r="842" ht="15.75" customHeight="1">
      <c r="A842" s="40"/>
      <c r="B842" s="40"/>
      <c r="C842" s="40"/>
      <c r="H842" s="10"/>
      <c r="I842" s="10"/>
      <c r="J842" s="10"/>
    </row>
    <row r="843" ht="15.75" customHeight="1">
      <c r="A843" s="40"/>
      <c r="B843" s="40"/>
      <c r="C843" s="40"/>
      <c r="H843" s="10"/>
      <c r="I843" s="10"/>
      <c r="J843" s="10"/>
    </row>
    <row r="844" ht="15.75" customHeight="1">
      <c r="A844" s="40"/>
      <c r="B844" s="40"/>
      <c r="C844" s="40"/>
      <c r="H844" s="10"/>
      <c r="I844" s="10"/>
      <c r="J844" s="10"/>
    </row>
    <row r="845" ht="15.75" customHeight="1">
      <c r="A845" s="40"/>
      <c r="B845" s="40"/>
      <c r="C845" s="40"/>
      <c r="H845" s="10"/>
      <c r="I845" s="10"/>
      <c r="J845" s="10"/>
    </row>
    <row r="846" ht="15.75" customHeight="1">
      <c r="A846" s="40"/>
      <c r="B846" s="40"/>
      <c r="C846" s="40"/>
      <c r="H846" s="10"/>
      <c r="I846" s="10"/>
      <c r="J846" s="10"/>
    </row>
    <row r="847" ht="15.75" customHeight="1">
      <c r="A847" s="40"/>
      <c r="B847" s="40"/>
      <c r="C847" s="40"/>
      <c r="H847" s="10"/>
      <c r="I847" s="10"/>
      <c r="J847" s="10"/>
    </row>
    <row r="848" ht="15.75" customHeight="1">
      <c r="A848" s="40"/>
      <c r="B848" s="40"/>
      <c r="C848" s="40"/>
      <c r="H848" s="10"/>
      <c r="I848" s="10"/>
      <c r="J848" s="10"/>
    </row>
    <row r="849" ht="15.75" customHeight="1">
      <c r="A849" s="40"/>
      <c r="B849" s="40"/>
      <c r="C849" s="40"/>
      <c r="H849" s="10"/>
      <c r="I849" s="10"/>
      <c r="J849" s="10"/>
    </row>
    <row r="850" ht="15.75" customHeight="1">
      <c r="A850" s="40"/>
      <c r="B850" s="40"/>
      <c r="C850" s="40"/>
      <c r="H850" s="10"/>
      <c r="I850" s="10"/>
      <c r="J850" s="10"/>
    </row>
    <row r="851" ht="15.75" customHeight="1">
      <c r="A851" s="40"/>
      <c r="B851" s="40"/>
      <c r="C851" s="40"/>
      <c r="H851" s="10"/>
      <c r="I851" s="10"/>
      <c r="J851" s="10"/>
    </row>
    <row r="852" ht="15.75" customHeight="1">
      <c r="A852" s="40"/>
      <c r="B852" s="40"/>
      <c r="C852" s="40"/>
      <c r="H852" s="10"/>
      <c r="I852" s="10"/>
      <c r="J852" s="10"/>
    </row>
    <row r="853" ht="15.75" customHeight="1">
      <c r="A853" s="40"/>
      <c r="B853" s="40"/>
      <c r="C853" s="40"/>
      <c r="H853" s="10"/>
      <c r="I853" s="10"/>
      <c r="J853" s="10"/>
    </row>
    <row r="854" ht="15.75" customHeight="1">
      <c r="A854" s="40"/>
      <c r="B854" s="40"/>
      <c r="C854" s="40"/>
      <c r="H854" s="10"/>
      <c r="I854" s="10"/>
      <c r="J854" s="10"/>
    </row>
    <row r="855" ht="15.75" customHeight="1">
      <c r="A855" s="40"/>
      <c r="B855" s="40"/>
      <c r="C855" s="40"/>
      <c r="H855" s="10"/>
      <c r="I855" s="10"/>
      <c r="J855" s="10"/>
    </row>
    <row r="856" ht="15.75" customHeight="1">
      <c r="A856" s="40"/>
      <c r="B856" s="40"/>
      <c r="C856" s="40"/>
      <c r="H856" s="10"/>
      <c r="I856" s="10"/>
      <c r="J856" s="10"/>
    </row>
    <row r="857" ht="15.75" customHeight="1">
      <c r="A857" s="40"/>
      <c r="B857" s="40"/>
      <c r="C857" s="40"/>
      <c r="H857" s="10"/>
      <c r="I857" s="10"/>
      <c r="J857" s="10"/>
    </row>
    <row r="858" ht="15.75" customHeight="1">
      <c r="A858" s="40"/>
      <c r="B858" s="40"/>
      <c r="C858" s="40"/>
      <c r="H858" s="10"/>
      <c r="I858" s="10"/>
      <c r="J858" s="10"/>
    </row>
    <row r="859" ht="15.75" customHeight="1">
      <c r="A859" s="40"/>
      <c r="B859" s="40"/>
      <c r="C859" s="40"/>
      <c r="H859" s="10"/>
      <c r="I859" s="10"/>
      <c r="J859" s="10"/>
    </row>
    <row r="860" ht="15.75" customHeight="1">
      <c r="A860" s="40"/>
      <c r="B860" s="40"/>
      <c r="C860" s="40"/>
      <c r="H860" s="10"/>
      <c r="I860" s="10"/>
      <c r="J860" s="10"/>
    </row>
    <row r="861" ht="15.75" customHeight="1">
      <c r="A861" s="40"/>
      <c r="B861" s="40"/>
      <c r="C861" s="40"/>
      <c r="H861" s="10"/>
      <c r="I861" s="10"/>
      <c r="J861" s="10"/>
    </row>
    <row r="862" ht="15.75" customHeight="1">
      <c r="A862" s="40"/>
      <c r="B862" s="40"/>
      <c r="C862" s="40"/>
      <c r="H862" s="10"/>
      <c r="I862" s="10"/>
      <c r="J862" s="10"/>
    </row>
    <row r="863" ht="15.75" customHeight="1">
      <c r="A863" s="40"/>
      <c r="B863" s="40"/>
      <c r="C863" s="40"/>
      <c r="H863" s="10"/>
      <c r="I863" s="10"/>
      <c r="J863" s="10"/>
    </row>
    <row r="864" ht="15.75" customHeight="1">
      <c r="A864" s="40"/>
      <c r="B864" s="40"/>
      <c r="C864" s="40"/>
      <c r="H864" s="10"/>
      <c r="I864" s="10"/>
      <c r="J864" s="10"/>
    </row>
    <row r="865" ht="15.75" customHeight="1">
      <c r="A865" s="40"/>
      <c r="B865" s="40"/>
      <c r="C865" s="40"/>
      <c r="H865" s="10"/>
      <c r="I865" s="10"/>
      <c r="J865" s="10"/>
    </row>
    <row r="866" ht="15.75" customHeight="1">
      <c r="A866" s="40"/>
      <c r="B866" s="40"/>
      <c r="C866" s="40"/>
      <c r="H866" s="10"/>
      <c r="I866" s="10"/>
      <c r="J866" s="10"/>
    </row>
    <row r="867" ht="15.75" customHeight="1">
      <c r="A867" s="40"/>
      <c r="B867" s="40"/>
      <c r="C867" s="40"/>
      <c r="H867" s="10"/>
      <c r="I867" s="10"/>
      <c r="J867" s="10"/>
    </row>
    <row r="868" ht="15.75" customHeight="1">
      <c r="A868" s="40"/>
      <c r="B868" s="40"/>
      <c r="C868" s="40"/>
      <c r="H868" s="10"/>
      <c r="I868" s="10"/>
      <c r="J868" s="10"/>
    </row>
    <row r="869" ht="15.75" customHeight="1">
      <c r="A869" s="40"/>
      <c r="B869" s="40"/>
      <c r="C869" s="40"/>
      <c r="H869" s="10"/>
      <c r="I869" s="10"/>
      <c r="J869" s="10"/>
    </row>
    <row r="870" ht="15.75" customHeight="1">
      <c r="A870" s="40"/>
      <c r="B870" s="40"/>
      <c r="C870" s="40"/>
      <c r="H870" s="10"/>
      <c r="I870" s="10"/>
      <c r="J870" s="10"/>
    </row>
    <row r="871" ht="15.75" customHeight="1">
      <c r="A871" s="40"/>
      <c r="B871" s="40"/>
      <c r="C871" s="40"/>
      <c r="H871" s="10"/>
      <c r="I871" s="10"/>
      <c r="J871" s="10"/>
    </row>
    <row r="872" ht="15.75" customHeight="1">
      <c r="A872" s="40"/>
      <c r="B872" s="40"/>
      <c r="C872" s="40"/>
      <c r="H872" s="10"/>
      <c r="I872" s="10"/>
      <c r="J872" s="10"/>
    </row>
    <row r="873" ht="15.75" customHeight="1">
      <c r="A873" s="40"/>
      <c r="B873" s="40"/>
      <c r="C873" s="40"/>
      <c r="H873" s="10"/>
      <c r="I873" s="10"/>
      <c r="J873" s="10"/>
    </row>
    <row r="874" ht="15.75" customHeight="1">
      <c r="A874" s="40"/>
      <c r="B874" s="40"/>
      <c r="C874" s="40"/>
      <c r="H874" s="10"/>
      <c r="I874" s="10"/>
      <c r="J874" s="10"/>
    </row>
    <row r="875" ht="15.75" customHeight="1">
      <c r="A875" s="40"/>
      <c r="B875" s="40"/>
      <c r="C875" s="40"/>
      <c r="H875" s="10"/>
      <c r="I875" s="10"/>
      <c r="J875" s="10"/>
    </row>
    <row r="876" ht="15.75" customHeight="1">
      <c r="A876" s="40"/>
      <c r="B876" s="40"/>
      <c r="C876" s="40"/>
      <c r="H876" s="10"/>
      <c r="I876" s="10"/>
      <c r="J876" s="10"/>
    </row>
    <row r="877" ht="15.75" customHeight="1">
      <c r="A877" s="40"/>
      <c r="B877" s="40"/>
      <c r="C877" s="40"/>
      <c r="H877" s="10"/>
      <c r="I877" s="10"/>
      <c r="J877" s="10"/>
    </row>
    <row r="878" ht="15.75" customHeight="1">
      <c r="A878" s="40"/>
      <c r="B878" s="40"/>
      <c r="C878" s="40"/>
      <c r="H878" s="10"/>
      <c r="I878" s="10"/>
      <c r="J878" s="10"/>
    </row>
    <row r="879" ht="15.75" customHeight="1">
      <c r="A879" s="40"/>
      <c r="B879" s="40"/>
      <c r="C879" s="40"/>
      <c r="H879" s="10"/>
      <c r="I879" s="10"/>
      <c r="J879" s="10"/>
    </row>
    <row r="880" ht="15.75" customHeight="1">
      <c r="A880" s="40"/>
      <c r="B880" s="40"/>
      <c r="C880" s="40"/>
      <c r="H880" s="10"/>
      <c r="I880" s="10"/>
      <c r="J880" s="10"/>
    </row>
    <row r="881" ht="15.75" customHeight="1">
      <c r="A881" s="40"/>
      <c r="B881" s="40"/>
      <c r="C881" s="40"/>
      <c r="H881" s="10"/>
      <c r="I881" s="10"/>
      <c r="J881" s="10"/>
    </row>
    <row r="882" ht="15.75" customHeight="1">
      <c r="A882" s="40"/>
      <c r="B882" s="40"/>
      <c r="C882" s="40"/>
      <c r="H882" s="10"/>
      <c r="I882" s="10"/>
      <c r="J882" s="10"/>
    </row>
    <row r="883" ht="15.75" customHeight="1">
      <c r="A883" s="40"/>
      <c r="B883" s="40"/>
      <c r="C883" s="40"/>
      <c r="H883" s="10"/>
      <c r="I883" s="10"/>
      <c r="J883" s="10"/>
    </row>
    <row r="884" ht="15.75" customHeight="1">
      <c r="A884" s="40"/>
      <c r="B884" s="40"/>
      <c r="C884" s="40"/>
      <c r="H884" s="10"/>
      <c r="I884" s="10"/>
      <c r="J884" s="10"/>
    </row>
    <row r="885" ht="15.75" customHeight="1">
      <c r="A885" s="40"/>
      <c r="B885" s="40"/>
      <c r="C885" s="40"/>
      <c r="H885" s="10"/>
      <c r="I885" s="10"/>
      <c r="J885" s="10"/>
    </row>
    <row r="886" ht="15.75" customHeight="1">
      <c r="A886" s="40"/>
      <c r="B886" s="40"/>
      <c r="C886" s="40"/>
      <c r="H886" s="10"/>
      <c r="I886" s="10"/>
      <c r="J886" s="10"/>
    </row>
    <row r="887" ht="15.75" customHeight="1">
      <c r="A887" s="40"/>
      <c r="B887" s="40"/>
      <c r="C887" s="40"/>
      <c r="H887" s="10"/>
      <c r="I887" s="10"/>
      <c r="J887" s="10"/>
    </row>
    <row r="888" ht="15.75" customHeight="1">
      <c r="A888" s="40"/>
      <c r="B888" s="40"/>
      <c r="C888" s="40"/>
      <c r="H888" s="10"/>
      <c r="I888" s="10"/>
      <c r="J888" s="10"/>
    </row>
    <row r="889" ht="15.75" customHeight="1">
      <c r="A889" s="40"/>
      <c r="B889" s="40"/>
      <c r="C889" s="40"/>
      <c r="H889" s="10"/>
      <c r="I889" s="10"/>
      <c r="J889" s="10"/>
    </row>
    <row r="890" ht="15.75" customHeight="1">
      <c r="A890" s="40"/>
      <c r="B890" s="40"/>
      <c r="C890" s="40"/>
      <c r="H890" s="10"/>
      <c r="I890" s="10"/>
      <c r="J890" s="10"/>
    </row>
    <row r="891" ht="15.75" customHeight="1">
      <c r="A891" s="40"/>
      <c r="B891" s="40"/>
      <c r="C891" s="40"/>
      <c r="H891" s="10"/>
      <c r="I891" s="10"/>
      <c r="J891" s="10"/>
    </row>
    <row r="892" ht="15.75" customHeight="1">
      <c r="A892" s="40"/>
      <c r="B892" s="40"/>
      <c r="C892" s="40"/>
      <c r="H892" s="10"/>
      <c r="I892" s="10"/>
      <c r="J892" s="10"/>
    </row>
    <row r="893" ht="15.75" customHeight="1">
      <c r="A893" s="40"/>
      <c r="B893" s="40"/>
      <c r="C893" s="40"/>
      <c r="H893" s="10"/>
      <c r="I893" s="10"/>
      <c r="J893" s="10"/>
    </row>
    <row r="894" ht="15.75" customHeight="1">
      <c r="A894" s="40"/>
      <c r="B894" s="40"/>
      <c r="C894" s="40"/>
      <c r="H894" s="10"/>
      <c r="I894" s="10"/>
      <c r="J894" s="10"/>
    </row>
    <row r="895" ht="15.75" customHeight="1">
      <c r="A895" s="40"/>
      <c r="B895" s="40"/>
      <c r="C895" s="40"/>
      <c r="H895" s="10"/>
      <c r="I895" s="10"/>
      <c r="J895" s="10"/>
    </row>
    <row r="896" ht="15.75" customHeight="1">
      <c r="A896" s="40"/>
      <c r="B896" s="40"/>
      <c r="C896" s="40"/>
      <c r="H896" s="10"/>
      <c r="I896" s="10"/>
      <c r="J896" s="10"/>
    </row>
    <row r="897" ht="15.75" customHeight="1">
      <c r="A897" s="40"/>
      <c r="B897" s="40"/>
      <c r="C897" s="40"/>
      <c r="H897" s="10"/>
      <c r="I897" s="10"/>
      <c r="J897" s="10"/>
    </row>
    <row r="898" ht="15.75" customHeight="1">
      <c r="A898" s="40"/>
      <c r="B898" s="40"/>
      <c r="C898" s="40"/>
      <c r="H898" s="10"/>
      <c r="I898" s="10"/>
      <c r="J898" s="10"/>
    </row>
    <row r="899" ht="15.75" customHeight="1">
      <c r="A899" s="40"/>
      <c r="B899" s="40"/>
      <c r="C899" s="40"/>
      <c r="H899" s="10"/>
      <c r="I899" s="10"/>
      <c r="J899" s="10"/>
    </row>
    <row r="900" ht="15.75" customHeight="1">
      <c r="A900" s="40"/>
      <c r="B900" s="40"/>
      <c r="C900" s="40"/>
      <c r="H900" s="10"/>
      <c r="I900" s="10"/>
      <c r="J900" s="10"/>
    </row>
    <row r="901" ht="15.75" customHeight="1">
      <c r="A901" s="40"/>
      <c r="B901" s="40"/>
      <c r="C901" s="40"/>
      <c r="H901" s="10"/>
      <c r="I901" s="10"/>
      <c r="J901" s="10"/>
    </row>
    <row r="902" ht="15.75" customHeight="1">
      <c r="A902" s="40"/>
      <c r="B902" s="40"/>
      <c r="C902" s="40"/>
      <c r="H902" s="10"/>
      <c r="I902" s="10"/>
      <c r="J902" s="10"/>
    </row>
    <row r="903" ht="15.75" customHeight="1">
      <c r="A903" s="40"/>
      <c r="B903" s="40"/>
      <c r="C903" s="40"/>
      <c r="H903" s="10"/>
      <c r="I903" s="10"/>
      <c r="J903" s="10"/>
    </row>
    <row r="904" ht="15.75" customHeight="1">
      <c r="A904" s="40"/>
      <c r="B904" s="40"/>
      <c r="C904" s="40"/>
      <c r="H904" s="10"/>
      <c r="I904" s="10"/>
      <c r="J904" s="10"/>
    </row>
    <row r="905" ht="15.75" customHeight="1">
      <c r="A905" s="40"/>
      <c r="B905" s="40"/>
      <c r="C905" s="40"/>
      <c r="H905" s="10"/>
      <c r="I905" s="10"/>
      <c r="J905" s="10"/>
    </row>
    <row r="906" ht="15.75" customHeight="1">
      <c r="A906" s="40"/>
      <c r="B906" s="40"/>
      <c r="C906" s="40"/>
      <c r="H906" s="10"/>
      <c r="I906" s="10"/>
      <c r="J906" s="10"/>
    </row>
    <row r="907" ht="15.75" customHeight="1">
      <c r="A907" s="40"/>
      <c r="B907" s="40"/>
      <c r="C907" s="40"/>
      <c r="H907" s="10"/>
      <c r="I907" s="10"/>
      <c r="J907" s="10"/>
    </row>
    <row r="908" ht="15.75" customHeight="1">
      <c r="A908" s="40"/>
      <c r="B908" s="40"/>
      <c r="C908" s="40"/>
      <c r="H908" s="10"/>
      <c r="I908" s="10"/>
      <c r="J908" s="10"/>
    </row>
    <row r="909" ht="15.75" customHeight="1">
      <c r="A909" s="40"/>
      <c r="B909" s="40"/>
      <c r="C909" s="40"/>
      <c r="H909" s="10"/>
      <c r="I909" s="10"/>
      <c r="J909" s="10"/>
    </row>
    <row r="910" ht="15.75" customHeight="1">
      <c r="A910" s="40"/>
      <c r="B910" s="40"/>
      <c r="C910" s="40"/>
      <c r="H910" s="10"/>
      <c r="I910" s="10"/>
      <c r="J910" s="10"/>
    </row>
    <row r="911" ht="15.75" customHeight="1">
      <c r="A911" s="40"/>
      <c r="B911" s="40"/>
      <c r="C911" s="40"/>
      <c r="H911" s="10"/>
      <c r="I911" s="10"/>
      <c r="J911" s="10"/>
    </row>
    <row r="912" ht="15.75" customHeight="1">
      <c r="A912" s="40"/>
      <c r="B912" s="40"/>
      <c r="C912" s="40"/>
      <c r="H912" s="10"/>
      <c r="I912" s="10"/>
      <c r="J912" s="10"/>
    </row>
    <row r="913" ht="15.75" customHeight="1">
      <c r="A913" s="40"/>
      <c r="B913" s="40"/>
      <c r="C913" s="40"/>
      <c r="H913" s="10"/>
      <c r="I913" s="10"/>
      <c r="J913" s="10"/>
    </row>
    <row r="914" ht="15.75" customHeight="1">
      <c r="A914" s="40"/>
      <c r="B914" s="40"/>
      <c r="C914" s="40"/>
      <c r="H914" s="10"/>
      <c r="I914" s="10"/>
      <c r="J914" s="10"/>
    </row>
    <row r="915" ht="15.75" customHeight="1">
      <c r="A915" s="40"/>
      <c r="B915" s="40"/>
      <c r="C915" s="40"/>
      <c r="H915" s="10"/>
      <c r="I915" s="10"/>
      <c r="J915" s="10"/>
    </row>
    <row r="916" ht="15.75" customHeight="1">
      <c r="A916" s="40"/>
      <c r="B916" s="40"/>
      <c r="C916" s="40"/>
      <c r="H916" s="10"/>
      <c r="I916" s="10"/>
      <c r="J916" s="10"/>
    </row>
    <row r="917" ht="15.75" customHeight="1">
      <c r="A917" s="40"/>
      <c r="B917" s="40"/>
      <c r="C917" s="40"/>
      <c r="H917" s="10"/>
      <c r="I917" s="10"/>
      <c r="J917" s="10"/>
    </row>
    <row r="918" ht="15.75" customHeight="1">
      <c r="A918" s="40"/>
      <c r="B918" s="40"/>
      <c r="C918" s="40"/>
      <c r="H918" s="10"/>
      <c r="I918" s="10"/>
      <c r="J918" s="10"/>
    </row>
    <row r="919" ht="15.75" customHeight="1">
      <c r="A919" s="40"/>
      <c r="B919" s="40"/>
      <c r="C919" s="40"/>
      <c r="H919" s="10"/>
      <c r="I919" s="10"/>
      <c r="J919" s="10"/>
    </row>
    <row r="920" ht="15.75" customHeight="1">
      <c r="A920" s="40"/>
      <c r="B920" s="40"/>
      <c r="C920" s="40"/>
      <c r="H920" s="10"/>
      <c r="I920" s="10"/>
      <c r="J920" s="10"/>
    </row>
    <row r="921" ht="15.75" customHeight="1">
      <c r="A921" s="40"/>
      <c r="B921" s="40"/>
      <c r="C921" s="40"/>
      <c r="H921" s="10"/>
      <c r="I921" s="10"/>
      <c r="J921" s="10"/>
    </row>
    <row r="922" ht="15.75" customHeight="1">
      <c r="A922" s="40"/>
      <c r="B922" s="40"/>
      <c r="C922" s="40"/>
      <c r="H922" s="10"/>
      <c r="I922" s="10"/>
      <c r="J922" s="10"/>
    </row>
    <row r="923" ht="15.75" customHeight="1">
      <c r="A923" s="40"/>
      <c r="B923" s="40"/>
      <c r="C923" s="40"/>
      <c r="H923" s="10"/>
      <c r="I923" s="10"/>
      <c r="J923" s="10"/>
    </row>
    <row r="924" ht="15.75" customHeight="1">
      <c r="A924" s="40"/>
      <c r="B924" s="40"/>
      <c r="C924" s="40"/>
      <c r="H924" s="10"/>
      <c r="I924" s="10"/>
      <c r="J924" s="10"/>
    </row>
    <row r="925" ht="15.75" customHeight="1">
      <c r="A925" s="40"/>
      <c r="B925" s="40"/>
      <c r="C925" s="40"/>
      <c r="H925" s="10"/>
      <c r="I925" s="10"/>
      <c r="J925" s="10"/>
    </row>
    <row r="926" ht="15.75" customHeight="1">
      <c r="A926" s="40"/>
      <c r="B926" s="40"/>
      <c r="C926" s="40"/>
      <c r="H926" s="10"/>
      <c r="I926" s="10"/>
      <c r="J926" s="10"/>
    </row>
    <row r="927" ht="15.75" customHeight="1">
      <c r="A927" s="40"/>
      <c r="B927" s="40"/>
      <c r="C927" s="40"/>
      <c r="H927" s="10"/>
      <c r="I927" s="10"/>
      <c r="J927" s="10"/>
    </row>
    <row r="928" ht="15.75" customHeight="1">
      <c r="A928" s="40"/>
      <c r="B928" s="40"/>
      <c r="C928" s="40"/>
      <c r="H928" s="10"/>
      <c r="I928" s="10"/>
      <c r="J928" s="10"/>
    </row>
    <row r="929" ht="15.75" customHeight="1">
      <c r="A929" s="40"/>
      <c r="B929" s="40"/>
      <c r="C929" s="40"/>
      <c r="H929" s="10"/>
      <c r="I929" s="10"/>
      <c r="J929" s="10"/>
    </row>
    <row r="930" ht="15.75" customHeight="1">
      <c r="A930" s="40"/>
      <c r="B930" s="40"/>
      <c r="C930" s="40"/>
      <c r="H930" s="10"/>
      <c r="I930" s="10"/>
      <c r="J930" s="10"/>
    </row>
    <row r="931" ht="15.75" customHeight="1">
      <c r="A931" s="40"/>
      <c r="B931" s="40"/>
      <c r="C931" s="40"/>
      <c r="H931" s="10"/>
      <c r="I931" s="10"/>
      <c r="J931" s="10"/>
    </row>
    <row r="932" ht="15.75" customHeight="1">
      <c r="A932" s="40"/>
      <c r="B932" s="40"/>
      <c r="C932" s="40"/>
      <c r="H932" s="10"/>
      <c r="I932" s="10"/>
      <c r="J932" s="10"/>
    </row>
    <row r="933" ht="15.75" customHeight="1">
      <c r="A933" s="40"/>
      <c r="B933" s="40"/>
      <c r="C933" s="40"/>
      <c r="H933" s="10"/>
      <c r="I933" s="10"/>
      <c r="J933" s="10"/>
    </row>
    <row r="934" ht="15.75" customHeight="1">
      <c r="A934" s="40"/>
      <c r="B934" s="40"/>
      <c r="C934" s="40"/>
      <c r="H934" s="10"/>
      <c r="I934" s="10"/>
      <c r="J934" s="10"/>
    </row>
    <row r="935" ht="15.75" customHeight="1">
      <c r="A935" s="40"/>
      <c r="B935" s="40"/>
      <c r="C935" s="40"/>
      <c r="H935" s="10"/>
      <c r="I935" s="10"/>
      <c r="J935" s="10"/>
    </row>
    <row r="936" ht="15.75" customHeight="1">
      <c r="A936" s="40"/>
      <c r="B936" s="40"/>
      <c r="C936" s="40"/>
      <c r="H936" s="10"/>
      <c r="I936" s="10"/>
      <c r="J936" s="10"/>
    </row>
    <row r="937" ht="15.75" customHeight="1">
      <c r="A937" s="40"/>
      <c r="B937" s="40"/>
      <c r="C937" s="40"/>
      <c r="H937" s="10"/>
      <c r="I937" s="10"/>
      <c r="J937" s="10"/>
    </row>
    <row r="938" ht="15.75" customHeight="1">
      <c r="A938" s="40"/>
      <c r="B938" s="40"/>
      <c r="C938" s="40"/>
      <c r="H938" s="10"/>
      <c r="I938" s="10"/>
      <c r="J938" s="10"/>
    </row>
    <row r="939" ht="15.75" customHeight="1">
      <c r="A939" s="40"/>
      <c r="B939" s="40"/>
      <c r="C939" s="40"/>
      <c r="H939" s="10"/>
      <c r="I939" s="10"/>
      <c r="J939" s="10"/>
    </row>
    <row r="940" ht="15.75" customHeight="1">
      <c r="A940" s="40"/>
      <c r="B940" s="40"/>
      <c r="C940" s="40"/>
      <c r="H940" s="10"/>
      <c r="I940" s="10"/>
      <c r="J940" s="10"/>
    </row>
    <row r="941" ht="15.75" customHeight="1">
      <c r="A941" s="40"/>
      <c r="B941" s="40"/>
      <c r="C941" s="40"/>
      <c r="H941" s="10"/>
      <c r="I941" s="10"/>
      <c r="J941" s="10"/>
    </row>
    <row r="942" ht="15.75" customHeight="1">
      <c r="A942" s="40"/>
      <c r="B942" s="40"/>
      <c r="C942" s="40"/>
      <c r="H942" s="10"/>
      <c r="I942" s="10"/>
      <c r="J942" s="10"/>
    </row>
    <row r="943" ht="15.75" customHeight="1">
      <c r="A943" s="40"/>
      <c r="B943" s="40"/>
      <c r="C943" s="40"/>
      <c r="H943" s="10"/>
      <c r="I943" s="10"/>
      <c r="J943" s="10"/>
    </row>
    <row r="944" ht="15.75" customHeight="1">
      <c r="A944" s="40"/>
      <c r="B944" s="40"/>
      <c r="C944" s="40"/>
      <c r="H944" s="10"/>
      <c r="I944" s="10"/>
      <c r="J944" s="10"/>
    </row>
    <row r="945" ht="15.75" customHeight="1">
      <c r="A945" s="40"/>
      <c r="B945" s="40"/>
      <c r="C945" s="40"/>
      <c r="H945" s="10"/>
      <c r="I945" s="10"/>
      <c r="J945" s="10"/>
    </row>
    <row r="946" ht="15.75" customHeight="1">
      <c r="A946" s="40"/>
      <c r="B946" s="40"/>
      <c r="C946" s="40"/>
      <c r="H946" s="10"/>
      <c r="I946" s="10"/>
      <c r="J946" s="10"/>
    </row>
    <row r="947" ht="15.75" customHeight="1">
      <c r="A947" s="40"/>
      <c r="B947" s="40"/>
      <c r="C947" s="40"/>
      <c r="H947" s="10"/>
      <c r="I947" s="10"/>
      <c r="J947" s="10"/>
    </row>
    <row r="948" ht="15.75" customHeight="1">
      <c r="A948" s="40"/>
      <c r="B948" s="40"/>
      <c r="C948" s="40"/>
      <c r="H948" s="10"/>
      <c r="I948" s="10"/>
      <c r="J948" s="10"/>
    </row>
    <row r="949" ht="15.75" customHeight="1">
      <c r="A949" s="40"/>
      <c r="B949" s="40"/>
      <c r="C949" s="40"/>
      <c r="H949" s="10"/>
      <c r="I949" s="10"/>
      <c r="J949" s="10"/>
    </row>
    <row r="950" ht="15.75" customHeight="1">
      <c r="A950" s="40"/>
      <c r="B950" s="40"/>
      <c r="C950" s="40"/>
      <c r="H950" s="10"/>
      <c r="I950" s="10"/>
      <c r="J950" s="10"/>
    </row>
    <row r="951" ht="15.75" customHeight="1">
      <c r="A951" s="40"/>
      <c r="B951" s="40"/>
      <c r="C951" s="40"/>
      <c r="H951" s="10"/>
      <c r="I951" s="10"/>
      <c r="J951" s="10"/>
    </row>
    <row r="952" ht="15.75" customHeight="1">
      <c r="A952" s="40"/>
      <c r="B952" s="40"/>
      <c r="C952" s="40"/>
      <c r="H952" s="10"/>
      <c r="I952" s="10"/>
      <c r="J952" s="10"/>
    </row>
    <row r="953" ht="15.75" customHeight="1">
      <c r="A953" s="40"/>
      <c r="B953" s="40"/>
      <c r="C953" s="40"/>
      <c r="H953" s="10"/>
      <c r="I953" s="10"/>
      <c r="J953" s="10"/>
    </row>
    <row r="954" ht="15.75" customHeight="1">
      <c r="A954" s="40"/>
      <c r="B954" s="40"/>
      <c r="C954" s="40"/>
      <c r="H954" s="10"/>
      <c r="I954" s="10"/>
      <c r="J954" s="10"/>
    </row>
    <row r="955" ht="15.75" customHeight="1">
      <c r="A955" s="40"/>
      <c r="B955" s="40"/>
      <c r="C955" s="40"/>
      <c r="H955" s="10"/>
      <c r="I955" s="10"/>
      <c r="J955" s="10"/>
    </row>
    <row r="956" ht="15.75" customHeight="1">
      <c r="A956" s="40"/>
      <c r="B956" s="40"/>
      <c r="C956" s="40"/>
      <c r="H956" s="10"/>
      <c r="I956" s="10"/>
      <c r="J956" s="10"/>
    </row>
    <row r="957" ht="15.75" customHeight="1">
      <c r="A957" s="40"/>
      <c r="B957" s="40"/>
      <c r="C957" s="40"/>
      <c r="H957" s="10"/>
      <c r="I957" s="10"/>
      <c r="J957" s="10"/>
    </row>
    <row r="958" ht="15.75" customHeight="1">
      <c r="A958" s="40"/>
      <c r="B958" s="40"/>
      <c r="C958" s="40"/>
      <c r="H958" s="10"/>
      <c r="I958" s="10"/>
      <c r="J958" s="10"/>
    </row>
    <row r="959" ht="15.75" customHeight="1">
      <c r="A959" s="40"/>
      <c r="B959" s="40"/>
      <c r="C959" s="40"/>
      <c r="H959" s="10"/>
      <c r="I959" s="10"/>
      <c r="J959" s="10"/>
    </row>
    <row r="960" ht="15.75" customHeight="1">
      <c r="A960" s="40"/>
      <c r="B960" s="40"/>
      <c r="C960" s="40"/>
      <c r="H960" s="10"/>
      <c r="I960" s="10"/>
      <c r="J960" s="10"/>
    </row>
    <row r="961" ht="15.75" customHeight="1">
      <c r="A961" s="40"/>
      <c r="B961" s="40"/>
      <c r="C961" s="40"/>
      <c r="H961" s="10"/>
      <c r="I961" s="10"/>
      <c r="J961" s="10"/>
    </row>
    <row r="962" ht="15.75" customHeight="1">
      <c r="A962" s="40"/>
      <c r="B962" s="40"/>
      <c r="C962" s="40"/>
      <c r="H962" s="10"/>
      <c r="I962" s="10"/>
      <c r="J962" s="10"/>
    </row>
    <row r="963" ht="15.75" customHeight="1">
      <c r="A963" s="40"/>
      <c r="B963" s="40"/>
      <c r="C963" s="40"/>
      <c r="H963" s="10"/>
      <c r="I963" s="10"/>
      <c r="J963" s="10"/>
    </row>
    <row r="964" ht="15.75" customHeight="1">
      <c r="A964" s="40"/>
      <c r="B964" s="40"/>
      <c r="C964" s="40"/>
      <c r="H964" s="10"/>
      <c r="I964" s="10"/>
      <c r="J964" s="10"/>
    </row>
    <row r="965" ht="15.75" customHeight="1">
      <c r="A965" s="40"/>
      <c r="B965" s="40"/>
      <c r="C965" s="40"/>
      <c r="H965" s="10"/>
      <c r="I965" s="10"/>
      <c r="J965" s="10"/>
    </row>
    <row r="966" ht="15.75" customHeight="1">
      <c r="A966" s="40"/>
      <c r="B966" s="40"/>
      <c r="C966" s="40"/>
      <c r="H966" s="10"/>
      <c r="I966" s="10"/>
      <c r="J966" s="10"/>
    </row>
    <row r="967" ht="15.75" customHeight="1">
      <c r="A967" s="40"/>
      <c r="B967" s="40"/>
      <c r="C967" s="40"/>
      <c r="H967" s="10"/>
      <c r="I967" s="10"/>
      <c r="J967" s="10"/>
    </row>
    <row r="968" ht="15.75" customHeight="1">
      <c r="A968" s="40"/>
      <c r="B968" s="40"/>
      <c r="C968" s="40"/>
      <c r="H968" s="10"/>
      <c r="I968" s="10"/>
      <c r="J968" s="10"/>
    </row>
    <row r="969" ht="15.75" customHeight="1">
      <c r="A969" s="40"/>
      <c r="B969" s="40"/>
      <c r="C969" s="40"/>
      <c r="H969" s="10"/>
      <c r="I969" s="10"/>
      <c r="J969" s="10"/>
    </row>
    <row r="970" ht="15.75" customHeight="1">
      <c r="A970" s="40"/>
      <c r="B970" s="40"/>
      <c r="C970" s="40"/>
      <c r="H970" s="10"/>
      <c r="I970" s="10"/>
      <c r="J970" s="10"/>
    </row>
    <row r="971" ht="15.75" customHeight="1">
      <c r="A971" s="40"/>
      <c r="B971" s="40"/>
      <c r="C971" s="40"/>
      <c r="H971" s="10"/>
      <c r="I971" s="10"/>
      <c r="J971" s="10"/>
    </row>
    <row r="972" ht="15.75" customHeight="1">
      <c r="A972" s="40"/>
      <c r="B972" s="40"/>
      <c r="C972" s="40"/>
      <c r="H972" s="10"/>
      <c r="I972" s="10"/>
      <c r="J972" s="10"/>
    </row>
    <row r="973" ht="15.75" customHeight="1">
      <c r="A973" s="40"/>
      <c r="B973" s="40"/>
      <c r="C973" s="40"/>
      <c r="H973" s="10"/>
      <c r="I973" s="10"/>
      <c r="J973" s="10"/>
    </row>
    <row r="974" ht="15.75" customHeight="1">
      <c r="A974" s="40"/>
      <c r="B974" s="40"/>
      <c r="C974" s="40"/>
      <c r="H974" s="10"/>
      <c r="I974" s="10"/>
      <c r="J974" s="10"/>
    </row>
    <row r="975" ht="15.75" customHeight="1">
      <c r="A975" s="40"/>
      <c r="B975" s="40"/>
      <c r="C975" s="40"/>
      <c r="H975" s="10"/>
      <c r="I975" s="10"/>
      <c r="J975" s="10"/>
    </row>
    <row r="976" ht="15.75" customHeight="1">
      <c r="A976" s="40"/>
      <c r="B976" s="40"/>
      <c r="C976" s="40"/>
      <c r="H976" s="10"/>
      <c r="I976" s="10"/>
      <c r="J976" s="10"/>
    </row>
    <row r="977" ht="15.75" customHeight="1">
      <c r="A977" s="40"/>
      <c r="B977" s="40"/>
      <c r="C977" s="40"/>
      <c r="H977" s="10"/>
      <c r="I977" s="10"/>
      <c r="J977" s="10"/>
    </row>
    <row r="978" ht="15.75" customHeight="1">
      <c r="A978" s="40"/>
      <c r="B978" s="40"/>
      <c r="C978" s="40"/>
      <c r="H978" s="10"/>
      <c r="I978" s="10"/>
      <c r="J978" s="10"/>
    </row>
    <row r="979" ht="15.75" customHeight="1">
      <c r="A979" s="40"/>
      <c r="B979" s="40"/>
      <c r="C979" s="40"/>
      <c r="H979" s="10"/>
      <c r="I979" s="10"/>
      <c r="J979" s="10"/>
    </row>
    <row r="980" ht="15.75" customHeight="1">
      <c r="A980" s="40"/>
      <c r="B980" s="40"/>
      <c r="C980" s="40"/>
      <c r="H980" s="10"/>
      <c r="I980" s="10"/>
      <c r="J980" s="10"/>
    </row>
    <row r="981" ht="15.75" customHeight="1">
      <c r="A981" s="40"/>
      <c r="B981" s="40"/>
      <c r="C981" s="40"/>
      <c r="H981" s="10"/>
      <c r="I981" s="10"/>
      <c r="J981" s="10"/>
    </row>
    <row r="982" ht="15.75" customHeight="1">
      <c r="A982" s="40"/>
      <c r="B982" s="40"/>
      <c r="C982" s="40"/>
      <c r="H982" s="10"/>
      <c r="I982" s="10"/>
      <c r="J982" s="10"/>
    </row>
    <row r="983" ht="15.75" customHeight="1">
      <c r="A983" s="40"/>
      <c r="B983" s="40"/>
      <c r="C983" s="40"/>
      <c r="H983" s="10"/>
      <c r="I983" s="10"/>
      <c r="J983" s="10"/>
    </row>
    <row r="984" ht="15.75" customHeight="1">
      <c r="A984" s="40"/>
      <c r="B984" s="40"/>
      <c r="C984" s="40"/>
      <c r="H984" s="10"/>
      <c r="I984" s="10"/>
      <c r="J984" s="10"/>
    </row>
    <row r="985" ht="15.75" customHeight="1">
      <c r="A985" s="40"/>
      <c r="B985" s="40"/>
      <c r="C985" s="40"/>
      <c r="H985" s="10"/>
      <c r="I985" s="10"/>
      <c r="J985" s="10"/>
    </row>
    <row r="986" ht="15.75" customHeight="1">
      <c r="A986" s="40"/>
      <c r="B986" s="40"/>
      <c r="C986" s="40"/>
      <c r="H986" s="10"/>
      <c r="I986" s="10"/>
      <c r="J986" s="10"/>
    </row>
    <row r="987" ht="15.75" customHeight="1">
      <c r="A987" s="40"/>
      <c r="B987" s="40"/>
      <c r="C987" s="40"/>
      <c r="H987" s="10"/>
      <c r="I987" s="10"/>
      <c r="J987" s="10"/>
    </row>
    <row r="988" ht="15.75" customHeight="1">
      <c r="A988" s="40"/>
      <c r="B988" s="40"/>
      <c r="C988" s="40"/>
      <c r="H988" s="10"/>
      <c r="I988" s="10"/>
      <c r="J988" s="10"/>
    </row>
    <row r="989" ht="15.75" customHeight="1">
      <c r="A989" s="40"/>
      <c r="B989" s="40"/>
      <c r="C989" s="40"/>
      <c r="H989" s="10"/>
      <c r="I989" s="10"/>
      <c r="J989" s="10"/>
    </row>
    <row r="990" ht="15.75" customHeight="1">
      <c r="A990" s="40"/>
      <c r="B990" s="40"/>
      <c r="C990" s="40"/>
      <c r="H990" s="10"/>
      <c r="I990" s="10"/>
      <c r="J990" s="10"/>
    </row>
    <row r="991" ht="15.75" customHeight="1">
      <c r="A991" s="40"/>
      <c r="B991" s="40"/>
      <c r="C991" s="40"/>
      <c r="H991" s="10"/>
      <c r="I991" s="10"/>
      <c r="J991" s="10"/>
    </row>
    <row r="992" ht="15.75" customHeight="1">
      <c r="A992" s="40"/>
      <c r="B992" s="40"/>
      <c r="C992" s="40"/>
      <c r="H992" s="10"/>
      <c r="I992" s="10"/>
      <c r="J992" s="10"/>
    </row>
    <row r="993" ht="15.75" customHeight="1">
      <c r="A993" s="40"/>
      <c r="B993" s="40"/>
      <c r="C993" s="40"/>
      <c r="H993" s="10"/>
      <c r="I993" s="10"/>
      <c r="J993" s="10"/>
    </row>
    <row r="994" ht="15.75" customHeight="1">
      <c r="A994" s="40"/>
      <c r="B994" s="40"/>
      <c r="C994" s="40"/>
      <c r="H994" s="10"/>
      <c r="I994" s="10"/>
      <c r="J994" s="10"/>
    </row>
    <row r="995" ht="15.75" customHeight="1">
      <c r="A995" s="40"/>
      <c r="B995" s="40"/>
      <c r="C995" s="40"/>
      <c r="H995" s="10"/>
      <c r="I995" s="10"/>
      <c r="J995" s="10"/>
    </row>
    <row r="996" ht="15.75" customHeight="1">
      <c r="A996" s="40"/>
      <c r="B996" s="40"/>
      <c r="C996" s="40"/>
      <c r="H996" s="10"/>
      <c r="I996" s="10"/>
      <c r="J996" s="10"/>
    </row>
    <row r="997" ht="15.75" customHeight="1">
      <c r="A997" s="40"/>
      <c r="B997" s="40"/>
      <c r="C997" s="40"/>
      <c r="H997" s="10"/>
      <c r="I997" s="10"/>
      <c r="J997" s="10"/>
    </row>
    <row r="998" ht="15.75" customHeight="1">
      <c r="A998" s="40"/>
      <c r="B998" s="40"/>
      <c r="C998" s="40"/>
      <c r="H998" s="10"/>
      <c r="I998" s="10"/>
      <c r="J998" s="10"/>
    </row>
    <row r="999" ht="15.75" customHeight="1">
      <c r="A999" s="40"/>
      <c r="B999" s="40"/>
      <c r="C999" s="40"/>
      <c r="H999" s="10"/>
      <c r="I999" s="10"/>
      <c r="J999" s="10"/>
    </row>
    <row r="1000" ht="15.75" customHeight="1">
      <c r="A1000" s="40"/>
      <c r="B1000" s="40"/>
      <c r="C1000" s="40"/>
      <c r="H1000" s="10"/>
      <c r="I1000" s="10"/>
      <c r="J1000" s="10"/>
    </row>
  </sheetData>
  <mergeCells count="2">
    <mergeCell ref="D1:G1"/>
    <mergeCell ref="H1:K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2023-08-01T07:26:23Z</dcterms:created>
  <dc:creator>lena</dc:creator>
</cp:coreProperties>
</file>