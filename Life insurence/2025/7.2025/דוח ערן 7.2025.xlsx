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האחסון שלי\מאגר מידע של גל אלמגור\דוחות תפוקה\דוחות תפוקה ביטוח חיים\2025\7.2025\"/>
    </mc:Choice>
  </mc:AlternateContent>
  <xr:revisionPtr revIDLastSave="0" documentId="13_ncr:1_{FD7B6DC2-C4E1-4A73-AF07-AE7679F8A2DA}" xr6:coauthVersionLast="47" xr6:coauthVersionMax="47" xr10:uidLastSave="{00000000-0000-0000-0000-000000000000}"/>
  <bookViews>
    <workbookView xWindow="-108" yWindow="-108" windowWidth="23256" windowHeight="12456" tabRatio="870" xr2:uid="{00000000-000D-0000-FFFF-FFFF00000000}"/>
  </bookViews>
  <sheets>
    <sheet name="תפוקה מצטברת מול אשתקד" sheetId="1" r:id="rId1"/>
    <sheet name="תפוקה חודשית מול אשתקד" sheetId="2" r:id="rId2"/>
    <sheet name="תפוקה מצטברת מול יעד מצטבר" sheetId="3" r:id="rId3"/>
    <sheet name="תפוקה מול יעד חודשי" sheetId="4" r:id="rId4"/>
    <sheet name="הכשרה" sheetId="5" r:id="rId5"/>
    <sheet name="מגדל" sheetId="6" r:id="rId6"/>
    <sheet name="מנורה" sheetId="7" r:id="rId7"/>
    <sheet name="איילון" sheetId="8" r:id="rId8"/>
    <sheet name="הראל" sheetId="9" r:id="rId9"/>
    <sheet name="הפניקס" sheetId="10" r:id="rId10"/>
    <sheet name="כלל" sheetId="11" r:id="rId11"/>
    <sheet name="מור" sheetId="12" r:id="rId12"/>
    <sheet name="אלטשולר שחם" sheetId="13" r:id="rId13"/>
    <sheet name="מדיהו" sheetId="14" r:id="rId14"/>
    <sheet name="אנליסט" sheetId="15" r:id="rId15"/>
    <sheet name="מיטב" sheetId="16" r:id="rId16"/>
    <sheet name="אינפינטי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5" l="1"/>
  <c r="H36" i="15"/>
  <c r="I36" i="15"/>
  <c r="J36" i="15"/>
  <c r="K36" i="15"/>
  <c r="F36" i="15"/>
  <c r="F36" i="14"/>
  <c r="G36" i="14"/>
  <c r="H36" i="14"/>
  <c r="I36" i="14"/>
  <c r="J36" i="14"/>
  <c r="K36" i="14"/>
  <c r="E36" i="14"/>
  <c r="E36" i="13"/>
  <c r="F36" i="13"/>
  <c r="G36" i="13"/>
  <c r="H36" i="13"/>
  <c r="I36" i="13"/>
  <c r="J36" i="13"/>
  <c r="K36" i="13"/>
  <c r="D36" i="13"/>
  <c r="F36" i="12"/>
  <c r="G36" i="12"/>
  <c r="H36" i="12"/>
  <c r="I36" i="12"/>
  <c r="J36" i="12"/>
  <c r="K36" i="12"/>
  <c r="E36" i="11"/>
  <c r="F36" i="11"/>
  <c r="G36" i="11"/>
  <c r="H36" i="11"/>
  <c r="I36" i="11"/>
  <c r="J36" i="11"/>
  <c r="K36" i="11"/>
  <c r="D36" i="11"/>
  <c r="E36" i="10"/>
  <c r="F36" i="10"/>
  <c r="G36" i="10"/>
  <c r="H36" i="10"/>
  <c r="I36" i="10"/>
  <c r="J36" i="10"/>
  <c r="K36" i="10"/>
  <c r="D36" i="10"/>
  <c r="E36" i="9"/>
  <c r="F36" i="9"/>
  <c r="G36" i="9"/>
  <c r="H36" i="9"/>
  <c r="I36" i="9"/>
  <c r="J36" i="9"/>
  <c r="K36" i="9"/>
  <c r="D36" i="9"/>
  <c r="E36" i="8"/>
  <c r="F36" i="8"/>
  <c r="G36" i="8"/>
  <c r="H36" i="8"/>
  <c r="I36" i="8"/>
  <c r="J36" i="8"/>
  <c r="K36" i="8"/>
  <c r="D36" i="8"/>
  <c r="E36" i="7"/>
  <c r="F36" i="7"/>
  <c r="G36" i="7"/>
  <c r="H36" i="7"/>
  <c r="I36" i="7"/>
  <c r="J36" i="7"/>
  <c r="K36" i="7"/>
  <c r="D36" i="7"/>
  <c r="E36" i="6"/>
  <c r="F36" i="6"/>
  <c r="G36" i="6"/>
  <c r="H36" i="6"/>
  <c r="I36" i="6"/>
  <c r="J36" i="6"/>
  <c r="K36" i="6"/>
  <c r="D36" i="6"/>
  <c r="I36" i="4"/>
  <c r="J36" i="4"/>
  <c r="K36" i="4"/>
  <c r="L36" i="4"/>
  <c r="M36" i="4"/>
  <c r="N36" i="4"/>
  <c r="O36" i="4"/>
  <c r="H36" i="4"/>
  <c r="I36" i="3"/>
  <c r="J36" i="3"/>
  <c r="K36" i="3"/>
  <c r="L36" i="3"/>
  <c r="M36" i="3"/>
  <c r="N36" i="3"/>
  <c r="O36" i="3"/>
  <c r="H36" i="3"/>
  <c r="I36" i="2"/>
  <c r="J36" i="2"/>
  <c r="K36" i="2"/>
  <c r="L36" i="2"/>
  <c r="M36" i="2"/>
  <c r="N36" i="2"/>
  <c r="O36" i="2"/>
  <c r="H36" i="2"/>
  <c r="I36" i="1"/>
  <c r="J36" i="1"/>
  <c r="K36" i="1"/>
  <c r="L36" i="1"/>
  <c r="M36" i="1"/>
  <c r="N36" i="1"/>
  <c r="O36" i="1"/>
  <c r="H36" i="1"/>
</calcChain>
</file>

<file path=xl/sharedStrings.xml><?xml version="1.0" encoding="utf-8"?>
<sst xmlns="http://schemas.openxmlformats.org/spreadsheetml/2006/main" count="1912" uniqueCount="56">
  <si>
    <t>שינוי מול אשתקד %</t>
  </si>
  <si>
    <t>תפוקה מצטברת 07/2025</t>
  </si>
  <si>
    <t>תפוקה מצטברת 07/2024</t>
  </si>
  <si>
    <t>שם סוכן</t>
  </si>
  <si>
    <t xml:space="preserve">מפקח </t>
  </si>
  <si>
    <t>מחלקה</t>
  </si>
  <si>
    <t>פנסיוני</t>
  </si>
  <si>
    <t>סיכונים</t>
  </si>
  <si>
    <t xml:space="preserve">פיננסים </t>
  </si>
  <si>
    <t>ניודי פנסיה</t>
  </si>
  <si>
    <t>פיננסים</t>
  </si>
  <si>
    <t xml:space="preserve">סיכונים </t>
  </si>
  <si>
    <t xml:space="preserve">ניודי פנסיה </t>
  </si>
  <si>
    <t>מועלם אלפרד</t>
  </si>
  <si>
    <t xml:space="preserve">ערן גירוני </t>
  </si>
  <si>
    <t xml:space="preserve">סוכנים </t>
  </si>
  <si>
    <t>גרניק בנימין</t>
  </si>
  <si>
    <t>סאוסן שלבי</t>
  </si>
  <si>
    <t>סברא סמיר</t>
  </si>
  <si>
    <t>ריזק חלבי</t>
  </si>
  <si>
    <t>שלבי מיסון</t>
  </si>
  <si>
    <t>בחוס יוסף</t>
  </si>
  <si>
    <t>קליין סיון</t>
  </si>
  <si>
    <t>צקותאי אורי</t>
  </si>
  <si>
    <t>סמיר בלאן</t>
  </si>
  <si>
    <t>רן בסין</t>
  </si>
  <si>
    <t>אלקרינאוי ראוף</t>
  </si>
  <si>
    <t>דאי גדי</t>
  </si>
  <si>
    <t>מילאד אבו שקארה</t>
  </si>
  <si>
    <t>דראושה אדהם</t>
  </si>
  <si>
    <t>בדארנה עומר</t>
  </si>
  <si>
    <t>לוי חיים</t>
  </si>
  <si>
    <t>דאי דניאל</t>
  </si>
  <si>
    <t>אחמד עלי אחמד</t>
  </si>
  <si>
    <t>לילי שרון</t>
  </si>
  <si>
    <t>עבוד כיתי</t>
  </si>
  <si>
    <t>יעקב ישראל שטרן</t>
  </si>
  <si>
    <t xml:space="preserve">ניר יבלונקה </t>
  </si>
  <si>
    <t>יונתן מנחם</t>
  </si>
  <si>
    <t>ינאי חיים בוני</t>
  </si>
  <si>
    <t>יהונתן שיוביץ</t>
  </si>
  <si>
    <t>סיון פיינרו</t>
  </si>
  <si>
    <t>שלי מזרחי</t>
  </si>
  <si>
    <t xml:space="preserve">פרמיום </t>
  </si>
  <si>
    <t xml:space="preserve">מיכאל וקסלר </t>
  </si>
  <si>
    <t xml:space="preserve">שני לוי </t>
  </si>
  <si>
    <t>נעם הלשטוק</t>
  </si>
  <si>
    <t>אורטל / לנג ביג סוכנות לביטוח פנסיוני</t>
  </si>
  <si>
    <t>נור אבו ראס</t>
  </si>
  <si>
    <t>סה"כ</t>
  </si>
  <si>
    <t>תפוקה חודשית  07/2025</t>
  </si>
  <si>
    <t>תפוקה חודשית 07/2024</t>
  </si>
  <si>
    <t>השגת יעדים%</t>
  </si>
  <si>
    <t>יעד מצטבר 07/2025</t>
  </si>
  <si>
    <t>יעד חודשי 07/2025</t>
  </si>
  <si>
    <t>תפוקה חודשית 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</si>
</sst>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333333"/>
      <name val="Calibri"/>
      <family val="2"/>
    </font>
    <font>
      <sz val="11"/>
      <name val="Arial"/>
      <family val="2"/>
      <scheme val="minor"/>
    </font>
    <font>
      <b/>
      <sz val="14"/>
      <color theme="1"/>
      <name val="Calibri"/>
      <family val="2"/>
      <charset val="177"/>
    </font>
    <font>
      <b/>
      <sz val="14"/>
      <color theme="1"/>
      <name val="Arial"/>
      <family val="2"/>
      <charset val="177"/>
      <scheme val="minor"/>
    </font>
    <font>
      <b/>
      <sz val="16"/>
      <name val="Calibri"/>
      <family val="2"/>
    </font>
    <font>
      <sz val="9"/>
      <color rgb="FF33333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1" xfId="0" applyFont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3" borderId="4" xfId="0" applyFont="1" applyFill="1" applyBorder="1" applyAlignment="1">
      <alignment horizontal="center" vertical="center" wrapText="1" readingOrder="2"/>
    </xf>
    <xf numFmtId="0" fontId="3" fillId="4" borderId="5" xfId="0" applyFont="1" applyFill="1" applyBorder="1" applyAlignment="1">
      <alignment horizontal="center" vertical="center" wrapText="1" readingOrder="2"/>
    </xf>
    <xf numFmtId="0" fontId="3" fillId="4" borderId="6" xfId="0" applyFont="1" applyFill="1" applyBorder="1" applyAlignment="1">
      <alignment horizontal="center" vertical="center" wrapText="1" readingOrder="2"/>
    </xf>
    <xf numFmtId="0" fontId="3" fillId="5" borderId="1" xfId="0" applyFont="1" applyFill="1" applyBorder="1" applyAlignment="1">
      <alignment horizontal="center" vertical="center" wrapText="1" readingOrder="2"/>
    </xf>
    <xf numFmtId="0" fontId="4" fillId="5" borderId="1" xfId="0" applyFont="1" applyFill="1" applyBorder="1" applyAlignment="1">
      <alignment horizontal="center" vertical="center" wrapText="1" readingOrder="2"/>
    </xf>
    <xf numFmtId="164" fontId="5" fillId="2" borderId="1" xfId="1" applyNumberFormat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 wrapText="1" readingOrder="2"/>
    </xf>
    <xf numFmtId="164" fontId="4" fillId="4" borderId="1" xfId="1" applyNumberFormat="1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9" fontId="6" fillId="0" borderId="7" xfId="2" applyFont="1" applyBorder="1" applyAlignment="1">
      <alignment horizontal="center" vertical="center"/>
    </xf>
    <xf numFmtId="9" fontId="6" fillId="0" borderId="1" xfId="2" applyFont="1" applyBorder="1" applyAlignment="1">
      <alignment horizontal="center" vertical="center"/>
    </xf>
    <xf numFmtId="164" fontId="6" fillId="6" borderId="1" xfId="1" applyNumberFormat="1" applyFont="1" applyFill="1" applyBorder="1" applyAlignment="1">
      <alignment horizontal="center" vertical="center"/>
    </xf>
    <xf numFmtId="164" fontId="6" fillId="7" borderId="1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9" fontId="6" fillId="0" borderId="8" xfId="2" applyFont="1" applyBorder="1" applyAlignment="1">
      <alignment horizontal="center" vertical="center"/>
    </xf>
    <xf numFmtId="0" fontId="8" fillId="0" borderId="0" xfId="0" applyFont="1"/>
    <xf numFmtId="0" fontId="9" fillId="8" borderId="9" xfId="0" applyFont="1" applyFill="1" applyBorder="1" applyAlignment="1">
      <alignment horizontal="center" vertical="center" wrapText="1" readingOrder="2"/>
    </xf>
    <xf numFmtId="0" fontId="10" fillId="8" borderId="0" xfId="0" applyFont="1" applyFill="1"/>
    <xf numFmtId="164" fontId="10" fillId="8" borderId="0" xfId="0" applyNumberFormat="1" applyFont="1" applyFill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 readingOrder="2"/>
    </xf>
    <xf numFmtId="164" fontId="4" fillId="4" borderId="1" xfId="1" applyNumberFormat="1" applyFont="1" applyFill="1" applyBorder="1" applyAlignment="1">
      <alignment horizontal="center" vertical="center"/>
    </xf>
    <xf numFmtId="9" fontId="0" fillId="0" borderId="7" xfId="2" applyFont="1" applyBorder="1" applyAlignment="1">
      <alignment horizontal="center" vertical="center"/>
    </xf>
    <xf numFmtId="164" fontId="6" fillId="6" borderId="8" xfId="1" applyNumberFormat="1" applyFont="1" applyFill="1" applyBorder="1" applyAlignment="1">
      <alignment horizontal="center" vertical="center"/>
    </xf>
    <xf numFmtId="164" fontId="0" fillId="6" borderId="1" xfId="1" applyNumberFormat="1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8" xfId="2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 readingOrder="2"/>
    </xf>
    <xf numFmtId="0" fontId="3" fillId="4" borderId="1" xfId="0" applyFont="1" applyFill="1" applyBorder="1" applyAlignment="1">
      <alignment horizontal="center" vertical="center" wrapText="1" readingOrder="1"/>
    </xf>
    <xf numFmtId="164" fontId="11" fillId="9" borderId="1" xfId="1" applyNumberFormat="1" applyFont="1" applyFill="1" applyBorder="1" applyAlignment="1">
      <alignment horizontal="center" vertical="center" wrapText="1" readingOrder="2"/>
    </xf>
    <xf numFmtId="164" fontId="3" fillId="4" borderId="1" xfId="1" applyNumberFormat="1" applyFont="1" applyFill="1" applyBorder="1" applyAlignment="1">
      <alignment horizontal="center" vertical="center" wrapText="1" readingOrder="1"/>
    </xf>
    <xf numFmtId="164" fontId="6" fillId="10" borderId="7" xfId="1" applyNumberFormat="1" applyFont="1" applyFill="1" applyBorder="1" applyAlignment="1">
      <alignment horizontal="center"/>
    </xf>
    <xf numFmtId="164" fontId="6" fillId="7" borderId="7" xfId="1" applyNumberFormat="1" applyFont="1" applyFill="1" applyBorder="1" applyAlignment="1">
      <alignment horizontal="center" vertical="center" readingOrder="1"/>
    </xf>
    <xf numFmtId="164" fontId="6" fillId="10" borderId="1" xfId="1" applyNumberFormat="1" applyFont="1" applyFill="1" applyBorder="1" applyAlignment="1">
      <alignment horizontal="center"/>
    </xf>
    <xf numFmtId="164" fontId="6" fillId="7" borderId="1" xfId="1" applyNumberFormat="1" applyFont="1" applyFill="1" applyBorder="1" applyAlignment="1">
      <alignment horizontal="center" vertical="center" readingOrder="1"/>
    </xf>
    <xf numFmtId="164" fontId="6" fillId="10" borderId="8" xfId="1" applyNumberFormat="1" applyFont="1" applyFill="1" applyBorder="1" applyAlignment="1">
      <alignment horizontal="center"/>
    </xf>
    <xf numFmtId="164" fontId="6" fillId="7" borderId="8" xfId="1" applyNumberFormat="1" applyFont="1" applyFill="1" applyBorder="1" applyAlignment="1">
      <alignment horizontal="center" vertical="center" readingOrder="1"/>
    </xf>
    <xf numFmtId="0" fontId="8" fillId="0" borderId="1" xfId="0" applyFont="1" applyBorder="1"/>
    <xf numFmtId="164" fontId="0" fillId="0" borderId="0" xfId="1" applyNumberFormat="1" applyFont="1"/>
    <xf numFmtId="164" fontId="6" fillId="0" borderId="1" xfId="1" applyNumberFormat="1" applyFont="1" applyFill="1" applyBorder="1" applyAlignment="1">
      <alignment horizontal="center"/>
    </xf>
    <xf numFmtId="0" fontId="9" fillId="8" borderId="10" xfId="0" applyFont="1" applyFill="1" applyBorder="1" applyAlignment="1">
      <alignment horizontal="center" vertical="center" wrapText="1" readingOrder="2"/>
    </xf>
    <xf numFmtId="3" fontId="0" fillId="0" borderId="0" xfId="0" applyNumberFormat="1"/>
    <xf numFmtId="164" fontId="6" fillId="0" borderId="8" xfId="1" applyNumberFormat="1" applyFont="1" applyFill="1" applyBorder="1" applyAlignment="1">
      <alignment horizontal="center"/>
    </xf>
    <xf numFmtId="164" fontId="6" fillId="0" borderId="7" xfId="1" applyNumberFormat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3" fontId="12" fillId="11" borderId="11" xfId="0" applyNumberFormat="1" applyFont="1" applyFill="1" applyBorder="1" applyAlignment="1">
      <alignment horizontal="center"/>
    </xf>
    <xf numFmtId="164" fontId="0" fillId="0" borderId="1" xfId="0" applyNumberFormat="1" applyBorder="1"/>
    <xf numFmtId="0" fontId="11" fillId="9" borderId="2" xfId="0" applyFont="1" applyFill="1" applyBorder="1" applyAlignment="1">
      <alignment horizontal="center" vertical="center" wrapText="1" readingOrder="2"/>
    </xf>
    <xf numFmtId="0" fontId="11" fillId="9" borderId="3" xfId="0" applyFont="1" applyFill="1" applyBorder="1" applyAlignment="1">
      <alignment horizontal="center" vertical="center" wrapText="1" readingOrder="2"/>
    </xf>
    <xf numFmtId="0" fontId="11" fillId="9" borderId="4" xfId="0" applyFont="1" applyFill="1" applyBorder="1" applyAlignment="1">
      <alignment horizontal="center" vertical="center" wrapText="1" readingOrder="2"/>
    </xf>
    <xf numFmtId="0" fontId="3" fillId="4" borderId="2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4" xfId="0" applyFont="1" applyFill="1" applyBorder="1" applyAlignment="1">
      <alignment horizontal="center" vertical="center" wrapText="1" readingOrder="1"/>
    </xf>
  </cellXfs>
  <cellStyles count="3">
    <cellStyle name="Comma" xfId="1" builtinId="3"/>
    <cellStyle name="Normal" xfId="0" builtinId="0"/>
    <cellStyle name="Percent" xfId="2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rightToLeft="1" tabSelected="1" workbookViewId="0">
      <selection activeCell="O4" sqref="O4"/>
    </sheetView>
  </sheetViews>
  <sheetFormatPr defaultRowHeight="13.8" x14ac:dyDescent="0.25"/>
  <cols>
    <col min="8" max="8" width="14" bestFit="1" customWidth="1"/>
    <col min="9" max="9" width="12.59765625" bestFit="1" customWidth="1"/>
    <col min="10" max="12" width="14" bestFit="1" customWidth="1"/>
    <col min="13" max="13" width="12.59765625" bestFit="1" customWidth="1"/>
    <col min="14" max="15" width="14" bestFit="1" customWidth="1"/>
  </cols>
  <sheetData>
    <row r="1" spans="1:15" ht="21" x14ac:dyDescent="0.25">
      <c r="A1" s="1"/>
      <c r="B1" s="1"/>
      <c r="C1" s="1"/>
      <c r="D1" s="2" t="s">
        <v>0</v>
      </c>
      <c r="E1" s="2"/>
      <c r="F1" s="2"/>
      <c r="G1" s="3"/>
      <c r="H1" s="4" t="s">
        <v>1</v>
      </c>
      <c r="I1" s="5"/>
      <c r="J1" s="5"/>
      <c r="K1" s="6"/>
      <c r="L1" s="7" t="s">
        <v>2</v>
      </c>
      <c r="M1" s="8"/>
      <c r="N1" s="8"/>
      <c r="O1" s="8"/>
    </row>
    <row r="2" spans="1:15" ht="42" x14ac:dyDescent="0.25">
      <c r="A2" s="9" t="s">
        <v>3</v>
      </c>
      <c r="B2" s="10" t="s">
        <v>4</v>
      </c>
      <c r="C2" s="10" t="s">
        <v>5</v>
      </c>
      <c r="D2" s="11" t="s">
        <v>6</v>
      </c>
      <c r="E2" s="11" t="s">
        <v>7</v>
      </c>
      <c r="F2" s="11" t="s">
        <v>8</v>
      </c>
      <c r="G2" s="11" t="s">
        <v>9</v>
      </c>
      <c r="H2" s="12" t="s">
        <v>6</v>
      </c>
      <c r="I2" s="12" t="s">
        <v>7</v>
      </c>
      <c r="J2" s="12" t="s">
        <v>10</v>
      </c>
      <c r="K2" s="12" t="s">
        <v>9</v>
      </c>
      <c r="L2" s="13" t="s">
        <v>6</v>
      </c>
      <c r="M2" s="13" t="s">
        <v>11</v>
      </c>
      <c r="N2" s="13" t="s">
        <v>10</v>
      </c>
      <c r="O2" s="13" t="s">
        <v>12</v>
      </c>
    </row>
    <row r="3" spans="1:15" ht="31.2" x14ac:dyDescent="0.25">
      <c r="A3" s="14" t="s">
        <v>13</v>
      </c>
      <c r="B3" s="14" t="s">
        <v>14</v>
      </c>
      <c r="C3" s="14" t="s">
        <v>15</v>
      </c>
      <c r="D3" s="15">
        <v>-0.17421310774229082</v>
      </c>
      <c r="E3" s="15">
        <v>-1.5509179025282815E-2</v>
      </c>
      <c r="F3" s="15">
        <v>-0.76230029851038184</v>
      </c>
      <c r="G3" s="16">
        <v>-0.26417253083423264</v>
      </c>
      <c r="H3" s="17">
        <v>809886.01149999991</v>
      </c>
      <c r="I3" s="17">
        <v>125595.537</v>
      </c>
      <c r="J3" s="17">
        <v>330864.83999999997</v>
      </c>
      <c r="K3" s="17">
        <v>2854242.49</v>
      </c>
      <c r="L3" s="18">
        <v>980744.57113961189</v>
      </c>
      <c r="M3" s="18">
        <v>127574.10665916755</v>
      </c>
      <c r="N3" s="18">
        <v>1391944.7013460002</v>
      </c>
      <c r="O3" s="18">
        <v>3878956.1542679998</v>
      </c>
    </row>
    <row r="4" spans="1:15" ht="31.2" x14ac:dyDescent="0.25">
      <c r="A4" s="19" t="s">
        <v>16</v>
      </c>
      <c r="B4" s="1" t="s">
        <v>14</v>
      </c>
      <c r="C4" s="14" t="s">
        <v>15</v>
      </c>
      <c r="D4" s="16">
        <v>0</v>
      </c>
      <c r="E4" s="16">
        <v>-0.78272640861191789</v>
      </c>
      <c r="F4" s="16">
        <v>0</v>
      </c>
      <c r="G4" s="16">
        <v>-0.97401376600620704</v>
      </c>
      <c r="H4" s="17">
        <v>0</v>
      </c>
      <c r="I4" s="17">
        <v>3083.8083490234649</v>
      </c>
      <c r="J4" s="17">
        <v>0</v>
      </c>
      <c r="K4" s="17">
        <v>-11711.17</v>
      </c>
      <c r="L4" s="18">
        <v>92069.841651598326</v>
      </c>
      <c r="M4" s="18">
        <v>14193.203735999998</v>
      </c>
      <c r="N4" s="18">
        <v>238023.90755900004</v>
      </c>
      <c r="O4" s="18">
        <v>-450668.22698499996</v>
      </c>
    </row>
    <row r="5" spans="1:15" ht="31.2" x14ac:dyDescent="0.25">
      <c r="A5" s="19" t="s">
        <v>17</v>
      </c>
      <c r="B5" s="1" t="s">
        <v>14</v>
      </c>
      <c r="C5" s="14" t="s">
        <v>15</v>
      </c>
      <c r="D5" s="16">
        <v>0.99657241176878997</v>
      </c>
      <c r="E5" s="16">
        <v>-0.43261875149208051</v>
      </c>
      <c r="F5" s="16">
        <v>-0.90714788196362606</v>
      </c>
      <c r="G5" s="16">
        <v>1.3895142897079333</v>
      </c>
      <c r="H5" s="17">
        <v>28190.67325139153</v>
      </c>
      <c r="I5" s="17">
        <v>12804.424034031957</v>
      </c>
      <c r="J5" s="17">
        <v>3976.649296051708</v>
      </c>
      <c r="K5" s="17">
        <v>-14017.99</v>
      </c>
      <c r="L5" s="18">
        <v>14119.534601010058</v>
      </c>
      <c r="M5" s="18">
        <v>22567.58408513607</v>
      </c>
      <c r="N5" s="18">
        <v>42827.771516142377</v>
      </c>
      <c r="O5" s="18">
        <v>-5866.4599999999991</v>
      </c>
    </row>
    <row r="6" spans="1:15" ht="31.2" x14ac:dyDescent="0.25">
      <c r="A6" s="19" t="s">
        <v>18</v>
      </c>
      <c r="B6" s="1" t="s">
        <v>14</v>
      </c>
      <c r="C6" s="14" t="s">
        <v>15</v>
      </c>
      <c r="D6" s="16">
        <v>-9.4617114542874137E-2</v>
      </c>
      <c r="E6" s="16">
        <v>2.1979059026958847E-2</v>
      </c>
      <c r="F6" s="16">
        <v>0.22808776995720059</v>
      </c>
      <c r="G6" s="16">
        <v>2.1691149891058012</v>
      </c>
      <c r="H6" s="17">
        <v>1004008.8313400404</v>
      </c>
      <c r="I6" s="17">
        <v>105776.9615</v>
      </c>
      <c r="J6" s="17">
        <v>843545.73439999996</v>
      </c>
      <c r="K6" s="17">
        <v>2127579.39</v>
      </c>
      <c r="L6" s="18">
        <v>1108932.8586470005</v>
      </c>
      <c r="M6" s="18">
        <v>103502.08310600002</v>
      </c>
      <c r="N6" s="18">
        <v>686877.39999999991</v>
      </c>
      <c r="O6" s="18">
        <v>671348.12</v>
      </c>
    </row>
    <row r="7" spans="1:15" ht="15.6" x14ac:dyDescent="0.25">
      <c r="A7" s="19" t="s">
        <v>19</v>
      </c>
      <c r="B7" s="1" t="s">
        <v>14</v>
      </c>
      <c r="C7" s="14" t="s">
        <v>15</v>
      </c>
      <c r="D7" s="16">
        <v>-0.60242404080410905</v>
      </c>
      <c r="E7" s="16">
        <v>2.5808200207602994E-2</v>
      </c>
      <c r="F7" s="16">
        <v>6.7924340687120717</v>
      </c>
      <c r="G7" s="16">
        <v>0.29022655845850021</v>
      </c>
      <c r="H7" s="17">
        <v>102321.92694652559</v>
      </c>
      <c r="I7" s="17">
        <v>58156.03452856106</v>
      </c>
      <c r="J7" s="17">
        <v>200592.29237319095</v>
      </c>
      <c r="K7" s="17">
        <v>190904</v>
      </c>
      <c r="L7" s="18">
        <v>257364.47232240779</v>
      </c>
      <c r="M7" s="18">
        <v>56692.892995777816</v>
      </c>
      <c r="N7" s="18">
        <v>25741.930006004492</v>
      </c>
      <c r="O7" s="18">
        <v>147961.610888</v>
      </c>
    </row>
    <row r="8" spans="1:15" ht="31.2" x14ac:dyDescent="0.25">
      <c r="A8" s="19" t="s">
        <v>20</v>
      </c>
      <c r="B8" s="1" t="s">
        <v>14</v>
      </c>
      <c r="C8" s="14" t="s">
        <v>15</v>
      </c>
      <c r="D8" s="16">
        <v>-0.74296052614332697</v>
      </c>
      <c r="E8" s="16">
        <v>3.8502620209603933E-3</v>
      </c>
      <c r="F8" s="16">
        <v>0.76678160259702999</v>
      </c>
      <c r="G8" s="16">
        <v>-0.77634375326145433</v>
      </c>
      <c r="H8" s="17">
        <v>27454.89</v>
      </c>
      <c r="I8" s="17">
        <v>49894.046999999999</v>
      </c>
      <c r="J8" s="17">
        <v>225184.05</v>
      </c>
      <c r="K8" s="17">
        <v>59103.61</v>
      </c>
      <c r="L8" s="18">
        <v>106811.95999999999</v>
      </c>
      <c r="M8" s="18">
        <v>49702.678664000006</v>
      </c>
      <c r="N8" s="18">
        <v>127454.37787500002</v>
      </c>
      <c r="O8" s="18">
        <v>264260.94</v>
      </c>
    </row>
    <row r="9" spans="1:15" ht="15.6" x14ac:dyDescent="0.25">
      <c r="A9" s="1" t="s">
        <v>21</v>
      </c>
      <c r="B9" s="1" t="s">
        <v>14</v>
      </c>
      <c r="C9" s="14" t="s">
        <v>15</v>
      </c>
      <c r="D9" s="16">
        <v>-0.64033552493122659</v>
      </c>
      <c r="E9" s="16">
        <v>-0.1787686736659746</v>
      </c>
      <c r="F9" s="16">
        <v>0.32588051694877906</v>
      </c>
      <c r="G9" s="16">
        <v>-0.77875017838676808</v>
      </c>
      <c r="H9" s="17">
        <v>481769.02697970619</v>
      </c>
      <c r="I9" s="17">
        <v>72345.61</v>
      </c>
      <c r="J9" s="17">
        <v>1115202.1599999999</v>
      </c>
      <c r="K9" s="17">
        <v>911002.32000000007</v>
      </c>
      <c r="L9" s="18">
        <v>1339495.7255302586</v>
      </c>
      <c r="M9" s="18">
        <v>88094.070062999934</v>
      </c>
      <c r="N9" s="18">
        <v>841103.05999999994</v>
      </c>
      <c r="O9" s="18">
        <v>4117527.9299999992</v>
      </c>
    </row>
    <row r="10" spans="1:15" ht="15.6" x14ac:dyDescent="0.25">
      <c r="A10" s="1" t="s">
        <v>22</v>
      </c>
      <c r="B10" s="1" t="s">
        <v>14</v>
      </c>
      <c r="C10" s="14" t="s">
        <v>15</v>
      </c>
      <c r="D10" s="16">
        <v>8.612260144348971E-2</v>
      </c>
      <c r="E10" s="16">
        <v>-5.0821243745244105E-2</v>
      </c>
      <c r="F10" s="16">
        <v>6.3666888992308657E-3</v>
      </c>
      <c r="G10" s="16">
        <v>-1.0993661216705388</v>
      </c>
      <c r="H10" s="17">
        <v>882473.34513177013</v>
      </c>
      <c r="I10" s="17">
        <v>97901.515810199897</v>
      </c>
      <c r="J10" s="17">
        <v>2402710.0300000003</v>
      </c>
      <c r="K10" s="17">
        <v>-380692.29999999981</v>
      </c>
      <c r="L10" s="18">
        <v>812498.83204615791</v>
      </c>
      <c r="M10" s="18">
        <v>103143.39123696476</v>
      </c>
      <c r="N10" s="18">
        <v>2387509.4997709999</v>
      </c>
      <c r="O10" s="18">
        <v>3831208.1985269999</v>
      </c>
    </row>
    <row r="11" spans="1:15" ht="31.2" x14ac:dyDescent="0.25">
      <c r="A11" s="1" t="s">
        <v>23</v>
      </c>
      <c r="B11" s="1" t="s">
        <v>14</v>
      </c>
      <c r="C11" s="14" t="s">
        <v>15</v>
      </c>
      <c r="D11" s="16">
        <v>0</v>
      </c>
      <c r="E11" s="16">
        <v>-0.9944126026977349</v>
      </c>
      <c r="F11" s="16">
        <v>0</v>
      </c>
      <c r="G11" s="16">
        <v>0</v>
      </c>
      <c r="H11" s="17">
        <v>0</v>
      </c>
      <c r="I11" s="17">
        <v>9.77</v>
      </c>
      <c r="J11" s="17">
        <v>0</v>
      </c>
      <c r="K11" s="17">
        <v>0</v>
      </c>
      <c r="L11" s="18">
        <v>0</v>
      </c>
      <c r="M11" s="18">
        <v>1748.578</v>
      </c>
      <c r="N11" s="18">
        <v>0</v>
      </c>
      <c r="O11" s="18">
        <v>0</v>
      </c>
    </row>
    <row r="12" spans="1:15" ht="15.6" x14ac:dyDescent="0.25">
      <c r="A12" s="1" t="s">
        <v>24</v>
      </c>
      <c r="B12" s="1" t="s">
        <v>14</v>
      </c>
      <c r="C12" s="14" t="s">
        <v>15</v>
      </c>
      <c r="D12" s="16">
        <v>-2.2817243439913759</v>
      </c>
      <c r="E12" s="16">
        <v>2.2419332407461745E-3</v>
      </c>
      <c r="F12" s="16">
        <v>-0.31094233687912898</v>
      </c>
      <c r="G12" s="16" t="e">
        <v>#DIV/0!</v>
      </c>
      <c r="H12" s="17">
        <v>41053.826915774822</v>
      </c>
      <c r="I12" s="17">
        <v>4875.2298668525636</v>
      </c>
      <c r="J12" s="17">
        <v>45585.683609235886</v>
      </c>
      <c r="K12" s="17">
        <v>14254.46</v>
      </c>
      <c r="L12" s="18">
        <v>-32030.153057661712</v>
      </c>
      <c r="M12" s="18">
        <v>4864.3243763394767</v>
      </c>
      <c r="N12" s="18">
        <v>66156.55851321615</v>
      </c>
      <c r="O12" s="18">
        <v>0</v>
      </c>
    </row>
    <row r="13" spans="1:15" ht="15.6" x14ac:dyDescent="0.25">
      <c r="A13" s="1" t="s">
        <v>25</v>
      </c>
      <c r="B13" s="1" t="s">
        <v>14</v>
      </c>
      <c r="C13" s="14" t="s">
        <v>15</v>
      </c>
      <c r="D13" s="16">
        <v>0</v>
      </c>
      <c r="E13" s="16">
        <v>0</v>
      </c>
      <c r="F13" s="16">
        <v>0</v>
      </c>
      <c r="G13" s="16">
        <v>0</v>
      </c>
      <c r="H13" s="17">
        <v>0</v>
      </c>
      <c r="I13" s="17">
        <v>0</v>
      </c>
      <c r="J13" s="17">
        <v>0</v>
      </c>
      <c r="K13" s="17">
        <v>0</v>
      </c>
      <c r="L13" s="18">
        <v>0</v>
      </c>
      <c r="M13" s="18">
        <v>7.46</v>
      </c>
      <c r="N13" s="18">
        <v>0</v>
      </c>
      <c r="O13" s="18">
        <v>0</v>
      </c>
    </row>
    <row r="14" spans="1:15" ht="31.2" x14ac:dyDescent="0.25">
      <c r="A14" s="1" t="s">
        <v>26</v>
      </c>
      <c r="B14" s="1" t="s">
        <v>14</v>
      </c>
      <c r="C14" s="14" t="s">
        <v>15</v>
      </c>
      <c r="D14" s="16">
        <v>0</v>
      </c>
      <c r="E14" s="16">
        <v>9.2167420772668613</v>
      </c>
      <c r="F14" s="16">
        <v>0</v>
      </c>
      <c r="G14" s="16">
        <v>0</v>
      </c>
      <c r="H14" s="17">
        <v>0</v>
      </c>
      <c r="I14" s="17">
        <v>6634.0779999999995</v>
      </c>
      <c r="J14" s="17">
        <v>0</v>
      </c>
      <c r="K14" s="17">
        <v>0</v>
      </c>
      <c r="L14" s="18">
        <v>0</v>
      </c>
      <c r="M14" s="18">
        <v>649.33399999999995</v>
      </c>
      <c r="N14" s="18">
        <v>0</v>
      </c>
      <c r="O14" s="18">
        <v>0</v>
      </c>
    </row>
    <row r="15" spans="1:15" ht="15.6" x14ac:dyDescent="0.25">
      <c r="A15" s="19" t="s">
        <v>27</v>
      </c>
      <c r="B15" s="1" t="s">
        <v>14</v>
      </c>
      <c r="C15" s="14" t="s">
        <v>15</v>
      </c>
      <c r="D15" s="16">
        <v>1.4829765164193542E-2</v>
      </c>
      <c r="E15" s="16">
        <v>-0.35564596342480159</v>
      </c>
      <c r="F15" s="16">
        <v>-0.51791779808822047</v>
      </c>
      <c r="G15" s="16">
        <v>-0.81447797839054437</v>
      </c>
      <c r="H15" s="17">
        <v>1954208.5290769357</v>
      </c>
      <c r="I15" s="17">
        <v>270048.03288136324</v>
      </c>
      <c r="J15" s="17">
        <v>2768253.3764824551</v>
      </c>
      <c r="K15" s="17">
        <v>2849610.87</v>
      </c>
      <c r="L15" s="18">
        <v>1925651.5685276105</v>
      </c>
      <c r="M15" s="18">
        <v>419098.84559223626</v>
      </c>
      <c r="N15" s="18">
        <v>5742284.9578442685</v>
      </c>
      <c r="O15" s="18">
        <v>15359960.210000006</v>
      </c>
    </row>
    <row r="16" spans="1:15" ht="46.8" x14ac:dyDescent="0.25">
      <c r="A16" s="1" t="s">
        <v>28</v>
      </c>
      <c r="B16" s="1" t="s">
        <v>14</v>
      </c>
      <c r="C16" s="14" t="s">
        <v>15</v>
      </c>
      <c r="D16" s="16">
        <v>-0.55419875010100494</v>
      </c>
      <c r="E16" s="16">
        <v>0</v>
      </c>
      <c r="F16" s="16">
        <v>0</v>
      </c>
      <c r="G16" s="16">
        <v>0</v>
      </c>
      <c r="H16" s="17">
        <v>2262</v>
      </c>
      <c r="I16" s="17">
        <v>0</v>
      </c>
      <c r="J16" s="17">
        <v>0</v>
      </c>
      <c r="K16" s="17">
        <v>0</v>
      </c>
      <c r="L16" s="18">
        <v>5074.01</v>
      </c>
      <c r="M16" s="18">
        <v>2399.63</v>
      </c>
      <c r="N16" s="18">
        <v>0</v>
      </c>
      <c r="O16" s="18">
        <v>0</v>
      </c>
    </row>
    <row r="17" spans="1:15" ht="31.2" x14ac:dyDescent="0.25">
      <c r="A17" s="1" t="s">
        <v>29</v>
      </c>
      <c r="B17" s="1" t="s">
        <v>14</v>
      </c>
      <c r="C17" s="14" t="s">
        <v>15</v>
      </c>
      <c r="D17" s="16">
        <v>0.23282558673642018</v>
      </c>
      <c r="E17" s="16">
        <v>0.20753376966773551</v>
      </c>
      <c r="F17" s="16">
        <v>0.35334281138893919</v>
      </c>
      <c r="G17" s="16">
        <v>2.055875437126319</v>
      </c>
      <c r="H17" s="17">
        <v>44755.199999999997</v>
      </c>
      <c r="I17" s="17">
        <v>-3451</v>
      </c>
      <c r="J17" s="17">
        <v>24102.44</v>
      </c>
      <c r="K17" s="17">
        <v>-580576.23</v>
      </c>
      <c r="L17" s="18">
        <v>36302.94543</v>
      </c>
      <c r="M17" s="18">
        <v>-2857.8910890000002</v>
      </c>
      <c r="N17" s="18">
        <v>17809.560000000001</v>
      </c>
      <c r="O17" s="18">
        <v>-189986.87673800005</v>
      </c>
    </row>
    <row r="18" spans="1:15" ht="31.2" x14ac:dyDescent="0.25">
      <c r="A18" s="1" t="s">
        <v>30</v>
      </c>
      <c r="B18" s="1" t="s">
        <v>14</v>
      </c>
      <c r="C18" s="14" t="s">
        <v>15</v>
      </c>
      <c r="D18" s="16">
        <v>-4.1266574063991435</v>
      </c>
      <c r="E18" s="16">
        <v>0</v>
      </c>
      <c r="F18" s="16">
        <v>0</v>
      </c>
      <c r="G18" s="16">
        <v>0</v>
      </c>
      <c r="H18" s="17">
        <v>63754.879654273449</v>
      </c>
      <c r="I18" s="17">
        <v>0</v>
      </c>
      <c r="J18" s="17">
        <v>0</v>
      </c>
      <c r="K18" s="17">
        <v>0</v>
      </c>
      <c r="L18" s="18">
        <v>-20390.746847988568</v>
      </c>
      <c r="M18" s="18">
        <v>0</v>
      </c>
      <c r="N18" s="18">
        <v>0</v>
      </c>
      <c r="O18" s="18">
        <v>623322.27</v>
      </c>
    </row>
    <row r="19" spans="1:15" ht="15.6" x14ac:dyDescent="0.25">
      <c r="A19" s="1" t="s">
        <v>31</v>
      </c>
      <c r="B19" s="1" t="s">
        <v>14</v>
      </c>
      <c r="C19" s="14" t="s">
        <v>15</v>
      </c>
      <c r="D19" s="16">
        <v>2.3479463747030582</v>
      </c>
      <c r="E19" s="16">
        <v>2.4360828130134737</v>
      </c>
      <c r="F19" s="16">
        <v>1</v>
      </c>
      <c r="G19" s="16">
        <v>1</v>
      </c>
      <c r="H19" s="17">
        <v>23585.8</v>
      </c>
      <c r="I19" s="17">
        <v>2614</v>
      </c>
      <c r="J19" s="17">
        <v>246259.19</v>
      </c>
      <c r="K19" s="17">
        <v>230013.85</v>
      </c>
      <c r="L19" s="18">
        <v>7044.855968486625</v>
      </c>
      <c r="M19" s="18">
        <v>760.75</v>
      </c>
      <c r="N19" s="18">
        <v>0</v>
      </c>
      <c r="O19" s="18">
        <v>0</v>
      </c>
    </row>
    <row r="20" spans="1:15" ht="15.6" x14ac:dyDescent="0.25">
      <c r="A20" s="19" t="s">
        <v>32</v>
      </c>
      <c r="B20" s="1" t="s">
        <v>14</v>
      </c>
      <c r="C20" s="14" t="s">
        <v>15</v>
      </c>
      <c r="D20" s="16">
        <v>2.4888071994876082E-2</v>
      </c>
      <c r="E20" s="16">
        <v>-3.1906896336573065E-2</v>
      </c>
      <c r="F20" s="16">
        <v>7.8907324783922705E-2</v>
      </c>
      <c r="G20" s="16">
        <v>-0.5731540846457408</v>
      </c>
      <c r="H20" s="17">
        <v>414338.30679207749</v>
      </c>
      <c r="I20" s="17">
        <v>43595.543740730893</v>
      </c>
      <c r="J20" s="17">
        <v>834959.46726859419</v>
      </c>
      <c r="K20" s="17">
        <v>1595065.21</v>
      </c>
      <c r="L20" s="18">
        <v>404276.64065364294</v>
      </c>
      <c r="M20" s="18">
        <v>45032.387459179321</v>
      </c>
      <c r="N20" s="18">
        <v>773893.59409142495</v>
      </c>
      <c r="O20" s="18">
        <v>3736864.1765639987</v>
      </c>
    </row>
    <row r="21" spans="1:15" ht="31.2" x14ac:dyDescent="0.25">
      <c r="A21" s="1" t="s">
        <v>33</v>
      </c>
      <c r="B21" s="1" t="s">
        <v>14</v>
      </c>
      <c r="C21" s="14" t="s">
        <v>15</v>
      </c>
      <c r="D21" s="16">
        <v>-0.9590626721611677</v>
      </c>
      <c r="E21" s="16">
        <v>-0.41619999045602707</v>
      </c>
      <c r="F21" s="16">
        <v>-0.77248592233009705</v>
      </c>
      <c r="G21" s="16">
        <v>0</v>
      </c>
      <c r="H21" s="17">
        <v>9990</v>
      </c>
      <c r="I21" s="17">
        <v>22432.74973032199</v>
      </c>
      <c r="J21" s="17">
        <v>9373.58</v>
      </c>
      <c r="K21" s="17">
        <v>0</v>
      </c>
      <c r="L21" s="18">
        <v>244031.56061699998</v>
      </c>
      <c r="M21" s="18">
        <v>38425.401444999996</v>
      </c>
      <c r="N21" s="18">
        <v>41200</v>
      </c>
      <c r="O21" s="18">
        <v>130943.81152000002</v>
      </c>
    </row>
    <row r="22" spans="1:15" ht="15.6" x14ac:dyDescent="0.25">
      <c r="A22" s="1" t="s">
        <v>34</v>
      </c>
      <c r="B22" s="1" t="s">
        <v>14</v>
      </c>
      <c r="C22" s="14" t="s">
        <v>15</v>
      </c>
      <c r="D22" s="16">
        <v>1</v>
      </c>
      <c r="E22" s="16">
        <v>2.1113937235280402</v>
      </c>
      <c r="F22" s="16">
        <v>3.7553464352876444</v>
      </c>
      <c r="G22" s="16">
        <v>-0.94348030946369499</v>
      </c>
      <c r="H22" s="17">
        <v>7074.392520490368</v>
      </c>
      <c r="I22" s="17">
        <v>31558.838535201401</v>
      </c>
      <c r="J22" s="17">
        <v>604514</v>
      </c>
      <c r="K22" s="17">
        <v>178619.22999999998</v>
      </c>
      <c r="L22" s="18">
        <v>0</v>
      </c>
      <c r="M22" s="18">
        <v>10142.991</v>
      </c>
      <c r="N22" s="18">
        <v>127123.02</v>
      </c>
      <c r="O22" s="18">
        <v>3160300.9200000004</v>
      </c>
    </row>
    <row r="23" spans="1:15" ht="15.6" x14ac:dyDescent="0.25">
      <c r="A23" s="20" t="s">
        <v>35</v>
      </c>
      <c r="B23" s="1" t="s">
        <v>14</v>
      </c>
      <c r="C23" s="14" t="s">
        <v>15</v>
      </c>
      <c r="D23" s="16">
        <v>0</v>
      </c>
      <c r="E23" s="16">
        <v>1</v>
      </c>
      <c r="F23" s="16">
        <v>0</v>
      </c>
      <c r="G23" s="16">
        <v>0</v>
      </c>
      <c r="H23" s="17">
        <v>0</v>
      </c>
      <c r="I23" s="17">
        <v>5611.4780000000001</v>
      </c>
      <c r="J23" s="17">
        <v>0</v>
      </c>
      <c r="K23" s="17">
        <v>0</v>
      </c>
      <c r="L23" s="18">
        <v>0</v>
      </c>
      <c r="M23" s="18">
        <v>0</v>
      </c>
      <c r="N23" s="18">
        <v>0</v>
      </c>
      <c r="O23" s="18">
        <v>0</v>
      </c>
    </row>
    <row r="24" spans="1:15" ht="46.8" x14ac:dyDescent="0.25">
      <c r="A24" s="20" t="s">
        <v>36</v>
      </c>
      <c r="B24" s="1" t="s">
        <v>14</v>
      </c>
      <c r="C24" s="14" t="s">
        <v>15</v>
      </c>
      <c r="D24" s="16">
        <v>-0.25824526696811911</v>
      </c>
      <c r="E24" s="16">
        <v>-1.8862517607832228</v>
      </c>
      <c r="F24" s="16">
        <v>0.94616533263573555</v>
      </c>
      <c r="G24" s="16">
        <v>1</v>
      </c>
      <c r="H24" s="17">
        <v>10393.585999999999</v>
      </c>
      <c r="I24" s="17">
        <v>-4045.5</v>
      </c>
      <c r="J24" s="17">
        <v>1059086.69</v>
      </c>
      <c r="K24" s="17">
        <v>955923.42</v>
      </c>
      <c r="L24" s="18">
        <v>14012.16</v>
      </c>
      <c r="M24" s="18">
        <v>4564.7299999999996</v>
      </c>
      <c r="N24" s="18">
        <v>544191.53</v>
      </c>
      <c r="O24" s="18">
        <v>0</v>
      </c>
    </row>
    <row r="25" spans="1:15" ht="31.2" x14ac:dyDescent="0.25">
      <c r="A25" s="1" t="s">
        <v>37</v>
      </c>
      <c r="B25" s="1" t="s">
        <v>14</v>
      </c>
      <c r="C25" s="1" t="s">
        <v>15</v>
      </c>
      <c r="D25" s="16">
        <v>0.31852164531700344</v>
      </c>
      <c r="E25" s="16">
        <v>0.92990822343013124</v>
      </c>
      <c r="F25" s="16">
        <v>7.0580985113473869</v>
      </c>
      <c r="G25" s="16">
        <v>-0.72122589846411345</v>
      </c>
      <c r="H25" s="17">
        <v>119634.28049999999</v>
      </c>
      <c r="I25" s="17">
        <v>4022.72</v>
      </c>
      <c r="J25" s="17">
        <v>1496891.3800000001</v>
      </c>
      <c r="K25" s="17">
        <v>400297.28</v>
      </c>
      <c r="L25" s="18">
        <v>90733.649254000004</v>
      </c>
      <c r="M25" s="18">
        <v>2084.41</v>
      </c>
      <c r="N25" s="18">
        <v>185762.35794239581</v>
      </c>
      <c r="O25" s="18">
        <v>1435919.9</v>
      </c>
    </row>
    <row r="26" spans="1:15" ht="31.2" x14ac:dyDescent="0.25">
      <c r="A26" s="1" t="s">
        <v>38</v>
      </c>
      <c r="B26" s="1" t="s">
        <v>14</v>
      </c>
      <c r="C26" s="1" t="s">
        <v>15</v>
      </c>
      <c r="D26" s="16">
        <v>-0.76072392490883667</v>
      </c>
      <c r="E26" s="16">
        <v>10.783506275630669</v>
      </c>
      <c r="F26" s="16">
        <v>0</v>
      </c>
      <c r="G26" s="16">
        <v>1</v>
      </c>
      <c r="H26" s="17">
        <v>23762.05</v>
      </c>
      <c r="I26" s="17">
        <v>22757.25</v>
      </c>
      <c r="J26" s="17">
        <v>0</v>
      </c>
      <c r="K26" s="17">
        <v>140806.85999999999</v>
      </c>
      <c r="L26" s="18">
        <v>99308.09</v>
      </c>
      <c r="M26" s="18">
        <v>1931.28</v>
      </c>
      <c r="N26" s="18">
        <v>18377.04</v>
      </c>
      <c r="O26" s="18">
        <v>0</v>
      </c>
    </row>
    <row r="27" spans="1:15" ht="31.2" x14ac:dyDescent="0.25">
      <c r="A27" s="1" t="s">
        <v>39</v>
      </c>
      <c r="B27" s="1" t="s">
        <v>14</v>
      </c>
      <c r="C27" s="1" t="s">
        <v>15</v>
      </c>
      <c r="D27" s="16">
        <v>0.29760502868889493</v>
      </c>
      <c r="E27" s="16">
        <v>-0.14425624563212214</v>
      </c>
      <c r="F27" s="16">
        <v>-0.57818441298189671</v>
      </c>
      <c r="G27" s="16">
        <v>-0.60576425401055167</v>
      </c>
      <c r="H27" s="17">
        <v>180157.22100000002</v>
      </c>
      <c r="I27" s="17">
        <v>14237.655999999999</v>
      </c>
      <c r="J27" s="17">
        <v>145758.21000000002</v>
      </c>
      <c r="K27" s="17">
        <v>616583.69999999995</v>
      </c>
      <c r="L27" s="18">
        <v>138838.25741799996</v>
      </c>
      <c r="M27" s="18">
        <v>16637.756252766452</v>
      </c>
      <c r="N27" s="18">
        <v>345549.60623999999</v>
      </c>
      <c r="O27" s="18">
        <v>1563997.4463819999</v>
      </c>
    </row>
    <row r="28" spans="1:15" ht="31.2" x14ac:dyDescent="0.25">
      <c r="A28" s="1" t="s">
        <v>40</v>
      </c>
      <c r="B28" s="1" t="s">
        <v>14</v>
      </c>
      <c r="C28" s="1" t="s">
        <v>15</v>
      </c>
      <c r="D28" s="16">
        <v>-0.79020072122424057</v>
      </c>
      <c r="E28" s="16">
        <v>-1.0712138012925259</v>
      </c>
      <c r="F28" s="16">
        <v>0</v>
      </c>
      <c r="G28" s="16">
        <v>0</v>
      </c>
      <c r="H28" s="17">
        <v>6018</v>
      </c>
      <c r="I28" s="17">
        <v>870</v>
      </c>
      <c r="J28" s="17">
        <v>0</v>
      </c>
      <c r="K28" s="17">
        <v>0</v>
      </c>
      <c r="L28" s="18">
        <v>28684.560000000001</v>
      </c>
      <c r="M28" s="18">
        <v>-12216.733051874169</v>
      </c>
      <c r="N28" s="18">
        <v>0</v>
      </c>
      <c r="O28" s="18">
        <v>909374.59000000008</v>
      </c>
    </row>
    <row r="29" spans="1:15" ht="15.6" x14ac:dyDescent="0.25">
      <c r="A29" s="20" t="s">
        <v>41</v>
      </c>
      <c r="B29" s="20" t="s">
        <v>14</v>
      </c>
      <c r="C29" s="1" t="s">
        <v>15</v>
      </c>
      <c r="D29" s="21">
        <v>6.7968953492173005</v>
      </c>
      <c r="E29" s="21">
        <v>-7.3075426702797346</v>
      </c>
      <c r="F29" s="21">
        <v>10.064233845918075</v>
      </c>
      <c r="G29" s="16">
        <v>31.630521142203818</v>
      </c>
      <c r="H29" s="17">
        <v>135960</v>
      </c>
      <c r="I29" s="17">
        <v>3272.9</v>
      </c>
      <c r="J29" s="17">
        <v>4501</v>
      </c>
      <c r="K29" s="17">
        <v>156597</v>
      </c>
      <c r="L29" s="18">
        <v>17437.71</v>
      </c>
      <c r="M29" s="18">
        <v>-518.88669979538156</v>
      </c>
      <c r="N29" s="18">
        <v>406.80629699999997</v>
      </c>
      <c r="O29" s="18">
        <v>4799.0958929999997</v>
      </c>
    </row>
    <row r="30" spans="1:15" ht="15.6" x14ac:dyDescent="0.25">
      <c r="A30" s="19" t="s">
        <v>42</v>
      </c>
      <c r="B30" s="1" t="s">
        <v>14</v>
      </c>
      <c r="C30" s="1" t="s">
        <v>43</v>
      </c>
      <c r="D30" s="16">
        <v>9.9134061307709853E-2</v>
      </c>
      <c r="E30" s="16">
        <v>9.1606633249038172E-2</v>
      </c>
      <c r="F30" s="16">
        <v>0.26614106047177333</v>
      </c>
      <c r="G30" s="16">
        <v>-0.19990988288920086</v>
      </c>
      <c r="H30" s="17">
        <v>2062092.4200312339</v>
      </c>
      <c r="I30" s="17">
        <v>445195.05299999996</v>
      </c>
      <c r="J30" s="17">
        <v>5224929.6899999995</v>
      </c>
      <c r="K30" s="17">
        <v>8551547.6900000013</v>
      </c>
      <c r="L30" s="18">
        <v>1876106.3755751788</v>
      </c>
      <c r="M30" s="18">
        <v>407834.69011628255</v>
      </c>
      <c r="N30" s="18">
        <v>4126656.8576910007</v>
      </c>
      <c r="O30" s="18">
        <v>10688230.621920999</v>
      </c>
    </row>
    <row r="31" spans="1:15" ht="31.2" x14ac:dyDescent="0.25">
      <c r="A31" s="1" t="s">
        <v>44</v>
      </c>
      <c r="B31" s="1" t="s">
        <v>14</v>
      </c>
      <c r="C31" s="1" t="s">
        <v>43</v>
      </c>
      <c r="D31" s="16">
        <v>2.7176810649661083</v>
      </c>
      <c r="E31" s="16">
        <v>-1.039838478778041</v>
      </c>
      <c r="F31" s="16">
        <v>3.106706693999616</v>
      </c>
      <c r="G31" s="16">
        <v>5.1109501015833603</v>
      </c>
      <c r="H31" s="17">
        <v>221736.30800000002</v>
      </c>
      <c r="I31" s="17">
        <v>-295.47004582151453</v>
      </c>
      <c r="J31" s="17">
        <v>77573.259999999995</v>
      </c>
      <c r="K31" s="17">
        <v>2185473.69</v>
      </c>
      <c r="L31" s="18">
        <v>59643.714488999998</v>
      </c>
      <c r="M31" s="18">
        <v>7416.700006737663</v>
      </c>
      <c r="N31" s="18">
        <v>18889.408418999999</v>
      </c>
      <c r="O31" s="18">
        <v>357632.39</v>
      </c>
    </row>
    <row r="32" spans="1:15" ht="15.6" x14ac:dyDescent="0.25">
      <c r="A32" s="1" t="s">
        <v>45</v>
      </c>
      <c r="B32" s="1" t="s">
        <v>14</v>
      </c>
      <c r="C32" s="1" t="s">
        <v>43</v>
      </c>
      <c r="D32" s="16">
        <v>0</v>
      </c>
      <c r="E32" s="16">
        <v>0.71449725027715583</v>
      </c>
      <c r="F32" s="16">
        <v>0</v>
      </c>
      <c r="G32" s="16">
        <v>0</v>
      </c>
      <c r="H32" s="17">
        <v>0</v>
      </c>
      <c r="I32" s="17">
        <v>77772.915999999997</v>
      </c>
      <c r="J32" s="17">
        <v>0</v>
      </c>
      <c r="K32" s="17">
        <v>0</v>
      </c>
      <c r="L32" s="18">
        <v>9608.9020169999985</v>
      </c>
      <c r="M32" s="18">
        <v>45361.936852000006</v>
      </c>
      <c r="N32" s="18">
        <v>0</v>
      </c>
      <c r="O32" s="18">
        <v>90372</v>
      </c>
    </row>
    <row r="33" spans="1:15" ht="31.2" x14ac:dyDescent="0.25">
      <c r="A33" s="1" t="s">
        <v>46</v>
      </c>
      <c r="B33" s="1" t="s">
        <v>14</v>
      </c>
      <c r="C33" s="1" t="s">
        <v>43</v>
      </c>
      <c r="D33" s="16">
        <v>0.38007127849144662</v>
      </c>
      <c r="E33" s="16">
        <v>0.38583133602487107</v>
      </c>
      <c r="F33" s="16">
        <v>0.25903528947126508</v>
      </c>
      <c r="G33" s="16">
        <v>0.7888741252257665</v>
      </c>
      <c r="H33" s="17">
        <v>737380.15116818878</v>
      </c>
      <c r="I33" s="17">
        <v>73958.304499999998</v>
      </c>
      <c r="J33" s="17">
        <v>5743496</v>
      </c>
      <c r="K33" s="17">
        <v>7038733.2700000005</v>
      </c>
      <c r="L33" s="18">
        <v>534305.84540112864</v>
      </c>
      <c r="M33" s="18">
        <v>53367.464407423889</v>
      </c>
      <c r="N33" s="18">
        <v>4561822.8877539998</v>
      </c>
      <c r="O33" s="18">
        <v>3934728.09</v>
      </c>
    </row>
    <row r="34" spans="1:15" ht="15.6" x14ac:dyDescent="0.25">
      <c r="A34" s="22" t="s">
        <v>47</v>
      </c>
      <c r="B34" s="1" t="s">
        <v>14</v>
      </c>
      <c r="C34" s="1" t="s">
        <v>43</v>
      </c>
      <c r="D34" s="16">
        <v>0.38396008857548081</v>
      </c>
      <c r="E34" s="16">
        <v>0.29042855620203367</v>
      </c>
      <c r="F34" s="16">
        <v>0.61234406765539351</v>
      </c>
      <c r="G34" s="16">
        <v>0.83380414811262127</v>
      </c>
      <c r="H34" s="17">
        <v>2202807.9326331457</v>
      </c>
      <c r="I34" s="17">
        <v>216033.19287659286</v>
      </c>
      <c r="J34" s="17">
        <v>22597765.312365673</v>
      </c>
      <c r="K34" s="17">
        <v>19101225.559999999</v>
      </c>
      <c r="L34" s="18">
        <v>1591670.1289417315</v>
      </c>
      <c r="M34" s="18">
        <v>167411.97475698919</v>
      </c>
      <c r="N34" s="18">
        <v>14015473.350689001</v>
      </c>
      <c r="O34" s="18">
        <v>10416175.347656</v>
      </c>
    </row>
    <row r="35" spans="1:15" ht="31.2" x14ac:dyDescent="0.25">
      <c r="A35" s="1" t="s">
        <v>48</v>
      </c>
      <c r="B35" s="1" t="s">
        <v>14</v>
      </c>
      <c r="C35" s="20" t="s">
        <v>43</v>
      </c>
      <c r="D35" s="21">
        <v>2.6150059171597637</v>
      </c>
      <c r="E35" s="21">
        <v>2.7622188820707327E-2</v>
      </c>
      <c r="F35" s="21">
        <v>0</v>
      </c>
      <c r="G35" s="16">
        <v>0</v>
      </c>
      <c r="H35" s="17">
        <v>73312.320000000007</v>
      </c>
      <c r="I35" s="17">
        <v>25433.623</v>
      </c>
      <c r="J35" s="17">
        <v>0</v>
      </c>
      <c r="K35" s="17">
        <v>0</v>
      </c>
      <c r="L35" s="18">
        <v>20280</v>
      </c>
      <c r="M35" s="18">
        <v>24749.974530218606</v>
      </c>
      <c r="N35" s="18">
        <v>0</v>
      </c>
      <c r="O35" s="18">
        <v>0</v>
      </c>
    </row>
    <row r="36" spans="1:15" ht="18" x14ac:dyDescent="0.3">
      <c r="A36" s="23" t="s">
        <v>49</v>
      </c>
      <c r="B36" s="24"/>
      <c r="C36" s="24"/>
      <c r="D36" s="24"/>
      <c r="E36" s="24"/>
      <c r="F36" s="24"/>
      <c r="G36" s="24"/>
      <c r="H36" s="25">
        <f>SUM(H3:H35)</f>
        <v>11670381.909441553</v>
      </c>
      <c r="I36" s="25">
        <f t="shared" ref="I36:O36" si="0">SUM(I3:I35)</f>
        <v>1788699.3043070578</v>
      </c>
      <c r="J36" s="25">
        <f t="shared" si="0"/>
        <v>46005125.035795204</v>
      </c>
      <c r="K36" s="25">
        <f t="shared" si="0"/>
        <v>49170586.210000001</v>
      </c>
      <c r="L36" s="25">
        <f t="shared" si="0"/>
        <v>11762627.870325172</v>
      </c>
      <c r="M36" s="25">
        <f t="shared" si="0"/>
        <v>1804367.1185005496</v>
      </c>
      <c r="N36" s="25">
        <f t="shared" si="0"/>
        <v>36327080.183554456</v>
      </c>
      <c r="O36" s="25">
        <f t="shared" si="0"/>
        <v>64677362.25989601</v>
      </c>
    </row>
  </sheetData>
  <mergeCells count="3">
    <mergeCell ref="D1:F1"/>
    <mergeCell ref="H1:K1"/>
    <mergeCell ref="L1:O1"/>
  </mergeCells>
  <conditionalFormatting sqref="A1:A2">
    <cfRule type="duplicateValues" dxfId="141" priority="7"/>
    <cfRule type="duplicateValues" dxfId="140" priority="8"/>
  </conditionalFormatting>
  <conditionalFormatting sqref="G3:G29 D6:G35 D1:D5 E2:G5">
    <cfRule type="cellIs" dxfId="139" priority="6" operator="lessThan">
      <formula>-0.0001</formula>
    </cfRule>
  </conditionalFormatting>
  <conditionalFormatting sqref="A3:A29">
    <cfRule type="duplicateValues" dxfId="138" priority="4"/>
    <cfRule type="duplicateValues" dxfId="137" priority="5"/>
  </conditionalFormatting>
  <conditionalFormatting sqref="D3:G35">
    <cfRule type="cellIs" dxfId="136" priority="3" operator="greaterThan">
      <formula>0.1</formula>
    </cfRule>
  </conditionalFormatting>
  <conditionalFormatting sqref="A30:A36">
    <cfRule type="duplicateValues" dxfId="135" priority="1"/>
    <cfRule type="duplicateValues" dxfId="134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FB1B-9F13-47CC-A228-0B2E78E07D77}">
  <dimension ref="A1:O36"/>
  <sheetViews>
    <sheetView rightToLeft="1" topLeftCell="A24" workbookViewId="0">
      <selection activeCell="I40" sqref="I40"/>
    </sheetView>
  </sheetViews>
  <sheetFormatPr defaultRowHeight="13.8" x14ac:dyDescent="0.25"/>
  <cols>
    <col min="8" max="8" width="12.59765625" bestFit="1" customWidth="1"/>
    <col min="9" max="9" width="10.69921875" bestFit="1" customWidth="1"/>
    <col min="10" max="12" width="12.59765625" bestFit="1" customWidth="1"/>
    <col min="13" max="13" width="10.69921875" bestFit="1" customWidth="1"/>
    <col min="14" max="15" width="12.59765625" bestFit="1" customWidth="1"/>
  </cols>
  <sheetData>
    <row r="1" spans="1:15" ht="21" x14ac:dyDescent="0.25">
      <c r="A1" s="1"/>
      <c r="B1" s="1"/>
      <c r="C1" s="1"/>
      <c r="D1" s="2" t="s">
        <v>0</v>
      </c>
      <c r="E1" s="2"/>
      <c r="F1" s="2"/>
      <c r="G1" s="3"/>
      <c r="H1" s="4" t="s">
        <v>50</v>
      </c>
      <c r="I1" s="5"/>
      <c r="J1" s="5"/>
      <c r="K1" s="6"/>
      <c r="L1" s="7" t="s">
        <v>51</v>
      </c>
      <c r="M1" s="8"/>
      <c r="N1" s="8"/>
      <c r="O1" s="8"/>
    </row>
    <row r="2" spans="1:15" ht="42" x14ac:dyDescent="0.25">
      <c r="A2" s="9" t="s">
        <v>3</v>
      </c>
      <c r="B2" s="10" t="s">
        <v>4</v>
      </c>
      <c r="C2" s="10" t="s">
        <v>5</v>
      </c>
      <c r="D2" s="11" t="s">
        <v>6</v>
      </c>
      <c r="E2" s="11" t="s">
        <v>7</v>
      </c>
      <c r="F2" s="11" t="s">
        <v>8</v>
      </c>
      <c r="G2" s="11" t="s">
        <v>9</v>
      </c>
      <c r="H2" s="12" t="s">
        <v>6</v>
      </c>
      <c r="I2" s="12" t="s">
        <v>7</v>
      </c>
      <c r="J2" s="12" t="s">
        <v>10</v>
      </c>
      <c r="K2" s="12" t="s">
        <v>9</v>
      </c>
      <c r="L2" s="13" t="s">
        <v>6</v>
      </c>
      <c r="M2" s="13" t="s">
        <v>11</v>
      </c>
      <c r="N2" s="13" t="s">
        <v>10</v>
      </c>
      <c r="O2" s="13" t="s">
        <v>12</v>
      </c>
    </row>
    <row r="3" spans="1:15" ht="31.2" x14ac:dyDescent="0.25">
      <c r="A3" s="14" t="s">
        <v>13</v>
      </c>
      <c r="B3" s="14" t="s">
        <v>14</v>
      </c>
      <c r="C3" s="14" t="s">
        <v>15</v>
      </c>
      <c r="D3" s="15">
        <v>2.9073267783248053</v>
      </c>
      <c r="E3" s="15">
        <v>-17.168893515144532</v>
      </c>
      <c r="F3" s="15">
        <v>-0.91146100323289259</v>
      </c>
      <c r="G3" s="16">
        <v>-0.38424156029624112</v>
      </c>
      <c r="H3" s="17">
        <v>240171.58927999984</v>
      </c>
      <c r="I3" s="17">
        <v>84039.146999999997</v>
      </c>
      <c r="J3" s="17">
        <v>-2505</v>
      </c>
      <c r="K3" s="17">
        <v>246693.56000000052</v>
      </c>
      <c r="L3" s="18">
        <v>61466.983158999821</v>
      </c>
      <c r="M3" s="18">
        <v>-5197.5818209999998</v>
      </c>
      <c r="N3" s="18">
        <v>-28292.617846000008</v>
      </c>
      <c r="O3" s="18">
        <v>400633.66426400049</v>
      </c>
    </row>
    <row r="4" spans="1:15" ht="31.2" x14ac:dyDescent="0.25">
      <c r="A4" s="19" t="s">
        <v>16</v>
      </c>
      <c r="B4" s="1" t="s">
        <v>14</v>
      </c>
      <c r="C4" s="14" t="s">
        <v>15</v>
      </c>
      <c r="D4" s="16">
        <v>0</v>
      </c>
      <c r="E4" s="16">
        <v>-1.0008710438743287</v>
      </c>
      <c r="F4" s="16">
        <v>0</v>
      </c>
      <c r="G4" s="16">
        <v>0</v>
      </c>
      <c r="H4" s="17">
        <v>0</v>
      </c>
      <c r="I4" s="17">
        <v>11.864060699732818</v>
      </c>
      <c r="J4" s="17">
        <v>0</v>
      </c>
      <c r="K4" s="17">
        <v>0</v>
      </c>
      <c r="L4" s="18">
        <v>-32151.940754999996</v>
      </c>
      <c r="M4" s="18">
        <v>-13620.508735999998</v>
      </c>
      <c r="N4" s="18">
        <v>-237911.17755900003</v>
      </c>
      <c r="O4" s="18">
        <v>485518.60698499996</v>
      </c>
    </row>
    <row r="5" spans="1:15" ht="31.2" x14ac:dyDescent="0.25">
      <c r="A5" s="19" t="s">
        <v>17</v>
      </c>
      <c r="B5" s="1" t="s">
        <v>14</v>
      </c>
      <c r="C5" s="14" t="s">
        <v>15</v>
      </c>
      <c r="D5" s="16">
        <v>0.69336459965899233</v>
      </c>
      <c r="E5" s="16">
        <v>-0.40859793959554402</v>
      </c>
      <c r="F5" s="16">
        <v>-0.68687066665396834</v>
      </c>
      <c r="G5" s="16" t="e">
        <v>#DIV/0!</v>
      </c>
      <c r="H5" s="17">
        <v>15150.663388763851</v>
      </c>
      <c r="I5" s="17">
        <v>979.42403403195749</v>
      </c>
      <c r="J5" s="17">
        <v>15.299008008993042</v>
      </c>
      <c r="K5" s="17">
        <v>-14017.99</v>
      </c>
      <c r="L5" s="18">
        <v>8947.0769566193085</v>
      </c>
      <c r="M5" s="18">
        <v>1656.1052110000019</v>
      </c>
      <c r="N5" s="18">
        <v>48.85843126069085</v>
      </c>
      <c r="O5" s="18">
        <v>0</v>
      </c>
    </row>
    <row r="6" spans="1:15" ht="31.2" x14ac:dyDescent="0.25">
      <c r="A6" s="19" t="s">
        <v>18</v>
      </c>
      <c r="B6" s="1" t="s">
        <v>14</v>
      </c>
      <c r="C6" s="14" t="s">
        <v>15</v>
      </c>
      <c r="D6" s="16">
        <v>-0.50567323399202446</v>
      </c>
      <c r="E6" s="16">
        <v>-0.1803775680904971</v>
      </c>
      <c r="F6" s="16">
        <v>-0.3254620556765121</v>
      </c>
      <c r="G6" s="16">
        <v>0.13661182267188954</v>
      </c>
      <c r="H6" s="17">
        <v>125116.90885019803</v>
      </c>
      <c r="I6" s="17">
        <v>19999.567070000005</v>
      </c>
      <c r="J6" s="17">
        <v>231741.55799999996</v>
      </c>
      <c r="K6" s="17">
        <v>603057.42000000016</v>
      </c>
      <c r="L6" s="18">
        <v>253105.67311699921</v>
      </c>
      <c r="M6" s="18">
        <v>24400.951329999982</v>
      </c>
      <c r="N6" s="18">
        <v>343555.99999999965</v>
      </c>
      <c r="O6" s="18">
        <v>530574.65000000026</v>
      </c>
    </row>
    <row r="7" spans="1:15" ht="15.6" x14ac:dyDescent="0.25">
      <c r="A7" s="19" t="s">
        <v>19</v>
      </c>
      <c r="B7" s="1" t="s">
        <v>14</v>
      </c>
      <c r="C7" s="14" t="s">
        <v>15</v>
      </c>
      <c r="D7" s="16">
        <v>0.11702631464980162</v>
      </c>
      <c r="E7" s="16">
        <v>-1.0131731253671725</v>
      </c>
      <c r="F7" s="16">
        <v>24.13744424003082</v>
      </c>
      <c r="G7" s="16">
        <v>-1.0000053107605651</v>
      </c>
      <c r="H7" s="17">
        <v>36143.841195342568</v>
      </c>
      <c r="I7" s="17">
        <v>-204.54729185462202</v>
      </c>
      <c r="J7" s="17">
        <v>100002.27867359843</v>
      </c>
      <c r="K7" s="17">
        <v>0.35000000000582077</v>
      </c>
      <c r="L7" s="18">
        <v>32357.19760699998</v>
      </c>
      <c r="M7" s="18">
        <v>15527.620526891333</v>
      </c>
      <c r="N7" s="18">
        <v>3978.219810999999</v>
      </c>
      <c r="O7" s="18">
        <v>-65903.931407999946</v>
      </c>
    </row>
    <row r="8" spans="1:15" ht="31.2" x14ac:dyDescent="0.25">
      <c r="A8" s="19" t="s">
        <v>20</v>
      </c>
      <c r="B8" s="1" t="s">
        <v>14</v>
      </c>
      <c r="C8" s="14" t="s">
        <v>15</v>
      </c>
      <c r="D8" s="16">
        <v>-1.0137928636629474</v>
      </c>
      <c r="E8" s="16">
        <v>-1.0738401189304565</v>
      </c>
      <c r="F8" s="16">
        <v>-5.9608767748435931E-2</v>
      </c>
      <c r="G8" s="16">
        <v>-0.88214489830223186</v>
      </c>
      <c r="H8" s="17">
        <v>531.57999999999811</v>
      </c>
      <c r="I8" s="17">
        <v>-2589.1353400000007</v>
      </c>
      <c r="J8" s="17">
        <v>51027.129999999976</v>
      </c>
      <c r="K8" s="17">
        <v>175.27999999999884</v>
      </c>
      <c r="L8" s="18">
        <v>-38540.219999999987</v>
      </c>
      <c r="M8" s="18">
        <v>35064.073263999977</v>
      </c>
      <c r="N8" s="18">
        <v>54261.596928999978</v>
      </c>
      <c r="O8" s="18">
        <v>1487.2499999999418</v>
      </c>
    </row>
    <row r="9" spans="1:15" ht="15.6" x14ac:dyDescent="0.25">
      <c r="A9" s="1" t="s">
        <v>21</v>
      </c>
      <c r="B9" s="1" t="s">
        <v>14</v>
      </c>
      <c r="C9" s="14" t="s">
        <v>15</v>
      </c>
      <c r="D9" s="16">
        <v>0.66813139039193503</v>
      </c>
      <c r="E9" s="16">
        <v>-3.2007862874343389</v>
      </c>
      <c r="F9" s="16">
        <v>-0.15750776441922354</v>
      </c>
      <c r="G9" s="16">
        <v>-1.4853536531423708</v>
      </c>
      <c r="H9" s="17">
        <v>37310.327468457283</v>
      </c>
      <c r="I9" s="17">
        <v>10631.160000000003</v>
      </c>
      <c r="J9" s="17">
        <v>311243.59999999986</v>
      </c>
      <c r="K9" s="17">
        <v>-169441.60999999987</v>
      </c>
      <c r="L9" s="18">
        <v>22366.54000000027</v>
      </c>
      <c r="M9" s="18">
        <v>-4830.6189749999467</v>
      </c>
      <c r="N9" s="18">
        <v>369432.01000000013</v>
      </c>
      <c r="O9" s="18">
        <v>349109.5800000024</v>
      </c>
    </row>
    <row r="10" spans="1:15" ht="15.6" x14ac:dyDescent="0.25">
      <c r="A10" s="1" t="s">
        <v>22</v>
      </c>
      <c r="B10" s="1" t="s">
        <v>14</v>
      </c>
      <c r="C10" s="14" t="s">
        <v>15</v>
      </c>
      <c r="D10" s="16">
        <v>58.856813557462779</v>
      </c>
      <c r="E10" s="16">
        <v>0.1512599559260861</v>
      </c>
      <c r="F10" s="16">
        <v>-0.71721767046793494</v>
      </c>
      <c r="G10" s="16">
        <v>-2.5210768909855803</v>
      </c>
      <c r="H10" s="17">
        <v>100073.27513177006</v>
      </c>
      <c r="I10" s="17">
        <v>9751.0732362451236</v>
      </c>
      <c r="J10" s="17">
        <v>98895</v>
      </c>
      <c r="K10" s="17">
        <v>-1961518.1399999994</v>
      </c>
      <c r="L10" s="18">
        <v>1671.8777560001472</v>
      </c>
      <c r="M10" s="18">
        <v>8469.9143630000181</v>
      </c>
      <c r="N10" s="18">
        <v>349721.28620500024</v>
      </c>
      <c r="O10" s="18">
        <v>1289558.8327089995</v>
      </c>
    </row>
    <row r="11" spans="1:15" ht="31.2" x14ac:dyDescent="0.25">
      <c r="A11" s="1" t="s">
        <v>23</v>
      </c>
      <c r="B11" s="1" t="s">
        <v>14</v>
      </c>
      <c r="C11" s="14" t="s">
        <v>15</v>
      </c>
      <c r="D11" s="16">
        <v>0</v>
      </c>
      <c r="E11" s="16">
        <v>-0.24999999999933387</v>
      </c>
      <c r="F11" s="16">
        <v>0</v>
      </c>
      <c r="G11" s="16">
        <v>0</v>
      </c>
      <c r="H11" s="17">
        <v>0</v>
      </c>
      <c r="I11" s="17">
        <v>2.9999999999999361E-2</v>
      </c>
      <c r="J11" s="17">
        <v>0</v>
      </c>
      <c r="K11" s="17">
        <v>0</v>
      </c>
      <c r="L11" s="18">
        <v>0</v>
      </c>
      <c r="M11" s="18">
        <v>3.999999999996362E-2</v>
      </c>
      <c r="N11" s="18">
        <v>0</v>
      </c>
      <c r="O11" s="18">
        <v>0</v>
      </c>
    </row>
    <row r="12" spans="1:15" ht="15.6" x14ac:dyDescent="0.25">
      <c r="A12" s="1" t="s">
        <v>24</v>
      </c>
      <c r="B12" s="1" t="s">
        <v>14</v>
      </c>
      <c r="C12" s="14" t="s">
        <v>15</v>
      </c>
      <c r="D12" s="16">
        <v>-7.396389378548502</v>
      </c>
      <c r="E12" s="16">
        <v>-0.99404609169405456</v>
      </c>
      <c r="F12" s="16">
        <v>1</v>
      </c>
      <c r="G12" s="16" t="e">
        <v>#DIV/0!</v>
      </c>
      <c r="H12" s="17">
        <v>667.10048150350485</v>
      </c>
      <c r="I12" s="17">
        <v>12.364324851865604</v>
      </c>
      <c r="J12" s="17">
        <v>-1854.5027451142378</v>
      </c>
      <c r="K12" s="17">
        <v>14254.46</v>
      </c>
      <c r="L12" s="18">
        <v>-104.29328829491715</v>
      </c>
      <c r="M12" s="18">
        <v>2076.6737101944864</v>
      </c>
      <c r="N12" s="18">
        <v>0</v>
      </c>
      <c r="O12" s="18">
        <v>0</v>
      </c>
    </row>
    <row r="13" spans="1:15" ht="15.6" x14ac:dyDescent="0.25">
      <c r="A13" s="1" t="s">
        <v>25</v>
      </c>
      <c r="B13" s="1" t="s">
        <v>14</v>
      </c>
      <c r="C13" s="14" t="s">
        <v>15</v>
      </c>
      <c r="D13" s="16">
        <v>0</v>
      </c>
      <c r="E13" s="16">
        <v>0</v>
      </c>
      <c r="F13" s="16">
        <v>0</v>
      </c>
      <c r="G13" s="16">
        <v>0</v>
      </c>
      <c r="H13" s="17">
        <v>0</v>
      </c>
      <c r="I13" s="17">
        <v>0</v>
      </c>
      <c r="J13" s="17">
        <v>0</v>
      </c>
      <c r="K13" s="17">
        <v>0</v>
      </c>
      <c r="L13" s="18">
        <v>10195.799999999999</v>
      </c>
      <c r="M13" s="18">
        <v>4.0000000000000036E-2</v>
      </c>
      <c r="N13" s="18">
        <v>0</v>
      </c>
      <c r="O13" s="18">
        <v>0</v>
      </c>
    </row>
    <row r="14" spans="1:15" ht="31.2" x14ac:dyDescent="0.25">
      <c r="A14" s="1" t="s">
        <v>26</v>
      </c>
      <c r="B14" s="1" t="s">
        <v>14</v>
      </c>
      <c r="C14" s="14" t="s">
        <v>15</v>
      </c>
      <c r="D14" s="16">
        <v>0</v>
      </c>
      <c r="E14" s="16">
        <v>4.2516486415192212</v>
      </c>
      <c r="F14" s="16">
        <v>0</v>
      </c>
      <c r="G14" s="16">
        <v>0</v>
      </c>
      <c r="H14" s="17">
        <v>0</v>
      </c>
      <c r="I14" s="17">
        <v>19.908999999999651</v>
      </c>
      <c r="J14" s="17">
        <v>0</v>
      </c>
      <c r="K14" s="17">
        <v>0</v>
      </c>
      <c r="L14" s="18">
        <v>0</v>
      </c>
      <c r="M14" s="18">
        <v>3.7910000000000537</v>
      </c>
      <c r="N14" s="18">
        <v>0</v>
      </c>
      <c r="O14" s="18">
        <v>0</v>
      </c>
    </row>
    <row r="15" spans="1:15" ht="15.6" x14ac:dyDescent="0.25">
      <c r="A15" s="19" t="s">
        <v>27</v>
      </c>
      <c r="B15" s="1" t="s">
        <v>14</v>
      </c>
      <c r="C15" s="14" t="s">
        <v>15</v>
      </c>
      <c r="D15" s="16">
        <v>3.7498205675139005</v>
      </c>
      <c r="E15" s="16">
        <v>0.73816136381965824</v>
      </c>
      <c r="F15" s="16">
        <v>-9.6912407890050751</v>
      </c>
      <c r="G15" s="16">
        <v>-1.0790320616192426</v>
      </c>
      <c r="H15" s="17">
        <v>279106.61127415602</v>
      </c>
      <c r="I15" s="17">
        <v>78074.277759018936</v>
      </c>
      <c r="J15" s="17">
        <v>941425.02709314507</v>
      </c>
      <c r="K15" s="17">
        <v>363591.66000000015</v>
      </c>
      <c r="L15" s="18">
        <v>58761.506315225502</v>
      </c>
      <c r="M15" s="18">
        <v>44917.738585241896</v>
      </c>
      <c r="N15" s="18">
        <v>-108318.82926130667</v>
      </c>
      <c r="O15" s="18">
        <v>-4600558.97000001</v>
      </c>
    </row>
    <row r="16" spans="1:15" ht="46.8" x14ac:dyDescent="0.25">
      <c r="A16" s="1" t="s">
        <v>28</v>
      </c>
      <c r="B16" s="1" t="s">
        <v>14</v>
      </c>
      <c r="C16" s="14" t="s">
        <v>15</v>
      </c>
      <c r="D16" s="16">
        <v>0</v>
      </c>
      <c r="E16" s="16">
        <v>0</v>
      </c>
      <c r="F16" s="16">
        <v>0</v>
      </c>
      <c r="G16" s="16">
        <v>0</v>
      </c>
      <c r="H16" s="17">
        <v>0</v>
      </c>
      <c r="I16" s="17">
        <v>0</v>
      </c>
      <c r="J16" s="17">
        <v>0</v>
      </c>
      <c r="K16" s="17">
        <v>0</v>
      </c>
      <c r="L16" s="18">
        <v>-527.64000000000124</v>
      </c>
      <c r="M16" s="18">
        <v>13.509999999999764</v>
      </c>
      <c r="N16" s="18">
        <v>-3.0000000000086402E-2</v>
      </c>
      <c r="O16" s="18">
        <v>0</v>
      </c>
    </row>
    <row r="17" spans="1:15" ht="31.2" x14ac:dyDescent="0.25">
      <c r="A17" s="1" t="s">
        <v>29</v>
      </c>
      <c r="B17" s="1" t="s">
        <v>14</v>
      </c>
      <c r="C17" s="14" t="s">
        <v>15</v>
      </c>
      <c r="D17" s="16">
        <v>0</v>
      </c>
      <c r="E17" s="16">
        <v>-1.6949689854641168</v>
      </c>
      <c r="F17" s="16">
        <v>1</v>
      </c>
      <c r="G17" s="16">
        <v>0</v>
      </c>
      <c r="H17" s="17">
        <v>0</v>
      </c>
      <c r="I17" s="17">
        <v>-10.233999999999924</v>
      </c>
      <c r="J17" s="17">
        <v>1000</v>
      </c>
      <c r="K17" s="17">
        <v>0</v>
      </c>
      <c r="L17" s="18">
        <v>60869.12836200001</v>
      </c>
      <c r="M17" s="18">
        <v>14.725836999999956</v>
      </c>
      <c r="N17" s="18">
        <v>0</v>
      </c>
      <c r="O17" s="18">
        <v>2918.1312340000586</v>
      </c>
    </row>
    <row r="18" spans="1:15" ht="31.2" x14ac:dyDescent="0.25">
      <c r="A18" s="1" t="s">
        <v>30</v>
      </c>
      <c r="B18" s="1" t="s">
        <v>14</v>
      </c>
      <c r="C18" s="14" t="s">
        <v>15</v>
      </c>
      <c r="D18" s="16">
        <v>1</v>
      </c>
      <c r="E18" s="16">
        <v>0</v>
      </c>
      <c r="F18" s="16">
        <v>0</v>
      </c>
      <c r="G18" s="16">
        <v>0</v>
      </c>
      <c r="H18" s="17">
        <v>25839.297965907223</v>
      </c>
      <c r="I18" s="17">
        <v>0</v>
      </c>
      <c r="J18" s="17">
        <v>0</v>
      </c>
      <c r="K18" s="17">
        <v>0</v>
      </c>
      <c r="L18" s="18">
        <v>0</v>
      </c>
      <c r="M18" s="18">
        <v>0</v>
      </c>
      <c r="N18" s="18">
        <v>0</v>
      </c>
      <c r="O18" s="18">
        <v>0</v>
      </c>
    </row>
    <row r="19" spans="1:15" ht="15.6" x14ac:dyDescent="0.25">
      <c r="A19" s="1" t="s">
        <v>31</v>
      </c>
      <c r="B19" s="1" t="s">
        <v>14</v>
      </c>
      <c r="C19" s="14" t="s">
        <v>15</v>
      </c>
      <c r="D19" s="16">
        <v>-24.724970630465812</v>
      </c>
      <c r="E19" s="16">
        <v>0.81074766355141348</v>
      </c>
      <c r="F19" s="16">
        <v>1</v>
      </c>
      <c r="G19" s="16">
        <v>1</v>
      </c>
      <c r="H19" s="17">
        <v>-1817.5699999999997</v>
      </c>
      <c r="I19" s="17">
        <v>7.75</v>
      </c>
      <c r="J19" s="17">
        <v>338.55999999999767</v>
      </c>
      <c r="K19" s="17">
        <v>682.11999999999534</v>
      </c>
      <c r="L19" s="18">
        <v>76.610000000000582</v>
      </c>
      <c r="M19" s="18">
        <v>4.2799999999999727</v>
      </c>
      <c r="N19" s="18">
        <v>0</v>
      </c>
      <c r="O19" s="18">
        <v>0</v>
      </c>
    </row>
    <row r="20" spans="1:15" ht="15.6" x14ac:dyDescent="0.25">
      <c r="A20" s="19" t="s">
        <v>32</v>
      </c>
      <c r="B20" s="1" t="s">
        <v>14</v>
      </c>
      <c r="C20" s="14" t="s">
        <v>15</v>
      </c>
      <c r="D20" s="16">
        <v>-0.30498677878163938</v>
      </c>
      <c r="E20" s="16">
        <v>0.66738576890426393</v>
      </c>
      <c r="F20" s="16">
        <v>-9.8109031589293547</v>
      </c>
      <c r="G20" s="16">
        <v>-10.709414021351556</v>
      </c>
      <c r="H20" s="17">
        <v>121611.49398763978</v>
      </c>
      <c r="I20" s="17">
        <v>13295.036248526492</v>
      </c>
      <c r="J20" s="17">
        <v>330144.10189344949</v>
      </c>
      <c r="K20" s="17">
        <v>757967.29999999993</v>
      </c>
      <c r="L20" s="18">
        <v>174977.23823793512</v>
      </c>
      <c r="M20" s="18">
        <v>7973.5814569554786</v>
      </c>
      <c r="N20" s="18">
        <v>-37469.950121840462</v>
      </c>
      <c r="O20" s="18">
        <v>-78065.19511200022</v>
      </c>
    </row>
    <row r="21" spans="1:15" ht="31.2" x14ac:dyDescent="0.25">
      <c r="A21" s="1" t="s">
        <v>33</v>
      </c>
      <c r="B21" s="1" t="s">
        <v>14</v>
      </c>
      <c r="C21" s="14" t="s">
        <v>15</v>
      </c>
      <c r="D21" s="16">
        <v>0</v>
      </c>
      <c r="E21" s="16">
        <v>-0.92070483992861396</v>
      </c>
      <c r="F21" s="16">
        <v>0</v>
      </c>
      <c r="G21" s="16">
        <v>0</v>
      </c>
      <c r="H21" s="17">
        <v>0</v>
      </c>
      <c r="I21" s="17">
        <v>71.163902507421881</v>
      </c>
      <c r="J21" s="17">
        <v>0</v>
      </c>
      <c r="K21" s="17">
        <v>0</v>
      </c>
      <c r="L21" s="18">
        <v>679.21829900002922</v>
      </c>
      <c r="M21" s="18">
        <v>897.45581500000844</v>
      </c>
      <c r="N21" s="18">
        <v>13139.900580000001</v>
      </c>
      <c r="O21" s="18">
        <v>-40331.168092000022</v>
      </c>
    </row>
    <row r="22" spans="1:15" ht="15.6" x14ac:dyDescent="0.25">
      <c r="A22" s="1" t="s">
        <v>34</v>
      </c>
      <c r="B22" s="1" t="s">
        <v>14</v>
      </c>
      <c r="C22" s="14" t="s">
        <v>15</v>
      </c>
      <c r="D22" s="16">
        <v>-0.99740191502566999</v>
      </c>
      <c r="E22" s="16">
        <v>-0.21052140723720503</v>
      </c>
      <c r="F22" s="16">
        <v>179.75249169435216</v>
      </c>
      <c r="G22" s="16">
        <v>-0.93983654765284463</v>
      </c>
      <c r="H22" s="17">
        <v>50.478545008756555</v>
      </c>
      <c r="I22" s="17">
        <v>6595.2642952714523</v>
      </c>
      <c r="J22" s="17">
        <v>108813</v>
      </c>
      <c r="K22" s="17">
        <v>47178.069999999949</v>
      </c>
      <c r="L22" s="18">
        <v>19429.135500763688</v>
      </c>
      <c r="M22" s="18">
        <v>8353.949499999997</v>
      </c>
      <c r="N22" s="18">
        <v>602</v>
      </c>
      <c r="O22" s="18">
        <v>784164.94000000041</v>
      </c>
    </row>
    <row r="23" spans="1:15" ht="15.6" x14ac:dyDescent="0.25">
      <c r="A23" s="20" t="s">
        <v>35</v>
      </c>
      <c r="B23" s="1" t="s">
        <v>14</v>
      </c>
      <c r="C23" s="14" t="s">
        <v>15</v>
      </c>
      <c r="D23" s="16">
        <v>0</v>
      </c>
      <c r="E23" s="16">
        <v>1</v>
      </c>
      <c r="F23" s="16">
        <v>0</v>
      </c>
      <c r="G23" s="16">
        <v>0</v>
      </c>
      <c r="H23" s="17">
        <v>0</v>
      </c>
      <c r="I23" s="17">
        <v>16.639000000000124</v>
      </c>
      <c r="J23" s="17">
        <v>0</v>
      </c>
      <c r="K23" s="17">
        <v>0</v>
      </c>
      <c r="L23" s="18">
        <v>0</v>
      </c>
      <c r="M23" s="18">
        <v>0</v>
      </c>
      <c r="N23" s="18">
        <v>0</v>
      </c>
      <c r="O23" s="18">
        <v>0</v>
      </c>
    </row>
    <row r="24" spans="1:15" ht="46.8" x14ac:dyDescent="0.25">
      <c r="A24" s="20" t="s">
        <v>36</v>
      </c>
      <c r="B24" s="1" t="s">
        <v>14</v>
      </c>
      <c r="C24" s="14" t="s">
        <v>15</v>
      </c>
      <c r="D24" s="16">
        <v>142.96864909053664</v>
      </c>
      <c r="E24" s="16">
        <v>-1.0298462533585429</v>
      </c>
      <c r="F24" s="16">
        <v>1.816997409625186</v>
      </c>
      <c r="G24" s="16">
        <v>0</v>
      </c>
      <c r="H24" s="17">
        <v>7044.3859999999995</v>
      </c>
      <c r="I24" s="17">
        <v>-11.996999999999844</v>
      </c>
      <c r="J24" s="17">
        <v>36398.169999999925</v>
      </c>
      <c r="K24" s="17">
        <v>0</v>
      </c>
      <c r="L24" s="18">
        <v>48.930000000000291</v>
      </c>
      <c r="M24" s="18">
        <v>401.96000000000004</v>
      </c>
      <c r="N24" s="18">
        <v>12920.909999999916</v>
      </c>
      <c r="O24" s="18">
        <v>0</v>
      </c>
    </row>
    <row r="25" spans="1:15" ht="31.2" x14ac:dyDescent="0.25">
      <c r="A25" s="1" t="s">
        <v>37</v>
      </c>
      <c r="B25" s="1" t="s">
        <v>14</v>
      </c>
      <c r="C25" s="1" t="s">
        <v>15</v>
      </c>
      <c r="D25" s="16">
        <v>-1.0110925797697272</v>
      </c>
      <c r="E25" s="16">
        <v>78.146488294314125</v>
      </c>
      <c r="F25" s="16">
        <v>-0.91584930512608187</v>
      </c>
      <c r="G25" s="16">
        <v>-0.87030790340331021</v>
      </c>
      <c r="H25" s="17">
        <v>-1064.1012800000026</v>
      </c>
      <c r="I25" s="17">
        <v>2366.4799999999996</v>
      </c>
      <c r="J25" s="17">
        <v>7336.8500000000931</v>
      </c>
      <c r="K25" s="17">
        <v>21832.090000000026</v>
      </c>
      <c r="L25" s="18">
        <v>95929.107754000011</v>
      </c>
      <c r="M25" s="18">
        <v>29.900000000000091</v>
      </c>
      <c r="N25" s="18">
        <v>87187.040000000008</v>
      </c>
      <c r="O25" s="18">
        <v>168337.85999999987</v>
      </c>
    </row>
    <row r="26" spans="1:15" ht="31.2" x14ac:dyDescent="0.25">
      <c r="A26" s="1" t="s">
        <v>38</v>
      </c>
      <c r="B26" s="1" t="s">
        <v>14</v>
      </c>
      <c r="C26" s="1" t="s">
        <v>15</v>
      </c>
      <c r="D26" s="16">
        <v>-0.71318631391325582</v>
      </c>
      <c r="E26" s="16">
        <v>1.4642321601834696</v>
      </c>
      <c r="F26" s="16">
        <v>0</v>
      </c>
      <c r="G26" s="16">
        <v>-1</v>
      </c>
      <c r="H26" s="17">
        <v>-1641.3199999999997</v>
      </c>
      <c r="I26" s="17">
        <v>2234.9599999999991</v>
      </c>
      <c r="J26" s="17">
        <v>0</v>
      </c>
      <c r="K26" s="17">
        <v>417.56999999997788</v>
      </c>
      <c r="L26" s="18">
        <v>-5722.5999999999913</v>
      </c>
      <c r="M26" s="18">
        <v>906.95999999999981</v>
      </c>
      <c r="N26" s="18">
        <v>3799.5200000000004</v>
      </c>
      <c r="O26" s="18">
        <v>0</v>
      </c>
    </row>
    <row r="27" spans="1:15" ht="31.2" x14ac:dyDescent="0.25">
      <c r="A27" s="1" t="s">
        <v>39</v>
      </c>
      <c r="B27" s="1" t="s">
        <v>14</v>
      </c>
      <c r="C27" s="1" t="s">
        <v>15</v>
      </c>
      <c r="D27" s="16">
        <v>-0.42811066430586264</v>
      </c>
      <c r="E27" s="16">
        <v>-0.59069563943419356</v>
      </c>
      <c r="F27" s="16">
        <v>-1.1291152736416126</v>
      </c>
      <c r="G27" s="16">
        <v>-0.97845846166023964</v>
      </c>
      <c r="H27" s="17">
        <v>1701.8616000000038</v>
      </c>
      <c r="I27" s="17">
        <v>6864.4849999999997</v>
      </c>
      <c r="J27" s="17">
        <v>8807.2400000000198</v>
      </c>
      <c r="K27" s="17">
        <v>367.60999999986961</v>
      </c>
      <c r="L27" s="18">
        <v>2975.8582540000498</v>
      </c>
      <c r="M27" s="18">
        <v>16771.101559999999</v>
      </c>
      <c r="N27" s="18">
        <v>-68212.224251999985</v>
      </c>
      <c r="O27" s="18">
        <v>17065.169358000392</v>
      </c>
    </row>
    <row r="28" spans="1:15" ht="31.2" x14ac:dyDescent="0.25">
      <c r="A28" s="1" t="s">
        <v>40</v>
      </c>
      <c r="B28" s="1" t="s">
        <v>14</v>
      </c>
      <c r="C28" s="1" t="s">
        <v>15</v>
      </c>
      <c r="D28" s="16">
        <v>1</v>
      </c>
      <c r="E28" s="16">
        <v>-0.56047700170349435</v>
      </c>
      <c r="F28" s="16">
        <v>0</v>
      </c>
      <c r="G28" s="16">
        <v>0</v>
      </c>
      <c r="H28" s="17">
        <v>-6112</v>
      </c>
      <c r="I28" s="17">
        <v>2.5800000000000409</v>
      </c>
      <c r="J28" s="17">
        <v>0</v>
      </c>
      <c r="K28" s="17">
        <v>0</v>
      </c>
      <c r="L28" s="18">
        <v>0</v>
      </c>
      <c r="M28" s="18">
        <v>5.8699999999989814</v>
      </c>
      <c r="N28" s="18">
        <v>0</v>
      </c>
      <c r="O28" s="18">
        <v>0</v>
      </c>
    </row>
    <row r="29" spans="1:15" ht="15.6" x14ac:dyDescent="0.25">
      <c r="A29" s="20" t="s">
        <v>41</v>
      </c>
      <c r="B29" s="20" t="s">
        <v>14</v>
      </c>
      <c r="C29" s="1" t="s">
        <v>15</v>
      </c>
      <c r="D29" s="21">
        <v>2637.4630312438089</v>
      </c>
      <c r="E29" s="21">
        <v>1</v>
      </c>
      <c r="F29" s="21">
        <v>1964.9322847487294</v>
      </c>
      <c r="G29" s="16">
        <v>5872.3623330482824</v>
      </c>
      <c r="H29" s="17">
        <v>135960</v>
      </c>
      <c r="I29" s="17">
        <v>5.25</v>
      </c>
      <c r="J29" s="17">
        <v>4501</v>
      </c>
      <c r="K29" s="17">
        <v>158635</v>
      </c>
      <c r="L29" s="18">
        <v>51.530000000002474</v>
      </c>
      <c r="M29" s="18">
        <v>0</v>
      </c>
      <c r="N29" s="18">
        <v>2.2894990000000348</v>
      </c>
      <c r="O29" s="18">
        <v>27.009231</v>
      </c>
    </row>
    <row r="30" spans="1:15" ht="15.6" x14ac:dyDescent="0.25">
      <c r="A30" s="19" t="s">
        <v>42</v>
      </c>
      <c r="B30" s="1" t="s">
        <v>14</v>
      </c>
      <c r="C30" s="1" t="s">
        <v>43</v>
      </c>
      <c r="D30" s="16">
        <v>-0.31806535088701016</v>
      </c>
      <c r="E30" s="16">
        <v>0.48119964853042574</v>
      </c>
      <c r="F30" s="16">
        <v>-0.37798201472416548</v>
      </c>
      <c r="G30" s="16">
        <v>-0.74917620609682678</v>
      </c>
      <c r="H30" s="17">
        <v>342917.19093552022</v>
      </c>
      <c r="I30" s="17">
        <v>60232.22499999986</v>
      </c>
      <c r="J30" s="17">
        <v>857531.3599999994</v>
      </c>
      <c r="K30" s="17">
        <v>371573.28000000119</v>
      </c>
      <c r="L30" s="18">
        <v>502859.31559799984</v>
      </c>
      <c r="M30" s="18">
        <v>40664.487775000045</v>
      </c>
      <c r="N30" s="18">
        <v>1378627.9180009984</v>
      </c>
      <c r="O30" s="18">
        <v>1481411.6085950024</v>
      </c>
    </row>
    <row r="31" spans="1:15" ht="31.2" x14ac:dyDescent="0.25">
      <c r="A31" s="1" t="s">
        <v>44</v>
      </c>
      <c r="B31" s="1" t="s">
        <v>14</v>
      </c>
      <c r="C31" s="1" t="s">
        <v>43</v>
      </c>
      <c r="D31" s="16">
        <v>5.5077192193061215</v>
      </c>
      <c r="E31" s="16">
        <v>-1.0002187166637728</v>
      </c>
      <c r="F31" s="16">
        <v>-8.0273545017290626</v>
      </c>
      <c r="G31" s="16">
        <v>0.95240809425616657</v>
      </c>
      <c r="H31" s="17">
        <v>79316.15737999999</v>
      </c>
      <c r="I31" s="17">
        <v>-1.3065459306135381</v>
      </c>
      <c r="J31" s="17">
        <v>32604.629999999997</v>
      </c>
      <c r="K31" s="17">
        <v>672703.02</v>
      </c>
      <c r="L31" s="18">
        <v>12188.011607</v>
      </c>
      <c r="M31" s="18">
        <v>5973.6917529534876</v>
      </c>
      <c r="N31" s="18">
        <v>-4639.6734350000006</v>
      </c>
      <c r="O31" s="18">
        <v>344550.41544799996</v>
      </c>
    </row>
    <row r="32" spans="1:15" ht="15.6" x14ac:dyDescent="0.25">
      <c r="A32" s="1" t="s">
        <v>45</v>
      </c>
      <c r="B32" s="1" t="s">
        <v>14</v>
      </c>
      <c r="C32" s="1" t="s">
        <v>43</v>
      </c>
      <c r="D32" s="16">
        <v>0</v>
      </c>
      <c r="E32" s="16">
        <v>-0.85461887491249577</v>
      </c>
      <c r="F32" s="16">
        <v>0</v>
      </c>
      <c r="G32" s="16">
        <v>0</v>
      </c>
      <c r="H32" s="17">
        <v>0</v>
      </c>
      <c r="I32" s="17">
        <v>2543.0620000000054</v>
      </c>
      <c r="J32" s="17">
        <v>0</v>
      </c>
      <c r="K32" s="17">
        <v>0</v>
      </c>
      <c r="L32" s="18">
        <v>45.129195000003165</v>
      </c>
      <c r="M32" s="18">
        <v>17492.380791999982</v>
      </c>
      <c r="N32" s="18">
        <v>0</v>
      </c>
      <c r="O32" s="18">
        <v>-90372</v>
      </c>
    </row>
    <row r="33" spans="1:15" ht="31.2" x14ac:dyDescent="0.25">
      <c r="A33" s="1" t="s">
        <v>46</v>
      </c>
      <c r="B33" s="1" t="s">
        <v>14</v>
      </c>
      <c r="C33" s="1" t="s">
        <v>43</v>
      </c>
      <c r="D33" s="16">
        <v>0.49423883735958296</v>
      </c>
      <c r="E33" s="16">
        <v>-0.20164284162807655</v>
      </c>
      <c r="F33" s="16">
        <v>0.56721981620255835</v>
      </c>
      <c r="G33" s="16">
        <v>3.8334624346178714</v>
      </c>
      <c r="H33" s="17">
        <v>158394.39284185879</v>
      </c>
      <c r="I33" s="17">
        <v>12867.711093999998</v>
      </c>
      <c r="J33" s="17">
        <v>622006.12999999989</v>
      </c>
      <c r="K33" s="17">
        <v>3345638.7400000007</v>
      </c>
      <c r="L33" s="18">
        <v>106003.39710200008</v>
      </c>
      <c r="M33" s="18">
        <v>16117.737480103402</v>
      </c>
      <c r="N33" s="18">
        <v>396885.05949800182</v>
      </c>
      <c r="O33" s="18">
        <v>692182.62999999989</v>
      </c>
    </row>
    <row r="34" spans="1:15" ht="15.6" x14ac:dyDescent="0.25">
      <c r="A34" s="22" t="s">
        <v>47</v>
      </c>
      <c r="B34" s="1" t="s">
        <v>14</v>
      </c>
      <c r="C34" s="1" t="s">
        <v>43</v>
      </c>
      <c r="D34" s="16">
        <v>0.82312623583001554</v>
      </c>
      <c r="E34" s="16">
        <v>1.5234421348321643</v>
      </c>
      <c r="F34" s="16">
        <v>-5.207651961966639</v>
      </c>
      <c r="G34" s="16">
        <v>-7.0187527314162992</v>
      </c>
      <c r="H34" s="17">
        <v>301349.4046183303</v>
      </c>
      <c r="I34" s="17">
        <v>17611.37576903688</v>
      </c>
      <c r="J34" s="17">
        <v>2595869.3006493896</v>
      </c>
      <c r="K34" s="17">
        <v>2303849.4599999972</v>
      </c>
      <c r="L34" s="18">
        <v>165292.67074100045</v>
      </c>
      <c r="M34" s="18">
        <v>6979.1082291681814</v>
      </c>
      <c r="N34" s="18">
        <v>-616940.11864899844</v>
      </c>
      <c r="O34" s="18">
        <v>-382778.5527680032</v>
      </c>
    </row>
    <row r="35" spans="1:15" ht="31.2" x14ac:dyDescent="0.25">
      <c r="A35" s="1" t="s">
        <v>48</v>
      </c>
      <c r="B35" s="1" t="s">
        <v>14</v>
      </c>
      <c r="C35" s="20" t="s">
        <v>43</v>
      </c>
      <c r="D35" s="21">
        <v>1</v>
      </c>
      <c r="E35" s="21">
        <v>-0.42043149712568595</v>
      </c>
      <c r="F35" s="21">
        <v>0</v>
      </c>
      <c r="G35" s="16">
        <v>0</v>
      </c>
      <c r="H35" s="17">
        <v>-20779.369999999995</v>
      </c>
      <c r="I35" s="17">
        <v>2275.9799999999996</v>
      </c>
      <c r="J35" s="17">
        <v>0</v>
      </c>
      <c r="K35" s="17">
        <v>0</v>
      </c>
      <c r="L35" s="18">
        <v>0</v>
      </c>
      <c r="M35" s="18">
        <v>3927.0249999999942</v>
      </c>
      <c r="N35" s="18">
        <v>0</v>
      </c>
      <c r="O35" s="18">
        <v>0</v>
      </c>
    </row>
    <row r="36" spans="1:15" ht="18" x14ac:dyDescent="0.3">
      <c r="A36" s="23" t="s">
        <v>49</v>
      </c>
      <c r="B36" s="24"/>
      <c r="C36" s="24"/>
      <c r="D36" s="24"/>
      <c r="E36" s="24"/>
      <c r="F36" s="24"/>
      <c r="G36" s="24"/>
      <c r="H36" s="25">
        <f>SUM(H3:H35)</f>
        <v>1977042.1996644568</v>
      </c>
      <c r="I36" s="25">
        <f t="shared" ref="I36:O36" si="0">SUM(I3:I35)</f>
        <v>327691.55861640448</v>
      </c>
      <c r="J36" s="25">
        <f t="shared" si="0"/>
        <v>6335340.7325724773</v>
      </c>
      <c r="K36" s="25">
        <f t="shared" si="0"/>
        <v>6763639.25</v>
      </c>
      <c r="L36" s="25">
        <f t="shared" si="0"/>
        <v>1513251.2415182486</v>
      </c>
      <c r="M36" s="25">
        <f t="shared" si="0"/>
        <v>234995.96365650833</v>
      </c>
      <c r="N36" s="25">
        <f t="shared" si="0"/>
        <v>1912377.9878301155</v>
      </c>
      <c r="O36" s="25">
        <f t="shared" si="0"/>
        <v>1289530.530443992</v>
      </c>
    </row>
  </sheetData>
  <mergeCells count="3">
    <mergeCell ref="D1:F1"/>
    <mergeCell ref="H1:K1"/>
    <mergeCell ref="L1:O1"/>
  </mergeCells>
  <conditionalFormatting sqref="A1:A2">
    <cfRule type="duplicateValues" dxfId="133" priority="7"/>
    <cfRule type="duplicateValues" dxfId="132" priority="8"/>
  </conditionalFormatting>
  <conditionalFormatting sqref="D6:G35 D1:D5 E2:G5">
    <cfRule type="cellIs" dxfId="131" priority="6" operator="lessThan">
      <formula>-0.0001</formula>
    </cfRule>
  </conditionalFormatting>
  <conditionalFormatting sqref="A3:A29">
    <cfRule type="duplicateValues" dxfId="130" priority="4"/>
    <cfRule type="duplicateValues" dxfId="129" priority="5"/>
  </conditionalFormatting>
  <conditionalFormatting sqref="D3:G35">
    <cfRule type="cellIs" dxfId="128" priority="3" operator="greaterThan">
      <formula>0.1</formula>
    </cfRule>
  </conditionalFormatting>
  <conditionalFormatting sqref="A30:A36">
    <cfRule type="duplicateValues" dxfId="127" priority="1"/>
    <cfRule type="duplicateValues" dxfId="12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781B-C500-4059-93D5-E114407D33FF}">
  <dimension ref="A1:O36"/>
  <sheetViews>
    <sheetView rightToLeft="1" topLeftCell="A24" workbookViewId="0">
      <selection activeCell="H39" sqref="H39"/>
    </sheetView>
  </sheetViews>
  <sheetFormatPr defaultRowHeight="13.8" x14ac:dyDescent="0.25"/>
  <cols>
    <col min="8" max="8" width="14" bestFit="1" customWidth="1"/>
    <col min="9" max="9" width="12.59765625" bestFit="1" customWidth="1"/>
    <col min="10" max="12" width="14" bestFit="1" customWidth="1"/>
    <col min="13" max="13" width="12.59765625" bestFit="1" customWidth="1"/>
    <col min="14" max="15" width="14" bestFit="1" customWidth="1"/>
  </cols>
  <sheetData>
    <row r="1" spans="1:15" ht="21" x14ac:dyDescent="0.4">
      <c r="A1" s="1"/>
      <c r="B1" s="1"/>
      <c r="C1" s="1"/>
      <c r="D1" s="26" t="s">
        <v>52</v>
      </c>
      <c r="E1" s="27"/>
      <c r="F1" s="27"/>
      <c r="G1" s="28"/>
      <c r="H1" s="29" t="s">
        <v>53</v>
      </c>
      <c r="I1" s="30"/>
      <c r="J1" s="30"/>
      <c r="K1" s="31"/>
      <c r="L1" s="32" t="s">
        <v>1</v>
      </c>
      <c r="M1" s="32"/>
      <c r="N1" s="32"/>
      <c r="O1" s="32"/>
    </row>
    <row r="2" spans="1:15" ht="42" x14ac:dyDescent="0.25">
      <c r="A2" s="9" t="s">
        <v>3</v>
      </c>
      <c r="B2" s="10" t="s">
        <v>4</v>
      </c>
      <c r="C2" s="10" t="s">
        <v>5</v>
      </c>
      <c r="D2" s="11" t="s">
        <v>6</v>
      </c>
      <c r="E2" s="11" t="s">
        <v>7</v>
      </c>
      <c r="F2" s="11" t="s">
        <v>8</v>
      </c>
      <c r="G2" s="11" t="s">
        <v>9</v>
      </c>
      <c r="H2" s="33" t="s">
        <v>6</v>
      </c>
      <c r="I2" s="33" t="s">
        <v>7</v>
      </c>
      <c r="J2" s="33" t="s">
        <v>8</v>
      </c>
      <c r="K2" s="33" t="s">
        <v>9</v>
      </c>
      <c r="L2" s="12" t="s">
        <v>6</v>
      </c>
      <c r="M2" s="12" t="s">
        <v>11</v>
      </c>
      <c r="N2" s="12" t="s">
        <v>10</v>
      </c>
      <c r="O2" s="12" t="s">
        <v>9</v>
      </c>
    </row>
    <row r="3" spans="1:15" ht="31.2" x14ac:dyDescent="0.25">
      <c r="A3" s="14" t="s">
        <v>13</v>
      </c>
      <c r="B3" s="14" t="s">
        <v>14</v>
      </c>
      <c r="C3" s="14" t="s">
        <v>15</v>
      </c>
      <c r="D3" s="34">
        <v>-0.12425820555795852</v>
      </c>
      <c r="E3" s="34">
        <v>0.22520278021656415</v>
      </c>
      <c r="F3" s="34">
        <v>-0.76282090322580653</v>
      </c>
      <c r="G3" s="34">
        <v>2.302598207885298E-2</v>
      </c>
      <c r="H3" s="18">
        <v>924799.99999999988</v>
      </c>
      <c r="I3" s="18">
        <v>102510</v>
      </c>
      <c r="J3" s="18">
        <v>1395000.0000000002</v>
      </c>
      <c r="K3" s="18">
        <v>2790000.0000000005</v>
      </c>
      <c r="L3" s="35">
        <v>809886.01149999991</v>
      </c>
      <c r="M3" s="36">
        <v>125595.537</v>
      </c>
      <c r="N3" s="36">
        <v>330864.83999999997</v>
      </c>
      <c r="O3" s="36">
        <v>2854242.49</v>
      </c>
    </row>
    <row r="4" spans="1:15" ht="31.2" x14ac:dyDescent="0.25">
      <c r="A4" s="19" t="s">
        <v>16</v>
      </c>
      <c r="B4" s="1" t="s">
        <v>14</v>
      </c>
      <c r="C4" s="14" t="s">
        <v>15</v>
      </c>
      <c r="D4" s="37">
        <v>0</v>
      </c>
      <c r="E4" s="37">
        <v>1</v>
      </c>
      <c r="F4" s="37">
        <v>0</v>
      </c>
      <c r="G4" s="37">
        <v>1</v>
      </c>
      <c r="H4" s="18">
        <v>0</v>
      </c>
      <c r="I4" s="18">
        <v>0</v>
      </c>
      <c r="J4" s="18">
        <v>0</v>
      </c>
      <c r="K4" s="18">
        <v>0</v>
      </c>
      <c r="L4" s="35">
        <v>0</v>
      </c>
      <c r="M4" s="36">
        <v>3083.8083490234649</v>
      </c>
      <c r="N4" s="36">
        <v>0</v>
      </c>
      <c r="O4" s="36">
        <v>-11711.17</v>
      </c>
    </row>
    <row r="5" spans="1:15" ht="31.2" x14ac:dyDescent="0.25">
      <c r="A5" s="19" t="s">
        <v>17</v>
      </c>
      <c r="B5" s="1" t="s">
        <v>14</v>
      </c>
      <c r="C5" s="14" t="s">
        <v>15</v>
      </c>
      <c r="D5" s="37">
        <v>-0.51227208907627109</v>
      </c>
      <c r="E5" s="37">
        <v>-0.57530931893758019</v>
      </c>
      <c r="F5" s="37">
        <v>-0.97624462786110089</v>
      </c>
      <c r="G5" s="37">
        <v>-1.251218458781362</v>
      </c>
      <c r="H5" s="18">
        <v>57799.999999999993</v>
      </c>
      <c r="I5" s="18">
        <v>30150</v>
      </c>
      <c r="J5" s="18">
        <v>167400.00000000003</v>
      </c>
      <c r="K5" s="18">
        <v>55800.000000000007</v>
      </c>
      <c r="L5" s="35">
        <v>28190.67325139153</v>
      </c>
      <c r="M5" s="36">
        <v>12804.424034031957</v>
      </c>
      <c r="N5" s="36">
        <v>3976.649296051708</v>
      </c>
      <c r="O5" s="36">
        <v>-14017.99</v>
      </c>
    </row>
    <row r="6" spans="1:15" ht="31.2" x14ac:dyDescent="0.25">
      <c r="A6" s="19" t="s">
        <v>18</v>
      </c>
      <c r="B6" s="1" t="s">
        <v>14</v>
      </c>
      <c r="C6" s="14" t="s">
        <v>15</v>
      </c>
      <c r="D6" s="37">
        <v>-0.30518419976467792</v>
      </c>
      <c r="E6" s="37">
        <v>-0.41527384466556105</v>
      </c>
      <c r="F6" s="37">
        <v>-0.49608976439665486</v>
      </c>
      <c r="G6" s="37">
        <v>-4.6783427419354817E-2</v>
      </c>
      <c r="H6" s="18">
        <v>1445000</v>
      </c>
      <c r="I6" s="18">
        <v>180900</v>
      </c>
      <c r="J6" s="18">
        <v>1674000.0000000002</v>
      </c>
      <c r="K6" s="18">
        <v>2232000</v>
      </c>
      <c r="L6" s="35">
        <v>1004008.8313400404</v>
      </c>
      <c r="M6" s="36">
        <v>105776.9615</v>
      </c>
      <c r="N6" s="36">
        <v>843545.73439999996</v>
      </c>
      <c r="O6" s="36">
        <v>2127579.39</v>
      </c>
    </row>
    <row r="7" spans="1:15" ht="15.6" x14ac:dyDescent="0.25">
      <c r="A7" s="19" t="s">
        <v>19</v>
      </c>
      <c r="B7" s="1" t="s">
        <v>14</v>
      </c>
      <c r="C7" s="14" t="s">
        <v>15</v>
      </c>
      <c r="D7" s="37">
        <v>-0.40990814909731488</v>
      </c>
      <c r="E7" s="37">
        <v>-0.51777749147130137</v>
      </c>
      <c r="F7" s="37">
        <v>2.5948439493403392</v>
      </c>
      <c r="G7" s="37">
        <v>0.71060931899641555</v>
      </c>
      <c r="H7" s="18">
        <v>173400</v>
      </c>
      <c r="I7" s="18">
        <v>120600</v>
      </c>
      <c r="J7" s="18">
        <v>55800.000000000007</v>
      </c>
      <c r="K7" s="18">
        <v>111600.00000000001</v>
      </c>
      <c r="L7" s="35">
        <v>102321.92694652559</v>
      </c>
      <c r="M7" s="36">
        <v>58156.03452856106</v>
      </c>
      <c r="N7" s="36">
        <v>200592.29237319095</v>
      </c>
      <c r="O7" s="36">
        <v>190904</v>
      </c>
    </row>
    <row r="8" spans="1:15" ht="31.2" x14ac:dyDescent="0.25">
      <c r="A8" s="19" t="s">
        <v>20</v>
      </c>
      <c r="B8" s="1" t="s">
        <v>14</v>
      </c>
      <c r="C8" s="14" t="s">
        <v>15</v>
      </c>
      <c r="D8" s="37">
        <v>-0.84166730103806231</v>
      </c>
      <c r="E8" s="37">
        <v>-0.44837980099502484</v>
      </c>
      <c r="F8" s="37">
        <v>-0.73096290322580648</v>
      </c>
      <c r="G8" s="37">
        <v>-0.6469318399044206</v>
      </c>
      <c r="H8" s="18">
        <v>173400</v>
      </c>
      <c r="I8" s="18">
        <v>90450</v>
      </c>
      <c r="J8" s="18">
        <v>837000.00000000012</v>
      </c>
      <c r="K8" s="18">
        <v>167400.00000000003</v>
      </c>
      <c r="L8" s="35">
        <v>27454.89</v>
      </c>
      <c r="M8" s="36">
        <v>49894.046999999999</v>
      </c>
      <c r="N8" s="36">
        <v>225184.05</v>
      </c>
      <c r="O8" s="36">
        <v>59103.61</v>
      </c>
    </row>
    <row r="9" spans="1:15" ht="15.6" x14ac:dyDescent="0.25">
      <c r="A9" s="1" t="s">
        <v>21</v>
      </c>
      <c r="B9" s="1" t="s">
        <v>14</v>
      </c>
      <c r="C9" s="14" t="s">
        <v>15</v>
      </c>
      <c r="D9" s="37">
        <v>-0.52370832725684013</v>
      </c>
      <c r="E9" s="37">
        <v>-0.20015909342177995</v>
      </c>
      <c r="F9" s="37">
        <v>-0.33380994026284361</v>
      </c>
      <c r="G9" s="37">
        <v>-0.67347587096774197</v>
      </c>
      <c r="H9" s="18">
        <v>1011499.9999999999</v>
      </c>
      <c r="I9" s="18">
        <v>90450</v>
      </c>
      <c r="J9" s="18">
        <v>1674000.0000000002</v>
      </c>
      <c r="K9" s="18">
        <v>2790000.0000000005</v>
      </c>
      <c r="L9" s="35">
        <v>481769.02697970619</v>
      </c>
      <c r="M9" s="36">
        <v>72345.61</v>
      </c>
      <c r="N9" s="36">
        <v>1115202.1599999999</v>
      </c>
      <c r="O9" s="36">
        <v>911002.32000000007</v>
      </c>
    </row>
    <row r="10" spans="1:15" ht="15.6" x14ac:dyDescent="0.25">
      <c r="A10" s="1" t="s">
        <v>22</v>
      </c>
      <c r="B10" s="1" t="s">
        <v>14</v>
      </c>
      <c r="C10" s="14" t="s">
        <v>15</v>
      </c>
      <c r="D10" s="37">
        <v>0.52677049330756076</v>
      </c>
      <c r="E10" s="37">
        <v>-0.18821297006467752</v>
      </c>
      <c r="F10" s="37">
        <v>7.6482988351254555E-2</v>
      </c>
      <c r="G10" s="37">
        <v>-1.2728977060931899</v>
      </c>
      <c r="H10" s="18">
        <v>578000</v>
      </c>
      <c r="I10" s="18">
        <v>120600</v>
      </c>
      <c r="J10" s="18">
        <v>2232000</v>
      </c>
      <c r="K10" s="18">
        <v>1395000.0000000002</v>
      </c>
      <c r="L10" s="35">
        <v>882473.34513177013</v>
      </c>
      <c r="M10" s="36">
        <v>97901.515810199897</v>
      </c>
      <c r="N10" s="36">
        <v>2402710.0300000003</v>
      </c>
      <c r="O10" s="36">
        <v>-380692.29999999981</v>
      </c>
    </row>
    <row r="11" spans="1:15" ht="31.2" x14ac:dyDescent="0.25">
      <c r="A11" s="1" t="s">
        <v>23</v>
      </c>
      <c r="B11" s="1" t="s">
        <v>14</v>
      </c>
      <c r="C11" s="14" t="s">
        <v>15</v>
      </c>
      <c r="D11" s="37">
        <v>0</v>
      </c>
      <c r="E11" s="37">
        <v>1</v>
      </c>
      <c r="F11" s="37">
        <v>0</v>
      </c>
      <c r="G11" s="37">
        <v>0</v>
      </c>
      <c r="H11" s="18">
        <v>0</v>
      </c>
      <c r="I11" s="18">
        <v>0</v>
      </c>
      <c r="J11" s="18">
        <v>0</v>
      </c>
      <c r="K11" s="18">
        <v>0</v>
      </c>
      <c r="L11" s="35">
        <v>0</v>
      </c>
      <c r="M11" s="36">
        <v>9.77</v>
      </c>
      <c r="N11" s="36">
        <v>0</v>
      </c>
      <c r="O11" s="36">
        <v>0</v>
      </c>
    </row>
    <row r="12" spans="1:15" ht="15.6" x14ac:dyDescent="0.25">
      <c r="A12" s="1" t="s">
        <v>24</v>
      </c>
      <c r="B12" s="1" t="s">
        <v>14</v>
      </c>
      <c r="C12" s="14" t="s">
        <v>15</v>
      </c>
      <c r="D12" s="37">
        <v>1</v>
      </c>
      <c r="E12" s="37">
        <v>1</v>
      </c>
      <c r="F12" s="37">
        <v>1</v>
      </c>
      <c r="G12" s="37">
        <v>1</v>
      </c>
      <c r="H12" s="18">
        <v>0</v>
      </c>
      <c r="I12" s="18">
        <v>0</v>
      </c>
      <c r="J12" s="18">
        <v>0</v>
      </c>
      <c r="K12" s="18">
        <v>0</v>
      </c>
      <c r="L12" s="35">
        <v>41053.826915774822</v>
      </c>
      <c r="M12" s="36">
        <v>4875.2298668525636</v>
      </c>
      <c r="N12" s="36">
        <v>45585.683609235886</v>
      </c>
      <c r="O12" s="36">
        <v>14254.46</v>
      </c>
    </row>
    <row r="13" spans="1:15" ht="15.6" x14ac:dyDescent="0.25">
      <c r="A13" s="1" t="s">
        <v>25</v>
      </c>
      <c r="B13" s="1" t="s">
        <v>14</v>
      </c>
      <c r="C13" s="14" t="s">
        <v>15</v>
      </c>
      <c r="D13" s="37">
        <v>0</v>
      </c>
      <c r="E13" s="37">
        <v>0</v>
      </c>
      <c r="F13" s="37">
        <v>0</v>
      </c>
      <c r="G13" s="37">
        <v>0</v>
      </c>
      <c r="H13" s="18">
        <v>0</v>
      </c>
      <c r="I13" s="18">
        <v>0</v>
      </c>
      <c r="J13" s="18">
        <v>0</v>
      </c>
      <c r="K13" s="18">
        <v>0</v>
      </c>
      <c r="L13" s="35">
        <v>0</v>
      </c>
      <c r="M13" s="36">
        <v>0</v>
      </c>
      <c r="N13" s="36">
        <v>0</v>
      </c>
      <c r="O13" s="36">
        <v>0</v>
      </c>
    </row>
    <row r="14" spans="1:15" ht="31.2" x14ac:dyDescent="0.25">
      <c r="A14" s="1" t="s">
        <v>26</v>
      </c>
      <c r="B14" s="1" t="s">
        <v>14</v>
      </c>
      <c r="C14" s="14" t="s">
        <v>15</v>
      </c>
      <c r="D14" s="37">
        <v>0</v>
      </c>
      <c r="E14" s="37">
        <v>1</v>
      </c>
      <c r="F14" s="37">
        <v>0</v>
      </c>
      <c r="G14" s="37">
        <v>0</v>
      </c>
      <c r="H14" s="18">
        <v>0</v>
      </c>
      <c r="I14" s="18">
        <v>0</v>
      </c>
      <c r="J14" s="18">
        <v>0</v>
      </c>
      <c r="K14" s="18">
        <v>0</v>
      </c>
      <c r="L14" s="35">
        <v>0</v>
      </c>
      <c r="M14" s="36">
        <v>6634.0779999999995</v>
      </c>
      <c r="N14" s="36">
        <v>0</v>
      </c>
      <c r="O14" s="36">
        <v>0</v>
      </c>
    </row>
    <row r="15" spans="1:15" ht="15.6" x14ac:dyDescent="0.25">
      <c r="A15" s="19" t="s">
        <v>27</v>
      </c>
      <c r="B15" s="1" t="s">
        <v>14</v>
      </c>
      <c r="C15" s="14" t="s">
        <v>15</v>
      </c>
      <c r="D15" s="37">
        <v>0.35239344572798315</v>
      </c>
      <c r="E15" s="37">
        <v>-4.7981098899456676E-3</v>
      </c>
      <c r="F15" s="37">
        <v>-0.17316207392997174</v>
      </c>
      <c r="G15" s="37">
        <v>0.27670737903225806</v>
      </c>
      <c r="H15" s="18">
        <v>1445000</v>
      </c>
      <c r="I15" s="18">
        <v>271350</v>
      </c>
      <c r="J15" s="18">
        <v>3348000.0000000005</v>
      </c>
      <c r="K15" s="18">
        <v>2232000</v>
      </c>
      <c r="L15" s="35">
        <v>1954208.5290769357</v>
      </c>
      <c r="M15" s="36">
        <v>270048.03288136324</v>
      </c>
      <c r="N15" s="36">
        <v>2768253.3764824551</v>
      </c>
      <c r="O15" s="36">
        <v>2849610.87</v>
      </c>
    </row>
    <row r="16" spans="1:15" ht="46.8" x14ac:dyDescent="0.25">
      <c r="A16" s="1" t="s">
        <v>28</v>
      </c>
      <c r="B16" s="1" t="s">
        <v>14</v>
      </c>
      <c r="C16" s="14" t="s">
        <v>15</v>
      </c>
      <c r="D16" s="37">
        <v>1</v>
      </c>
      <c r="E16" s="37">
        <v>0</v>
      </c>
      <c r="F16" s="37">
        <v>0</v>
      </c>
      <c r="G16" s="37">
        <v>0</v>
      </c>
      <c r="H16" s="18">
        <v>0</v>
      </c>
      <c r="I16" s="18">
        <v>0</v>
      </c>
      <c r="J16" s="18">
        <v>0</v>
      </c>
      <c r="K16" s="18">
        <v>0</v>
      </c>
      <c r="L16" s="35">
        <v>2262</v>
      </c>
      <c r="M16" s="36">
        <v>0</v>
      </c>
      <c r="N16" s="36">
        <v>0</v>
      </c>
      <c r="O16" s="36">
        <v>0</v>
      </c>
    </row>
    <row r="17" spans="1:15" ht="31.2" x14ac:dyDescent="0.25">
      <c r="A17" s="1" t="s">
        <v>29</v>
      </c>
      <c r="B17" s="1" t="s">
        <v>14</v>
      </c>
      <c r="C17" s="14" t="s">
        <v>15</v>
      </c>
      <c r="D17" s="37">
        <v>1</v>
      </c>
      <c r="E17" s="37">
        <v>1</v>
      </c>
      <c r="F17" s="37">
        <v>1</v>
      </c>
      <c r="G17" s="37">
        <v>1</v>
      </c>
      <c r="H17" s="18">
        <v>0</v>
      </c>
      <c r="I17" s="18">
        <v>0</v>
      </c>
      <c r="J17" s="18">
        <v>0</v>
      </c>
      <c r="K17" s="18">
        <v>0</v>
      </c>
      <c r="L17" s="35">
        <v>44755.199999999997</v>
      </c>
      <c r="M17" s="36">
        <v>-3451</v>
      </c>
      <c r="N17" s="36">
        <v>24102.44</v>
      </c>
      <c r="O17" s="36">
        <v>-580576.23</v>
      </c>
    </row>
    <row r="18" spans="1:15" ht="31.2" x14ac:dyDescent="0.25">
      <c r="A18" s="1" t="s">
        <v>30</v>
      </c>
      <c r="B18" s="1" t="s">
        <v>14</v>
      </c>
      <c r="C18" s="14" t="s">
        <v>15</v>
      </c>
      <c r="D18" s="37">
        <v>1</v>
      </c>
      <c r="E18" s="37">
        <v>0</v>
      </c>
      <c r="F18" s="37">
        <v>0</v>
      </c>
      <c r="G18" s="37">
        <v>0</v>
      </c>
      <c r="H18" s="18">
        <v>0</v>
      </c>
      <c r="I18" s="18">
        <v>0</v>
      </c>
      <c r="J18" s="18">
        <v>0</v>
      </c>
      <c r="K18" s="18">
        <v>0</v>
      </c>
      <c r="L18" s="35">
        <v>63754.879654273449</v>
      </c>
      <c r="M18" s="36">
        <v>0</v>
      </c>
      <c r="N18" s="36">
        <v>0</v>
      </c>
      <c r="O18" s="36">
        <v>0</v>
      </c>
    </row>
    <row r="19" spans="1:15" ht="15.6" x14ac:dyDescent="0.25">
      <c r="A19" s="1" t="s">
        <v>31</v>
      </c>
      <c r="B19" s="1" t="s">
        <v>14</v>
      </c>
      <c r="C19" s="14" t="s">
        <v>15</v>
      </c>
      <c r="D19" s="37">
        <v>1</v>
      </c>
      <c r="E19" s="37">
        <v>-0.5665008291873963</v>
      </c>
      <c r="F19" s="37">
        <v>1</v>
      </c>
      <c r="G19" s="37">
        <v>1</v>
      </c>
      <c r="H19" s="18">
        <v>0</v>
      </c>
      <c r="I19" s="18">
        <v>6030</v>
      </c>
      <c r="J19" s="18">
        <v>0</v>
      </c>
      <c r="K19" s="18">
        <v>0</v>
      </c>
      <c r="L19" s="35">
        <v>23585.8</v>
      </c>
      <c r="M19" s="36">
        <v>2614</v>
      </c>
      <c r="N19" s="36">
        <v>246259.19</v>
      </c>
      <c r="O19" s="36">
        <v>230013.85</v>
      </c>
    </row>
    <row r="20" spans="1:15" ht="15.6" x14ac:dyDescent="0.25">
      <c r="A20" s="19" t="s">
        <v>32</v>
      </c>
      <c r="B20" s="1" t="s">
        <v>14</v>
      </c>
      <c r="C20" s="14" t="s">
        <v>15</v>
      </c>
      <c r="D20" s="37">
        <v>1</v>
      </c>
      <c r="E20" s="37">
        <v>1</v>
      </c>
      <c r="F20" s="37">
        <v>1</v>
      </c>
      <c r="G20" s="37">
        <v>1</v>
      </c>
      <c r="H20" s="18">
        <v>0</v>
      </c>
      <c r="I20" s="18">
        <v>0</v>
      </c>
      <c r="J20" s="18">
        <v>0</v>
      </c>
      <c r="K20" s="18">
        <v>0</v>
      </c>
      <c r="L20" s="35">
        <v>414338.30679207749</v>
      </c>
      <c r="M20" s="36">
        <v>43595.543740730893</v>
      </c>
      <c r="N20" s="36">
        <v>834959.46726859419</v>
      </c>
      <c r="O20" s="36">
        <v>1595065.21</v>
      </c>
    </row>
    <row r="21" spans="1:15" ht="31.2" x14ac:dyDescent="0.25">
      <c r="A21" s="1" t="s">
        <v>33</v>
      </c>
      <c r="B21" s="1" t="s">
        <v>14</v>
      </c>
      <c r="C21" s="14" t="s">
        <v>15</v>
      </c>
      <c r="D21" s="37">
        <v>-0.94238754325259511</v>
      </c>
      <c r="E21" s="37">
        <v>-0.53497616645269508</v>
      </c>
      <c r="F21" s="37">
        <v>-0.94400489844683388</v>
      </c>
      <c r="G21" s="37">
        <v>0</v>
      </c>
      <c r="H21" s="18">
        <v>173400</v>
      </c>
      <c r="I21" s="18">
        <v>48240</v>
      </c>
      <c r="J21" s="18">
        <v>167400.00000000003</v>
      </c>
      <c r="K21" s="18">
        <v>167400.00000000003</v>
      </c>
      <c r="L21" s="35">
        <v>9990</v>
      </c>
      <c r="M21" s="36">
        <v>22432.74973032199</v>
      </c>
      <c r="N21" s="36">
        <v>9373.58</v>
      </c>
      <c r="O21" s="36">
        <v>0</v>
      </c>
    </row>
    <row r="22" spans="1:15" ht="15.6" x14ac:dyDescent="0.25">
      <c r="A22" s="1" t="s">
        <v>34</v>
      </c>
      <c r="B22" s="1" t="s">
        <v>14</v>
      </c>
      <c r="C22" s="14" t="s">
        <v>15</v>
      </c>
      <c r="D22" s="37">
        <v>-0.75521133147092145</v>
      </c>
      <c r="E22" s="37">
        <v>4.6727646275336765E-2</v>
      </c>
      <c r="F22" s="37">
        <v>2.6111947431302265</v>
      </c>
      <c r="G22" s="37">
        <v>0.60053073476702479</v>
      </c>
      <c r="H22" s="18">
        <v>28899.999999999996</v>
      </c>
      <c r="I22" s="18">
        <v>30150</v>
      </c>
      <c r="J22" s="18">
        <v>167400.00000000003</v>
      </c>
      <c r="K22" s="18">
        <v>111600.00000000001</v>
      </c>
      <c r="L22" s="35">
        <v>7074.392520490368</v>
      </c>
      <c r="M22" s="36">
        <v>31558.838535201401</v>
      </c>
      <c r="N22" s="36">
        <v>604514</v>
      </c>
      <c r="O22" s="36">
        <v>178619.22999999998</v>
      </c>
    </row>
    <row r="23" spans="1:15" ht="15.6" x14ac:dyDescent="0.25">
      <c r="A23" s="20" t="s">
        <v>35</v>
      </c>
      <c r="B23" s="1" t="s">
        <v>14</v>
      </c>
      <c r="C23" s="14" t="s">
        <v>15</v>
      </c>
      <c r="D23" s="37">
        <v>0</v>
      </c>
      <c r="E23" s="37">
        <v>-0.81388132669983415</v>
      </c>
      <c r="F23" s="37">
        <v>0</v>
      </c>
      <c r="G23" s="37">
        <v>0</v>
      </c>
      <c r="H23" s="18">
        <v>28899.999999999996</v>
      </c>
      <c r="I23" s="18">
        <v>30150</v>
      </c>
      <c r="J23" s="18">
        <v>279000</v>
      </c>
      <c r="K23" s="18">
        <v>111600.00000000001</v>
      </c>
      <c r="L23" s="35">
        <v>0</v>
      </c>
      <c r="M23" s="36">
        <v>5611.4780000000001</v>
      </c>
      <c r="N23" s="36">
        <v>0</v>
      </c>
      <c r="O23" s="36">
        <v>0</v>
      </c>
    </row>
    <row r="24" spans="1:15" ht="46.8" x14ac:dyDescent="0.25">
      <c r="A24" s="20" t="s">
        <v>36</v>
      </c>
      <c r="B24" s="1" t="s">
        <v>14</v>
      </c>
      <c r="C24" s="14" t="s">
        <v>15</v>
      </c>
      <c r="D24" s="37">
        <v>-0.8201801730103806</v>
      </c>
      <c r="E24" s="37">
        <v>-1.1341791044776119</v>
      </c>
      <c r="F24" s="37">
        <v>-5.0997589605734861E-2</v>
      </c>
      <c r="G24" s="37">
        <v>2.4262488172043013</v>
      </c>
      <c r="H24" s="18">
        <v>57799.999999999993</v>
      </c>
      <c r="I24" s="18">
        <v>30150</v>
      </c>
      <c r="J24" s="18">
        <v>1116000</v>
      </c>
      <c r="K24" s="18">
        <v>279000</v>
      </c>
      <c r="L24" s="35">
        <v>10393.585999999999</v>
      </c>
      <c r="M24" s="36">
        <v>-4045.5</v>
      </c>
      <c r="N24" s="36">
        <v>1059086.69</v>
      </c>
      <c r="O24" s="36">
        <v>955923.42</v>
      </c>
    </row>
    <row r="25" spans="1:15" ht="31.2" x14ac:dyDescent="0.25">
      <c r="A25" s="1" t="s">
        <v>37</v>
      </c>
      <c r="B25" s="1" t="s">
        <v>14</v>
      </c>
      <c r="C25" s="1" t="s">
        <v>15</v>
      </c>
      <c r="D25" s="37">
        <v>1</v>
      </c>
      <c r="E25" s="37">
        <v>1</v>
      </c>
      <c r="F25" s="37">
        <v>1</v>
      </c>
      <c r="G25" s="37">
        <v>1</v>
      </c>
      <c r="H25" s="18">
        <v>0</v>
      </c>
      <c r="I25" s="18">
        <v>0</v>
      </c>
      <c r="J25" s="18">
        <v>0</v>
      </c>
      <c r="K25" s="18">
        <v>0</v>
      </c>
      <c r="L25" s="35">
        <v>119634.28049999999</v>
      </c>
      <c r="M25" s="36">
        <v>4022.72</v>
      </c>
      <c r="N25" s="36">
        <v>1496891.3800000001</v>
      </c>
      <c r="O25" s="36">
        <v>400297.28</v>
      </c>
    </row>
    <row r="26" spans="1:15" ht="31.2" x14ac:dyDescent="0.25">
      <c r="A26" s="1" t="s">
        <v>38</v>
      </c>
      <c r="B26" s="1" t="s">
        <v>14</v>
      </c>
      <c r="C26" s="1" t="s">
        <v>15</v>
      </c>
      <c r="D26" s="37">
        <v>1</v>
      </c>
      <c r="E26" s="37">
        <v>1</v>
      </c>
      <c r="F26" s="37">
        <v>0</v>
      </c>
      <c r="G26" s="37">
        <v>1</v>
      </c>
      <c r="H26" s="18">
        <v>0</v>
      </c>
      <c r="I26" s="18">
        <v>0</v>
      </c>
      <c r="J26" s="18">
        <v>0</v>
      </c>
      <c r="K26" s="18">
        <v>0</v>
      </c>
      <c r="L26" s="35">
        <v>23762.05</v>
      </c>
      <c r="M26" s="36">
        <v>22757.25</v>
      </c>
      <c r="N26" s="36">
        <v>0</v>
      </c>
      <c r="O26" s="36">
        <v>140806.85999999999</v>
      </c>
    </row>
    <row r="27" spans="1:15" ht="31.2" x14ac:dyDescent="0.25">
      <c r="A27" s="1" t="s">
        <v>39</v>
      </c>
      <c r="B27" s="1" t="s">
        <v>14</v>
      </c>
      <c r="C27" s="1" t="s">
        <v>15</v>
      </c>
      <c r="D27" s="37">
        <v>1</v>
      </c>
      <c r="E27" s="37">
        <v>1</v>
      </c>
      <c r="F27" s="37">
        <v>1</v>
      </c>
      <c r="G27" s="37">
        <v>1</v>
      </c>
      <c r="H27" s="18">
        <v>0</v>
      </c>
      <c r="I27" s="18">
        <v>0</v>
      </c>
      <c r="J27" s="18">
        <v>0</v>
      </c>
      <c r="K27" s="18">
        <v>0</v>
      </c>
      <c r="L27" s="35">
        <v>180157.22100000002</v>
      </c>
      <c r="M27" s="36">
        <v>14237.655999999999</v>
      </c>
      <c r="N27" s="36">
        <v>145758.21000000002</v>
      </c>
      <c r="O27" s="36">
        <v>616583.69999999995</v>
      </c>
    </row>
    <row r="28" spans="1:15" ht="31.2" x14ac:dyDescent="0.25">
      <c r="A28" s="1" t="s">
        <v>40</v>
      </c>
      <c r="B28" s="1" t="s">
        <v>14</v>
      </c>
      <c r="C28" s="1" t="s">
        <v>15</v>
      </c>
      <c r="D28" s="37">
        <v>1</v>
      </c>
      <c r="E28" s="37">
        <v>1</v>
      </c>
      <c r="F28" s="37">
        <v>0</v>
      </c>
      <c r="G28" s="37">
        <v>0</v>
      </c>
      <c r="H28" s="18">
        <v>0</v>
      </c>
      <c r="I28" s="18">
        <v>0</v>
      </c>
      <c r="J28" s="18">
        <v>0</v>
      </c>
      <c r="K28" s="18">
        <v>0</v>
      </c>
      <c r="L28" s="35">
        <v>6018</v>
      </c>
      <c r="M28" s="36">
        <v>870</v>
      </c>
      <c r="N28" s="36">
        <v>0</v>
      </c>
      <c r="O28" s="36">
        <v>0</v>
      </c>
    </row>
    <row r="29" spans="1:15" ht="15.6" x14ac:dyDescent="0.25">
      <c r="A29" s="20" t="s">
        <v>41</v>
      </c>
      <c r="B29" s="20" t="s">
        <v>14</v>
      </c>
      <c r="C29" s="20" t="s">
        <v>15</v>
      </c>
      <c r="D29" s="38">
        <v>1</v>
      </c>
      <c r="E29" s="38">
        <v>1</v>
      </c>
      <c r="F29" s="38">
        <v>1</v>
      </c>
      <c r="G29" s="38">
        <v>1</v>
      </c>
      <c r="H29" s="18">
        <v>0</v>
      </c>
      <c r="I29" s="18">
        <v>0</v>
      </c>
      <c r="J29" s="18">
        <v>0</v>
      </c>
      <c r="K29" s="18">
        <v>0</v>
      </c>
      <c r="L29" s="35">
        <v>135960</v>
      </c>
      <c r="M29" s="36">
        <v>3272.9</v>
      </c>
      <c r="N29" s="36">
        <v>4501</v>
      </c>
      <c r="O29" s="36">
        <v>156597</v>
      </c>
    </row>
    <row r="30" spans="1:15" ht="15.6" x14ac:dyDescent="0.25">
      <c r="A30" s="19" t="s">
        <v>42</v>
      </c>
      <c r="B30" s="1" t="s">
        <v>14</v>
      </c>
      <c r="C30" s="1" t="s">
        <v>43</v>
      </c>
      <c r="D30" s="37">
        <v>0.18921131489690546</v>
      </c>
      <c r="E30" s="37">
        <v>0.23050042288557204</v>
      </c>
      <c r="F30" s="37">
        <v>-6.363267204301104E-2</v>
      </c>
      <c r="G30" s="37">
        <v>1.5542257138590205</v>
      </c>
      <c r="H30" s="18">
        <v>1733999.9999999998</v>
      </c>
      <c r="I30" s="18">
        <v>361800</v>
      </c>
      <c r="J30" s="18">
        <v>5580000.0000000009</v>
      </c>
      <c r="K30" s="18">
        <v>3348000.0000000005</v>
      </c>
      <c r="L30" s="35">
        <v>2062092.4200312339</v>
      </c>
      <c r="M30" s="36">
        <v>445195.05299999996</v>
      </c>
      <c r="N30" s="36">
        <v>5224929.6899999995</v>
      </c>
      <c r="O30" s="36">
        <v>8551547.6900000013</v>
      </c>
    </row>
    <row r="31" spans="1:15" ht="31.2" x14ac:dyDescent="0.25">
      <c r="A31" s="1" t="s">
        <v>44</v>
      </c>
      <c r="B31" s="1" t="s">
        <v>14</v>
      </c>
      <c r="C31" s="1" t="s">
        <v>43</v>
      </c>
      <c r="D31" s="37">
        <v>1</v>
      </c>
      <c r="E31" s="37">
        <v>1</v>
      </c>
      <c r="F31" s="37">
        <v>1</v>
      </c>
      <c r="G31" s="37">
        <v>1</v>
      </c>
      <c r="H31" s="18">
        <v>0</v>
      </c>
      <c r="I31" s="18">
        <v>0</v>
      </c>
      <c r="J31" s="18">
        <v>0</v>
      </c>
      <c r="K31" s="18">
        <v>0</v>
      </c>
      <c r="L31" s="35">
        <v>221736.30800000002</v>
      </c>
      <c r="M31" s="36">
        <v>-295.47004582151453</v>
      </c>
      <c r="N31" s="36">
        <v>77573.259999999995</v>
      </c>
      <c r="O31" s="36">
        <v>2185473.69</v>
      </c>
    </row>
    <row r="32" spans="1:15" ht="15.6" x14ac:dyDescent="0.25">
      <c r="A32" s="1" t="s">
        <v>45</v>
      </c>
      <c r="B32" s="1" t="s">
        <v>14</v>
      </c>
      <c r="C32" s="1" t="s">
        <v>43</v>
      </c>
      <c r="D32" s="37">
        <v>0</v>
      </c>
      <c r="E32" s="37">
        <v>0.2897664344941957</v>
      </c>
      <c r="F32" s="37">
        <v>0</v>
      </c>
      <c r="G32" s="37">
        <v>0</v>
      </c>
      <c r="H32" s="18">
        <v>115599.99999999999</v>
      </c>
      <c r="I32" s="18">
        <v>60300</v>
      </c>
      <c r="J32" s="18">
        <v>279000</v>
      </c>
      <c r="K32" s="18">
        <v>334800.00000000006</v>
      </c>
      <c r="L32" s="35">
        <v>0</v>
      </c>
      <c r="M32" s="36">
        <v>77772.915999999997</v>
      </c>
      <c r="N32" s="36">
        <v>0</v>
      </c>
      <c r="O32" s="36">
        <v>0</v>
      </c>
    </row>
    <row r="33" spans="1:15" ht="31.2" x14ac:dyDescent="0.25">
      <c r="A33" s="1" t="s">
        <v>46</v>
      </c>
      <c r="B33" s="1" t="s">
        <v>14</v>
      </c>
      <c r="C33" s="1" t="s">
        <v>43</v>
      </c>
      <c r="D33" s="37">
        <v>0.27574420617333706</v>
      </c>
      <c r="E33" s="37">
        <v>-0.18232941404090663</v>
      </c>
      <c r="F33" s="37">
        <v>0.28662544802867385</v>
      </c>
      <c r="G33" s="37">
        <v>1.1023695549581838</v>
      </c>
      <c r="H33" s="18">
        <v>578000</v>
      </c>
      <c r="I33" s="18">
        <v>90450</v>
      </c>
      <c r="J33" s="18">
        <v>4464000</v>
      </c>
      <c r="K33" s="18">
        <v>3348000.0000000005</v>
      </c>
      <c r="L33" s="35">
        <v>737380.15116818878</v>
      </c>
      <c r="M33" s="36">
        <v>73958.304499999998</v>
      </c>
      <c r="N33" s="36">
        <v>5743496</v>
      </c>
      <c r="O33" s="36">
        <v>7038733.2700000005</v>
      </c>
    </row>
    <row r="34" spans="1:15" ht="15.6" x14ac:dyDescent="0.25">
      <c r="A34" s="22" t="s">
        <v>47</v>
      </c>
      <c r="B34" s="1" t="s">
        <v>14</v>
      </c>
      <c r="C34" s="1" t="s">
        <v>43</v>
      </c>
      <c r="D34" s="37">
        <v>0.27036212954622041</v>
      </c>
      <c r="E34" s="37">
        <v>0.43305600581487802</v>
      </c>
      <c r="F34" s="37">
        <v>1.0248893649073181</v>
      </c>
      <c r="G34" s="37">
        <v>4.7052645041816001</v>
      </c>
      <c r="H34" s="18">
        <v>1733999.9999999998</v>
      </c>
      <c r="I34" s="18">
        <v>150750</v>
      </c>
      <c r="J34" s="18">
        <v>11160000.000000002</v>
      </c>
      <c r="K34" s="18">
        <v>3348000.0000000005</v>
      </c>
      <c r="L34" s="35">
        <v>2202807.9326331457</v>
      </c>
      <c r="M34" s="36">
        <v>216033.19287659286</v>
      </c>
      <c r="N34" s="36">
        <v>22597765.312365673</v>
      </c>
      <c r="O34" s="36">
        <v>19101225.559999999</v>
      </c>
    </row>
    <row r="35" spans="1:15" ht="31.2" x14ac:dyDescent="0.25">
      <c r="A35" s="1" t="s">
        <v>48</v>
      </c>
      <c r="B35" s="1" t="s">
        <v>14</v>
      </c>
      <c r="C35" s="1" t="s">
        <v>43</v>
      </c>
      <c r="D35" s="37">
        <v>-0.74632415224913484</v>
      </c>
      <c r="E35" s="37">
        <v>-0.71881013819789941</v>
      </c>
      <c r="F35" s="37">
        <v>0</v>
      </c>
      <c r="G35" s="37">
        <v>0</v>
      </c>
      <c r="H35" s="18">
        <v>289000</v>
      </c>
      <c r="I35" s="18">
        <v>90450</v>
      </c>
      <c r="J35" s="18">
        <v>558000</v>
      </c>
      <c r="K35" s="18">
        <v>1116000</v>
      </c>
      <c r="L35" s="35">
        <v>73312.320000000007</v>
      </c>
      <c r="M35" s="36">
        <v>25433.623</v>
      </c>
      <c r="N35" s="36">
        <v>0</v>
      </c>
      <c r="O35" s="36">
        <v>0</v>
      </c>
    </row>
    <row r="36" spans="1:15" ht="18" x14ac:dyDescent="0.3">
      <c r="A36" s="23" t="s">
        <v>49</v>
      </c>
      <c r="B36" s="24"/>
      <c r="C36" s="24"/>
      <c r="D36" s="24"/>
      <c r="E36" s="24"/>
      <c r="F36" s="24"/>
      <c r="G36" s="24"/>
      <c r="H36" s="25">
        <f>SUM(H3:H35)</f>
        <v>10548500</v>
      </c>
      <c r="I36" s="25">
        <f t="shared" ref="I36:O36" si="0">SUM(I3:I35)</f>
        <v>1905480</v>
      </c>
      <c r="J36" s="25">
        <f t="shared" si="0"/>
        <v>35154000.000000007</v>
      </c>
      <c r="K36" s="25">
        <f t="shared" si="0"/>
        <v>23938200</v>
      </c>
      <c r="L36" s="25">
        <f t="shared" si="0"/>
        <v>11670381.909441553</v>
      </c>
      <c r="M36" s="25">
        <f t="shared" si="0"/>
        <v>1788699.3043070578</v>
      </c>
      <c r="N36" s="25">
        <f t="shared" si="0"/>
        <v>46005125.035795204</v>
      </c>
      <c r="O36" s="25">
        <f t="shared" si="0"/>
        <v>49170586.210000001</v>
      </c>
    </row>
  </sheetData>
  <mergeCells count="3">
    <mergeCell ref="D1:G1"/>
    <mergeCell ref="H1:K1"/>
    <mergeCell ref="L1:O1"/>
  </mergeCells>
  <conditionalFormatting sqref="A1:A2">
    <cfRule type="duplicateValues" dxfId="125" priority="6"/>
    <cfRule type="duplicateValues" dxfId="124" priority="7"/>
  </conditionalFormatting>
  <conditionalFormatting sqref="D1 D2:G35">
    <cfRule type="cellIs" dxfId="123" priority="8" operator="lessThan">
      <formula>-0.0001</formula>
    </cfRule>
  </conditionalFormatting>
  <conditionalFormatting sqref="A3:A29">
    <cfRule type="duplicateValues" dxfId="122" priority="4"/>
    <cfRule type="duplicateValues" dxfId="121" priority="5"/>
  </conditionalFormatting>
  <conditionalFormatting sqref="D3:G35">
    <cfRule type="cellIs" dxfId="120" priority="3" operator="greaterThan">
      <formula>0.1</formula>
    </cfRule>
  </conditionalFormatting>
  <conditionalFormatting sqref="A30:A36">
    <cfRule type="duplicateValues" dxfId="119" priority="1"/>
    <cfRule type="duplicateValues" dxfId="118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0561-E2A0-4D68-AA09-F34C260B3D64}">
  <dimension ref="A1:O36"/>
  <sheetViews>
    <sheetView rightToLeft="1" topLeftCell="A27" workbookViewId="0">
      <selection activeCell="I42" sqref="I42"/>
    </sheetView>
  </sheetViews>
  <sheetFormatPr defaultRowHeight="13.8" x14ac:dyDescent="0.25"/>
  <cols>
    <col min="8" max="8" width="12.59765625" bestFit="1" customWidth="1"/>
    <col min="9" max="9" width="10.69921875" bestFit="1" customWidth="1"/>
    <col min="10" max="12" width="12.59765625" bestFit="1" customWidth="1"/>
    <col min="13" max="13" width="10.69921875" bestFit="1" customWidth="1"/>
    <col min="14" max="15" width="12.59765625" bestFit="1" customWidth="1"/>
  </cols>
  <sheetData>
    <row r="1" spans="1:15" ht="21" x14ac:dyDescent="0.25">
      <c r="A1" s="1"/>
      <c r="B1" s="1"/>
      <c r="C1" s="1"/>
      <c r="D1" s="26" t="s">
        <v>52</v>
      </c>
      <c r="E1" s="27"/>
      <c r="F1" s="27"/>
      <c r="G1" s="28"/>
      <c r="H1" s="39" t="s">
        <v>54</v>
      </c>
      <c r="I1" s="40"/>
      <c r="J1" s="40"/>
      <c r="K1" s="41"/>
      <c r="L1" s="32" t="s">
        <v>55</v>
      </c>
      <c r="M1" s="32"/>
      <c r="N1" s="32"/>
      <c r="O1" s="32"/>
    </row>
    <row r="2" spans="1:15" ht="42" x14ac:dyDescent="0.25">
      <c r="A2" s="9" t="s">
        <v>3</v>
      </c>
      <c r="B2" s="10" t="s">
        <v>4</v>
      </c>
      <c r="C2" s="10" t="s">
        <v>5</v>
      </c>
      <c r="D2" s="11" t="s">
        <v>6</v>
      </c>
      <c r="E2" s="11" t="s">
        <v>7</v>
      </c>
      <c r="F2" s="11" t="s">
        <v>8</v>
      </c>
      <c r="G2" s="11" t="s">
        <v>9</v>
      </c>
      <c r="H2" s="33" t="s">
        <v>6</v>
      </c>
      <c r="I2" s="33" t="s">
        <v>11</v>
      </c>
      <c r="J2" s="33" t="s">
        <v>8</v>
      </c>
      <c r="K2" s="33" t="s">
        <v>9</v>
      </c>
      <c r="L2" s="12" t="s">
        <v>6</v>
      </c>
      <c r="M2" s="12" t="s">
        <v>11</v>
      </c>
      <c r="N2" s="12" t="s">
        <v>10</v>
      </c>
      <c r="O2" s="12" t="s">
        <v>9</v>
      </c>
    </row>
    <row r="3" spans="1:15" ht="31.2" x14ac:dyDescent="0.25">
      <c r="A3" s="14" t="s">
        <v>13</v>
      </c>
      <c r="B3" s="14" t="s">
        <v>14</v>
      </c>
      <c r="C3" s="14" t="s">
        <v>15</v>
      </c>
      <c r="D3" s="16">
        <v>0.76596756823529288</v>
      </c>
      <c r="E3" s="16">
        <v>4.9559990786676114</v>
      </c>
      <c r="F3" s="16">
        <v>-1.0122195121951219</v>
      </c>
      <c r="G3" s="16">
        <v>-0.39830839024390119</v>
      </c>
      <c r="H3" s="18">
        <v>136000</v>
      </c>
      <c r="I3" s="18">
        <v>14110</v>
      </c>
      <c r="J3" s="18">
        <v>205000</v>
      </c>
      <c r="K3" s="18">
        <v>410000</v>
      </c>
      <c r="L3" s="17">
        <v>240171.58927999984</v>
      </c>
      <c r="M3" s="17">
        <v>84039.146999999997</v>
      </c>
      <c r="N3" s="17">
        <v>-2505</v>
      </c>
      <c r="O3" s="17">
        <v>246693.56000000052</v>
      </c>
    </row>
    <row r="4" spans="1:15" ht="31.2" x14ac:dyDescent="0.25">
      <c r="A4" s="19" t="s">
        <v>16</v>
      </c>
      <c r="B4" s="1" t="s">
        <v>14</v>
      </c>
      <c r="C4" s="14" t="s">
        <v>15</v>
      </c>
      <c r="D4" s="16">
        <v>0</v>
      </c>
      <c r="E4" s="16">
        <v>1</v>
      </c>
      <c r="F4" s="16">
        <v>0</v>
      </c>
      <c r="G4" s="16">
        <v>0</v>
      </c>
      <c r="H4" s="18">
        <v>0</v>
      </c>
      <c r="I4" s="18">
        <v>0</v>
      </c>
      <c r="J4" s="18">
        <v>0</v>
      </c>
      <c r="K4" s="18">
        <v>0</v>
      </c>
      <c r="L4" s="17">
        <v>0</v>
      </c>
      <c r="M4" s="17">
        <v>11.864060699732818</v>
      </c>
      <c r="N4" s="17">
        <v>0</v>
      </c>
      <c r="O4" s="17">
        <v>0</v>
      </c>
    </row>
    <row r="5" spans="1:15" ht="31.2" x14ac:dyDescent="0.25">
      <c r="A5" s="19" t="s">
        <v>17</v>
      </c>
      <c r="B5" s="1" t="s">
        <v>14</v>
      </c>
      <c r="C5" s="14" t="s">
        <v>15</v>
      </c>
      <c r="D5" s="16">
        <v>0.7824309869133943</v>
      </c>
      <c r="E5" s="16">
        <v>-0.76399420866699819</v>
      </c>
      <c r="F5" s="16">
        <v>-0.99937808910532544</v>
      </c>
      <c r="G5" s="16">
        <v>-2.7095109756097564</v>
      </c>
      <c r="H5" s="18">
        <v>8500</v>
      </c>
      <c r="I5" s="18">
        <v>4150</v>
      </c>
      <c r="J5" s="18">
        <v>24600</v>
      </c>
      <c r="K5" s="18">
        <v>8200</v>
      </c>
      <c r="L5" s="17">
        <v>15150.663388763851</v>
      </c>
      <c r="M5" s="17">
        <v>979.42403403195749</v>
      </c>
      <c r="N5" s="17">
        <v>15.299008008993042</v>
      </c>
      <c r="O5" s="17">
        <v>-14017.99</v>
      </c>
    </row>
    <row r="6" spans="1:15" ht="31.2" x14ac:dyDescent="0.25">
      <c r="A6" s="19" t="s">
        <v>18</v>
      </c>
      <c r="B6" s="1" t="s">
        <v>14</v>
      </c>
      <c r="C6" s="14" t="s">
        <v>15</v>
      </c>
      <c r="D6" s="16">
        <v>-0.4112145465873035</v>
      </c>
      <c r="E6" s="16">
        <v>-0.19680453534136533</v>
      </c>
      <c r="F6" s="16">
        <v>-5.7961146341463543E-2</v>
      </c>
      <c r="G6" s="16">
        <v>0.83858969512195181</v>
      </c>
      <c r="H6" s="18">
        <v>212500.00000000003</v>
      </c>
      <c r="I6" s="18">
        <v>24900</v>
      </c>
      <c r="J6" s="18">
        <v>246000</v>
      </c>
      <c r="K6" s="18">
        <v>328000</v>
      </c>
      <c r="L6" s="17">
        <v>125116.90885019803</v>
      </c>
      <c r="M6" s="17">
        <v>19999.567070000005</v>
      </c>
      <c r="N6" s="17">
        <v>231741.55799999996</v>
      </c>
      <c r="O6" s="17">
        <v>603057.42000000016</v>
      </c>
    </row>
    <row r="7" spans="1:15" ht="15.6" x14ac:dyDescent="0.25">
      <c r="A7" s="19" t="s">
        <v>19</v>
      </c>
      <c r="B7" s="1" t="s">
        <v>14</v>
      </c>
      <c r="C7" s="14" t="s">
        <v>15</v>
      </c>
      <c r="D7" s="16">
        <v>0.41740553707225736</v>
      </c>
      <c r="E7" s="16">
        <v>-1.0123221260153388</v>
      </c>
      <c r="F7" s="16">
        <v>11.195399838243711</v>
      </c>
      <c r="G7" s="16">
        <v>-0.99997865853658496</v>
      </c>
      <c r="H7" s="18">
        <v>25500.000000000004</v>
      </c>
      <c r="I7" s="18">
        <v>16600</v>
      </c>
      <c r="J7" s="18">
        <v>8200</v>
      </c>
      <c r="K7" s="18">
        <v>16400</v>
      </c>
      <c r="L7" s="17">
        <v>36143.841195342568</v>
      </c>
      <c r="M7" s="17">
        <v>-204.54729185462202</v>
      </c>
      <c r="N7" s="17">
        <v>100002.27867359843</v>
      </c>
      <c r="O7" s="17">
        <v>0.35000000000582077</v>
      </c>
    </row>
    <row r="8" spans="1:15" ht="31.2" x14ac:dyDescent="0.25">
      <c r="A8" s="19" t="s">
        <v>20</v>
      </c>
      <c r="B8" s="1" t="s">
        <v>14</v>
      </c>
      <c r="C8" s="14" t="s">
        <v>15</v>
      </c>
      <c r="D8" s="16">
        <v>-0.97915372549019619</v>
      </c>
      <c r="E8" s="16">
        <v>-1.2079626779116466</v>
      </c>
      <c r="F8" s="16">
        <v>-0.58514528455284576</v>
      </c>
      <c r="G8" s="16">
        <v>-0.99287479674796753</v>
      </c>
      <c r="H8" s="18">
        <v>25500.000000000004</v>
      </c>
      <c r="I8" s="18">
        <v>12450</v>
      </c>
      <c r="J8" s="18">
        <v>123000</v>
      </c>
      <c r="K8" s="18">
        <v>24600</v>
      </c>
      <c r="L8" s="17">
        <v>531.57999999999811</v>
      </c>
      <c r="M8" s="17">
        <v>-2589.1353400000007</v>
      </c>
      <c r="N8" s="17">
        <v>51027.129999999976</v>
      </c>
      <c r="O8" s="17">
        <v>175.27999999999884</v>
      </c>
    </row>
    <row r="9" spans="1:15" ht="15.6" x14ac:dyDescent="0.25">
      <c r="A9" s="1" t="s">
        <v>21</v>
      </c>
      <c r="B9" s="1" t="s">
        <v>14</v>
      </c>
      <c r="C9" s="14" t="s">
        <v>15</v>
      </c>
      <c r="D9" s="16">
        <v>-0.74917426911961493</v>
      </c>
      <c r="E9" s="16">
        <v>-0.14609156626505992</v>
      </c>
      <c r="F9" s="16">
        <v>0.26521788617886122</v>
      </c>
      <c r="G9" s="16">
        <v>-1.4132722195121947</v>
      </c>
      <c r="H9" s="18">
        <v>148750</v>
      </c>
      <c r="I9" s="18">
        <v>12450</v>
      </c>
      <c r="J9" s="18">
        <v>246000</v>
      </c>
      <c r="K9" s="18">
        <v>410000</v>
      </c>
      <c r="L9" s="17">
        <v>37310.327468457283</v>
      </c>
      <c r="M9" s="17">
        <v>10631.160000000003</v>
      </c>
      <c r="N9" s="17">
        <v>311243.59999999986</v>
      </c>
      <c r="O9" s="17">
        <v>-169441.60999999987</v>
      </c>
    </row>
    <row r="10" spans="1:15" ht="15.6" x14ac:dyDescent="0.25">
      <c r="A10" s="1" t="s">
        <v>22</v>
      </c>
      <c r="B10" s="1" t="s">
        <v>14</v>
      </c>
      <c r="C10" s="14" t="s">
        <v>15</v>
      </c>
      <c r="D10" s="16">
        <v>0.17733264860905962</v>
      </c>
      <c r="E10" s="16">
        <v>-0.4125859496237877</v>
      </c>
      <c r="F10" s="16">
        <v>-0.69849085365853658</v>
      </c>
      <c r="G10" s="16">
        <v>-10.568381170731705</v>
      </c>
      <c r="H10" s="18">
        <v>85000</v>
      </c>
      <c r="I10" s="18">
        <v>16600</v>
      </c>
      <c r="J10" s="18">
        <v>328000</v>
      </c>
      <c r="K10" s="18">
        <v>205000</v>
      </c>
      <c r="L10" s="17">
        <v>100073.27513177006</v>
      </c>
      <c r="M10" s="17">
        <v>9751.0732362451236</v>
      </c>
      <c r="N10" s="17">
        <v>98895</v>
      </c>
      <c r="O10" s="17">
        <v>-1961518.1399999994</v>
      </c>
    </row>
    <row r="11" spans="1:15" ht="31.2" x14ac:dyDescent="0.25">
      <c r="A11" s="1" t="s">
        <v>23</v>
      </c>
      <c r="B11" s="1" t="s">
        <v>14</v>
      </c>
      <c r="C11" s="14" t="s">
        <v>15</v>
      </c>
      <c r="D11" s="16">
        <v>0</v>
      </c>
      <c r="E11" s="16">
        <v>1</v>
      </c>
      <c r="F11" s="16">
        <v>0</v>
      </c>
      <c r="G11" s="16">
        <v>0</v>
      </c>
      <c r="H11" s="18">
        <v>0</v>
      </c>
      <c r="I11" s="18">
        <v>0</v>
      </c>
      <c r="J11" s="18">
        <v>0</v>
      </c>
      <c r="K11" s="18">
        <v>0</v>
      </c>
      <c r="L11" s="17">
        <v>0</v>
      </c>
      <c r="M11" s="17">
        <v>2.9999999999999361E-2</v>
      </c>
      <c r="N11" s="17">
        <v>0</v>
      </c>
      <c r="O11" s="17">
        <v>0</v>
      </c>
    </row>
    <row r="12" spans="1:15" ht="15.6" x14ac:dyDescent="0.25">
      <c r="A12" s="1" t="s">
        <v>24</v>
      </c>
      <c r="B12" s="1" t="s">
        <v>14</v>
      </c>
      <c r="C12" s="14" t="s">
        <v>15</v>
      </c>
      <c r="D12" s="16">
        <v>1</v>
      </c>
      <c r="E12" s="16">
        <v>1</v>
      </c>
      <c r="F12" s="16">
        <v>1</v>
      </c>
      <c r="G12" s="16">
        <v>1</v>
      </c>
      <c r="H12" s="18">
        <v>0</v>
      </c>
      <c r="I12" s="18">
        <v>0</v>
      </c>
      <c r="J12" s="18">
        <v>0</v>
      </c>
      <c r="K12" s="18">
        <v>0</v>
      </c>
      <c r="L12" s="17">
        <v>667.10048150350485</v>
      </c>
      <c r="M12" s="17">
        <v>12.364324851865604</v>
      </c>
      <c r="N12" s="17">
        <v>-1854.5027451142378</v>
      </c>
      <c r="O12" s="17">
        <v>14254.46</v>
      </c>
    </row>
    <row r="13" spans="1:15" ht="15.6" x14ac:dyDescent="0.25">
      <c r="A13" s="1" t="s">
        <v>25</v>
      </c>
      <c r="B13" s="1" t="s">
        <v>14</v>
      </c>
      <c r="C13" s="14" t="s">
        <v>15</v>
      </c>
      <c r="D13" s="16">
        <v>0</v>
      </c>
      <c r="E13" s="16">
        <v>0</v>
      </c>
      <c r="F13" s="16">
        <v>0</v>
      </c>
      <c r="G13" s="16">
        <v>0</v>
      </c>
      <c r="H13" s="18">
        <v>0</v>
      </c>
      <c r="I13" s="18">
        <v>0</v>
      </c>
      <c r="J13" s="18">
        <v>0</v>
      </c>
      <c r="K13" s="18">
        <v>0</v>
      </c>
      <c r="L13" s="17">
        <v>0</v>
      </c>
      <c r="M13" s="17">
        <v>0</v>
      </c>
      <c r="N13" s="17">
        <v>0</v>
      </c>
      <c r="O13" s="17">
        <v>0</v>
      </c>
    </row>
    <row r="14" spans="1:15" ht="31.2" x14ac:dyDescent="0.25">
      <c r="A14" s="1" t="s">
        <v>26</v>
      </c>
      <c r="B14" s="1" t="s">
        <v>14</v>
      </c>
      <c r="C14" s="14" t="s">
        <v>15</v>
      </c>
      <c r="D14" s="16">
        <v>0</v>
      </c>
      <c r="E14" s="16">
        <v>1</v>
      </c>
      <c r="F14" s="16">
        <v>0</v>
      </c>
      <c r="G14" s="16">
        <v>0</v>
      </c>
      <c r="H14" s="18">
        <v>0</v>
      </c>
      <c r="I14" s="18">
        <v>0</v>
      </c>
      <c r="J14" s="18">
        <v>0</v>
      </c>
      <c r="K14" s="18">
        <v>0</v>
      </c>
      <c r="L14" s="17">
        <v>0</v>
      </c>
      <c r="M14" s="17">
        <v>19.908999999999651</v>
      </c>
      <c r="N14" s="17">
        <v>0</v>
      </c>
      <c r="O14" s="17">
        <v>0</v>
      </c>
    </row>
    <row r="15" spans="1:15" ht="15.6" x14ac:dyDescent="0.25">
      <c r="A15" s="19" t="s">
        <v>27</v>
      </c>
      <c r="B15" s="1" t="s">
        <v>14</v>
      </c>
      <c r="C15" s="14" t="s">
        <v>15</v>
      </c>
      <c r="D15" s="16">
        <v>0.3134428765842634</v>
      </c>
      <c r="E15" s="16">
        <v>1.0903421086752059</v>
      </c>
      <c r="F15" s="16">
        <v>0.91346550222183964</v>
      </c>
      <c r="G15" s="16">
        <v>0.10851115853658588</v>
      </c>
      <c r="H15" s="18">
        <v>212500.00000000003</v>
      </c>
      <c r="I15" s="18">
        <v>37350</v>
      </c>
      <c r="J15" s="18">
        <v>492000</v>
      </c>
      <c r="K15" s="18">
        <v>328000</v>
      </c>
      <c r="L15" s="17">
        <v>279106.61127415602</v>
      </c>
      <c r="M15" s="17">
        <v>78074.277759018936</v>
      </c>
      <c r="N15" s="17">
        <v>941425.02709314507</v>
      </c>
      <c r="O15" s="17">
        <v>363591.66000000015</v>
      </c>
    </row>
    <row r="16" spans="1:15" ht="46.8" x14ac:dyDescent="0.25">
      <c r="A16" s="1" t="s">
        <v>28</v>
      </c>
      <c r="B16" s="1" t="s">
        <v>14</v>
      </c>
      <c r="C16" s="14" t="s">
        <v>15</v>
      </c>
      <c r="D16" s="16">
        <v>0</v>
      </c>
      <c r="E16" s="16">
        <v>0</v>
      </c>
      <c r="F16" s="16">
        <v>0</v>
      </c>
      <c r="G16" s="16">
        <v>0</v>
      </c>
      <c r="H16" s="18">
        <v>0</v>
      </c>
      <c r="I16" s="18">
        <v>0</v>
      </c>
      <c r="J16" s="18">
        <v>0</v>
      </c>
      <c r="K16" s="18">
        <v>0</v>
      </c>
      <c r="L16" s="17">
        <v>0</v>
      </c>
      <c r="M16" s="17">
        <v>0</v>
      </c>
      <c r="N16" s="17">
        <v>0</v>
      </c>
      <c r="O16" s="17">
        <v>0</v>
      </c>
    </row>
    <row r="17" spans="1:15" ht="31.2" x14ac:dyDescent="0.25">
      <c r="A17" s="1" t="s">
        <v>29</v>
      </c>
      <c r="B17" s="1" t="s">
        <v>14</v>
      </c>
      <c r="C17" s="14" t="s">
        <v>15</v>
      </c>
      <c r="D17" s="16">
        <v>0</v>
      </c>
      <c r="E17" s="16">
        <v>1</v>
      </c>
      <c r="F17" s="16">
        <v>1</v>
      </c>
      <c r="G17" s="16">
        <v>0</v>
      </c>
      <c r="H17" s="18">
        <v>0</v>
      </c>
      <c r="I17" s="18">
        <v>0</v>
      </c>
      <c r="J17" s="18">
        <v>0</v>
      </c>
      <c r="K17" s="18">
        <v>0</v>
      </c>
      <c r="L17" s="17">
        <v>0</v>
      </c>
      <c r="M17" s="17">
        <v>-10.233999999999924</v>
      </c>
      <c r="N17" s="17">
        <v>1000</v>
      </c>
      <c r="O17" s="17">
        <v>0</v>
      </c>
    </row>
    <row r="18" spans="1:15" ht="31.2" x14ac:dyDescent="0.25">
      <c r="A18" s="1" t="s">
        <v>30</v>
      </c>
      <c r="B18" s="1" t="s">
        <v>14</v>
      </c>
      <c r="C18" s="14" t="s">
        <v>15</v>
      </c>
      <c r="D18" s="16">
        <v>1</v>
      </c>
      <c r="E18" s="16">
        <v>0</v>
      </c>
      <c r="F18" s="16">
        <v>0</v>
      </c>
      <c r="G18" s="16">
        <v>0</v>
      </c>
      <c r="H18" s="18">
        <v>0</v>
      </c>
      <c r="I18" s="18">
        <v>0</v>
      </c>
      <c r="J18" s="18">
        <v>0</v>
      </c>
      <c r="K18" s="18">
        <v>0</v>
      </c>
      <c r="L18" s="17">
        <v>25839.297965907223</v>
      </c>
      <c r="M18" s="17">
        <v>0</v>
      </c>
      <c r="N18" s="17">
        <v>0</v>
      </c>
      <c r="O18" s="17">
        <v>0</v>
      </c>
    </row>
    <row r="19" spans="1:15" ht="15.6" x14ac:dyDescent="0.25">
      <c r="A19" s="1" t="s">
        <v>31</v>
      </c>
      <c r="B19" s="1" t="s">
        <v>14</v>
      </c>
      <c r="C19" s="14" t="s">
        <v>15</v>
      </c>
      <c r="D19" s="16">
        <v>1</v>
      </c>
      <c r="E19" s="16">
        <v>-0.99066265060240966</v>
      </c>
      <c r="F19" s="16">
        <v>1</v>
      </c>
      <c r="G19" s="16">
        <v>1</v>
      </c>
      <c r="H19" s="18">
        <v>0</v>
      </c>
      <c r="I19" s="18">
        <v>830</v>
      </c>
      <c r="J19" s="18">
        <v>0</v>
      </c>
      <c r="K19" s="18">
        <v>0</v>
      </c>
      <c r="L19" s="17">
        <v>-1817.5699999999997</v>
      </c>
      <c r="M19" s="17">
        <v>7.75</v>
      </c>
      <c r="N19" s="17">
        <v>338.55999999999767</v>
      </c>
      <c r="O19" s="17">
        <v>682.11999999999534</v>
      </c>
    </row>
    <row r="20" spans="1:15" ht="15.6" x14ac:dyDescent="0.25">
      <c r="A20" s="19" t="s">
        <v>32</v>
      </c>
      <c r="B20" s="1" t="s">
        <v>14</v>
      </c>
      <c r="C20" s="14" t="s">
        <v>15</v>
      </c>
      <c r="D20" s="16">
        <v>1</v>
      </c>
      <c r="E20" s="16">
        <v>1</v>
      </c>
      <c r="F20" s="16">
        <v>1</v>
      </c>
      <c r="G20" s="16">
        <v>1</v>
      </c>
      <c r="H20" s="18">
        <v>0</v>
      </c>
      <c r="I20" s="18">
        <v>0</v>
      </c>
      <c r="J20" s="18">
        <v>0</v>
      </c>
      <c r="K20" s="18">
        <v>0</v>
      </c>
      <c r="L20" s="17">
        <v>121611.49398763978</v>
      </c>
      <c r="M20" s="17">
        <v>13295.036248526492</v>
      </c>
      <c r="N20" s="17">
        <v>330144.10189344949</v>
      </c>
      <c r="O20" s="17">
        <v>757967.29999999993</v>
      </c>
    </row>
    <row r="21" spans="1:15" ht="31.2" x14ac:dyDescent="0.25">
      <c r="A21" s="1" t="s">
        <v>33</v>
      </c>
      <c r="B21" s="1" t="s">
        <v>14</v>
      </c>
      <c r="C21" s="14" t="s">
        <v>15</v>
      </c>
      <c r="D21" s="16">
        <v>0</v>
      </c>
      <c r="E21" s="16">
        <v>-0.98928254480309907</v>
      </c>
      <c r="F21" s="16">
        <v>0</v>
      </c>
      <c r="G21" s="16">
        <v>0</v>
      </c>
      <c r="H21" s="18">
        <v>25500.000000000004</v>
      </c>
      <c r="I21" s="18">
        <v>6640</v>
      </c>
      <c r="J21" s="18">
        <v>24600</v>
      </c>
      <c r="K21" s="18">
        <v>24600</v>
      </c>
      <c r="L21" s="17">
        <v>0</v>
      </c>
      <c r="M21" s="17">
        <v>71.163902507421881</v>
      </c>
      <c r="N21" s="17">
        <v>0</v>
      </c>
      <c r="O21" s="17">
        <v>0</v>
      </c>
    </row>
    <row r="22" spans="1:15" ht="15.6" x14ac:dyDescent="0.25">
      <c r="A22" s="1" t="s">
        <v>34</v>
      </c>
      <c r="B22" s="1" t="s">
        <v>14</v>
      </c>
      <c r="C22" s="14" t="s">
        <v>15</v>
      </c>
      <c r="D22" s="16">
        <v>-0.98812269529205732</v>
      </c>
      <c r="E22" s="16">
        <v>0.58922031211360304</v>
      </c>
      <c r="F22" s="16">
        <v>3.4232926829268289</v>
      </c>
      <c r="G22" s="16">
        <v>1.8767115853658507</v>
      </c>
      <c r="H22" s="18">
        <v>4250</v>
      </c>
      <c r="I22" s="18">
        <v>4150</v>
      </c>
      <c r="J22" s="18">
        <v>24600</v>
      </c>
      <c r="K22" s="18">
        <v>16400</v>
      </c>
      <c r="L22" s="17">
        <v>50.478545008756555</v>
      </c>
      <c r="M22" s="17">
        <v>6595.2642952714523</v>
      </c>
      <c r="N22" s="17">
        <v>108813</v>
      </c>
      <c r="O22" s="17">
        <v>47178.069999999949</v>
      </c>
    </row>
    <row r="23" spans="1:15" ht="15.6" x14ac:dyDescent="0.25">
      <c r="A23" s="20" t="s">
        <v>35</v>
      </c>
      <c r="B23" s="1" t="s">
        <v>14</v>
      </c>
      <c r="C23" s="14" t="s">
        <v>15</v>
      </c>
      <c r="D23" s="16">
        <v>0</v>
      </c>
      <c r="E23" s="16">
        <v>-0.99599060240963855</v>
      </c>
      <c r="F23" s="16">
        <v>0</v>
      </c>
      <c r="G23" s="16">
        <v>0</v>
      </c>
      <c r="H23" s="18">
        <v>4250</v>
      </c>
      <c r="I23" s="18">
        <v>4150</v>
      </c>
      <c r="J23" s="18">
        <v>41000</v>
      </c>
      <c r="K23" s="18">
        <v>16400</v>
      </c>
      <c r="L23" s="17">
        <v>0</v>
      </c>
      <c r="M23" s="17">
        <v>16.639000000000124</v>
      </c>
      <c r="N23" s="17">
        <v>0</v>
      </c>
      <c r="O23" s="17">
        <v>0</v>
      </c>
    </row>
    <row r="24" spans="1:15" ht="46.8" x14ac:dyDescent="0.25">
      <c r="A24" s="20" t="s">
        <v>36</v>
      </c>
      <c r="B24" s="1" t="s">
        <v>14</v>
      </c>
      <c r="C24" s="14" t="s">
        <v>15</v>
      </c>
      <c r="D24" s="16">
        <v>-0.17124870588235297</v>
      </c>
      <c r="E24" s="16">
        <v>-1.002890843373494</v>
      </c>
      <c r="F24" s="16">
        <v>-0.77805993902439075</v>
      </c>
      <c r="G24" s="16">
        <v>0</v>
      </c>
      <c r="H24" s="18">
        <v>8500</v>
      </c>
      <c r="I24" s="18">
        <v>4150</v>
      </c>
      <c r="J24" s="18">
        <v>164000</v>
      </c>
      <c r="K24" s="18">
        <v>41000</v>
      </c>
      <c r="L24" s="17">
        <v>7044.3859999999995</v>
      </c>
      <c r="M24" s="17">
        <v>-11.996999999999844</v>
      </c>
      <c r="N24" s="17">
        <v>36398.169999999925</v>
      </c>
      <c r="O24" s="17">
        <v>0</v>
      </c>
    </row>
    <row r="25" spans="1:15" ht="31.2" x14ac:dyDescent="0.25">
      <c r="A25" s="1" t="s">
        <v>37</v>
      </c>
      <c r="B25" s="1" t="s">
        <v>14</v>
      </c>
      <c r="C25" s="1" t="s">
        <v>15</v>
      </c>
      <c r="D25" s="16">
        <v>1</v>
      </c>
      <c r="E25" s="16">
        <v>1</v>
      </c>
      <c r="F25" s="16">
        <v>1</v>
      </c>
      <c r="G25" s="16">
        <v>1</v>
      </c>
      <c r="H25" s="18">
        <v>0</v>
      </c>
      <c r="I25" s="18">
        <v>0</v>
      </c>
      <c r="J25" s="18">
        <v>0</v>
      </c>
      <c r="K25" s="18">
        <v>0</v>
      </c>
      <c r="L25" s="17">
        <v>-1064.1012800000026</v>
      </c>
      <c r="M25" s="17">
        <v>2366.4799999999996</v>
      </c>
      <c r="N25" s="17">
        <v>7336.8500000000931</v>
      </c>
      <c r="O25" s="17">
        <v>21832.090000000026</v>
      </c>
    </row>
    <row r="26" spans="1:15" ht="31.2" x14ac:dyDescent="0.25">
      <c r="A26" s="1" t="s">
        <v>38</v>
      </c>
      <c r="B26" s="1" t="s">
        <v>14</v>
      </c>
      <c r="C26" s="1" t="s">
        <v>15</v>
      </c>
      <c r="D26" s="16">
        <v>1</v>
      </c>
      <c r="E26" s="16">
        <v>1</v>
      </c>
      <c r="F26" s="16">
        <v>0</v>
      </c>
      <c r="G26" s="16">
        <v>1</v>
      </c>
      <c r="H26" s="18">
        <v>0</v>
      </c>
      <c r="I26" s="18">
        <v>0</v>
      </c>
      <c r="J26" s="18">
        <v>0</v>
      </c>
      <c r="K26" s="18">
        <v>0</v>
      </c>
      <c r="L26" s="17">
        <v>-1641.3199999999997</v>
      </c>
      <c r="M26" s="17">
        <v>2234.9599999999991</v>
      </c>
      <c r="N26" s="17">
        <v>0</v>
      </c>
      <c r="O26" s="17">
        <v>417.56999999997788</v>
      </c>
    </row>
    <row r="27" spans="1:15" ht="31.2" x14ac:dyDescent="0.25">
      <c r="A27" s="1" t="s">
        <v>39</v>
      </c>
      <c r="B27" s="1" t="s">
        <v>14</v>
      </c>
      <c r="C27" s="1" t="s">
        <v>15</v>
      </c>
      <c r="D27" s="16">
        <v>1</v>
      </c>
      <c r="E27" s="16">
        <v>1</v>
      </c>
      <c r="F27" s="16">
        <v>1</v>
      </c>
      <c r="G27" s="16">
        <v>1</v>
      </c>
      <c r="H27" s="18">
        <v>0</v>
      </c>
      <c r="I27" s="18">
        <v>0</v>
      </c>
      <c r="J27" s="18">
        <v>0</v>
      </c>
      <c r="K27" s="18">
        <v>0</v>
      </c>
      <c r="L27" s="17">
        <v>1701.8616000000038</v>
      </c>
      <c r="M27" s="17">
        <v>6864.4849999999997</v>
      </c>
      <c r="N27" s="17">
        <v>8807.2400000000198</v>
      </c>
      <c r="O27" s="17">
        <v>367.60999999986961</v>
      </c>
    </row>
    <row r="28" spans="1:15" ht="31.2" x14ac:dyDescent="0.25">
      <c r="A28" s="1" t="s">
        <v>40</v>
      </c>
      <c r="B28" s="1" t="s">
        <v>14</v>
      </c>
      <c r="C28" s="1" t="s">
        <v>15</v>
      </c>
      <c r="D28" s="16">
        <v>1</v>
      </c>
      <c r="E28" s="16">
        <v>1</v>
      </c>
      <c r="F28" s="16">
        <v>0</v>
      </c>
      <c r="G28" s="16">
        <v>0</v>
      </c>
      <c r="H28" s="18">
        <v>0</v>
      </c>
      <c r="I28" s="18">
        <v>0</v>
      </c>
      <c r="J28" s="18">
        <v>0</v>
      </c>
      <c r="K28" s="18">
        <v>0</v>
      </c>
      <c r="L28" s="17">
        <v>-6112</v>
      </c>
      <c r="M28" s="17">
        <v>2.5800000000000409</v>
      </c>
      <c r="N28" s="17">
        <v>0</v>
      </c>
      <c r="O28" s="17">
        <v>0</v>
      </c>
    </row>
    <row r="29" spans="1:15" ht="15.6" x14ac:dyDescent="0.25">
      <c r="A29" s="1" t="s">
        <v>41</v>
      </c>
      <c r="B29" s="1" t="s">
        <v>14</v>
      </c>
      <c r="C29" s="1" t="s">
        <v>15</v>
      </c>
      <c r="D29" s="16">
        <v>1</v>
      </c>
      <c r="E29" s="16">
        <v>1</v>
      </c>
      <c r="F29" s="16">
        <v>1</v>
      </c>
      <c r="G29" s="16">
        <v>1</v>
      </c>
      <c r="H29" s="18">
        <v>0</v>
      </c>
      <c r="I29" s="18">
        <v>0</v>
      </c>
      <c r="J29" s="18">
        <v>0</v>
      </c>
      <c r="K29" s="18">
        <v>0</v>
      </c>
      <c r="L29" s="17">
        <v>135960</v>
      </c>
      <c r="M29" s="17">
        <v>5.25</v>
      </c>
      <c r="N29" s="17">
        <v>4501</v>
      </c>
      <c r="O29" s="17">
        <v>158635</v>
      </c>
    </row>
    <row r="30" spans="1:15" ht="15.6" x14ac:dyDescent="0.25">
      <c r="A30" s="19" t="s">
        <v>42</v>
      </c>
      <c r="B30" s="1" t="s">
        <v>14</v>
      </c>
      <c r="C30" s="1" t="s">
        <v>43</v>
      </c>
      <c r="D30" s="16">
        <v>0.34477329778635357</v>
      </c>
      <c r="E30" s="16">
        <v>0.20948242971887265</v>
      </c>
      <c r="F30" s="16">
        <v>4.5769951219511551E-2</v>
      </c>
      <c r="G30" s="16">
        <v>-0.24476975609755858</v>
      </c>
      <c r="H30" s="18">
        <v>255000.00000000003</v>
      </c>
      <c r="I30" s="18">
        <v>49800</v>
      </c>
      <c r="J30" s="18">
        <v>820000</v>
      </c>
      <c r="K30" s="18">
        <v>492000</v>
      </c>
      <c r="L30" s="17">
        <v>342917.19093552022</v>
      </c>
      <c r="M30" s="17">
        <v>60232.22499999986</v>
      </c>
      <c r="N30" s="17">
        <v>857531.3599999994</v>
      </c>
      <c r="O30" s="17">
        <v>371573.28000000119</v>
      </c>
    </row>
    <row r="31" spans="1:15" ht="31.2" x14ac:dyDescent="0.25">
      <c r="A31" s="1" t="s">
        <v>44</v>
      </c>
      <c r="B31" s="1" t="s">
        <v>14</v>
      </c>
      <c r="C31" s="1" t="s">
        <v>43</v>
      </c>
      <c r="D31" s="16">
        <v>1</v>
      </c>
      <c r="E31" s="16">
        <v>1</v>
      </c>
      <c r="F31" s="16">
        <v>1</v>
      </c>
      <c r="G31" s="16">
        <v>1</v>
      </c>
      <c r="H31" s="18">
        <v>0</v>
      </c>
      <c r="I31" s="18">
        <v>0</v>
      </c>
      <c r="J31" s="18">
        <v>0</v>
      </c>
      <c r="K31" s="18">
        <v>0</v>
      </c>
      <c r="L31" s="17">
        <v>79316.15737999999</v>
      </c>
      <c r="M31" s="17">
        <v>-1.3065459306135381</v>
      </c>
      <c r="N31" s="17">
        <v>32604.629999999997</v>
      </c>
      <c r="O31" s="17">
        <v>672703.02</v>
      </c>
    </row>
    <row r="32" spans="1:15" ht="15.6" x14ac:dyDescent="0.25">
      <c r="A32" s="1" t="s">
        <v>45</v>
      </c>
      <c r="B32" s="1" t="s">
        <v>14</v>
      </c>
      <c r="C32" s="1" t="s">
        <v>43</v>
      </c>
      <c r="D32" s="16">
        <v>0</v>
      </c>
      <c r="E32" s="16">
        <v>-0.69360698795180653</v>
      </c>
      <c r="F32" s="16">
        <v>0</v>
      </c>
      <c r="G32" s="16">
        <v>0</v>
      </c>
      <c r="H32" s="18">
        <v>17000</v>
      </c>
      <c r="I32" s="18">
        <v>8300</v>
      </c>
      <c r="J32" s="18">
        <v>41000</v>
      </c>
      <c r="K32" s="18">
        <v>49200</v>
      </c>
      <c r="L32" s="17">
        <v>0</v>
      </c>
      <c r="M32" s="17">
        <v>2543.0620000000054</v>
      </c>
      <c r="N32" s="17">
        <v>0</v>
      </c>
      <c r="O32" s="17">
        <v>0</v>
      </c>
    </row>
    <row r="33" spans="1:15" ht="31.2" x14ac:dyDescent="0.25">
      <c r="A33" s="1" t="s">
        <v>46</v>
      </c>
      <c r="B33" s="1" t="s">
        <v>14</v>
      </c>
      <c r="C33" s="1" t="s">
        <v>43</v>
      </c>
      <c r="D33" s="16">
        <v>0.86346344519833873</v>
      </c>
      <c r="E33" s="16">
        <v>3.3551091887550122E-2</v>
      </c>
      <c r="F33" s="16">
        <v>-5.1819923780487942E-2</v>
      </c>
      <c r="G33" s="16">
        <v>5.8000787398373994</v>
      </c>
      <c r="H33" s="18">
        <v>85000</v>
      </c>
      <c r="I33" s="18">
        <v>12450</v>
      </c>
      <c r="J33" s="18">
        <v>656000</v>
      </c>
      <c r="K33" s="18">
        <v>492000</v>
      </c>
      <c r="L33" s="17">
        <v>158394.39284185879</v>
      </c>
      <c r="M33" s="17">
        <v>12867.711093999998</v>
      </c>
      <c r="N33" s="17">
        <v>622006.12999999989</v>
      </c>
      <c r="O33" s="17">
        <v>3345638.7400000007</v>
      </c>
    </row>
    <row r="34" spans="1:15" ht="15.6" x14ac:dyDescent="0.25">
      <c r="A34" s="22" t="s">
        <v>47</v>
      </c>
      <c r="B34" s="1" t="s">
        <v>14</v>
      </c>
      <c r="C34" s="1" t="s">
        <v>43</v>
      </c>
      <c r="D34" s="16">
        <v>0.18176237105227555</v>
      </c>
      <c r="E34" s="16">
        <v>-0.15125899908256002</v>
      </c>
      <c r="F34" s="16">
        <v>0.58284713454231074</v>
      </c>
      <c r="G34" s="16">
        <v>3.6826208536585305</v>
      </c>
      <c r="H34" s="18">
        <v>255000.00000000003</v>
      </c>
      <c r="I34" s="18">
        <v>20750</v>
      </c>
      <c r="J34" s="18">
        <v>1640000</v>
      </c>
      <c r="K34" s="18">
        <v>492000</v>
      </c>
      <c r="L34" s="17">
        <v>301349.4046183303</v>
      </c>
      <c r="M34" s="17">
        <v>17611.37576903688</v>
      </c>
      <c r="N34" s="17">
        <v>2595869.3006493896</v>
      </c>
      <c r="O34" s="17">
        <v>2303849.4599999972</v>
      </c>
    </row>
    <row r="35" spans="1:15" ht="31.2" x14ac:dyDescent="0.25">
      <c r="A35" s="1" t="s">
        <v>48</v>
      </c>
      <c r="B35" s="1" t="s">
        <v>14</v>
      </c>
      <c r="C35" s="1" t="s">
        <v>43</v>
      </c>
      <c r="D35" s="16">
        <v>-1.4889263529411765</v>
      </c>
      <c r="E35" s="16">
        <v>-0.81719036144578316</v>
      </c>
      <c r="F35" s="16">
        <v>0</v>
      </c>
      <c r="G35" s="16">
        <v>0</v>
      </c>
      <c r="H35" s="18">
        <v>42500</v>
      </c>
      <c r="I35" s="18">
        <v>12450</v>
      </c>
      <c r="J35" s="18">
        <v>82000</v>
      </c>
      <c r="K35" s="18">
        <v>164000</v>
      </c>
      <c r="L35" s="17">
        <v>-20779.369999999995</v>
      </c>
      <c r="M35" s="17">
        <v>2275.9799999999996</v>
      </c>
      <c r="N35" s="17">
        <v>0</v>
      </c>
      <c r="O35" s="17">
        <v>0</v>
      </c>
    </row>
    <row r="36" spans="1:15" ht="18" x14ac:dyDescent="0.3">
      <c r="A36" s="23" t="s">
        <v>49</v>
      </c>
      <c r="B36" s="24"/>
      <c r="C36" s="24"/>
      <c r="D36" s="24"/>
      <c r="E36" s="24"/>
      <c r="F36" s="24"/>
      <c r="G36" s="24"/>
      <c r="H36" s="25">
        <f>SUM(H3:H35)</f>
        <v>1551250</v>
      </c>
      <c r="I36" s="25">
        <f t="shared" ref="I36:O36" si="0">SUM(I3:I35)</f>
        <v>262280</v>
      </c>
      <c r="J36" s="25">
        <f t="shared" si="0"/>
        <v>5166000</v>
      </c>
      <c r="K36" s="25">
        <f t="shared" si="0"/>
        <v>3517800</v>
      </c>
      <c r="L36" s="25">
        <f t="shared" si="0"/>
        <v>1977042.1996644568</v>
      </c>
      <c r="M36" s="25">
        <f t="shared" si="0"/>
        <v>327691.55861640448</v>
      </c>
      <c r="N36" s="25">
        <f t="shared" si="0"/>
        <v>6335340.7325724773</v>
      </c>
      <c r="O36" s="25">
        <f t="shared" si="0"/>
        <v>6763639.25</v>
      </c>
    </row>
  </sheetData>
  <mergeCells count="3">
    <mergeCell ref="D1:G1"/>
    <mergeCell ref="H1:K1"/>
    <mergeCell ref="L1:O1"/>
  </mergeCells>
  <conditionalFormatting sqref="A1:A2">
    <cfRule type="duplicateValues" dxfId="117" priority="6"/>
    <cfRule type="duplicateValues" dxfId="116" priority="7"/>
  </conditionalFormatting>
  <conditionalFormatting sqref="D1 D2:G35">
    <cfRule type="cellIs" dxfId="115" priority="8" operator="lessThan">
      <formula>-0.0001</formula>
    </cfRule>
  </conditionalFormatting>
  <conditionalFormatting sqref="A3:A29">
    <cfRule type="duplicateValues" dxfId="114" priority="4"/>
    <cfRule type="duplicateValues" dxfId="113" priority="5"/>
  </conditionalFormatting>
  <conditionalFormatting sqref="D3:G35">
    <cfRule type="cellIs" dxfId="112" priority="3" operator="greaterThan">
      <formula>0.1</formula>
    </cfRule>
  </conditionalFormatting>
  <conditionalFormatting sqref="A30:A36">
    <cfRule type="duplicateValues" dxfId="111" priority="1"/>
    <cfRule type="duplicateValues" dxfId="11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FD0A2-451D-49CE-847A-A95E336DE3AB}">
  <dimension ref="A1:K35"/>
  <sheetViews>
    <sheetView rightToLeft="1" workbookViewId="0">
      <selection activeCell="I5" sqref="I5"/>
    </sheetView>
  </sheetViews>
  <sheetFormatPr defaultRowHeight="13.8" x14ac:dyDescent="0.25"/>
  <sheetData>
    <row r="1" spans="1:11" ht="21" x14ac:dyDescent="0.25">
      <c r="A1" s="1"/>
      <c r="B1" s="1"/>
      <c r="C1" s="1"/>
      <c r="D1" s="42">
        <v>2025</v>
      </c>
      <c r="E1" s="42"/>
      <c r="F1" s="42"/>
      <c r="G1" s="42"/>
      <c r="H1" s="43">
        <v>2024</v>
      </c>
      <c r="I1" s="43"/>
      <c r="J1" s="43"/>
      <c r="K1" s="43"/>
    </row>
    <row r="2" spans="1:11" ht="63" x14ac:dyDescent="0.25">
      <c r="A2" s="9" t="s">
        <v>3</v>
      </c>
      <c r="B2" s="10" t="s">
        <v>4</v>
      </c>
      <c r="C2" s="10" t="s">
        <v>5</v>
      </c>
      <c r="D2" s="44" t="s">
        <v>6</v>
      </c>
      <c r="E2" s="44" t="s">
        <v>11</v>
      </c>
      <c r="F2" s="44" t="s">
        <v>10</v>
      </c>
      <c r="G2" s="44" t="s">
        <v>9</v>
      </c>
      <c r="H2" s="45" t="s">
        <v>6</v>
      </c>
      <c r="I2" s="45" t="s">
        <v>11</v>
      </c>
      <c r="J2" s="45" t="s">
        <v>10</v>
      </c>
      <c r="K2" s="45" t="s">
        <v>12</v>
      </c>
    </row>
    <row r="3" spans="1:11" ht="31.2" x14ac:dyDescent="0.3">
      <c r="A3" s="14" t="s">
        <v>13</v>
      </c>
      <c r="B3" s="14" t="s">
        <v>14</v>
      </c>
      <c r="C3" s="14" t="s">
        <v>15</v>
      </c>
      <c r="D3" s="46"/>
      <c r="E3" s="46"/>
      <c r="F3" s="46"/>
      <c r="G3" s="46"/>
      <c r="H3" s="47"/>
      <c r="I3" s="47"/>
      <c r="J3" s="47"/>
      <c r="K3" s="47"/>
    </row>
    <row r="4" spans="1:11" ht="31.2" x14ac:dyDescent="0.3">
      <c r="A4" s="19" t="s">
        <v>16</v>
      </c>
      <c r="B4" s="1" t="s">
        <v>14</v>
      </c>
      <c r="C4" s="1" t="s">
        <v>15</v>
      </c>
      <c r="D4" s="48"/>
      <c r="E4" s="48"/>
      <c r="F4" s="48"/>
      <c r="G4" s="48"/>
      <c r="H4" s="49"/>
      <c r="I4" s="49"/>
      <c r="J4" s="49"/>
      <c r="K4" s="49"/>
    </row>
    <row r="5" spans="1:11" ht="31.2" x14ac:dyDescent="0.3">
      <c r="A5" s="19" t="s">
        <v>17</v>
      </c>
      <c r="B5" s="1" t="s">
        <v>14</v>
      </c>
      <c r="C5" s="1" t="s">
        <v>15</v>
      </c>
      <c r="D5" s="48"/>
      <c r="E5" s="48"/>
      <c r="F5" s="48"/>
      <c r="G5" s="48"/>
      <c r="H5" s="49"/>
      <c r="I5" s="49"/>
      <c r="J5" s="49"/>
      <c r="K5" s="49"/>
    </row>
    <row r="6" spans="1:11" ht="31.2" x14ac:dyDescent="0.3">
      <c r="A6" s="19" t="s">
        <v>18</v>
      </c>
      <c r="B6" s="1" t="s">
        <v>14</v>
      </c>
      <c r="C6" s="1" t="s">
        <v>15</v>
      </c>
      <c r="D6" s="48"/>
      <c r="E6" s="48"/>
      <c r="F6" s="48"/>
      <c r="G6" s="48"/>
      <c r="H6" s="49"/>
      <c r="I6" s="49"/>
      <c r="J6" s="49"/>
      <c r="K6" s="49"/>
    </row>
    <row r="7" spans="1:11" ht="15.6" x14ac:dyDescent="0.3">
      <c r="A7" s="19" t="s">
        <v>19</v>
      </c>
      <c r="B7" s="1" t="s">
        <v>14</v>
      </c>
      <c r="C7" s="1" t="s">
        <v>15</v>
      </c>
      <c r="D7" s="48"/>
      <c r="E7" s="48"/>
      <c r="F7" s="48"/>
      <c r="G7" s="48"/>
      <c r="H7" s="49"/>
      <c r="I7" s="49"/>
      <c r="J7" s="49"/>
      <c r="K7" s="49"/>
    </row>
    <row r="8" spans="1:11" ht="31.2" x14ac:dyDescent="0.3">
      <c r="A8" s="19" t="s">
        <v>20</v>
      </c>
      <c r="B8" s="1" t="s">
        <v>14</v>
      </c>
      <c r="C8" s="1" t="s">
        <v>15</v>
      </c>
      <c r="D8" s="48"/>
      <c r="E8" s="48"/>
      <c r="F8" s="48"/>
      <c r="G8" s="48"/>
      <c r="H8" s="49"/>
      <c r="I8" s="49"/>
      <c r="J8" s="49"/>
      <c r="K8" s="49"/>
    </row>
    <row r="9" spans="1:11" ht="15.6" x14ac:dyDescent="0.3">
      <c r="A9" s="1" t="s">
        <v>21</v>
      </c>
      <c r="B9" s="1" t="s">
        <v>14</v>
      </c>
      <c r="C9" s="1" t="s">
        <v>15</v>
      </c>
      <c r="D9" s="48"/>
      <c r="E9" s="48"/>
      <c r="F9" s="48"/>
      <c r="G9" s="48"/>
      <c r="H9" s="49"/>
      <c r="I9" s="49"/>
      <c r="J9" s="49"/>
      <c r="K9" s="49"/>
    </row>
    <row r="10" spans="1:11" ht="15.6" x14ac:dyDescent="0.3">
      <c r="A10" s="1" t="s">
        <v>22</v>
      </c>
      <c r="B10" s="1" t="s">
        <v>14</v>
      </c>
      <c r="C10" s="1" t="s">
        <v>15</v>
      </c>
      <c r="D10" s="48"/>
      <c r="E10" s="48"/>
      <c r="F10" s="48"/>
      <c r="G10" s="48"/>
      <c r="H10" s="49"/>
      <c r="I10" s="49"/>
      <c r="J10" s="49"/>
      <c r="K10" s="49"/>
    </row>
    <row r="11" spans="1:11" ht="31.2" x14ac:dyDescent="0.3">
      <c r="A11" s="1" t="s">
        <v>23</v>
      </c>
      <c r="B11" s="1" t="s">
        <v>14</v>
      </c>
      <c r="C11" s="1" t="s">
        <v>15</v>
      </c>
      <c r="D11" s="48"/>
      <c r="E11" s="48"/>
      <c r="F11" s="48"/>
      <c r="G11" s="48"/>
      <c r="H11" s="49"/>
      <c r="I11" s="49"/>
      <c r="J11" s="49"/>
      <c r="K11" s="49"/>
    </row>
    <row r="12" spans="1:11" ht="15.6" x14ac:dyDescent="0.3">
      <c r="A12" s="1" t="s">
        <v>24</v>
      </c>
      <c r="B12" s="1" t="s">
        <v>14</v>
      </c>
      <c r="C12" s="1" t="s">
        <v>15</v>
      </c>
      <c r="D12" s="48"/>
      <c r="E12" s="48"/>
      <c r="F12" s="48"/>
      <c r="G12" s="48"/>
      <c r="H12" s="49"/>
      <c r="I12" s="49"/>
      <c r="J12" s="49"/>
      <c r="K12" s="49"/>
    </row>
    <row r="13" spans="1:11" ht="15.6" x14ac:dyDescent="0.3">
      <c r="A13" s="1" t="s">
        <v>25</v>
      </c>
      <c r="B13" s="1" t="s">
        <v>14</v>
      </c>
      <c r="C13" s="1" t="s">
        <v>15</v>
      </c>
      <c r="D13" s="48"/>
      <c r="E13" s="48"/>
      <c r="F13" s="48"/>
      <c r="G13" s="48"/>
      <c r="H13" s="49"/>
      <c r="I13" s="49"/>
      <c r="J13" s="49"/>
      <c r="K13" s="49"/>
    </row>
    <row r="14" spans="1:11" ht="31.2" x14ac:dyDescent="0.3">
      <c r="A14" s="1" t="s">
        <v>26</v>
      </c>
      <c r="B14" s="1" t="s">
        <v>14</v>
      </c>
      <c r="C14" s="1" t="s">
        <v>15</v>
      </c>
      <c r="D14" s="48"/>
      <c r="E14" s="48"/>
      <c r="F14" s="48"/>
      <c r="G14" s="48"/>
      <c r="H14" s="49"/>
      <c r="I14" s="49"/>
      <c r="J14" s="49"/>
      <c r="K14" s="49"/>
    </row>
    <row r="15" spans="1:11" ht="15.6" x14ac:dyDescent="0.3">
      <c r="A15" s="19" t="s">
        <v>27</v>
      </c>
      <c r="B15" s="1" t="s">
        <v>14</v>
      </c>
      <c r="C15" s="1" t="s">
        <v>15</v>
      </c>
      <c r="D15" s="48"/>
      <c r="E15" s="48"/>
      <c r="F15" s="48"/>
      <c r="G15" s="48"/>
      <c r="H15" s="49"/>
      <c r="I15" s="49"/>
      <c r="J15" s="49"/>
      <c r="K15" s="49"/>
    </row>
    <row r="16" spans="1:11" ht="46.8" x14ac:dyDescent="0.3">
      <c r="A16" s="1" t="s">
        <v>28</v>
      </c>
      <c r="B16" s="1" t="s">
        <v>14</v>
      </c>
      <c r="C16" s="1" t="s">
        <v>15</v>
      </c>
      <c r="D16" s="48"/>
      <c r="E16" s="48"/>
      <c r="F16" s="48"/>
      <c r="G16" s="48"/>
      <c r="H16" s="49"/>
      <c r="I16" s="49"/>
      <c r="J16" s="49"/>
      <c r="K16" s="49"/>
    </row>
    <row r="17" spans="1:11" ht="31.2" x14ac:dyDescent="0.3">
      <c r="A17" s="1" t="s">
        <v>29</v>
      </c>
      <c r="B17" s="1" t="s">
        <v>14</v>
      </c>
      <c r="C17" s="1" t="s">
        <v>15</v>
      </c>
      <c r="D17" s="48"/>
      <c r="E17" s="48"/>
      <c r="F17" s="48"/>
      <c r="G17" s="48"/>
      <c r="H17" s="49"/>
      <c r="I17" s="49"/>
      <c r="J17" s="49"/>
      <c r="K17" s="49"/>
    </row>
    <row r="18" spans="1:11" ht="31.2" x14ac:dyDescent="0.3">
      <c r="A18" s="1" t="s">
        <v>30</v>
      </c>
      <c r="B18" s="1" t="s">
        <v>14</v>
      </c>
      <c r="C18" s="1" t="s">
        <v>15</v>
      </c>
      <c r="D18" s="48"/>
      <c r="E18" s="48"/>
      <c r="F18" s="48"/>
      <c r="G18" s="48"/>
      <c r="H18" s="49"/>
      <c r="I18" s="49"/>
      <c r="J18" s="49"/>
      <c r="K18" s="49"/>
    </row>
    <row r="19" spans="1:11" ht="15.6" x14ac:dyDescent="0.3">
      <c r="A19" s="1" t="s">
        <v>31</v>
      </c>
      <c r="B19" s="1" t="s">
        <v>14</v>
      </c>
      <c r="C19" s="1" t="s">
        <v>15</v>
      </c>
      <c r="D19" s="48"/>
      <c r="E19" s="48"/>
      <c r="F19" s="48"/>
      <c r="G19" s="48"/>
      <c r="H19" s="49"/>
      <c r="I19" s="49"/>
      <c r="J19" s="49"/>
      <c r="K19" s="49"/>
    </row>
    <row r="20" spans="1:11" ht="15.6" x14ac:dyDescent="0.3">
      <c r="A20" s="19" t="s">
        <v>32</v>
      </c>
      <c r="B20" s="1" t="s">
        <v>14</v>
      </c>
      <c r="C20" s="1" t="s">
        <v>15</v>
      </c>
      <c r="D20" s="48"/>
      <c r="E20" s="48"/>
      <c r="F20" s="48"/>
      <c r="G20" s="48"/>
      <c r="H20" s="49"/>
      <c r="I20" s="49"/>
      <c r="J20" s="49"/>
      <c r="K20" s="49"/>
    </row>
    <row r="21" spans="1:11" ht="31.2" x14ac:dyDescent="0.3">
      <c r="A21" s="1" t="s">
        <v>33</v>
      </c>
      <c r="B21" s="1" t="s">
        <v>14</v>
      </c>
      <c r="C21" s="1" t="s">
        <v>15</v>
      </c>
      <c r="D21" s="48"/>
      <c r="E21" s="48"/>
      <c r="F21" s="48"/>
      <c r="G21" s="48"/>
      <c r="H21" s="49"/>
      <c r="I21" s="49"/>
      <c r="J21" s="49"/>
      <c r="K21" s="49"/>
    </row>
    <row r="22" spans="1:11" ht="15.6" x14ac:dyDescent="0.3">
      <c r="A22" s="1" t="s">
        <v>34</v>
      </c>
      <c r="B22" s="1" t="s">
        <v>14</v>
      </c>
      <c r="C22" s="1" t="s">
        <v>15</v>
      </c>
      <c r="D22" s="48"/>
      <c r="E22" s="48"/>
      <c r="F22" s="48"/>
      <c r="G22" s="48"/>
      <c r="H22" s="49"/>
      <c r="I22" s="49"/>
      <c r="J22" s="49"/>
      <c r="K22" s="49"/>
    </row>
    <row r="23" spans="1:11" ht="15.6" x14ac:dyDescent="0.3">
      <c r="A23" s="1" t="s">
        <v>35</v>
      </c>
      <c r="B23" s="1" t="s">
        <v>14</v>
      </c>
      <c r="C23" s="1" t="s">
        <v>15</v>
      </c>
      <c r="D23" s="48"/>
      <c r="E23" s="48"/>
      <c r="F23" s="48"/>
      <c r="G23" s="48"/>
      <c r="H23" s="49"/>
      <c r="I23" s="49"/>
      <c r="J23" s="49"/>
      <c r="K23" s="49"/>
    </row>
    <row r="24" spans="1:11" ht="46.8" x14ac:dyDescent="0.3">
      <c r="A24" s="1" t="s">
        <v>36</v>
      </c>
      <c r="B24" s="1" t="s">
        <v>14</v>
      </c>
      <c r="C24" s="1" t="s">
        <v>15</v>
      </c>
      <c r="D24" s="48"/>
      <c r="E24" s="48"/>
      <c r="F24" s="48"/>
      <c r="G24" s="48"/>
      <c r="H24" s="49"/>
      <c r="I24" s="49"/>
      <c r="J24" s="49"/>
      <c r="K24" s="49"/>
    </row>
    <row r="25" spans="1:11" ht="31.2" x14ac:dyDescent="0.3">
      <c r="A25" s="1" t="s">
        <v>37</v>
      </c>
      <c r="B25" s="1" t="s">
        <v>14</v>
      </c>
      <c r="C25" s="1" t="s">
        <v>15</v>
      </c>
      <c r="D25" s="48"/>
      <c r="E25" s="48"/>
      <c r="F25" s="48"/>
      <c r="G25" s="48"/>
      <c r="H25" s="49"/>
      <c r="I25" s="49"/>
      <c r="J25" s="49"/>
      <c r="K25" s="49"/>
    </row>
    <row r="26" spans="1:11" ht="31.2" x14ac:dyDescent="0.3">
      <c r="A26" s="1" t="s">
        <v>38</v>
      </c>
      <c r="B26" s="1" t="s">
        <v>14</v>
      </c>
      <c r="C26" s="1" t="s">
        <v>15</v>
      </c>
      <c r="D26" s="48"/>
      <c r="E26" s="48"/>
      <c r="F26" s="48"/>
      <c r="G26" s="48"/>
      <c r="H26" s="49"/>
      <c r="I26" s="49"/>
      <c r="J26" s="49"/>
      <c r="K26" s="49"/>
    </row>
    <row r="27" spans="1:11" ht="31.2" x14ac:dyDescent="0.3">
      <c r="A27" s="1" t="s">
        <v>39</v>
      </c>
      <c r="B27" s="1" t="s">
        <v>14</v>
      </c>
      <c r="C27" s="1" t="s">
        <v>15</v>
      </c>
      <c r="D27" s="48"/>
      <c r="E27" s="48"/>
      <c r="F27" s="48"/>
      <c r="G27" s="48"/>
      <c r="H27" s="49"/>
      <c r="I27" s="49"/>
      <c r="J27" s="49"/>
      <c r="K27" s="49"/>
    </row>
    <row r="28" spans="1:11" ht="31.2" x14ac:dyDescent="0.3">
      <c r="A28" s="1" t="s">
        <v>40</v>
      </c>
      <c r="B28" s="1" t="s">
        <v>14</v>
      </c>
      <c r="C28" s="1" t="s">
        <v>15</v>
      </c>
      <c r="D28" s="48"/>
      <c r="E28" s="48"/>
      <c r="F28" s="48"/>
      <c r="G28" s="48"/>
      <c r="H28" s="49"/>
      <c r="I28" s="49"/>
      <c r="J28" s="49"/>
      <c r="K28" s="49"/>
    </row>
    <row r="29" spans="1:11" ht="15.6" x14ac:dyDescent="0.3">
      <c r="A29" s="20" t="s">
        <v>41</v>
      </c>
      <c r="B29" s="20" t="s">
        <v>14</v>
      </c>
      <c r="C29" s="20" t="s">
        <v>15</v>
      </c>
      <c r="D29" s="50"/>
      <c r="E29" s="50"/>
      <c r="F29" s="50"/>
      <c r="G29" s="50"/>
      <c r="H29" s="51"/>
      <c r="I29" s="51"/>
      <c r="J29" s="51"/>
      <c r="K29" s="51"/>
    </row>
    <row r="30" spans="1:11" ht="15.6" x14ac:dyDescent="0.3">
      <c r="A30" s="19" t="s">
        <v>42</v>
      </c>
      <c r="B30" s="1" t="s">
        <v>14</v>
      </c>
      <c r="C30" s="1" t="s">
        <v>43</v>
      </c>
      <c r="D30" s="48"/>
      <c r="E30" s="48"/>
      <c r="F30" s="48"/>
      <c r="G30" s="48"/>
      <c r="H30" s="49"/>
      <c r="I30" s="49"/>
      <c r="J30" s="49"/>
      <c r="K30" s="49"/>
    </row>
    <row r="31" spans="1:11" ht="31.2" x14ac:dyDescent="0.3">
      <c r="A31" s="1" t="s">
        <v>44</v>
      </c>
      <c r="B31" s="1" t="s">
        <v>14</v>
      </c>
      <c r="C31" s="1" t="s">
        <v>43</v>
      </c>
      <c r="D31" s="48"/>
      <c r="E31" s="48"/>
      <c r="F31" s="48"/>
      <c r="G31" s="48"/>
      <c r="H31" s="49"/>
      <c r="I31" s="49"/>
      <c r="J31" s="49"/>
      <c r="K31" s="49"/>
    </row>
    <row r="32" spans="1:11" ht="15.6" x14ac:dyDescent="0.3">
      <c r="A32" s="1" t="s">
        <v>45</v>
      </c>
      <c r="B32" s="1" t="s">
        <v>14</v>
      </c>
      <c r="C32" s="1" t="s">
        <v>43</v>
      </c>
      <c r="D32" s="48"/>
      <c r="E32" s="48"/>
      <c r="F32" s="48"/>
      <c r="G32" s="48"/>
      <c r="H32" s="49"/>
      <c r="I32" s="49"/>
      <c r="J32" s="49"/>
      <c r="K32" s="49"/>
    </row>
    <row r="33" spans="1:11" ht="31.2" x14ac:dyDescent="0.3">
      <c r="A33" s="1" t="s">
        <v>46</v>
      </c>
      <c r="B33" s="1" t="s">
        <v>14</v>
      </c>
      <c r="C33" s="1" t="s">
        <v>43</v>
      </c>
      <c r="D33" s="48"/>
      <c r="E33" s="48"/>
      <c r="F33" s="48"/>
      <c r="G33" s="48"/>
      <c r="H33" s="49"/>
      <c r="I33" s="49"/>
      <c r="J33" s="49"/>
      <c r="K33" s="49"/>
    </row>
    <row r="34" spans="1:11" ht="15.6" x14ac:dyDescent="0.3">
      <c r="A34" s="52" t="s">
        <v>47</v>
      </c>
      <c r="B34" s="1" t="s">
        <v>14</v>
      </c>
      <c r="C34" s="1" t="s">
        <v>43</v>
      </c>
      <c r="D34" s="48"/>
      <c r="E34" s="48"/>
      <c r="F34" s="48"/>
      <c r="G34" s="48"/>
      <c r="H34" s="49"/>
      <c r="I34" s="49"/>
      <c r="J34" s="49"/>
      <c r="K34" s="49"/>
    </row>
    <row r="35" spans="1:11" ht="31.2" x14ac:dyDescent="0.3">
      <c r="A35" s="20" t="s">
        <v>48</v>
      </c>
      <c r="B35" s="20" t="s">
        <v>14</v>
      </c>
      <c r="C35" s="20" t="s">
        <v>43</v>
      </c>
      <c r="D35" s="50"/>
      <c r="E35" s="50"/>
      <c r="F35" s="50"/>
      <c r="G35" s="50"/>
      <c r="H35" s="51"/>
      <c r="I35" s="51"/>
      <c r="J35" s="51"/>
      <c r="K35" s="51"/>
    </row>
  </sheetData>
  <mergeCells count="2">
    <mergeCell ref="D1:G1"/>
    <mergeCell ref="H1:K1"/>
  </mergeCells>
  <conditionalFormatting sqref="A1:A2">
    <cfRule type="duplicateValues" dxfId="109" priority="5"/>
    <cfRule type="duplicateValues" dxfId="108" priority="6"/>
  </conditionalFormatting>
  <conditionalFormatting sqref="A3:A29">
    <cfRule type="duplicateValues" dxfId="107" priority="3"/>
    <cfRule type="duplicateValues" dxfId="106" priority="4"/>
  </conditionalFormatting>
  <conditionalFormatting sqref="A30:A35">
    <cfRule type="duplicateValues" dxfId="105" priority="1"/>
    <cfRule type="duplicateValues" dxfId="104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8000-E0A5-4D40-B820-D3521E8431FC}">
  <dimension ref="A1:K36"/>
  <sheetViews>
    <sheetView rightToLeft="1" topLeftCell="A24" workbookViewId="0">
      <selection activeCell="M31" sqref="M31"/>
    </sheetView>
  </sheetViews>
  <sheetFormatPr defaultRowHeight="13.8" x14ac:dyDescent="0.25"/>
  <cols>
    <col min="4" max="4" width="12.59765625" bestFit="1" customWidth="1"/>
    <col min="5" max="5" width="10.69921875" bestFit="1" customWidth="1"/>
    <col min="6" max="7" width="14" bestFit="1" customWidth="1"/>
    <col min="8" max="8" width="12.59765625" bestFit="1" customWidth="1"/>
    <col min="9" max="9" width="10.69921875" bestFit="1" customWidth="1"/>
    <col min="10" max="11" width="14" bestFit="1" customWidth="1"/>
  </cols>
  <sheetData>
    <row r="1" spans="1:11" ht="21" x14ac:dyDescent="0.25">
      <c r="A1" s="1"/>
      <c r="B1" s="1"/>
      <c r="C1" s="1"/>
      <c r="D1" s="42">
        <v>2025</v>
      </c>
      <c r="E1" s="42"/>
      <c r="F1" s="42"/>
      <c r="G1" s="42"/>
      <c r="H1" s="43">
        <v>2024</v>
      </c>
      <c r="I1" s="43"/>
      <c r="J1" s="43"/>
      <c r="K1" s="43"/>
    </row>
    <row r="2" spans="1:11" ht="63" x14ac:dyDescent="0.25">
      <c r="A2" s="9" t="s">
        <v>3</v>
      </c>
      <c r="B2" s="10" t="s">
        <v>4</v>
      </c>
      <c r="C2" s="10" t="s">
        <v>5</v>
      </c>
      <c r="D2" s="44" t="s">
        <v>6</v>
      </c>
      <c r="E2" s="44" t="s">
        <v>11</v>
      </c>
      <c r="F2" s="44" t="s">
        <v>10</v>
      </c>
      <c r="G2" s="44" t="s">
        <v>9</v>
      </c>
      <c r="H2" s="45" t="s">
        <v>6</v>
      </c>
      <c r="I2" s="45" t="s">
        <v>11</v>
      </c>
      <c r="J2" s="45" t="s">
        <v>10</v>
      </c>
      <c r="K2" s="45" t="s">
        <v>12</v>
      </c>
    </row>
    <row r="3" spans="1:11" ht="31.2" x14ac:dyDescent="0.3">
      <c r="A3" s="14" t="s">
        <v>13</v>
      </c>
      <c r="B3" s="14" t="s">
        <v>14</v>
      </c>
      <c r="C3" s="14" t="s">
        <v>15</v>
      </c>
      <c r="D3" s="46">
        <v>29103.72</v>
      </c>
      <c r="E3" s="46">
        <v>73.61</v>
      </c>
      <c r="F3" s="46"/>
      <c r="G3" s="46"/>
      <c r="H3" s="49">
        <v>280303.43</v>
      </c>
      <c r="I3" s="49">
        <v>26988.69</v>
      </c>
      <c r="J3" s="49">
        <v>441560.38</v>
      </c>
      <c r="K3" s="49">
        <v>1984371.54</v>
      </c>
    </row>
    <row r="4" spans="1:11" ht="31.2" x14ac:dyDescent="0.3">
      <c r="A4" s="19" t="s">
        <v>16</v>
      </c>
      <c r="B4" s="1" t="s">
        <v>14</v>
      </c>
      <c r="C4" s="1" t="s">
        <v>15</v>
      </c>
      <c r="D4" s="48"/>
      <c r="E4" s="48"/>
      <c r="F4" s="48"/>
      <c r="G4" s="48"/>
      <c r="H4" s="49">
        <v>0</v>
      </c>
      <c r="I4" s="49">
        <v>0</v>
      </c>
      <c r="J4" s="49">
        <v>112.1</v>
      </c>
      <c r="K4" s="49">
        <v>0</v>
      </c>
    </row>
    <row r="5" spans="1:11" ht="31.2" x14ac:dyDescent="0.3">
      <c r="A5" s="19" t="s">
        <v>17</v>
      </c>
      <c r="B5" s="1" t="s">
        <v>14</v>
      </c>
      <c r="C5" s="1" t="s">
        <v>15</v>
      </c>
      <c r="D5" s="48"/>
      <c r="E5" s="48">
        <v>16.54</v>
      </c>
      <c r="F5" s="48"/>
      <c r="G5" s="48"/>
      <c r="H5" s="49">
        <v>10.98</v>
      </c>
      <c r="I5" s="49">
        <v>2961.52</v>
      </c>
      <c r="J5" s="49">
        <v>0</v>
      </c>
      <c r="K5" s="49">
        <v>0</v>
      </c>
    </row>
    <row r="6" spans="1:11" ht="31.2" x14ac:dyDescent="0.3">
      <c r="A6" s="19" t="s">
        <v>18</v>
      </c>
      <c r="B6" s="1" t="s">
        <v>14</v>
      </c>
      <c r="C6" s="1" t="s">
        <v>15</v>
      </c>
      <c r="D6" s="48">
        <v>47882.27</v>
      </c>
      <c r="E6" s="48">
        <v>1374.55</v>
      </c>
      <c r="F6" s="48">
        <v>367199.37</v>
      </c>
      <c r="G6" s="48">
        <v>44652.98</v>
      </c>
      <c r="H6" s="49">
        <v>157923.23000000001</v>
      </c>
      <c r="I6" s="49">
        <v>24511.199999999997</v>
      </c>
      <c r="J6" s="49">
        <v>686877.39999999991</v>
      </c>
      <c r="K6" s="49">
        <v>566013.75</v>
      </c>
    </row>
    <row r="7" spans="1:11" ht="15.6" x14ac:dyDescent="0.3">
      <c r="A7" s="19" t="s">
        <v>19</v>
      </c>
      <c r="B7" s="1" t="s">
        <v>14</v>
      </c>
      <c r="C7" s="1" t="s">
        <v>15</v>
      </c>
      <c r="D7" s="48"/>
      <c r="E7" s="48"/>
      <c r="F7" s="48"/>
      <c r="G7" s="48"/>
      <c r="H7" s="49">
        <v>0</v>
      </c>
      <c r="I7" s="49">
        <v>0</v>
      </c>
      <c r="J7" s="49">
        <v>0</v>
      </c>
      <c r="K7" s="49">
        <v>0</v>
      </c>
    </row>
    <row r="8" spans="1:11" ht="31.2" x14ac:dyDescent="0.3">
      <c r="A8" s="19" t="s">
        <v>20</v>
      </c>
      <c r="B8" s="1" t="s">
        <v>14</v>
      </c>
      <c r="C8" s="1" t="s">
        <v>15</v>
      </c>
      <c r="D8" s="48">
        <v>27454.89</v>
      </c>
      <c r="E8" s="48">
        <v>3457.78</v>
      </c>
      <c r="F8" s="48">
        <v>51702.77</v>
      </c>
      <c r="G8" s="48">
        <v>59103.61</v>
      </c>
      <c r="H8" s="49">
        <v>106811.95999999999</v>
      </c>
      <c r="I8" s="49">
        <v>4061.91</v>
      </c>
      <c r="J8" s="49">
        <v>7899.84</v>
      </c>
      <c r="K8" s="49">
        <v>264260.94</v>
      </c>
    </row>
    <row r="9" spans="1:11" ht="15.6" x14ac:dyDescent="0.3">
      <c r="A9" s="1" t="s">
        <v>21</v>
      </c>
      <c r="B9" s="1" t="s">
        <v>14</v>
      </c>
      <c r="C9" s="1" t="s">
        <v>15</v>
      </c>
      <c r="D9" s="48">
        <v>455769.03</v>
      </c>
      <c r="E9" s="48">
        <v>54935.11</v>
      </c>
      <c r="F9" s="48">
        <v>1094828.1599999999</v>
      </c>
      <c r="G9" s="48">
        <v>862390.64</v>
      </c>
      <c r="H9" s="49">
        <v>1336792.4199999992</v>
      </c>
      <c r="I9" s="49">
        <v>67048.409999999945</v>
      </c>
      <c r="J9" s="49">
        <v>841103.05999999994</v>
      </c>
      <c r="K9" s="49">
        <v>4600219.7399999993</v>
      </c>
    </row>
    <row r="10" spans="1:11" ht="15.6" x14ac:dyDescent="0.3">
      <c r="A10" s="1" t="s">
        <v>22</v>
      </c>
      <c r="B10" s="1" t="s">
        <v>14</v>
      </c>
      <c r="C10" s="1" t="s">
        <v>15</v>
      </c>
      <c r="D10" s="48">
        <v>511708.65</v>
      </c>
      <c r="E10" s="48">
        <v>24060.02</v>
      </c>
      <c r="F10" s="48"/>
      <c r="G10" s="48">
        <v>3446414.49</v>
      </c>
      <c r="H10" s="49">
        <v>109053.17</v>
      </c>
      <c r="I10" s="49">
        <v>7223.2899999999991</v>
      </c>
      <c r="J10" s="49">
        <v>23057.9</v>
      </c>
      <c r="K10" s="49">
        <v>328621.15000000002</v>
      </c>
    </row>
    <row r="11" spans="1:11" ht="31.2" x14ac:dyDescent="0.3">
      <c r="A11" s="1" t="s">
        <v>23</v>
      </c>
      <c r="B11" s="1" t="s">
        <v>14</v>
      </c>
      <c r="C11" s="1" t="s">
        <v>15</v>
      </c>
      <c r="D11" s="48"/>
      <c r="E11" s="48">
        <v>9.77</v>
      </c>
      <c r="F11" s="48"/>
      <c r="G11" s="48"/>
      <c r="H11" s="49">
        <v>0</v>
      </c>
      <c r="I11" s="49">
        <v>7.99</v>
      </c>
      <c r="J11" s="49">
        <v>0</v>
      </c>
      <c r="K11" s="49">
        <v>0</v>
      </c>
    </row>
    <row r="12" spans="1:11" ht="15.6" x14ac:dyDescent="0.3">
      <c r="A12" s="1" t="s">
        <v>24</v>
      </c>
      <c r="B12" s="1" t="s">
        <v>14</v>
      </c>
      <c r="C12" s="1" t="s">
        <v>15</v>
      </c>
      <c r="D12" s="48">
        <v>39249.25</v>
      </c>
      <c r="E12" s="48"/>
      <c r="F12" s="48">
        <v>16172.88</v>
      </c>
      <c r="G12" s="48"/>
      <c r="H12" s="49">
        <v>1026.48</v>
      </c>
      <c r="I12" s="49">
        <v>3757.25</v>
      </c>
      <c r="J12" s="49">
        <v>0</v>
      </c>
      <c r="K12" s="49">
        <v>0</v>
      </c>
    </row>
    <row r="13" spans="1:11" ht="15.6" x14ac:dyDescent="0.3">
      <c r="A13" s="1" t="s">
        <v>25</v>
      </c>
      <c r="B13" s="1" t="s">
        <v>14</v>
      </c>
      <c r="C13" s="1" t="s">
        <v>15</v>
      </c>
      <c r="D13" s="48"/>
      <c r="E13" s="48"/>
      <c r="F13" s="48"/>
      <c r="G13" s="48"/>
      <c r="H13" s="49">
        <v>0</v>
      </c>
      <c r="I13" s="49">
        <v>7.46</v>
      </c>
      <c r="J13" s="49">
        <v>0</v>
      </c>
      <c r="K13" s="49">
        <v>0</v>
      </c>
    </row>
    <row r="14" spans="1:11" ht="31.2" x14ac:dyDescent="0.3">
      <c r="A14" s="1" t="s">
        <v>26</v>
      </c>
      <c r="B14" s="1" t="s">
        <v>14</v>
      </c>
      <c r="C14" s="1" t="s">
        <v>15</v>
      </c>
      <c r="D14" s="48"/>
      <c r="E14" s="48"/>
      <c r="F14" s="48"/>
      <c r="G14" s="48"/>
      <c r="H14" s="49">
        <v>0</v>
      </c>
      <c r="I14" s="49">
        <v>0</v>
      </c>
      <c r="J14" s="49">
        <v>0</v>
      </c>
      <c r="K14" s="49">
        <v>0</v>
      </c>
    </row>
    <row r="15" spans="1:11" ht="15.6" x14ac:dyDescent="0.3">
      <c r="A15" s="19" t="s">
        <v>27</v>
      </c>
      <c r="B15" s="1" t="s">
        <v>14</v>
      </c>
      <c r="C15" s="1" t="s">
        <v>15</v>
      </c>
      <c r="D15" s="48"/>
      <c r="E15" s="48">
        <v>212.74</v>
      </c>
      <c r="F15" s="48">
        <v>17621.79</v>
      </c>
      <c r="G15" s="48"/>
      <c r="H15" s="49">
        <v>1719.12</v>
      </c>
      <c r="I15" s="49">
        <v>396.42000000000007</v>
      </c>
      <c r="J15" s="49">
        <v>35661.279999999999</v>
      </c>
      <c r="K15" s="49">
        <v>0</v>
      </c>
    </row>
    <row r="16" spans="1:11" ht="46.8" x14ac:dyDescent="0.3">
      <c r="A16" s="1" t="s">
        <v>28</v>
      </c>
      <c r="B16" s="1" t="s">
        <v>14</v>
      </c>
      <c r="C16" s="1" t="s">
        <v>15</v>
      </c>
      <c r="D16" s="48"/>
      <c r="E16" s="48"/>
      <c r="F16" s="48"/>
      <c r="G16" s="48"/>
      <c r="H16" s="49">
        <v>5074.01</v>
      </c>
      <c r="I16" s="49">
        <v>2399.63</v>
      </c>
      <c r="J16" s="49">
        <v>0</v>
      </c>
      <c r="K16" s="49">
        <v>0</v>
      </c>
    </row>
    <row r="17" spans="1:11" ht="31.2" x14ac:dyDescent="0.3">
      <c r="A17" s="1" t="s">
        <v>29</v>
      </c>
      <c r="B17" s="1" t="s">
        <v>14</v>
      </c>
      <c r="C17" s="1" t="s">
        <v>15</v>
      </c>
      <c r="D17" s="48"/>
      <c r="E17" s="48"/>
      <c r="F17" s="48"/>
      <c r="G17" s="48"/>
      <c r="H17" s="49">
        <v>0</v>
      </c>
      <c r="I17" s="49">
        <v>0</v>
      </c>
      <c r="J17" s="49">
        <v>0</v>
      </c>
      <c r="K17" s="49">
        <v>0</v>
      </c>
    </row>
    <row r="18" spans="1:11" ht="31.2" x14ac:dyDescent="0.3">
      <c r="A18" s="1" t="s">
        <v>30</v>
      </c>
      <c r="B18" s="1" t="s">
        <v>14</v>
      </c>
      <c r="C18" s="1" t="s">
        <v>15</v>
      </c>
      <c r="D18" s="48"/>
      <c r="E18" s="48"/>
      <c r="F18" s="48"/>
      <c r="G18" s="48"/>
      <c r="H18" s="49">
        <v>0</v>
      </c>
      <c r="I18" s="49">
        <v>0</v>
      </c>
      <c r="J18" s="49">
        <v>0</v>
      </c>
      <c r="K18" s="49">
        <v>0</v>
      </c>
    </row>
    <row r="19" spans="1:11" ht="15.6" x14ac:dyDescent="0.3">
      <c r="A19" s="1" t="s">
        <v>31</v>
      </c>
      <c r="B19" s="1" t="s">
        <v>14</v>
      </c>
      <c r="C19" s="1" t="s">
        <v>15</v>
      </c>
      <c r="D19" s="48">
        <v>23585.8</v>
      </c>
      <c r="E19" s="48">
        <v>2614</v>
      </c>
      <c r="F19" s="48">
        <v>246259.19</v>
      </c>
      <c r="G19" s="48">
        <v>230013.85</v>
      </c>
      <c r="H19" s="49">
        <v>8544.09</v>
      </c>
      <c r="I19" s="49">
        <v>760.75</v>
      </c>
      <c r="J19" s="49">
        <v>0</v>
      </c>
      <c r="K19" s="49">
        <v>0</v>
      </c>
    </row>
    <row r="20" spans="1:11" ht="15.6" x14ac:dyDescent="0.3">
      <c r="A20" s="19" t="s">
        <v>32</v>
      </c>
      <c r="B20" s="1" t="s">
        <v>14</v>
      </c>
      <c r="C20" s="1" t="s">
        <v>15</v>
      </c>
      <c r="D20" s="48">
        <v>182817.06</v>
      </c>
      <c r="E20" s="48"/>
      <c r="F20" s="53">
        <v>148526.84</v>
      </c>
      <c r="G20" s="48">
        <v>945488.33</v>
      </c>
      <c r="H20" s="49">
        <v>90085.16</v>
      </c>
      <c r="I20" s="49">
        <v>0</v>
      </c>
      <c r="J20" s="49">
        <v>0</v>
      </c>
      <c r="K20" s="49">
        <v>527920.04999999993</v>
      </c>
    </row>
    <row r="21" spans="1:11" ht="31.2" x14ac:dyDescent="0.3">
      <c r="A21" s="1" t="s">
        <v>33</v>
      </c>
      <c r="B21" s="1" t="s">
        <v>14</v>
      </c>
      <c r="C21" s="1" t="s">
        <v>15</v>
      </c>
      <c r="D21" s="48"/>
      <c r="E21" s="48"/>
      <c r="F21" s="48"/>
      <c r="G21" s="48"/>
      <c r="H21" s="49">
        <v>0</v>
      </c>
      <c r="I21" s="49">
        <v>0</v>
      </c>
      <c r="J21" s="49">
        <v>0</v>
      </c>
      <c r="K21" s="49">
        <v>0</v>
      </c>
    </row>
    <row r="22" spans="1:11" ht="15.6" x14ac:dyDescent="0.3">
      <c r="A22" s="1" t="s">
        <v>34</v>
      </c>
      <c r="B22" s="1" t="s">
        <v>14</v>
      </c>
      <c r="C22" s="1" t="s">
        <v>15</v>
      </c>
      <c r="D22" s="48">
        <v>43.21</v>
      </c>
      <c r="E22" s="48">
        <v>622.02</v>
      </c>
      <c r="F22" s="48"/>
      <c r="G22" s="48">
        <v>42925.26</v>
      </c>
      <c r="H22" s="49">
        <v>0</v>
      </c>
      <c r="I22" s="49">
        <v>121.72000000000003</v>
      </c>
      <c r="J22" s="49">
        <v>0</v>
      </c>
      <c r="K22" s="49">
        <v>0</v>
      </c>
    </row>
    <row r="23" spans="1:11" ht="15.6" x14ac:dyDescent="0.3">
      <c r="A23" s="1" t="s">
        <v>35</v>
      </c>
      <c r="B23" s="1" t="s">
        <v>14</v>
      </c>
      <c r="C23" s="1" t="s">
        <v>15</v>
      </c>
      <c r="D23" s="54"/>
      <c r="E23" s="54"/>
      <c r="F23" s="54"/>
      <c r="G23" s="54"/>
      <c r="H23" s="49">
        <v>0</v>
      </c>
      <c r="I23" s="49">
        <v>0</v>
      </c>
      <c r="J23" s="49">
        <v>0</v>
      </c>
      <c r="K23" s="49">
        <v>0</v>
      </c>
    </row>
    <row r="24" spans="1:11" ht="46.8" x14ac:dyDescent="0.3">
      <c r="A24" s="1" t="s">
        <v>36</v>
      </c>
      <c r="B24" s="1" t="s">
        <v>14</v>
      </c>
      <c r="C24" s="1" t="s">
        <v>15</v>
      </c>
      <c r="D24" s="54">
        <v>924.4</v>
      </c>
      <c r="E24" s="54"/>
      <c r="F24" s="54">
        <v>20960.689999999999</v>
      </c>
      <c r="G24" s="54"/>
      <c r="H24" s="49">
        <v>14012.16</v>
      </c>
      <c r="I24" s="49">
        <v>470.67</v>
      </c>
      <c r="J24" s="49">
        <v>250696.53</v>
      </c>
      <c r="K24" s="49">
        <v>0</v>
      </c>
    </row>
    <row r="25" spans="1:11" ht="31.2" x14ac:dyDescent="0.3">
      <c r="A25" s="1" t="s">
        <v>37</v>
      </c>
      <c r="B25" s="1" t="s">
        <v>14</v>
      </c>
      <c r="C25" s="1" t="s">
        <v>15</v>
      </c>
      <c r="D25" s="54">
        <v>41367.79</v>
      </c>
      <c r="E25" s="54">
        <v>4022.72</v>
      </c>
      <c r="F25" s="54">
        <v>29055.119999999999</v>
      </c>
      <c r="G25" s="54">
        <v>371302.28</v>
      </c>
      <c r="H25" s="49">
        <v>28295.08</v>
      </c>
      <c r="I25" s="49">
        <v>2084.41</v>
      </c>
      <c r="J25" s="49">
        <v>150945.15</v>
      </c>
      <c r="K25" s="49">
        <v>517245.9</v>
      </c>
    </row>
    <row r="26" spans="1:11" ht="31.2" x14ac:dyDescent="0.3">
      <c r="A26" s="1" t="s">
        <v>38</v>
      </c>
      <c r="B26" s="1" t="s">
        <v>14</v>
      </c>
      <c r="C26" s="1" t="s">
        <v>15</v>
      </c>
      <c r="D26" s="54">
        <v>23762.05</v>
      </c>
      <c r="E26" s="54">
        <v>16130.25</v>
      </c>
      <c r="F26" s="54"/>
      <c r="G26" s="54">
        <v>140806.85999999999</v>
      </c>
      <c r="H26" s="49">
        <v>99308.09</v>
      </c>
      <c r="I26" s="49">
        <v>760.75</v>
      </c>
      <c r="J26" s="49">
        <v>18377.04</v>
      </c>
      <c r="K26" s="49">
        <v>0</v>
      </c>
    </row>
    <row r="27" spans="1:11" ht="31.2" x14ac:dyDescent="0.3">
      <c r="A27" s="1" t="s">
        <v>39</v>
      </c>
      <c r="B27" s="1" t="s">
        <v>14</v>
      </c>
      <c r="C27" s="1" t="s">
        <v>15</v>
      </c>
      <c r="D27" s="54">
        <v>74214.8</v>
      </c>
      <c r="E27" s="54">
        <v>726.24</v>
      </c>
      <c r="F27" s="54">
        <v>100676.21</v>
      </c>
      <c r="G27" s="54">
        <v>123963.14</v>
      </c>
      <c r="H27" s="49">
        <v>89067.069999999978</v>
      </c>
      <c r="I27" s="49">
        <v>6244.3999999999987</v>
      </c>
      <c r="J27" s="49">
        <v>160393.97</v>
      </c>
      <c r="K27" s="49">
        <v>1357285.18</v>
      </c>
    </row>
    <row r="28" spans="1:11" ht="31.2" x14ac:dyDescent="0.3">
      <c r="A28" s="1" t="s">
        <v>40</v>
      </c>
      <c r="B28" s="1" t="s">
        <v>14</v>
      </c>
      <c r="C28" s="1" t="s">
        <v>15</v>
      </c>
      <c r="D28" s="54"/>
      <c r="E28" s="54"/>
      <c r="F28" s="54"/>
      <c r="G28" s="54"/>
      <c r="H28" s="49">
        <v>0</v>
      </c>
      <c r="I28" s="49">
        <v>1043</v>
      </c>
      <c r="J28" s="49">
        <v>0</v>
      </c>
      <c r="K28" s="49">
        <v>0</v>
      </c>
    </row>
    <row r="29" spans="1:11" ht="15.6" x14ac:dyDescent="0.3">
      <c r="A29" s="20" t="s">
        <v>41</v>
      </c>
      <c r="B29" s="20" t="s">
        <v>14</v>
      </c>
      <c r="C29" s="20" t="s">
        <v>15</v>
      </c>
      <c r="D29" s="54">
        <v>129942</v>
      </c>
      <c r="E29" s="54">
        <v>1769.9</v>
      </c>
      <c r="F29" s="54"/>
      <c r="G29" s="54"/>
      <c r="H29" s="49">
        <v>17437.71</v>
      </c>
      <c r="I29" s="49">
        <v>0</v>
      </c>
      <c r="J29" s="49">
        <v>0</v>
      </c>
      <c r="K29" s="49">
        <v>0</v>
      </c>
    </row>
    <row r="30" spans="1:11" ht="15.6" x14ac:dyDescent="0.3">
      <c r="A30" s="19" t="s">
        <v>42</v>
      </c>
      <c r="B30" s="1" t="s">
        <v>14</v>
      </c>
      <c r="C30" s="1" t="s">
        <v>43</v>
      </c>
      <c r="D30" s="54">
        <v>1420947.3</v>
      </c>
      <c r="E30" s="54">
        <v>134052.76999999999</v>
      </c>
      <c r="F30" s="54">
        <v>3481241.78</v>
      </c>
      <c r="G30" s="54">
        <v>7733751.6500000004</v>
      </c>
      <c r="H30" s="49">
        <v>1010968.26</v>
      </c>
      <c r="I30" s="49">
        <v>42066.790000000015</v>
      </c>
      <c r="J30" s="49">
        <v>1434631.18</v>
      </c>
      <c r="K30" s="49">
        <v>5865839.71</v>
      </c>
    </row>
    <row r="31" spans="1:11" ht="31.2" x14ac:dyDescent="0.3">
      <c r="A31" s="1" t="s">
        <v>44</v>
      </c>
      <c r="B31" s="1" t="s">
        <v>14</v>
      </c>
      <c r="C31" s="1" t="s">
        <v>43</v>
      </c>
      <c r="D31" s="54">
        <v>157590.19</v>
      </c>
      <c r="E31" s="54">
        <v>184.5</v>
      </c>
      <c r="F31" s="54"/>
      <c r="G31" s="54">
        <v>1916409.25</v>
      </c>
      <c r="H31" s="49">
        <v>0</v>
      </c>
      <c r="I31" s="49">
        <v>0</v>
      </c>
      <c r="J31" s="49">
        <v>0</v>
      </c>
      <c r="K31" s="49">
        <v>0</v>
      </c>
    </row>
    <row r="32" spans="1:11" ht="15.6" x14ac:dyDescent="0.3">
      <c r="A32" s="1" t="s">
        <v>45</v>
      </c>
      <c r="B32" s="1" t="s">
        <v>14</v>
      </c>
      <c r="C32" s="1" t="s">
        <v>43</v>
      </c>
      <c r="D32" s="54"/>
      <c r="E32" s="54">
        <v>20880.990000000002</v>
      </c>
      <c r="F32" s="54"/>
      <c r="G32" s="54"/>
      <c r="H32" s="49">
        <v>0</v>
      </c>
      <c r="I32" s="49">
        <v>0</v>
      </c>
      <c r="J32" s="49">
        <v>0</v>
      </c>
      <c r="K32" s="49">
        <v>0</v>
      </c>
    </row>
    <row r="33" spans="1:11" ht="31.2" x14ac:dyDescent="0.3">
      <c r="A33" s="1" t="s">
        <v>46</v>
      </c>
      <c r="B33" s="1" t="s">
        <v>14</v>
      </c>
      <c r="C33" s="1" t="s">
        <v>43</v>
      </c>
      <c r="D33" s="54">
        <v>568279.57999999996</v>
      </c>
      <c r="E33" s="54">
        <v>40466.639999999999</v>
      </c>
      <c r="F33" s="54">
        <v>4405564.22</v>
      </c>
      <c r="G33" s="54">
        <v>5007503.4400000004</v>
      </c>
      <c r="H33" s="49">
        <v>229844.65000000002</v>
      </c>
      <c r="I33" s="49">
        <v>30501.260000000002</v>
      </c>
      <c r="J33" s="49">
        <v>2553567.3099999996</v>
      </c>
      <c r="K33" s="49">
        <v>2413890.4300000002</v>
      </c>
    </row>
    <row r="34" spans="1:11" ht="15.6" x14ac:dyDescent="0.3">
      <c r="A34" s="52" t="s">
        <v>47</v>
      </c>
      <c r="B34" s="1" t="s">
        <v>14</v>
      </c>
      <c r="C34" s="1" t="s">
        <v>43</v>
      </c>
      <c r="D34" s="54">
        <v>1531335.07</v>
      </c>
      <c r="E34" s="54">
        <v>25863.119999999999</v>
      </c>
      <c r="F34" s="54">
        <v>12770478.689999999</v>
      </c>
      <c r="G34" s="54">
        <v>12511690.18</v>
      </c>
      <c r="H34" s="49">
        <v>1094750.45</v>
      </c>
      <c r="I34" s="49">
        <v>19831.21</v>
      </c>
      <c r="J34" s="49">
        <v>5258836.59</v>
      </c>
      <c r="K34" s="49">
        <v>6453588.2300000004</v>
      </c>
    </row>
    <row r="35" spans="1:11" ht="31.2" x14ac:dyDescent="0.3">
      <c r="A35" s="1" t="s">
        <v>48</v>
      </c>
      <c r="B35" s="1" t="s">
        <v>14</v>
      </c>
      <c r="C35" s="1" t="s">
        <v>43</v>
      </c>
      <c r="D35" s="54">
        <v>73312.320000000007</v>
      </c>
      <c r="E35" s="54">
        <v>7202.03</v>
      </c>
      <c r="F35" s="54"/>
      <c r="G35" s="54"/>
      <c r="H35" s="49">
        <v>0</v>
      </c>
      <c r="I35" s="49">
        <v>1543.88</v>
      </c>
      <c r="J35" s="49">
        <v>0</v>
      </c>
      <c r="K35" s="49">
        <v>0</v>
      </c>
    </row>
    <row r="36" spans="1:11" ht="18" x14ac:dyDescent="0.3">
      <c r="A36" s="55" t="s">
        <v>49</v>
      </c>
      <c r="B36" s="24"/>
      <c r="C36" s="24"/>
      <c r="D36" s="25">
        <f>SUM(D3:D35)</f>
        <v>5339289.3800000008</v>
      </c>
      <c r="E36" s="25">
        <f t="shared" ref="E36:K36" si="0">SUM(E3:E35)</f>
        <v>338675.30000000005</v>
      </c>
      <c r="F36" s="25">
        <f t="shared" si="0"/>
        <v>22750287.710000001</v>
      </c>
      <c r="G36" s="25">
        <f t="shared" si="0"/>
        <v>33436415.960000001</v>
      </c>
      <c r="H36" s="25">
        <f t="shared" si="0"/>
        <v>4681027.5199999986</v>
      </c>
      <c r="I36" s="25">
        <f t="shared" si="0"/>
        <v>244792.60999999996</v>
      </c>
      <c r="J36" s="25">
        <f t="shared" si="0"/>
        <v>11863719.73</v>
      </c>
      <c r="K36" s="25">
        <f t="shared" si="0"/>
        <v>24879256.619999997</v>
      </c>
    </row>
  </sheetData>
  <mergeCells count="2">
    <mergeCell ref="D1:G1"/>
    <mergeCell ref="H1:K1"/>
  </mergeCells>
  <conditionalFormatting sqref="A1">
    <cfRule type="duplicateValues" dxfId="103" priority="7"/>
    <cfRule type="duplicateValues" dxfId="102" priority="8"/>
  </conditionalFormatting>
  <conditionalFormatting sqref="A2">
    <cfRule type="duplicateValues" dxfId="101" priority="5"/>
    <cfRule type="duplicateValues" dxfId="100" priority="6"/>
  </conditionalFormatting>
  <conditionalFormatting sqref="A3:A29">
    <cfRule type="duplicateValues" dxfId="99" priority="3"/>
    <cfRule type="duplicateValues" dxfId="98" priority="4"/>
  </conditionalFormatting>
  <conditionalFormatting sqref="A30:A36">
    <cfRule type="duplicateValues" dxfId="97" priority="1"/>
    <cfRule type="duplicateValues" dxfId="96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9131-D594-415B-B7A8-A1C094A30CE6}">
  <dimension ref="A1:K36"/>
  <sheetViews>
    <sheetView rightToLeft="1" topLeftCell="A27" workbookViewId="0">
      <selection activeCell="M35" sqref="M35"/>
    </sheetView>
  </sheetViews>
  <sheetFormatPr defaultRowHeight="13.8" x14ac:dyDescent="0.25"/>
  <cols>
    <col min="4" max="4" width="12.59765625" bestFit="1" customWidth="1"/>
    <col min="5" max="5" width="10.69921875" bestFit="1" customWidth="1"/>
    <col min="6" max="8" width="12.59765625" bestFit="1" customWidth="1"/>
    <col min="9" max="9" width="10.69921875" bestFit="1" customWidth="1"/>
    <col min="10" max="10" width="12.59765625" bestFit="1" customWidth="1"/>
    <col min="11" max="11" width="14" bestFit="1" customWidth="1"/>
  </cols>
  <sheetData>
    <row r="1" spans="1:11" ht="21" x14ac:dyDescent="0.25">
      <c r="A1" s="1"/>
      <c r="B1" s="1"/>
      <c r="C1" s="1"/>
      <c r="D1" s="42">
        <v>2025</v>
      </c>
      <c r="E1" s="42"/>
      <c r="F1" s="42"/>
      <c r="G1" s="42"/>
      <c r="H1" s="43">
        <v>2024</v>
      </c>
      <c r="I1" s="43"/>
      <c r="J1" s="43"/>
      <c r="K1" s="43"/>
    </row>
    <row r="2" spans="1:11" ht="63" x14ac:dyDescent="0.25">
      <c r="A2" s="9" t="s">
        <v>3</v>
      </c>
      <c r="B2" s="10" t="s">
        <v>4</v>
      </c>
      <c r="C2" s="10" t="s">
        <v>5</v>
      </c>
      <c r="D2" s="44" t="s">
        <v>6</v>
      </c>
      <c r="E2" s="44" t="s">
        <v>11</v>
      </c>
      <c r="F2" s="44" t="s">
        <v>10</v>
      </c>
      <c r="G2" s="44" t="s">
        <v>9</v>
      </c>
      <c r="H2" s="45" t="s">
        <v>6</v>
      </c>
      <c r="I2" s="45" t="s">
        <v>11</v>
      </c>
      <c r="J2" s="45" t="s">
        <v>10</v>
      </c>
      <c r="K2" s="45" t="s">
        <v>12</v>
      </c>
    </row>
    <row r="3" spans="1:11" ht="31.2" x14ac:dyDescent="0.3">
      <c r="A3" s="14" t="s">
        <v>13</v>
      </c>
      <c r="B3" s="14" t="s">
        <v>14</v>
      </c>
      <c r="C3" s="14" t="s">
        <v>15</v>
      </c>
      <c r="D3" s="46"/>
      <c r="E3" s="46"/>
      <c r="F3" s="46"/>
      <c r="G3" s="46"/>
      <c r="H3" s="49">
        <v>-10355.32677338816</v>
      </c>
      <c r="I3" s="49">
        <v>554.52327816757327</v>
      </c>
      <c r="J3" s="49">
        <v>0</v>
      </c>
      <c r="K3" s="49">
        <v>0</v>
      </c>
    </row>
    <row r="4" spans="1:11" ht="31.2" x14ac:dyDescent="0.3">
      <c r="A4" s="19" t="s">
        <v>16</v>
      </c>
      <c r="B4" s="1" t="s">
        <v>14</v>
      </c>
      <c r="C4" s="1" t="s">
        <v>15</v>
      </c>
      <c r="D4" s="48">
        <v>0</v>
      </c>
      <c r="E4" s="48">
        <v>3083.8083490234649</v>
      </c>
      <c r="F4" s="48">
        <v>0</v>
      </c>
      <c r="G4" s="48">
        <v>-11711.17</v>
      </c>
      <c r="H4" s="49">
        <v>-1762.099103401667</v>
      </c>
      <c r="I4" s="49">
        <v>0</v>
      </c>
      <c r="J4" s="49">
        <v>0</v>
      </c>
      <c r="K4" s="49">
        <v>-1062917.76</v>
      </c>
    </row>
    <row r="5" spans="1:11" ht="31.2" x14ac:dyDescent="0.3">
      <c r="A5" s="19" t="s">
        <v>17</v>
      </c>
      <c r="B5" s="1" t="s">
        <v>14</v>
      </c>
      <c r="C5" s="1" t="s">
        <v>15</v>
      </c>
      <c r="D5" s="48">
        <v>28190.67325139153</v>
      </c>
      <c r="E5" s="48">
        <v>926.88403403195684</v>
      </c>
      <c r="F5" s="48">
        <v>3976.649296051708</v>
      </c>
      <c r="G5" s="48">
        <v>-14017.99</v>
      </c>
      <c r="H5" s="49">
        <v>14108.554601010059</v>
      </c>
      <c r="I5" s="49">
        <v>9045.9588001360698</v>
      </c>
      <c r="J5" s="49">
        <v>42827.771516142377</v>
      </c>
      <c r="K5" s="49">
        <v>-5866.4599999999991</v>
      </c>
    </row>
    <row r="6" spans="1:11" ht="31.2" x14ac:dyDescent="0.3">
      <c r="A6" s="19" t="s">
        <v>18</v>
      </c>
      <c r="B6" s="1" t="s">
        <v>14</v>
      </c>
      <c r="C6" s="1" t="s">
        <v>15</v>
      </c>
      <c r="D6" s="48">
        <v>39137.03234004046</v>
      </c>
      <c r="E6" s="48">
        <v>0</v>
      </c>
      <c r="F6" s="48">
        <v>0</v>
      </c>
      <c r="G6" s="48"/>
      <c r="H6" s="49">
        <v>0</v>
      </c>
      <c r="I6" s="49">
        <v>0</v>
      </c>
      <c r="J6" s="49">
        <v>0</v>
      </c>
      <c r="K6" s="49">
        <v>-316054.63</v>
      </c>
    </row>
    <row r="7" spans="1:11" ht="15.6" x14ac:dyDescent="0.3">
      <c r="A7" s="19" t="s">
        <v>19</v>
      </c>
      <c r="B7" s="1" t="s">
        <v>14</v>
      </c>
      <c r="C7" s="1" t="s">
        <v>15</v>
      </c>
      <c r="D7" s="48">
        <v>102321.92694652559</v>
      </c>
      <c r="E7" s="48">
        <v>58156.03452856106</v>
      </c>
      <c r="F7" s="48">
        <v>592.29237319095125</v>
      </c>
      <c r="G7" s="48">
        <v>190698</v>
      </c>
      <c r="H7" s="49">
        <v>-1242.842334592217</v>
      </c>
      <c r="I7" s="49">
        <v>4873.2440567778103</v>
      </c>
      <c r="J7" s="49">
        <v>1149.683869004492</v>
      </c>
      <c r="K7" s="49">
        <v>-202711.06</v>
      </c>
    </row>
    <row r="8" spans="1:11" ht="31.2" x14ac:dyDescent="0.3">
      <c r="A8" s="19" t="s">
        <v>20</v>
      </c>
      <c r="B8" s="1" t="s">
        <v>14</v>
      </c>
      <c r="C8" s="1" t="s">
        <v>15</v>
      </c>
      <c r="D8" s="48"/>
      <c r="E8" s="48"/>
      <c r="F8" s="48"/>
      <c r="G8" s="48"/>
      <c r="H8" s="49">
        <v>0</v>
      </c>
      <c r="I8" s="49">
        <v>0</v>
      </c>
      <c r="J8" s="49">
        <v>0</v>
      </c>
      <c r="K8" s="49">
        <v>0</v>
      </c>
    </row>
    <row r="9" spans="1:11" ht="15.6" x14ac:dyDescent="0.3">
      <c r="A9" s="1" t="s">
        <v>21</v>
      </c>
      <c r="B9" s="1" t="s">
        <v>14</v>
      </c>
      <c r="C9" s="1" t="s">
        <v>15</v>
      </c>
      <c r="D9" s="48">
        <v>25999.996979706171</v>
      </c>
      <c r="E9" s="48">
        <v>0</v>
      </c>
      <c r="F9" s="48">
        <v>0</v>
      </c>
      <c r="G9" s="48">
        <v>83007.679999999993</v>
      </c>
      <c r="H9" s="49">
        <v>2703.3055302593671</v>
      </c>
      <c r="I9" s="49">
        <v>0</v>
      </c>
      <c r="J9" s="49">
        <v>0</v>
      </c>
      <c r="K9" s="49">
        <v>-482691.81</v>
      </c>
    </row>
    <row r="10" spans="1:11" ht="15.6" x14ac:dyDescent="0.3">
      <c r="A10" s="1" t="s">
        <v>22</v>
      </c>
      <c r="B10" s="1" t="s">
        <v>14</v>
      </c>
      <c r="C10" s="1" t="s">
        <v>15</v>
      </c>
      <c r="D10" s="48">
        <v>13346.695131770075</v>
      </c>
      <c r="E10" s="48">
        <v>23967.057810199898</v>
      </c>
      <c r="F10" s="48">
        <v>0</v>
      </c>
      <c r="G10" s="48">
        <v>-1755866</v>
      </c>
      <c r="H10" s="49">
        <v>11150.601602157931</v>
      </c>
      <c r="I10" s="49">
        <v>27593.603523964772</v>
      </c>
      <c r="J10" s="49">
        <v>0</v>
      </c>
      <c r="K10" s="49">
        <v>-193883.53999999998</v>
      </c>
    </row>
    <row r="11" spans="1:11" ht="31.2" x14ac:dyDescent="0.3">
      <c r="A11" s="1" t="s">
        <v>23</v>
      </c>
      <c r="B11" s="1" t="s">
        <v>14</v>
      </c>
      <c r="C11" s="1" t="s">
        <v>15</v>
      </c>
      <c r="D11" s="48"/>
      <c r="E11" s="48"/>
      <c r="F11" s="48"/>
      <c r="G11" s="48"/>
      <c r="H11" s="49">
        <v>0</v>
      </c>
      <c r="I11" s="49">
        <v>0</v>
      </c>
      <c r="J11" s="49">
        <v>0</v>
      </c>
      <c r="K11" s="49">
        <v>0</v>
      </c>
    </row>
    <row r="12" spans="1:11" ht="15.6" x14ac:dyDescent="0.3">
      <c r="A12" s="1" t="s">
        <v>24</v>
      </c>
      <c r="B12" s="1" t="s">
        <v>14</v>
      </c>
      <c r="C12" s="1" t="s">
        <v>15</v>
      </c>
      <c r="D12" s="48">
        <v>1804.57691577482</v>
      </c>
      <c r="E12" s="48">
        <v>3983.2298668525632</v>
      </c>
      <c r="F12" s="48">
        <v>29412.803609235889</v>
      </c>
      <c r="G12" s="48">
        <v>14254.46</v>
      </c>
      <c r="H12" s="49">
        <v>-33056.633057661711</v>
      </c>
      <c r="I12" s="49">
        <v>1107.0743763394771</v>
      </c>
      <c r="J12" s="49">
        <v>66156.55851321615</v>
      </c>
      <c r="K12" s="49">
        <v>0</v>
      </c>
    </row>
    <row r="13" spans="1:11" ht="15.6" x14ac:dyDescent="0.3">
      <c r="A13" s="1" t="s">
        <v>25</v>
      </c>
      <c r="B13" s="1" t="s">
        <v>14</v>
      </c>
      <c r="C13" s="1" t="s">
        <v>15</v>
      </c>
      <c r="D13" s="48"/>
      <c r="E13" s="48"/>
      <c r="F13" s="48"/>
      <c r="G13" s="48"/>
      <c r="H13" s="49">
        <v>0</v>
      </c>
      <c r="I13" s="49">
        <v>0</v>
      </c>
      <c r="J13" s="49">
        <v>0</v>
      </c>
      <c r="K13" s="49">
        <v>0</v>
      </c>
    </row>
    <row r="14" spans="1:11" ht="31.2" x14ac:dyDescent="0.3">
      <c r="A14" s="1" t="s">
        <v>26</v>
      </c>
      <c r="B14" s="1" t="s">
        <v>14</v>
      </c>
      <c r="C14" s="1" t="s">
        <v>15</v>
      </c>
      <c r="D14" s="48"/>
      <c r="E14" s="48"/>
      <c r="F14" s="48"/>
      <c r="G14" s="48"/>
      <c r="H14" s="49">
        <v>0</v>
      </c>
      <c r="I14" s="49">
        <v>0</v>
      </c>
      <c r="J14" s="49">
        <v>0</v>
      </c>
      <c r="K14" s="49">
        <v>0</v>
      </c>
    </row>
    <row r="15" spans="1:11" ht="15.6" x14ac:dyDescent="0.3">
      <c r="A15" s="19" t="s">
        <v>27</v>
      </c>
      <c r="B15" s="1" t="s">
        <v>14</v>
      </c>
      <c r="C15" s="1" t="s">
        <v>15</v>
      </c>
      <c r="D15" s="48">
        <v>1882975.5690769358</v>
      </c>
      <c r="E15" s="48">
        <v>269835.29288136325</v>
      </c>
      <c r="F15" s="48">
        <v>2750631.586482455</v>
      </c>
      <c r="G15" s="48">
        <v>2952942</v>
      </c>
      <c r="H15" s="49">
        <v>1923932.4485276104</v>
      </c>
      <c r="I15" s="49">
        <v>418900.42559223628</v>
      </c>
      <c r="J15" s="49">
        <v>5706623.6778442683</v>
      </c>
      <c r="K15" s="49">
        <v>15649166.470000006</v>
      </c>
    </row>
    <row r="16" spans="1:11" ht="46.8" x14ac:dyDescent="0.3">
      <c r="A16" s="1" t="s">
        <v>28</v>
      </c>
      <c r="B16" s="1" t="s">
        <v>14</v>
      </c>
      <c r="C16" s="1" t="s">
        <v>15</v>
      </c>
      <c r="D16" s="48"/>
      <c r="E16" s="48"/>
      <c r="F16" s="48"/>
      <c r="G16" s="48"/>
      <c r="H16" s="49">
        <v>0</v>
      </c>
      <c r="I16" s="49">
        <v>0</v>
      </c>
      <c r="J16" s="49">
        <v>0</v>
      </c>
      <c r="K16" s="49">
        <v>0</v>
      </c>
    </row>
    <row r="17" spans="1:11" ht="31.2" x14ac:dyDescent="0.3">
      <c r="A17" s="1" t="s">
        <v>29</v>
      </c>
      <c r="B17" s="1" t="s">
        <v>14</v>
      </c>
      <c r="C17" s="1" t="s">
        <v>15</v>
      </c>
      <c r="D17" s="48"/>
      <c r="E17" s="48"/>
      <c r="F17" s="48"/>
      <c r="G17" s="48"/>
      <c r="H17" s="49">
        <v>0</v>
      </c>
      <c r="I17" s="49">
        <v>0</v>
      </c>
      <c r="J17" s="49">
        <v>0</v>
      </c>
      <c r="K17" s="49">
        <v>0</v>
      </c>
    </row>
    <row r="18" spans="1:11" ht="31.2" x14ac:dyDescent="0.3">
      <c r="A18" s="1" t="s">
        <v>30</v>
      </c>
      <c r="B18" s="1" t="s">
        <v>14</v>
      </c>
      <c r="C18" s="1" t="s">
        <v>15</v>
      </c>
      <c r="D18" s="48">
        <v>63754.879654273449</v>
      </c>
      <c r="E18" s="48">
        <v>0</v>
      </c>
      <c r="F18" s="48">
        <v>0</v>
      </c>
      <c r="G18" s="48"/>
      <c r="H18" s="49">
        <v>-20390.746847988568</v>
      </c>
      <c r="I18" s="49">
        <v>0</v>
      </c>
      <c r="J18" s="49">
        <v>0</v>
      </c>
      <c r="K18" s="49">
        <v>623322.27</v>
      </c>
    </row>
    <row r="19" spans="1:11" ht="15.6" x14ac:dyDescent="0.3">
      <c r="A19" s="1" t="s">
        <v>31</v>
      </c>
      <c r="B19" s="1" t="s">
        <v>14</v>
      </c>
      <c r="C19" s="1" t="s">
        <v>15</v>
      </c>
      <c r="D19" s="48"/>
      <c r="E19" s="48"/>
      <c r="F19" s="48"/>
      <c r="G19" s="48"/>
      <c r="H19" s="49">
        <v>-1499.2340315133749</v>
      </c>
      <c r="I19" s="49">
        <v>0</v>
      </c>
      <c r="J19" s="49">
        <v>0</v>
      </c>
      <c r="K19" s="49">
        <v>0</v>
      </c>
    </row>
    <row r="20" spans="1:11" ht="15.6" x14ac:dyDescent="0.3">
      <c r="A20" s="19" t="s">
        <v>32</v>
      </c>
      <c r="B20" s="1" t="s">
        <v>14</v>
      </c>
      <c r="C20" s="1" t="s">
        <v>15</v>
      </c>
      <c r="D20" s="56">
        <v>206234.29079207749</v>
      </c>
      <c r="E20" s="56">
        <v>23340.080240730891</v>
      </c>
      <c r="F20" s="56">
        <v>686432.62726859422</v>
      </c>
      <c r="G20" s="48">
        <v>650780</v>
      </c>
      <c r="H20" s="49">
        <v>231867.5497566429</v>
      </c>
      <c r="I20" s="49">
        <v>32841.196811179325</v>
      </c>
      <c r="J20" s="49">
        <v>449736.10031642491</v>
      </c>
      <c r="K20" s="49">
        <v>3109130.2199999988</v>
      </c>
    </row>
    <row r="21" spans="1:11" ht="31.2" x14ac:dyDescent="0.3">
      <c r="A21" s="1" t="s">
        <v>33</v>
      </c>
      <c r="B21" s="1" t="s">
        <v>14</v>
      </c>
      <c r="C21" s="1" t="s">
        <v>15</v>
      </c>
      <c r="D21" s="48">
        <v>0</v>
      </c>
      <c r="E21" s="48">
        <v>5261.7087303219914</v>
      </c>
      <c r="F21" s="48">
        <v>0</v>
      </c>
      <c r="G21" s="48"/>
      <c r="H21" s="49">
        <v>0</v>
      </c>
      <c r="I21" s="49">
        <v>0</v>
      </c>
      <c r="J21" s="49">
        <v>0</v>
      </c>
      <c r="K21" s="49">
        <v>-36599.060000000005</v>
      </c>
    </row>
    <row r="22" spans="1:11" ht="15.6" x14ac:dyDescent="0.3">
      <c r="A22" s="1" t="s">
        <v>34</v>
      </c>
      <c r="B22" s="1" t="s">
        <v>14</v>
      </c>
      <c r="C22" s="1" t="s">
        <v>15</v>
      </c>
      <c r="D22" s="48">
        <v>1889.3025204903679</v>
      </c>
      <c r="E22" s="48">
        <v>13654.384535201401</v>
      </c>
      <c r="F22" s="48">
        <v>0</v>
      </c>
      <c r="G22" s="48">
        <v>-601281.25</v>
      </c>
      <c r="H22" s="49">
        <v>0</v>
      </c>
      <c r="I22" s="49">
        <v>0</v>
      </c>
      <c r="J22" s="49">
        <v>0</v>
      </c>
      <c r="K22" s="49">
        <v>-54719.83</v>
      </c>
    </row>
    <row r="23" spans="1:11" ht="15.6" x14ac:dyDescent="0.3">
      <c r="A23" s="1" t="s">
        <v>35</v>
      </c>
      <c r="B23" s="1" t="s">
        <v>14</v>
      </c>
      <c r="C23" s="1" t="s">
        <v>15</v>
      </c>
      <c r="D23" s="48"/>
      <c r="E23" s="48"/>
      <c r="F23" s="48"/>
      <c r="G23" s="48"/>
      <c r="H23" s="49">
        <v>0</v>
      </c>
      <c r="I23" s="49">
        <v>0</v>
      </c>
      <c r="J23" s="49">
        <v>0</v>
      </c>
      <c r="K23" s="49">
        <v>0</v>
      </c>
    </row>
    <row r="24" spans="1:11" ht="46.8" x14ac:dyDescent="0.3">
      <c r="A24" s="1" t="s">
        <v>36</v>
      </c>
      <c r="B24" s="1" t="s">
        <v>14</v>
      </c>
      <c r="C24" s="1" t="s">
        <v>15</v>
      </c>
      <c r="D24" s="48"/>
      <c r="E24" s="48"/>
      <c r="F24" s="48"/>
      <c r="G24" s="48"/>
      <c r="H24" s="49">
        <v>0</v>
      </c>
      <c r="I24" s="49">
        <v>0</v>
      </c>
      <c r="J24" s="49">
        <v>0</v>
      </c>
      <c r="K24" s="49">
        <v>0</v>
      </c>
    </row>
    <row r="25" spans="1:11" ht="31.2" x14ac:dyDescent="0.3">
      <c r="A25" s="1" t="s">
        <v>37</v>
      </c>
      <c r="B25" s="1" t="s">
        <v>14</v>
      </c>
      <c r="C25" s="1" t="s">
        <v>15</v>
      </c>
      <c r="D25" s="48"/>
      <c r="E25" s="48"/>
      <c r="F25" s="48"/>
      <c r="G25" s="48"/>
      <c r="H25" s="49">
        <v>0</v>
      </c>
      <c r="I25" s="49">
        <v>0</v>
      </c>
      <c r="J25" s="49">
        <v>34817.207942395813</v>
      </c>
      <c r="K25" s="49">
        <v>0</v>
      </c>
    </row>
    <row r="26" spans="1:11" ht="31.2" x14ac:dyDescent="0.3">
      <c r="A26" s="1" t="s">
        <v>38</v>
      </c>
      <c r="B26" s="1" t="s">
        <v>14</v>
      </c>
      <c r="C26" s="1" t="s">
        <v>15</v>
      </c>
      <c r="D26" s="48"/>
      <c r="E26" s="48"/>
      <c r="F26" s="48"/>
      <c r="G26" s="48"/>
      <c r="H26" s="49">
        <v>0</v>
      </c>
      <c r="I26" s="49">
        <v>0</v>
      </c>
      <c r="J26" s="49">
        <v>0</v>
      </c>
      <c r="K26" s="49">
        <v>0</v>
      </c>
    </row>
    <row r="27" spans="1:11" ht="31.2" x14ac:dyDescent="0.3">
      <c r="A27" s="1" t="s">
        <v>39</v>
      </c>
      <c r="B27" s="1" t="s">
        <v>14</v>
      </c>
      <c r="C27" s="1" t="s">
        <v>15</v>
      </c>
      <c r="D27" s="48"/>
      <c r="E27" s="48"/>
      <c r="F27" s="48"/>
      <c r="G27" s="48"/>
      <c r="H27" s="49">
        <v>0</v>
      </c>
      <c r="I27" s="49">
        <v>-1191.5667472335469</v>
      </c>
      <c r="J27" s="49">
        <v>0</v>
      </c>
      <c r="K27" s="49">
        <v>0</v>
      </c>
    </row>
    <row r="28" spans="1:11" ht="31.2" x14ac:dyDescent="0.3">
      <c r="A28" s="1" t="s">
        <v>40</v>
      </c>
      <c r="B28" s="1" t="s">
        <v>14</v>
      </c>
      <c r="C28" s="1" t="s">
        <v>15</v>
      </c>
      <c r="D28" s="48"/>
      <c r="E28" s="48"/>
      <c r="F28" s="48"/>
      <c r="G28" s="48"/>
      <c r="H28" s="49">
        <v>0</v>
      </c>
      <c r="I28" s="49">
        <v>-13259.733051874169</v>
      </c>
      <c r="J28" s="49">
        <v>0</v>
      </c>
      <c r="K28" s="49">
        <v>0</v>
      </c>
    </row>
    <row r="29" spans="1:11" ht="15.6" x14ac:dyDescent="0.3">
      <c r="A29" s="20" t="s">
        <v>41</v>
      </c>
      <c r="B29" s="20" t="s">
        <v>14</v>
      </c>
      <c r="C29" s="20" t="s">
        <v>15</v>
      </c>
      <c r="D29" s="50"/>
      <c r="E29" s="50"/>
      <c r="F29" s="50"/>
      <c r="G29" s="50"/>
      <c r="H29" s="49">
        <v>0</v>
      </c>
      <c r="I29" s="49">
        <v>-662.88669979538156</v>
      </c>
      <c r="J29" s="49">
        <v>0</v>
      </c>
      <c r="K29" s="49">
        <v>0</v>
      </c>
    </row>
    <row r="30" spans="1:11" ht="15.6" x14ac:dyDescent="0.3">
      <c r="A30" s="19" t="s">
        <v>42</v>
      </c>
      <c r="B30" s="1" t="s">
        <v>14</v>
      </c>
      <c r="C30" s="1" t="s">
        <v>43</v>
      </c>
      <c r="D30" s="54">
        <v>13280.181031233909</v>
      </c>
      <c r="E30" s="54">
        <v>0</v>
      </c>
      <c r="F30" s="54">
        <v>0</v>
      </c>
      <c r="G30" s="54">
        <v>-432482</v>
      </c>
      <c r="H30" s="49">
        <v>98783.732425178707</v>
      </c>
      <c r="I30" s="49">
        <v>26852.490347282568</v>
      </c>
      <c r="J30" s="49">
        <v>0</v>
      </c>
      <c r="K30" s="49">
        <v>-476370.12</v>
      </c>
    </row>
    <row r="31" spans="1:11" ht="31.2" x14ac:dyDescent="0.3">
      <c r="A31" s="1" t="s">
        <v>44</v>
      </c>
      <c r="B31" s="1" t="s">
        <v>14</v>
      </c>
      <c r="C31" s="1" t="s">
        <v>43</v>
      </c>
      <c r="D31" s="54"/>
      <c r="E31" s="54">
        <v>-479.97004582151453</v>
      </c>
      <c r="F31" s="54"/>
      <c r="G31" s="54"/>
      <c r="H31" s="49">
        <v>0</v>
      </c>
      <c r="I31" s="49">
        <v>5545.6240547376628</v>
      </c>
      <c r="J31" s="49">
        <v>0</v>
      </c>
      <c r="K31" s="49">
        <v>0</v>
      </c>
    </row>
    <row r="32" spans="1:11" ht="15.6" x14ac:dyDescent="0.3">
      <c r="A32" s="1" t="s">
        <v>45</v>
      </c>
      <c r="B32" s="1" t="s">
        <v>14</v>
      </c>
      <c r="C32" s="1" t="s">
        <v>43</v>
      </c>
      <c r="D32" s="54"/>
      <c r="E32" s="54"/>
      <c r="F32" s="54"/>
      <c r="G32" s="54"/>
      <c r="H32" s="49">
        <v>0</v>
      </c>
      <c r="I32" s="49">
        <v>0</v>
      </c>
      <c r="J32" s="49">
        <v>0</v>
      </c>
      <c r="K32" s="49">
        <v>0</v>
      </c>
    </row>
    <row r="33" spans="1:11" ht="31.2" x14ac:dyDescent="0.3">
      <c r="A33" s="1" t="s">
        <v>46</v>
      </c>
      <c r="B33" s="1" t="s">
        <v>14</v>
      </c>
      <c r="C33" s="1" t="s">
        <v>43</v>
      </c>
      <c r="D33" s="54">
        <v>5865.7591681888434</v>
      </c>
      <c r="E33" s="54">
        <v>0</v>
      </c>
      <c r="F33" s="54">
        <v>0</v>
      </c>
      <c r="G33" s="54">
        <v>-72475</v>
      </c>
      <c r="H33" s="49">
        <v>-8859.9916928713792</v>
      </c>
      <c r="I33" s="49">
        <v>2474.4453184238801</v>
      </c>
      <c r="J33" s="49">
        <v>0</v>
      </c>
      <c r="K33" s="49"/>
    </row>
    <row r="34" spans="1:11" ht="15.6" x14ac:dyDescent="0.3">
      <c r="A34" s="52" t="s">
        <v>47</v>
      </c>
      <c r="B34" s="1" t="s">
        <v>14</v>
      </c>
      <c r="C34" s="1" t="s">
        <v>43</v>
      </c>
      <c r="D34" s="54">
        <v>21085.722133145475</v>
      </c>
      <c r="E34" s="54">
        <v>11402.999376592867</v>
      </c>
      <c r="F34" s="54">
        <v>105954.8523656742</v>
      </c>
      <c r="G34" s="54"/>
      <c r="H34" s="49">
        <v>159.96968273141306</v>
      </c>
      <c r="I34" s="49">
        <v>38478.813356989187</v>
      </c>
      <c r="J34" s="49">
        <v>0</v>
      </c>
      <c r="K34" s="49">
        <v>-176906.7</v>
      </c>
    </row>
    <row r="35" spans="1:11" ht="31.2" x14ac:dyDescent="0.3">
      <c r="A35" s="1" t="s">
        <v>48</v>
      </c>
      <c r="B35" s="1" t="s">
        <v>14</v>
      </c>
      <c r="C35" s="1" t="s">
        <v>43</v>
      </c>
      <c r="D35" s="54"/>
      <c r="E35" s="54"/>
      <c r="F35" s="54"/>
      <c r="G35" s="54"/>
      <c r="H35" s="49">
        <v>0</v>
      </c>
      <c r="I35" s="49">
        <v>1255.0715302186029</v>
      </c>
      <c r="J35" s="49">
        <v>0</v>
      </c>
      <c r="K35" s="49">
        <v>0</v>
      </c>
    </row>
    <row r="36" spans="1:11" ht="18" x14ac:dyDescent="0.3">
      <c r="A36" s="55" t="s">
        <v>49</v>
      </c>
      <c r="B36" s="24"/>
      <c r="C36" s="24"/>
      <c r="D36" s="25">
        <f>SUM(D3:D35)</f>
        <v>2405886.6059415541</v>
      </c>
      <c r="E36" s="25">
        <f t="shared" ref="E36:K36" si="0">SUM(E3:E35)</f>
        <v>413131.51030705788</v>
      </c>
      <c r="F36" s="25">
        <f t="shared" si="0"/>
        <v>3577000.8113952018</v>
      </c>
      <c r="G36" s="25">
        <f t="shared" si="0"/>
        <v>1003848.73</v>
      </c>
      <c r="H36" s="25">
        <f t="shared" si="0"/>
        <v>2205539.2882841737</v>
      </c>
      <c r="I36" s="25">
        <f t="shared" si="0"/>
        <v>554408.28454755014</v>
      </c>
      <c r="J36" s="25">
        <f t="shared" si="0"/>
        <v>6301311.0000014519</v>
      </c>
      <c r="K36" s="25">
        <f t="shared" si="0"/>
        <v>16372897.990000008</v>
      </c>
    </row>
  </sheetData>
  <mergeCells count="2">
    <mergeCell ref="D1:G1"/>
    <mergeCell ref="H1:K1"/>
  </mergeCells>
  <conditionalFormatting sqref="A1">
    <cfRule type="duplicateValues" dxfId="95" priority="7"/>
    <cfRule type="duplicateValues" dxfId="94" priority="8"/>
  </conditionalFormatting>
  <conditionalFormatting sqref="A2">
    <cfRule type="duplicateValues" dxfId="93" priority="5"/>
    <cfRule type="duplicateValues" dxfId="92" priority="6"/>
  </conditionalFormatting>
  <conditionalFormatting sqref="A3:A29">
    <cfRule type="duplicateValues" dxfId="91" priority="3"/>
    <cfRule type="duplicateValues" dxfId="90" priority="4"/>
  </conditionalFormatting>
  <conditionalFormatting sqref="A30:A36">
    <cfRule type="duplicateValues" dxfId="89" priority="1"/>
    <cfRule type="duplicateValues" dxfId="8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1853-4672-40EA-8C08-262780904C10}">
  <dimension ref="A1:K36"/>
  <sheetViews>
    <sheetView rightToLeft="1" topLeftCell="A28" workbookViewId="0">
      <selection activeCell="H45" sqref="H45"/>
    </sheetView>
  </sheetViews>
  <sheetFormatPr defaultRowHeight="13.8" x14ac:dyDescent="0.25"/>
  <cols>
    <col min="4" max="4" width="8.8984375" bestFit="1" customWidth="1"/>
    <col min="5" max="5" width="9.3984375" bestFit="1" customWidth="1"/>
    <col min="6" max="8" width="8.8984375" bestFit="1" customWidth="1"/>
    <col min="9" max="9" width="9.3984375" bestFit="1" customWidth="1"/>
    <col min="10" max="11" width="8.8984375" bestFit="1" customWidth="1"/>
  </cols>
  <sheetData>
    <row r="1" spans="1:11" ht="21" x14ac:dyDescent="0.25">
      <c r="A1" s="1"/>
      <c r="B1" s="1"/>
      <c r="C1" s="1"/>
      <c r="D1" s="42">
        <v>2025</v>
      </c>
      <c r="E1" s="42"/>
      <c r="F1" s="42"/>
      <c r="G1" s="42"/>
      <c r="H1" s="43">
        <v>2024</v>
      </c>
      <c r="I1" s="43"/>
      <c r="J1" s="43"/>
      <c r="K1" s="43"/>
    </row>
    <row r="2" spans="1:11" ht="63" x14ac:dyDescent="0.25">
      <c r="A2" s="9" t="s">
        <v>3</v>
      </c>
      <c r="B2" s="10" t="s">
        <v>4</v>
      </c>
      <c r="C2" s="10" t="s">
        <v>5</v>
      </c>
      <c r="D2" s="44" t="s">
        <v>6</v>
      </c>
      <c r="E2" s="44" t="s">
        <v>11</v>
      </c>
      <c r="F2" s="44" t="s">
        <v>10</v>
      </c>
      <c r="G2" s="44" t="s">
        <v>9</v>
      </c>
      <c r="H2" s="45" t="s">
        <v>6</v>
      </c>
      <c r="I2" s="45" t="s">
        <v>11</v>
      </c>
      <c r="J2" s="45" t="s">
        <v>10</v>
      </c>
      <c r="K2" s="45" t="s">
        <v>12</v>
      </c>
    </row>
    <row r="3" spans="1:11" ht="31.2" x14ac:dyDescent="0.3">
      <c r="A3" s="14" t="s">
        <v>13</v>
      </c>
      <c r="B3" s="14" t="s">
        <v>14</v>
      </c>
      <c r="C3" s="14" t="s">
        <v>15</v>
      </c>
      <c r="D3" s="46"/>
      <c r="E3" s="57"/>
      <c r="F3" s="46"/>
      <c r="G3" s="46"/>
      <c r="H3" s="49">
        <v>0</v>
      </c>
      <c r="I3" s="49">
        <v>0</v>
      </c>
      <c r="J3" s="49"/>
      <c r="K3" s="49"/>
    </row>
    <row r="4" spans="1:11" ht="31.2" x14ac:dyDescent="0.3">
      <c r="A4" s="19" t="s">
        <v>16</v>
      </c>
      <c r="B4" s="1" t="s">
        <v>14</v>
      </c>
      <c r="C4" s="1" t="s">
        <v>15</v>
      </c>
      <c r="D4" s="48"/>
      <c r="E4" s="57"/>
      <c r="F4" s="48"/>
      <c r="G4" s="48"/>
      <c r="H4" s="49">
        <v>0</v>
      </c>
      <c r="I4" s="49">
        <v>0</v>
      </c>
      <c r="J4" s="49"/>
      <c r="K4" s="49"/>
    </row>
    <row r="5" spans="1:11" ht="31.2" x14ac:dyDescent="0.3">
      <c r="A5" s="19" t="s">
        <v>17</v>
      </c>
      <c r="B5" s="1" t="s">
        <v>14</v>
      </c>
      <c r="C5" s="1" t="s">
        <v>15</v>
      </c>
      <c r="D5" s="48"/>
      <c r="E5" s="57"/>
      <c r="F5" s="48"/>
      <c r="G5" s="48"/>
      <c r="H5" s="49">
        <v>0</v>
      </c>
      <c r="I5" s="49">
        <v>0</v>
      </c>
      <c r="J5" s="49"/>
      <c r="K5" s="49"/>
    </row>
    <row r="6" spans="1:11" ht="31.2" x14ac:dyDescent="0.3">
      <c r="A6" s="19" t="s">
        <v>18</v>
      </c>
      <c r="B6" s="1" t="s">
        <v>14</v>
      </c>
      <c r="C6" s="1" t="s">
        <v>15</v>
      </c>
      <c r="D6" s="48">
        <v>729</v>
      </c>
      <c r="E6" s="57">
        <v>22877</v>
      </c>
      <c r="F6" s="48"/>
      <c r="G6" s="48"/>
      <c r="H6" s="49">
        <v>608.49</v>
      </c>
      <c r="I6" s="49">
        <v>65846.610000000015</v>
      </c>
      <c r="J6" s="49"/>
      <c r="K6" s="49"/>
    </row>
    <row r="7" spans="1:11" ht="15.6" x14ac:dyDescent="0.3">
      <c r="A7" s="19" t="s">
        <v>19</v>
      </c>
      <c r="B7" s="1" t="s">
        <v>14</v>
      </c>
      <c r="C7" s="1" t="s">
        <v>15</v>
      </c>
      <c r="D7" s="48"/>
      <c r="E7" s="57"/>
      <c r="F7" s="48"/>
      <c r="G7" s="48"/>
      <c r="H7" s="49">
        <v>0</v>
      </c>
      <c r="I7" s="49">
        <v>0</v>
      </c>
      <c r="J7" s="49"/>
      <c r="K7" s="49"/>
    </row>
    <row r="8" spans="1:11" ht="31.2" x14ac:dyDescent="0.3">
      <c r="A8" s="19" t="s">
        <v>20</v>
      </c>
      <c r="B8" s="1" t="s">
        <v>14</v>
      </c>
      <c r="C8" s="1" t="s">
        <v>15</v>
      </c>
      <c r="D8" s="48"/>
      <c r="E8" s="57"/>
      <c r="F8" s="48"/>
      <c r="G8" s="48"/>
      <c r="H8" s="49">
        <v>0</v>
      </c>
      <c r="I8" s="49">
        <v>0</v>
      </c>
      <c r="J8" s="49"/>
      <c r="K8" s="49"/>
    </row>
    <row r="9" spans="1:11" ht="15.6" x14ac:dyDescent="0.3">
      <c r="A9" s="1" t="s">
        <v>21</v>
      </c>
      <c r="B9" s="1" t="s">
        <v>14</v>
      </c>
      <c r="C9" s="1" t="s">
        <v>15</v>
      </c>
      <c r="D9" s="48"/>
      <c r="E9" s="57"/>
      <c r="F9" s="48"/>
      <c r="G9" s="48"/>
      <c r="H9" s="49">
        <v>0</v>
      </c>
      <c r="I9" s="49">
        <v>0</v>
      </c>
      <c r="J9" s="49"/>
      <c r="K9" s="49"/>
    </row>
    <row r="10" spans="1:11" ht="15.6" x14ac:dyDescent="0.3">
      <c r="A10" s="1" t="s">
        <v>22</v>
      </c>
      <c r="B10" s="1" t="s">
        <v>14</v>
      </c>
      <c r="C10" s="1" t="s">
        <v>15</v>
      </c>
      <c r="D10" s="48"/>
      <c r="E10" s="57"/>
      <c r="F10" s="48"/>
      <c r="G10" s="48"/>
      <c r="H10" s="49">
        <v>0</v>
      </c>
      <c r="I10" s="49">
        <v>0</v>
      </c>
      <c r="J10" s="49"/>
      <c r="K10" s="49"/>
    </row>
    <row r="11" spans="1:11" ht="31.2" x14ac:dyDescent="0.3">
      <c r="A11" s="1" t="s">
        <v>23</v>
      </c>
      <c r="B11" s="1" t="s">
        <v>14</v>
      </c>
      <c r="C11" s="1" t="s">
        <v>15</v>
      </c>
      <c r="D11" s="48"/>
      <c r="E11" s="57"/>
      <c r="F11" s="48"/>
      <c r="G11" s="48"/>
      <c r="H11" s="49">
        <v>0</v>
      </c>
      <c r="I11" s="49">
        <v>0</v>
      </c>
      <c r="J11" s="49"/>
      <c r="K11" s="49"/>
    </row>
    <row r="12" spans="1:11" ht="15.6" x14ac:dyDescent="0.3">
      <c r="A12" s="1" t="s">
        <v>24</v>
      </c>
      <c r="B12" s="1" t="s">
        <v>14</v>
      </c>
      <c r="C12" s="1" t="s">
        <v>15</v>
      </c>
      <c r="D12" s="48"/>
      <c r="E12" s="57">
        <v>892</v>
      </c>
      <c r="F12" s="48"/>
      <c r="G12" s="48"/>
      <c r="H12" s="49">
        <v>0</v>
      </c>
      <c r="I12" s="49">
        <v>0</v>
      </c>
      <c r="J12" s="49"/>
      <c r="K12" s="49"/>
    </row>
    <row r="13" spans="1:11" ht="15.6" x14ac:dyDescent="0.3">
      <c r="A13" s="1" t="s">
        <v>25</v>
      </c>
      <c r="B13" s="1" t="s">
        <v>14</v>
      </c>
      <c r="C13" s="1" t="s">
        <v>15</v>
      </c>
      <c r="D13" s="48"/>
      <c r="E13" s="57"/>
      <c r="F13" s="48"/>
      <c r="G13" s="48"/>
      <c r="H13" s="49">
        <v>0</v>
      </c>
      <c r="I13" s="49">
        <v>0</v>
      </c>
      <c r="J13" s="49"/>
      <c r="K13" s="49"/>
    </row>
    <row r="14" spans="1:11" ht="31.2" x14ac:dyDescent="0.3">
      <c r="A14" s="1" t="s">
        <v>26</v>
      </c>
      <c r="B14" s="1" t="s">
        <v>14</v>
      </c>
      <c r="C14" s="1" t="s">
        <v>15</v>
      </c>
      <c r="D14" s="48"/>
      <c r="E14" s="57"/>
      <c r="F14" s="48"/>
      <c r="G14" s="48"/>
      <c r="H14" s="49">
        <v>0</v>
      </c>
      <c r="I14" s="49">
        <v>0</v>
      </c>
      <c r="J14" s="49"/>
      <c r="K14" s="49"/>
    </row>
    <row r="15" spans="1:11" ht="15.6" x14ac:dyDescent="0.3">
      <c r="A15" s="19" t="s">
        <v>27</v>
      </c>
      <c r="B15" s="1" t="s">
        <v>14</v>
      </c>
      <c r="C15" s="1" t="s">
        <v>15</v>
      </c>
      <c r="D15" s="48"/>
      <c r="E15" s="57"/>
      <c r="F15" s="48"/>
      <c r="G15" s="48"/>
      <c r="H15" s="49">
        <v>0</v>
      </c>
      <c r="I15" s="49">
        <v>0</v>
      </c>
      <c r="J15" s="49"/>
      <c r="K15" s="49"/>
    </row>
    <row r="16" spans="1:11" ht="46.8" x14ac:dyDescent="0.3">
      <c r="A16" s="1" t="s">
        <v>28</v>
      </c>
      <c r="B16" s="1" t="s">
        <v>14</v>
      </c>
      <c r="C16" s="1" t="s">
        <v>15</v>
      </c>
      <c r="D16" s="48"/>
      <c r="E16" s="57"/>
      <c r="F16" s="48"/>
      <c r="G16" s="48"/>
      <c r="H16" s="49">
        <v>0</v>
      </c>
      <c r="I16" s="49">
        <v>0</v>
      </c>
      <c r="J16" s="49"/>
      <c r="K16" s="49"/>
    </row>
    <row r="17" spans="1:11" ht="31.2" x14ac:dyDescent="0.3">
      <c r="A17" s="1" t="s">
        <v>29</v>
      </c>
      <c r="B17" s="1" t="s">
        <v>14</v>
      </c>
      <c r="C17" s="1" t="s">
        <v>15</v>
      </c>
      <c r="D17" s="48"/>
      <c r="E17" s="57"/>
      <c r="F17" s="48"/>
      <c r="G17" s="48"/>
      <c r="H17" s="49">
        <v>0</v>
      </c>
      <c r="I17" s="49">
        <v>0</v>
      </c>
      <c r="J17" s="49"/>
      <c r="K17" s="49"/>
    </row>
    <row r="18" spans="1:11" ht="31.2" x14ac:dyDescent="0.3">
      <c r="A18" s="1" t="s">
        <v>30</v>
      </c>
      <c r="B18" s="1" t="s">
        <v>14</v>
      </c>
      <c r="C18" s="1" t="s">
        <v>15</v>
      </c>
      <c r="D18" s="48"/>
      <c r="E18" s="57"/>
      <c r="F18" s="48"/>
      <c r="G18" s="48"/>
      <c r="H18" s="49">
        <v>0</v>
      </c>
      <c r="I18" s="49">
        <v>0</v>
      </c>
      <c r="J18" s="49"/>
      <c r="K18" s="49"/>
    </row>
    <row r="19" spans="1:11" ht="15.6" x14ac:dyDescent="0.3">
      <c r="A19" s="1" t="s">
        <v>31</v>
      </c>
      <c r="B19" s="1" t="s">
        <v>14</v>
      </c>
      <c r="C19" s="1" t="s">
        <v>15</v>
      </c>
      <c r="D19" s="48"/>
      <c r="E19" s="57"/>
      <c r="F19" s="48"/>
      <c r="G19" s="48"/>
      <c r="H19" s="49">
        <v>0</v>
      </c>
      <c r="I19" s="49">
        <v>0</v>
      </c>
      <c r="J19" s="49"/>
      <c r="K19" s="49"/>
    </row>
    <row r="20" spans="1:11" ht="15.6" x14ac:dyDescent="0.3">
      <c r="A20" s="19" t="s">
        <v>32</v>
      </c>
      <c r="B20" s="1" t="s">
        <v>14</v>
      </c>
      <c r="C20" s="1" t="s">
        <v>15</v>
      </c>
      <c r="D20" s="48"/>
      <c r="E20" s="57"/>
      <c r="F20" s="48"/>
      <c r="G20" s="48"/>
      <c r="H20" s="49">
        <v>0</v>
      </c>
      <c r="I20" s="49">
        <v>0</v>
      </c>
      <c r="J20" s="49"/>
      <c r="K20" s="49"/>
    </row>
    <row r="21" spans="1:11" ht="31.2" x14ac:dyDescent="0.3">
      <c r="A21" s="1" t="s">
        <v>33</v>
      </c>
      <c r="B21" s="1" t="s">
        <v>14</v>
      </c>
      <c r="C21" s="1" t="s">
        <v>15</v>
      </c>
      <c r="D21" s="48"/>
      <c r="E21" s="57"/>
      <c r="F21" s="48"/>
      <c r="G21" s="48"/>
      <c r="H21" s="49">
        <v>0</v>
      </c>
      <c r="I21" s="49">
        <v>0</v>
      </c>
      <c r="J21" s="49"/>
      <c r="K21" s="49"/>
    </row>
    <row r="22" spans="1:11" ht="15.6" x14ac:dyDescent="0.3">
      <c r="A22" s="1" t="s">
        <v>34</v>
      </c>
      <c r="B22" s="1" t="s">
        <v>14</v>
      </c>
      <c r="C22" s="1" t="s">
        <v>15</v>
      </c>
      <c r="D22" s="48"/>
      <c r="E22" s="57"/>
      <c r="F22" s="48"/>
      <c r="G22" s="48"/>
      <c r="H22" s="49">
        <v>0</v>
      </c>
      <c r="I22" s="49">
        <v>0</v>
      </c>
      <c r="J22" s="49"/>
      <c r="K22" s="49"/>
    </row>
    <row r="23" spans="1:11" ht="15.6" x14ac:dyDescent="0.3">
      <c r="A23" s="1" t="s">
        <v>35</v>
      </c>
      <c r="B23" s="1" t="s">
        <v>14</v>
      </c>
      <c r="C23" s="1" t="s">
        <v>15</v>
      </c>
      <c r="D23" s="48"/>
      <c r="E23" s="57"/>
      <c r="F23" s="48"/>
      <c r="G23" s="48"/>
      <c r="H23" s="49">
        <v>0</v>
      </c>
      <c r="I23" s="49">
        <v>0</v>
      </c>
      <c r="J23" s="49"/>
      <c r="K23" s="49"/>
    </row>
    <row r="24" spans="1:11" ht="46.8" x14ac:dyDescent="0.3">
      <c r="A24" s="1" t="s">
        <v>36</v>
      </c>
      <c r="B24" s="1" t="s">
        <v>14</v>
      </c>
      <c r="C24" s="1" t="s">
        <v>15</v>
      </c>
      <c r="D24" s="48"/>
      <c r="E24" s="57"/>
      <c r="F24" s="48"/>
      <c r="G24" s="48"/>
      <c r="H24" s="49">
        <v>0</v>
      </c>
      <c r="I24" s="49">
        <v>4094.06</v>
      </c>
      <c r="J24" s="49"/>
      <c r="K24" s="49"/>
    </row>
    <row r="25" spans="1:11" ht="31.2" x14ac:dyDescent="0.3">
      <c r="A25" s="1" t="s">
        <v>37</v>
      </c>
      <c r="B25" s="1" t="s">
        <v>14</v>
      </c>
      <c r="C25" s="1" t="s">
        <v>15</v>
      </c>
      <c r="D25" s="48"/>
      <c r="E25" s="57"/>
      <c r="F25" s="48"/>
      <c r="G25" s="48"/>
      <c r="H25" s="49">
        <v>0</v>
      </c>
      <c r="I25" s="49">
        <v>0</v>
      </c>
      <c r="J25" s="49"/>
      <c r="K25" s="49"/>
    </row>
    <row r="26" spans="1:11" ht="31.2" x14ac:dyDescent="0.3">
      <c r="A26" s="1" t="s">
        <v>38</v>
      </c>
      <c r="B26" s="1" t="s">
        <v>14</v>
      </c>
      <c r="C26" s="1" t="s">
        <v>15</v>
      </c>
      <c r="D26" s="48"/>
      <c r="E26" s="57">
        <v>6627</v>
      </c>
      <c r="F26" s="48"/>
      <c r="G26" s="48"/>
      <c r="H26" s="49">
        <v>0</v>
      </c>
      <c r="I26" s="49">
        <v>1170.53</v>
      </c>
      <c r="J26" s="49"/>
      <c r="K26" s="49"/>
    </row>
    <row r="27" spans="1:11" ht="31.2" x14ac:dyDescent="0.3">
      <c r="A27" s="1" t="s">
        <v>39</v>
      </c>
      <c r="B27" s="1" t="s">
        <v>14</v>
      </c>
      <c r="C27" s="1" t="s">
        <v>15</v>
      </c>
      <c r="D27" s="48"/>
      <c r="E27" s="57"/>
      <c r="F27" s="48"/>
      <c r="G27" s="48"/>
      <c r="H27" s="49">
        <v>0</v>
      </c>
      <c r="I27" s="49">
        <v>0</v>
      </c>
      <c r="J27" s="49"/>
      <c r="K27" s="49"/>
    </row>
    <row r="28" spans="1:11" ht="31.2" x14ac:dyDescent="0.3">
      <c r="A28" s="1" t="s">
        <v>40</v>
      </c>
      <c r="B28" s="1" t="s">
        <v>14</v>
      </c>
      <c r="C28" s="1" t="s">
        <v>15</v>
      </c>
      <c r="D28" s="48"/>
      <c r="E28" s="57"/>
      <c r="F28" s="48"/>
      <c r="G28" s="48"/>
      <c r="H28" s="49">
        <v>0</v>
      </c>
      <c r="I28" s="49">
        <v>0</v>
      </c>
      <c r="J28" s="49"/>
      <c r="K28" s="49"/>
    </row>
    <row r="29" spans="1:11" ht="15.6" x14ac:dyDescent="0.3">
      <c r="A29" s="20" t="s">
        <v>41</v>
      </c>
      <c r="B29" s="20" t="s">
        <v>14</v>
      </c>
      <c r="C29" s="20" t="s">
        <v>15</v>
      </c>
      <c r="D29" s="50"/>
      <c r="E29" s="50"/>
      <c r="F29" s="50"/>
      <c r="G29" s="50"/>
      <c r="H29" s="49">
        <v>0</v>
      </c>
      <c r="I29" s="49">
        <v>0</v>
      </c>
      <c r="J29" s="49"/>
      <c r="K29" s="49"/>
    </row>
    <row r="30" spans="1:11" ht="15.6" x14ac:dyDescent="0.3">
      <c r="A30" s="19" t="s">
        <v>42</v>
      </c>
      <c r="B30" s="1" t="s">
        <v>14</v>
      </c>
      <c r="C30" s="1" t="s">
        <v>43</v>
      </c>
      <c r="D30" s="54"/>
      <c r="E30" s="54"/>
      <c r="F30" s="54"/>
      <c r="G30" s="54"/>
      <c r="H30" s="49">
        <v>0</v>
      </c>
      <c r="I30" s="49">
        <v>0</v>
      </c>
      <c r="J30" s="49"/>
      <c r="K30" s="49"/>
    </row>
    <row r="31" spans="1:11" ht="31.2" x14ac:dyDescent="0.3">
      <c r="A31" s="1" t="s">
        <v>44</v>
      </c>
      <c r="B31" s="1" t="s">
        <v>14</v>
      </c>
      <c r="C31" s="1" t="s">
        <v>43</v>
      </c>
      <c r="D31" s="54"/>
      <c r="E31" s="54"/>
      <c r="F31" s="54"/>
      <c r="G31" s="54"/>
      <c r="H31" s="49">
        <v>0</v>
      </c>
      <c r="I31" s="49">
        <v>0</v>
      </c>
      <c r="J31" s="49"/>
      <c r="K31" s="49"/>
    </row>
    <row r="32" spans="1:11" ht="15.6" x14ac:dyDescent="0.3">
      <c r="A32" s="1" t="s">
        <v>45</v>
      </c>
      <c r="B32" s="1" t="s">
        <v>14</v>
      </c>
      <c r="C32" s="1" t="s">
        <v>43</v>
      </c>
      <c r="D32" s="54"/>
      <c r="E32" s="54">
        <v>9702</v>
      </c>
      <c r="F32" s="54"/>
      <c r="G32" s="54"/>
      <c r="H32" s="49">
        <v>0</v>
      </c>
      <c r="I32" s="49">
        <v>10354.76</v>
      </c>
      <c r="J32" s="49"/>
      <c r="K32" s="49"/>
    </row>
    <row r="33" spans="1:11" ht="31.2" x14ac:dyDescent="0.3">
      <c r="A33" s="1" t="s">
        <v>46</v>
      </c>
      <c r="B33" s="1" t="s">
        <v>14</v>
      </c>
      <c r="C33" s="1" t="s">
        <v>43</v>
      </c>
      <c r="D33" s="54"/>
      <c r="E33" s="54">
        <v>12723</v>
      </c>
      <c r="F33" s="54"/>
      <c r="G33" s="54"/>
      <c r="H33" s="49"/>
      <c r="I33" s="49">
        <v>8147.8599999999988</v>
      </c>
      <c r="J33" s="49"/>
      <c r="K33" s="49"/>
    </row>
    <row r="34" spans="1:11" ht="15.6" x14ac:dyDescent="0.3">
      <c r="A34" s="52" t="s">
        <v>47</v>
      </c>
      <c r="B34" s="1" t="s">
        <v>14</v>
      </c>
      <c r="C34" s="1" t="s">
        <v>43</v>
      </c>
      <c r="D34" s="54"/>
      <c r="E34" s="54"/>
      <c r="F34" s="54"/>
      <c r="G34" s="54"/>
      <c r="H34" s="49"/>
      <c r="I34" s="49"/>
      <c r="J34" s="49"/>
      <c r="K34" s="49"/>
    </row>
    <row r="35" spans="1:11" ht="31.2" x14ac:dyDescent="0.3">
      <c r="A35" s="1" t="s">
        <v>48</v>
      </c>
      <c r="B35" s="1" t="s">
        <v>14</v>
      </c>
      <c r="C35" s="1" t="s">
        <v>43</v>
      </c>
      <c r="D35" s="54"/>
      <c r="E35" s="54"/>
      <c r="F35" s="54"/>
      <c r="G35" s="54"/>
      <c r="H35" s="49">
        <v>0</v>
      </c>
      <c r="I35" s="49">
        <v>0</v>
      </c>
      <c r="J35" s="49"/>
      <c r="K35" s="49"/>
    </row>
    <row r="36" spans="1:11" ht="18" x14ac:dyDescent="0.3">
      <c r="A36" s="55" t="s">
        <v>49</v>
      </c>
      <c r="B36" s="24"/>
      <c r="C36" s="24"/>
      <c r="D36" s="25">
        <f>SUM(D3:D35)</f>
        <v>729</v>
      </c>
      <c r="E36" s="25">
        <f t="shared" ref="E36:K36" si="0">SUM(E3:E35)</f>
        <v>52821</v>
      </c>
      <c r="F36" s="25">
        <f t="shared" si="0"/>
        <v>0</v>
      </c>
      <c r="G36" s="25">
        <f t="shared" si="0"/>
        <v>0</v>
      </c>
      <c r="H36" s="25">
        <f t="shared" si="0"/>
        <v>608.49</v>
      </c>
      <c r="I36" s="25">
        <f t="shared" si="0"/>
        <v>89613.82</v>
      </c>
      <c r="J36" s="25">
        <f t="shared" si="0"/>
        <v>0</v>
      </c>
      <c r="K36" s="25">
        <f t="shared" si="0"/>
        <v>0</v>
      </c>
    </row>
  </sheetData>
  <mergeCells count="2">
    <mergeCell ref="D1:G1"/>
    <mergeCell ref="H1:K1"/>
  </mergeCells>
  <conditionalFormatting sqref="A1">
    <cfRule type="duplicateValues" dxfId="87" priority="7"/>
    <cfRule type="duplicateValues" dxfId="86" priority="8"/>
  </conditionalFormatting>
  <conditionalFormatting sqref="A2">
    <cfRule type="duplicateValues" dxfId="85" priority="5"/>
    <cfRule type="duplicateValues" dxfId="84" priority="6"/>
  </conditionalFormatting>
  <conditionalFormatting sqref="A3:A29">
    <cfRule type="duplicateValues" dxfId="83" priority="3"/>
    <cfRule type="duplicateValues" dxfId="82" priority="4"/>
  </conditionalFormatting>
  <conditionalFormatting sqref="A30:A36">
    <cfRule type="duplicateValues" dxfId="81" priority="1"/>
    <cfRule type="duplicateValues" dxfId="80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CB75-2D2B-4B30-9BC5-7EDB671EFCFE}">
  <dimension ref="A1:K36"/>
  <sheetViews>
    <sheetView rightToLeft="1" topLeftCell="A23" workbookViewId="0">
      <selection activeCell="L28" sqref="L28"/>
    </sheetView>
  </sheetViews>
  <sheetFormatPr defaultRowHeight="13.8" x14ac:dyDescent="0.25"/>
  <cols>
    <col min="4" max="4" width="12.59765625" bestFit="1" customWidth="1"/>
    <col min="5" max="5" width="10.69921875" bestFit="1" customWidth="1"/>
    <col min="6" max="6" width="12.59765625" bestFit="1" customWidth="1"/>
    <col min="7" max="7" width="13.5" bestFit="1" customWidth="1"/>
    <col min="8" max="8" width="12.59765625" bestFit="1" customWidth="1"/>
    <col min="9" max="9" width="10.69921875" bestFit="1" customWidth="1"/>
    <col min="10" max="11" width="12.59765625" bestFit="1" customWidth="1"/>
  </cols>
  <sheetData>
    <row r="1" spans="1:11" ht="21" x14ac:dyDescent="0.25">
      <c r="A1" s="1"/>
      <c r="B1" s="1"/>
      <c r="C1" s="1"/>
      <c r="D1" s="42">
        <v>2025</v>
      </c>
      <c r="E1" s="42"/>
      <c r="F1" s="42"/>
      <c r="G1" s="42"/>
      <c r="H1" s="43">
        <v>2024</v>
      </c>
      <c r="I1" s="43"/>
      <c r="J1" s="43"/>
      <c r="K1" s="43"/>
    </row>
    <row r="2" spans="1:11" ht="63" x14ac:dyDescent="0.25">
      <c r="A2" s="9" t="s">
        <v>3</v>
      </c>
      <c r="B2" s="10" t="s">
        <v>4</v>
      </c>
      <c r="C2" s="10" t="s">
        <v>5</v>
      </c>
      <c r="D2" s="44" t="s">
        <v>6</v>
      </c>
      <c r="E2" s="44" t="s">
        <v>11</v>
      </c>
      <c r="F2" s="44" t="s">
        <v>10</v>
      </c>
      <c r="G2" s="44" t="s">
        <v>9</v>
      </c>
      <c r="H2" s="45" t="s">
        <v>6</v>
      </c>
      <c r="I2" s="45" t="s">
        <v>11</v>
      </c>
      <c r="J2" s="45" t="s">
        <v>10</v>
      </c>
      <c r="K2" s="45" t="s">
        <v>12</v>
      </c>
    </row>
    <row r="3" spans="1:11" ht="31.2" x14ac:dyDescent="0.3">
      <c r="A3" s="14" t="s">
        <v>13</v>
      </c>
      <c r="B3" s="14" t="s">
        <v>14</v>
      </c>
      <c r="C3" s="14" t="s">
        <v>15</v>
      </c>
      <c r="D3" s="58">
        <v>541584</v>
      </c>
      <c r="E3" s="58">
        <v>47324</v>
      </c>
      <c r="F3" s="58">
        <v>245790</v>
      </c>
      <c r="G3" s="54">
        <v>888800</v>
      </c>
      <c r="H3" s="49">
        <v>710796.46791300003</v>
      </c>
      <c r="I3" s="49">
        <v>99742.893380999973</v>
      </c>
      <c r="J3" s="49">
        <v>950384.32134600007</v>
      </c>
      <c r="K3" s="49">
        <v>1894584.6142679998</v>
      </c>
    </row>
    <row r="4" spans="1:11" ht="31.2" x14ac:dyDescent="0.3">
      <c r="A4" s="19" t="s">
        <v>16</v>
      </c>
      <c r="B4" s="1" t="s">
        <v>14</v>
      </c>
      <c r="C4" s="1" t="s">
        <v>15</v>
      </c>
      <c r="D4" s="54"/>
      <c r="E4" s="54"/>
      <c r="F4" s="54"/>
      <c r="G4" s="54"/>
      <c r="H4" s="49">
        <v>93831.940754999989</v>
      </c>
      <c r="I4" s="49">
        <v>14193.203735999998</v>
      </c>
      <c r="J4" s="49">
        <v>237911.80755900004</v>
      </c>
      <c r="K4" s="49">
        <v>6928.5930150000004</v>
      </c>
    </row>
    <row r="5" spans="1:11" ht="31.2" x14ac:dyDescent="0.3">
      <c r="A5" s="19" t="s">
        <v>17</v>
      </c>
      <c r="B5" s="1" t="s">
        <v>14</v>
      </c>
      <c r="C5" s="1" t="s">
        <v>15</v>
      </c>
      <c r="D5" s="54"/>
      <c r="E5" s="54">
        <v>11861</v>
      </c>
      <c r="F5" s="54"/>
      <c r="G5" s="54"/>
      <c r="H5" s="49">
        <v>0</v>
      </c>
      <c r="I5" s="49">
        <v>10560.105285</v>
      </c>
      <c r="J5" s="49">
        <v>0</v>
      </c>
      <c r="K5" s="49">
        <v>0</v>
      </c>
    </row>
    <row r="6" spans="1:11" ht="31.2" x14ac:dyDescent="0.3">
      <c r="A6" s="19" t="s">
        <v>18</v>
      </c>
      <c r="B6" s="1" t="s">
        <v>14</v>
      </c>
      <c r="C6" s="1" t="s">
        <v>15</v>
      </c>
      <c r="D6" s="54">
        <v>14085</v>
      </c>
      <c r="E6" s="54">
        <v>17627</v>
      </c>
      <c r="F6" s="54">
        <v>88720</v>
      </c>
      <c r="G6" s="54"/>
      <c r="H6" s="49">
        <v>0</v>
      </c>
      <c r="I6" s="49">
        <v>9549.0763230000011</v>
      </c>
      <c r="J6" s="49">
        <v>0</v>
      </c>
      <c r="K6" s="49">
        <v>0</v>
      </c>
    </row>
    <row r="7" spans="1:11" ht="15.6" x14ac:dyDescent="0.3">
      <c r="A7" s="19" t="s">
        <v>19</v>
      </c>
      <c r="B7" s="1" t="s">
        <v>14</v>
      </c>
      <c r="C7" s="1" t="s">
        <v>15</v>
      </c>
      <c r="D7" s="54"/>
      <c r="E7" s="54"/>
      <c r="F7" s="54"/>
      <c r="G7" s="54"/>
      <c r="H7" s="49">
        <v>243659.39757900001</v>
      </c>
      <c r="I7" s="49">
        <v>10329.168561</v>
      </c>
      <c r="J7" s="49">
        <v>20119.246136999998</v>
      </c>
      <c r="K7" s="49">
        <v>350672.67088799999</v>
      </c>
    </row>
    <row r="8" spans="1:11" ht="31.2" x14ac:dyDescent="0.3">
      <c r="A8" s="19" t="s">
        <v>20</v>
      </c>
      <c r="B8" s="1" t="s">
        <v>14</v>
      </c>
      <c r="C8" s="1" t="s">
        <v>15</v>
      </c>
      <c r="D8" s="54"/>
      <c r="E8" s="54">
        <v>42516</v>
      </c>
      <c r="F8" s="54"/>
      <c r="G8" s="54"/>
      <c r="H8" s="49">
        <v>0</v>
      </c>
      <c r="I8" s="49">
        <v>32707.220664000004</v>
      </c>
      <c r="J8" s="49">
        <v>3823.3278749999999</v>
      </c>
      <c r="K8" s="49">
        <v>0</v>
      </c>
    </row>
    <row r="9" spans="1:11" ht="15.6" x14ac:dyDescent="0.3">
      <c r="A9" s="1" t="s">
        <v>21</v>
      </c>
      <c r="B9" s="1" t="s">
        <v>14</v>
      </c>
      <c r="C9" s="1" t="s">
        <v>15</v>
      </c>
      <c r="D9" s="54">
        <v>0</v>
      </c>
      <c r="E9" s="54">
        <v>14757</v>
      </c>
      <c r="F9" s="54">
        <v>20374</v>
      </c>
      <c r="G9" s="54">
        <v>-34396</v>
      </c>
      <c r="H9" s="49">
        <v>0</v>
      </c>
      <c r="I9" s="49">
        <v>19150.665063</v>
      </c>
      <c r="J9" s="49">
        <v>0</v>
      </c>
      <c r="K9" s="49">
        <v>0</v>
      </c>
    </row>
    <row r="10" spans="1:11" ht="15.6" x14ac:dyDescent="0.3">
      <c r="A10" s="1" t="s">
        <v>22</v>
      </c>
      <c r="B10" s="1" t="s">
        <v>14</v>
      </c>
      <c r="C10" s="1" t="s">
        <v>15</v>
      </c>
      <c r="D10" s="54">
        <v>357418</v>
      </c>
      <c r="E10" s="54">
        <v>40015</v>
      </c>
      <c r="F10" s="54">
        <v>1025507</v>
      </c>
      <c r="G10" s="54">
        <v>-628650</v>
      </c>
      <c r="H10" s="49">
        <v>538964.82044399995</v>
      </c>
      <c r="I10" s="49">
        <v>45195.616713000003</v>
      </c>
      <c r="J10" s="49">
        <v>1570363.869771</v>
      </c>
      <c r="K10" s="49">
        <v>1528892.788527</v>
      </c>
    </row>
    <row r="11" spans="1:11" ht="31.2" x14ac:dyDescent="0.3">
      <c r="A11" s="1" t="s">
        <v>23</v>
      </c>
      <c r="B11" s="1" t="s">
        <v>14</v>
      </c>
      <c r="C11" s="1" t="s">
        <v>15</v>
      </c>
      <c r="D11" s="54"/>
      <c r="E11" s="54"/>
      <c r="F11" s="54"/>
      <c r="G11" s="54"/>
      <c r="H11" s="49">
        <v>0</v>
      </c>
      <c r="I11" s="49">
        <v>0</v>
      </c>
      <c r="J11" s="49">
        <v>0</v>
      </c>
      <c r="K11" s="49">
        <v>0</v>
      </c>
    </row>
    <row r="12" spans="1:11" ht="15.6" x14ac:dyDescent="0.3">
      <c r="A12" s="1" t="s">
        <v>24</v>
      </c>
      <c r="B12" s="1" t="s">
        <v>14</v>
      </c>
      <c r="C12" s="1" t="s">
        <v>15</v>
      </c>
      <c r="D12" s="54"/>
      <c r="E12" s="54"/>
      <c r="F12" s="54"/>
      <c r="G12" s="54"/>
      <c r="H12" s="49">
        <v>0</v>
      </c>
      <c r="I12" s="49">
        <v>0</v>
      </c>
      <c r="J12" s="49">
        <v>0</v>
      </c>
      <c r="K12" s="49">
        <v>0</v>
      </c>
    </row>
    <row r="13" spans="1:11" ht="15.6" x14ac:dyDescent="0.3">
      <c r="A13" s="1" t="s">
        <v>25</v>
      </c>
      <c r="B13" s="1" t="s">
        <v>14</v>
      </c>
      <c r="C13" s="1" t="s">
        <v>15</v>
      </c>
      <c r="D13" s="54"/>
      <c r="E13" s="54"/>
      <c r="F13" s="54"/>
      <c r="G13" s="54"/>
      <c r="H13" s="49">
        <v>0</v>
      </c>
      <c r="I13" s="49">
        <v>0</v>
      </c>
      <c r="J13" s="49">
        <v>0</v>
      </c>
      <c r="K13" s="49">
        <v>0</v>
      </c>
    </row>
    <row r="14" spans="1:11" ht="31.2" x14ac:dyDescent="0.3">
      <c r="A14" s="1" t="s">
        <v>26</v>
      </c>
      <c r="B14" s="1" t="s">
        <v>14</v>
      </c>
      <c r="C14" s="1" t="s">
        <v>15</v>
      </c>
      <c r="D14" s="54"/>
      <c r="E14" s="54">
        <v>3630</v>
      </c>
      <c r="F14" s="54"/>
      <c r="G14" s="54"/>
      <c r="H14" s="49">
        <v>0</v>
      </c>
      <c r="I14" s="49">
        <v>0</v>
      </c>
      <c r="J14" s="49">
        <v>0</v>
      </c>
      <c r="K14" s="49">
        <v>0</v>
      </c>
    </row>
    <row r="15" spans="1:11" ht="15.6" x14ac:dyDescent="0.3">
      <c r="A15" s="19" t="s">
        <v>27</v>
      </c>
      <c r="B15" s="1" t="s">
        <v>14</v>
      </c>
      <c r="C15" s="1" t="s">
        <v>15</v>
      </c>
      <c r="D15" s="54"/>
      <c r="E15" s="54"/>
      <c r="F15" s="54"/>
      <c r="G15" s="54"/>
      <c r="H15" s="49">
        <v>0</v>
      </c>
      <c r="I15" s="49">
        <v>0</v>
      </c>
      <c r="J15" s="49">
        <v>0</v>
      </c>
      <c r="K15" s="49">
        <v>0</v>
      </c>
    </row>
    <row r="16" spans="1:11" ht="46.8" x14ac:dyDescent="0.3">
      <c r="A16" s="1" t="s">
        <v>28</v>
      </c>
      <c r="B16" s="1" t="s">
        <v>14</v>
      </c>
      <c r="C16" s="1" t="s">
        <v>15</v>
      </c>
      <c r="D16" s="54"/>
      <c r="E16" s="54"/>
      <c r="F16" s="54"/>
      <c r="G16" s="54"/>
      <c r="H16" s="49">
        <v>0</v>
      </c>
      <c r="I16" s="49">
        <v>0</v>
      </c>
      <c r="J16" s="49">
        <v>0</v>
      </c>
      <c r="K16" s="49">
        <v>0</v>
      </c>
    </row>
    <row r="17" spans="1:11" ht="31.2" x14ac:dyDescent="0.3">
      <c r="A17" s="1" t="s">
        <v>29</v>
      </c>
      <c r="B17" s="1" t="s">
        <v>14</v>
      </c>
      <c r="C17" s="1" t="s">
        <v>15</v>
      </c>
      <c r="D17" s="54"/>
      <c r="E17" s="54"/>
      <c r="F17" s="54"/>
      <c r="G17" s="54"/>
      <c r="H17" s="49">
        <v>18014.94543</v>
      </c>
      <c r="I17" s="49">
        <v>2616.5389110000001</v>
      </c>
      <c r="J17" s="49">
        <v>0</v>
      </c>
      <c r="K17" s="49">
        <v>4013.5432620000001</v>
      </c>
    </row>
    <row r="18" spans="1:11" ht="31.2" x14ac:dyDescent="0.3">
      <c r="A18" s="1" t="s">
        <v>30</v>
      </c>
      <c r="B18" s="1" t="s">
        <v>14</v>
      </c>
      <c r="C18" s="1" t="s">
        <v>15</v>
      </c>
      <c r="D18" s="54"/>
      <c r="E18" s="54"/>
      <c r="F18" s="54"/>
      <c r="G18" s="54"/>
      <c r="H18" s="49">
        <v>0</v>
      </c>
      <c r="I18" s="49">
        <v>0</v>
      </c>
      <c r="J18" s="49">
        <v>0</v>
      </c>
      <c r="K18" s="49">
        <v>0</v>
      </c>
    </row>
    <row r="19" spans="1:11" ht="15.6" x14ac:dyDescent="0.3">
      <c r="A19" s="1" t="s">
        <v>31</v>
      </c>
      <c r="B19" s="1" t="s">
        <v>14</v>
      </c>
      <c r="C19" s="1" t="s">
        <v>15</v>
      </c>
      <c r="D19" s="54"/>
      <c r="E19" s="54"/>
      <c r="F19" s="54"/>
      <c r="G19" s="54"/>
      <c r="H19" s="49">
        <v>0</v>
      </c>
      <c r="I19" s="49">
        <v>0</v>
      </c>
      <c r="J19" s="49">
        <v>0</v>
      </c>
      <c r="K19" s="49">
        <v>0</v>
      </c>
    </row>
    <row r="20" spans="1:11" ht="15.6" x14ac:dyDescent="0.3">
      <c r="A20" s="19" t="s">
        <v>32</v>
      </c>
      <c r="B20" s="1" t="s">
        <v>14</v>
      </c>
      <c r="C20" s="1" t="s">
        <v>15</v>
      </c>
      <c r="D20" s="54"/>
      <c r="E20" s="54"/>
      <c r="F20" s="54"/>
      <c r="G20" s="54"/>
      <c r="H20" s="49">
        <v>82323.930896999998</v>
      </c>
      <c r="I20" s="49">
        <v>2663.1698249999995</v>
      </c>
      <c r="J20" s="49">
        <v>324157.49377499998</v>
      </c>
      <c r="K20" s="49">
        <v>99813.90656399999</v>
      </c>
    </row>
    <row r="21" spans="1:11" ht="31.2" x14ac:dyDescent="0.3">
      <c r="A21" s="1" t="s">
        <v>33</v>
      </c>
      <c r="B21" s="1" t="s">
        <v>14</v>
      </c>
      <c r="C21" s="1" t="s">
        <v>15</v>
      </c>
      <c r="D21" s="54"/>
      <c r="E21" s="54"/>
      <c r="F21" s="54"/>
      <c r="G21" s="54"/>
      <c r="H21" s="49">
        <v>144613.96061699998</v>
      </c>
      <c r="I21" s="49">
        <v>22178.249444999998</v>
      </c>
      <c r="J21" s="49">
        <v>0</v>
      </c>
      <c r="K21" s="49">
        <v>82522.961520000012</v>
      </c>
    </row>
    <row r="22" spans="1:11" ht="15.6" x14ac:dyDescent="0.3">
      <c r="A22" s="1" t="s">
        <v>34</v>
      </c>
      <c r="B22" s="1" t="s">
        <v>14</v>
      </c>
      <c r="C22" s="1" t="s">
        <v>15</v>
      </c>
      <c r="D22" s="54"/>
      <c r="E22" s="54"/>
      <c r="F22" s="54"/>
      <c r="G22" s="54"/>
      <c r="H22" s="49">
        <v>0</v>
      </c>
      <c r="I22" s="49">
        <v>0</v>
      </c>
      <c r="J22" s="49">
        <v>0</v>
      </c>
      <c r="K22" s="49">
        <v>0</v>
      </c>
    </row>
    <row r="23" spans="1:11" ht="15.6" x14ac:dyDescent="0.3">
      <c r="A23" s="1" t="s">
        <v>35</v>
      </c>
      <c r="B23" s="1" t="s">
        <v>14</v>
      </c>
      <c r="C23" s="1" t="s">
        <v>15</v>
      </c>
      <c r="D23" s="54"/>
      <c r="E23" s="54"/>
      <c r="F23" s="54"/>
      <c r="G23" s="54"/>
      <c r="H23" s="49">
        <v>0</v>
      </c>
      <c r="I23" s="49">
        <v>0</v>
      </c>
      <c r="J23" s="49">
        <v>0</v>
      </c>
      <c r="K23" s="49">
        <v>0</v>
      </c>
    </row>
    <row r="24" spans="1:11" ht="46.8" x14ac:dyDescent="0.3">
      <c r="A24" s="1" t="s">
        <v>36</v>
      </c>
      <c r="B24" s="1" t="s">
        <v>14</v>
      </c>
      <c r="C24" s="1" t="s">
        <v>15</v>
      </c>
      <c r="D24" s="54"/>
      <c r="E24" s="54"/>
      <c r="F24" s="54"/>
      <c r="G24" s="54"/>
      <c r="H24" s="49">
        <v>0</v>
      </c>
      <c r="I24" s="49">
        <v>0</v>
      </c>
      <c r="J24" s="49">
        <v>0</v>
      </c>
      <c r="K24" s="49">
        <v>0</v>
      </c>
    </row>
    <row r="25" spans="1:11" ht="31.2" x14ac:dyDescent="0.3">
      <c r="A25" s="1" t="s">
        <v>37</v>
      </c>
      <c r="B25" s="1" t="s">
        <v>14</v>
      </c>
      <c r="C25" s="1" t="s">
        <v>15</v>
      </c>
      <c r="D25" s="54"/>
      <c r="E25" s="54"/>
      <c r="F25" s="54"/>
      <c r="G25" s="54"/>
      <c r="H25" s="49">
        <v>0</v>
      </c>
      <c r="I25" s="49">
        <v>0</v>
      </c>
      <c r="J25" s="49">
        <v>0</v>
      </c>
      <c r="K25" s="49">
        <v>0</v>
      </c>
    </row>
    <row r="26" spans="1:11" ht="31.2" x14ac:dyDescent="0.3">
      <c r="A26" s="1" t="s">
        <v>38</v>
      </c>
      <c r="B26" s="1" t="s">
        <v>14</v>
      </c>
      <c r="C26" s="1" t="s">
        <v>15</v>
      </c>
      <c r="D26" s="54"/>
      <c r="E26" s="54"/>
      <c r="F26" s="54"/>
      <c r="G26" s="54"/>
      <c r="H26" s="49">
        <v>0</v>
      </c>
      <c r="I26" s="49">
        <v>0</v>
      </c>
      <c r="J26" s="49">
        <v>0</v>
      </c>
      <c r="K26" s="49">
        <v>0</v>
      </c>
    </row>
    <row r="27" spans="1:11" ht="31.2" x14ac:dyDescent="0.3">
      <c r="A27" s="1" t="s">
        <v>39</v>
      </c>
      <c r="B27" s="1" t="s">
        <v>14</v>
      </c>
      <c r="C27" s="1" t="s">
        <v>15</v>
      </c>
      <c r="D27" s="54">
        <v>29083</v>
      </c>
      <c r="E27" s="54">
        <v>10390</v>
      </c>
      <c r="F27" s="54">
        <v>40582</v>
      </c>
      <c r="G27" s="54">
        <v>81351</v>
      </c>
      <c r="H27" s="49">
        <v>40594.372335</v>
      </c>
      <c r="I27" s="49">
        <v>0</v>
      </c>
      <c r="J27" s="49">
        <v>81155.19623999999</v>
      </c>
      <c r="K27" s="49">
        <v>151623.266382</v>
      </c>
    </row>
    <row r="28" spans="1:11" ht="31.2" x14ac:dyDescent="0.3">
      <c r="A28" s="1" t="s">
        <v>40</v>
      </c>
      <c r="B28" s="1" t="s">
        <v>14</v>
      </c>
      <c r="C28" s="1" t="s">
        <v>15</v>
      </c>
      <c r="D28" s="54">
        <v>6018</v>
      </c>
      <c r="E28" s="54"/>
      <c r="F28" s="54"/>
      <c r="G28" s="54"/>
      <c r="H28" s="49">
        <v>0</v>
      </c>
      <c r="I28" s="49">
        <v>0</v>
      </c>
      <c r="J28" s="49">
        <v>0</v>
      </c>
      <c r="K28" s="49">
        <v>0</v>
      </c>
    </row>
    <row r="29" spans="1:11" ht="15.6" x14ac:dyDescent="0.3">
      <c r="A29" s="20" t="s">
        <v>41</v>
      </c>
      <c r="B29" s="20" t="s">
        <v>14</v>
      </c>
      <c r="C29" s="20" t="s">
        <v>15</v>
      </c>
      <c r="D29" s="57">
        <v>6018</v>
      </c>
      <c r="E29" s="57">
        <v>1503</v>
      </c>
      <c r="F29" s="57">
        <v>4501</v>
      </c>
      <c r="G29" s="54">
        <v>156597</v>
      </c>
      <c r="H29" s="49">
        <v>0</v>
      </c>
      <c r="I29" s="49">
        <v>0</v>
      </c>
      <c r="J29" s="49">
        <v>406.80629699999997</v>
      </c>
      <c r="K29" s="49">
        <v>4799.0958929999997</v>
      </c>
    </row>
    <row r="30" spans="1:11" ht="15.6" x14ac:dyDescent="0.3">
      <c r="A30" s="19" t="s">
        <v>42</v>
      </c>
      <c r="B30" s="1" t="s">
        <v>14</v>
      </c>
      <c r="C30" s="1" t="s">
        <v>43</v>
      </c>
      <c r="D30" s="54">
        <v>226368</v>
      </c>
      <c r="E30" s="54">
        <v>102471</v>
      </c>
      <c r="F30" s="54">
        <v>263360</v>
      </c>
      <c r="G30" s="54">
        <v>-411875</v>
      </c>
      <c r="H30" s="49">
        <v>444237.41734800005</v>
      </c>
      <c r="I30" s="49">
        <v>310302.93180600001</v>
      </c>
      <c r="J30" s="49">
        <v>1897793.177691</v>
      </c>
      <c r="K30" s="49">
        <v>1144649.031921</v>
      </c>
    </row>
    <row r="31" spans="1:11" ht="31.2" x14ac:dyDescent="0.3">
      <c r="A31" s="1" t="s">
        <v>44</v>
      </c>
      <c r="B31" s="1" t="s">
        <v>14</v>
      </c>
      <c r="C31" s="1" t="s">
        <v>43</v>
      </c>
      <c r="D31" s="54"/>
      <c r="E31" s="54"/>
      <c r="F31" s="54"/>
      <c r="G31" s="54"/>
      <c r="H31" s="49">
        <v>40030.674488999997</v>
      </c>
      <c r="I31" s="49">
        <v>1871.0759519999997</v>
      </c>
      <c r="J31" s="49">
        <v>18889.408418999999</v>
      </c>
      <c r="K31" s="49">
        <v>0</v>
      </c>
    </row>
    <row r="32" spans="1:11" ht="15.6" x14ac:dyDescent="0.3">
      <c r="A32" s="1" t="s">
        <v>45</v>
      </c>
      <c r="B32" s="1" t="s">
        <v>14</v>
      </c>
      <c r="C32" s="1" t="s">
        <v>43</v>
      </c>
      <c r="D32" s="54"/>
      <c r="E32" s="54">
        <v>7689</v>
      </c>
      <c r="F32" s="54"/>
      <c r="G32" s="54"/>
      <c r="H32" s="49">
        <v>9608.9020169999985</v>
      </c>
      <c r="I32" s="49">
        <v>18149.784852000004</v>
      </c>
      <c r="J32" s="49">
        <v>0</v>
      </c>
      <c r="K32" s="49">
        <v>0</v>
      </c>
    </row>
    <row r="33" spans="1:11" ht="31.2" x14ac:dyDescent="0.3">
      <c r="A33" s="1" t="s">
        <v>46</v>
      </c>
      <c r="B33" s="1" t="s">
        <v>14</v>
      </c>
      <c r="C33" s="1" t="s">
        <v>43</v>
      </c>
      <c r="D33" s="54"/>
      <c r="E33" s="54">
        <v>5468</v>
      </c>
      <c r="F33" s="54">
        <v>98224</v>
      </c>
      <c r="G33" s="54"/>
      <c r="H33" s="49"/>
      <c r="I33" s="49">
        <v>2460.2649900000001</v>
      </c>
      <c r="J33" s="49">
        <v>182602.30775400001</v>
      </c>
      <c r="K33" s="49"/>
    </row>
    <row r="34" spans="1:11" ht="15.6" x14ac:dyDescent="0.3">
      <c r="A34" s="52" t="s">
        <v>47</v>
      </c>
      <c r="B34" s="1" t="s">
        <v>14</v>
      </c>
      <c r="C34" s="1" t="s">
        <v>43</v>
      </c>
      <c r="D34" s="54">
        <v>0</v>
      </c>
      <c r="E34" s="54">
        <v>-7618</v>
      </c>
      <c r="F34" s="54">
        <v>76582</v>
      </c>
      <c r="G34" s="54">
        <v>-1303201</v>
      </c>
      <c r="H34" s="49"/>
      <c r="I34" s="49">
        <v>-2707.3442639999998</v>
      </c>
      <c r="J34" s="49">
        <v>18422.116688999999</v>
      </c>
      <c r="K34" s="49">
        <v>4425.6976560000003</v>
      </c>
    </row>
    <row r="35" spans="1:11" ht="31.2" x14ac:dyDescent="0.3">
      <c r="A35" s="1" t="s">
        <v>48</v>
      </c>
      <c r="B35" s="1" t="s">
        <v>14</v>
      </c>
      <c r="C35" s="1" t="s">
        <v>43</v>
      </c>
      <c r="D35" s="54"/>
      <c r="E35" s="54">
        <v>8605</v>
      </c>
      <c r="F35" s="54"/>
      <c r="G35" s="54"/>
      <c r="H35" s="49">
        <v>0</v>
      </c>
      <c r="I35" s="49">
        <v>0</v>
      </c>
      <c r="J35" s="49">
        <v>0</v>
      </c>
      <c r="K35" s="49">
        <v>0</v>
      </c>
    </row>
    <row r="36" spans="1:11" ht="18" x14ac:dyDescent="0.3">
      <c r="A36" s="55" t="s">
        <v>49</v>
      </c>
      <c r="B36" s="24"/>
      <c r="C36" s="24"/>
      <c r="D36" s="25">
        <f>SUM(D3:D35)</f>
        <v>1180574</v>
      </c>
      <c r="E36" s="25">
        <f t="shared" ref="E36:K36" si="0">SUM(E3:E35)</f>
        <v>306238</v>
      </c>
      <c r="F36" s="25">
        <f t="shared" si="0"/>
        <v>1863640</v>
      </c>
      <c r="G36" s="25">
        <f t="shared" si="0"/>
        <v>-1251374</v>
      </c>
      <c r="H36" s="25">
        <f t="shared" si="0"/>
        <v>2366676.8298240001</v>
      </c>
      <c r="I36" s="25">
        <f t="shared" si="0"/>
        <v>598962.62124300003</v>
      </c>
      <c r="J36" s="25">
        <f t="shared" si="0"/>
        <v>5306029.0795529997</v>
      </c>
      <c r="K36" s="25">
        <f t="shared" si="0"/>
        <v>5272926.1698959991</v>
      </c>
    </row>
  </sheetData>
  <mergeCells count="2">
    <mergeCell ref="D1:G1"/>
    <mergeCell ref="H1:K1"/>
  </mergeCells>
  <conditionalFormatting sqref="A1">
    <cfRule type="duplicateValues" dxfId="79" priority="7"/>
    <cfRule type="duplicateValues" dxfId="78" priority="8"/>
  </conditionalFormatting>
  <conditionalFormatting sqref="A2">
    <cfRule type="duplicateValues" dxfId="77" priority="5"/>
    <cfRule type="duplicateValues" dxfId="76" priority="6"/>
  </conditionalFormatting>
  <conditionalFormatting sqref="A3:A29">
    <cfRule type="duplicateValues" dxfId="75" priority="3"/>
    <cfRule type="duplicateValues" dxfId="74" priority="4"/>
  </conditionalFormatting>
  <conditionalFormatting sqref="A30:A36">
    <cfRule type="duplicateValues" dxfId="73" priority="1"/>
    <cfRule type="duplicateValues" dxfId="72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7925-C7CC-4410-92CE-975B0483C72D}">
  <dimension ref="A1:K36"/>
  <sheetViews>
    <sheetView rightToLeft="1" topLeftCell="A24" workbookViewId="0">
      <selection activeCell="M27" sqref="M27"/>
    </sheetView>
  </sheetViews>
  <sheetFormatPr defaultRowHeight="13.8" x14ac:dyDescent="0.25"/>
  <cols>
    <col min="4" max="4" width="12.59765625" bestFit="1" customWidth="1"/>
    <col min="5" max="5" width="9.3984375" bestFit="1" customWidth="1"/>
    <col min="6" max="8" width="12.59765625" bestFit="1" customWidth="1"/>
    <col min="9" max="9" width="9.3984375" bestFit="1" customWidth="1"/>
    <col min="10" max="10" width="10.69921875" bestFit="1" customWidth="1"/>
    <col min="11" max="11" width="12.59765625" bestFit="1" customWidth="1"/>
  </cols>
  <sheetData>
    <row r="1" spans="1:11" ht="21" x14ac:dyDescent="0.25">
      <c r="A1" s="1"/>
      <c r="B1" s="1"/>
      <c r="C1" s="1"/>
      <c r="D1" s="42">
        <v>2025</v>
      </c>
      <c r="E1" s="42"/>
      <c r="F1" s="42"/>
      <c r="G1" s="42"/>
      <c r="H1" s="43">
        <v>2024</v>
      </c>
      <c r="I1" s="43"/>
      <c r="J1" s="43"/>
      <c r="K1" s="43"/>
    </row>
    <row r="2" spans="1:11" ht="63" x14ac:dyDescent="0.25">
      <c r="A2" s="9" t="s">
        <v>3</v>
      </c>
      <c r="B2" s="10" t="s">
        <v>4</v>
      </c>
      <c r="C2" s="10" t="s">
        <v>5</v>
      </c>
      <c r="D2" s="44" t="s">
        <v>6</v>
      </c>
      <c r="E2" s="44" t="s">
        <v>11</v>
      </c>
      <c r="F2" s="44" t="s">
        <v>10</v>
      </c>
      <c r="G2" s="44" t="s">
        <v>9</v>
      </c>
      <c r="H2" s="45" t="s">
        <v>6</v>
      </c>
      <c r="I2" s="45" t="s">
        <v>11</v>
      </c>
      <c r="J2" s="45" t="s">
        <v>10</v>
      </c>
      <c r="K2" s="45" t="s">
        <v>12</v>
      </c>
    </row>
    <row r="3" spans="1:11" ht="31.2" x14ac:dyDescent="0.3">
      <c r="A3" s="14" t="s">
        <v>13</v>
      </c>
      <c r="B3" s="14" t="s">
        <v>14</v>
      </c>
      <c r="C3" s="14" t="s">
        <v>15</v>
      </c>
      <c r="D3" s="46">
        <v>17536.691500000001</v>
      </c>
      <c r="E3" s="46"/>
      <c r="F3" s="46"/>
      <c r="G3" s="46">
        <v>71286</v>
      </c>
      <c r="H3" s="49">
        <v>0</v>
      </c>
      <c r="I3" s="49">
        <v>0</v>
      </c>
      <c r="J3" s="49">
        <v>0</v>
      </c>
      <c r="K3" s="49">
        <v>0</v>
      </c>
    </row>
    <row r="4" spans="1:11" ht="31.2" x14ac:dyDescent="0.3">
      <c r="A4" s="19" t="s">
        <v>16</v>
      </c>
      <c r="B4" s="1" t="s">
        <v>14</v>
      </c>
      <c r="C4" s="1" t="s">
        <v>15</v>
      </c>
      <c r="D4" s="48"/>
      <c r="E4" s="48"/>
      <c r="F4" s="48"/>
      <c r="G4" s="48"/>
      <c r="H4" s="49">
        <v>0</v>
      </c>
      <c r="I4" s="49">
        <v>0</v>
      </c>
      <c r="J4" s="49">
        <v>0</v>
      </c>
      <c r="K4" s="49">
        <v>0</v>
      </c>
    </row>
    <row r="5" spans="1:11" ht="31.2" x14ac:dyDescent="0.3">
      <c r="A5" s="19" t="s">
        <v>17</v>
      </c>
      <c r="B5" s="1" t="s">
        <v>14</v>
      </c>
      <c r="C5" s="1" t="s">
        <v>15</v>
      </c>
      <c r="D5" s="48"/>
      <c r="E5" s="48"/>
      <c r="F5" s="48"/>
      <c r="G5" s="48"/>
      <c r="H5" s="49">
        <v>0</v>
      </c>
      <c r="I5" s="49">
        <v>0</v>
      </c>
      <c r="J5" s="49">
        <v>0</v>
      </c>
      <c r="K5" s="49">
        <v>0</v>
      </c>
    </row>
    <row r="6" spans="1:11" ht="31.2" x14ac:dyDescent="0.3">
      <c r="A6" s="19" t="s">
        <v>18</v>
      </c>
      <c r="B6" s="1" t="s">
        <v>14</v>
      </c>
      <c r="C6" s="1" t="s">
        <v>15</v>
      </c>
      <c r="D6" s="48">
        <v>902175.52899999998</v>
      </c>
      <c r="E6" s="48">
        <v>63898.411500000002</v>
      </c>
      <c r="F6" s="48">
        <v>387626.36440000002</v>
      </c>
      <c r="G6" s="48">
        <v>2084722</v>
      </c>
      <c r="H6" s="49">
        <v>939152.93864700047</v>
      </c>
      <c r="I6" s="49">
        <v>3595.1967829999999</v>
      </c>
      <c r="J6" s="49">
        <v>0</v>
      </c>
      <c r="K6" s="49">
        <v>421389</v>
      </c>
    </row>
    <row r="7" spans="1:11" ht="15.6" x14ac:dyDescent="0.3">
      <c r="A7" s="19" t="s">
        <v>19</v>
      </c>
      <c r="B7" s="1" t="s">
        <v>14</v>
      </c>
      <c r="C7" s="1" t="s">
        <v>15</v>
      </c>
      <c r="D7" s="48"/>
      <c r="E7" s="48"/>
      <c r="F7" s="48">
        <v>200000</v>
      </c>
      <c r="G7" s="48">
        <v>206</v>
      </c>
      <c r="H7" s="49">
        <v>14947.917077999999</v>
      </c>
      <c r="I7" s="49">
        <v>39160.338378000008</v>
      </c>
      <c r="J7" s="49">
        <v>4473</v>
      </c>
      <c r="K7" s="49">
        <v>0</v>
      </c>
    </row>
    <row r="8" spans="1:11" ht="31.2" x14ac:dyDescent="0.3">
      <c r="A8" s="19" t="s">
        <v>20</v>
      </c>
      <c r="B8" s="1" t="s">
        <v>14</v>
      </c>
      <c r="C8" s="1" t="s">
        <v>15</v>
      </c>
      <c r="D8" s="48"/>
      <c r="E8" s="48">
        <v>487.49</v>
      </c>
      <c r="F8" s="48"/>
      <c r="G8" s="48"/>
      <c r="H8" s="49">
        <v>0</v>
      </c>
      <c r="I8" s="49">
        <v>0</v>
      </c>
      <c r="J8" s="49">
        <v>0</v>
      </c>
      <c r="K8" s="49">
        <v>0</v>
      </c>
    </row>
    <row r="9" spans="1:11" ht="15.6" x14ac:dyDescent="0.3">
      <c r="A9" s="1" t="s">
        <v>21</v>
      </c>
      <c r="B9" s="1" t="s">
        <v>14</v>
      </c>
      <c r="C9" s="1" t="s">
        <v>15</v>
      </c>
      <c r="D9" s="48"/>
      <c r="E9" s="48"/>
      <c r="F9" s="48"/>
      <c r="G9" s="48"/>
      <c r="H9" s="49">
        <v>0</v>
      </c>
      <c r="I9" s="49">
        <v>0</v>
      </c>
      <c r="J9" s="49">
        <v>0</v>
      </c>
      <c r="K9" s="49">
        <v>0</v>
      </c>
    </row>
    <row r="10" spans="1:11" ht="15.6" x14ac:dyDescent="0.3">
      <c r="A10" s="1" t="s">
        <v>22</v>
      </c>
      <c r="B10" s="1" t="s">
        <v>14</v>
      </c>
      <c r="C10" s="1" t="s">
        <v>15</v>
      </c>
      <c r="D10" s="48"/>
      <c r="E10" s="48"/>
      <c r="F10" s="48"/>
      <c r="G10" s="48">
        <v>110917</v>
      </c>
      <c r="H10" s="49">
        <v>0</v>
      </c>
      <c r="I10" s="49">
        <v>0</v>
      </c>
      <c r="J10" s="49">
        <v>10506</v>
      </c>
      <c r="K10" s="49">
        <v>0</v>
      </c>
    </row>
    <row r="11" spans="1:11" ht="31.2" x14ac:dyDescent="0.3">
      <c r="A11" s="1" t="s">
        <v>23</v>
      </c>
      <c r="B11" s="1" t="s">
        <v>14</v>
      </c>
      <c r="C11" s="1" t="s">
        <v>15</v>
      </c>
      <c r="D11" s="48"/>
      <c r="E11" s="48"/>
      <c r="F11" s="48"/>
      <c r="G11" s="48"/>
      <c r="H11" s="49">
        <v>0</v>
      </c>
      <c r="I11" s="49">
        <v>0</v>
      </c>
      <c r="J11" s="49">
        <v>0</v>
      </c>
      <c r="K11" s="49">
        <v>0</v>
      </c>
    </row>
    <row r="12" spans="1:11" ht="15.6" x14ac:dyDescent="0.3">
      <c r="A12" s="1" t="s">
        <v>24</v>
      </c>
      <c r="B12" s="1" t="s">
        <v>14</v>
      </c>
      <c r="C12" s="1" t="s">
        <v>15</v>
      </c>
      <c r="D12" s="48"/>
      <c r="E12" s="48"/>
      <c r="F12" s="48"/>
      <c r="G12" s="48"/>
      <c r="H12" s="49">
        <v>0</v>
      </c>
      <c r="I12" s="49">
        <v>0</v>
      </c>
      <c r="J12" s="49">
        <v>0</v>
      </c>
      <c r="K12" s="49">
        <v>0</v>
      </c>
    </row>
    <row r="13" spans="1:11" ht="15.6" x14ac:dyDescent="0.3">
      <c r="A13" s="1" t="s">
        <v>25</v>
      </c>
      <c r="B13" s="1" t="s">
        <v>14</v>
      </c>
      <c r="C13" s="1" t="s">
        <v>15</v>
      </c>
      <c r="D13" s="48"/>
      <c r="E13" s="48"/>
      <c r="F13" s="48"/>
      <c r="G13" s="48"/>
      <c r="H13" s="49">
        <v>0</v>
      </c>
      <c r="I13" s="49">
        <v>0</v>
      </c>
      <c r="J13" s="49">
        <v>0</v>
      </c>
      <c r="K13" s="49">
        <v>0</v>
      </c>
    </row>
    <row r="14" spans="1:11" ht="31.2" x14ac:dyDescent="0.3">
      <c r="A14" s="1" t="s">
        <v>26</v>
      </c>
      <c r="B14" s="1" t="s">
        <v>14</v>
      </c>
      <c r="C14" s="1" t="s">
        <v>15</v>
      </c>
      <c r="D14" s="48"/>
      <c r="E14" s="48"/>
      <c r="F14" s="48"/>
      <c r="G14" s="48"/>
      <c r="H14" s="49">
        <v>0</v>
      </c>
      <c r="I14" s="49">
        <v>0</v>
      </c>
      <c r="J14" s="49">
        <v>0</v>
      </c>
      <c r="K14" s="49">
        <v>0</v>
      </c>
    </row>
    <row r="15" spans="1:11" ht="15.6" x14ac:dyDescent="0.3">
      <c r="A15" s="19" t="s">
        <v>27</v>
      </c>
      <c r="B15" s="1" t="s">
        <v>14</v>
      </c>
      <c r="C15" s="1" t="s">
        <v>15</v>
      </c>
      <c r="D15" s="48"/>
      <c r="E15" s="48"/>
      <c r="F15" s="48"/>
      <c r="G15" s="48"/>
      <c r="H15" s="49">
        <v>0</v>
      </c>
      <c r="I15" s="49">
        <v>0</v>
      </c>
      <c r="J15" s="49">
        <v>0</v>
      </c>
      <c r="K15" s="49">
        <v>0</v>
      </c>
    </row>
    <row r="16" spans="1:11" ht="46.8" x14ac:dyDescent="0.3">
      <c r="A16" s="1" t="s">
        <v>28</v>
      </c>
      <c r="B16" s="1" t="s">
        <v>14</v>
      </c>
      <c r="C16" s="1" t="s">
        <v>15</v>
      </c>
      <c r="D16" s="48"/>
      <c r="E16" s="48"/>
      <c r="F16" s="48"/>
      <c r="G16" s="48"/>
      <c r="H16" s="49">
        <v>0</v>
      </c>
      <c r="I16" s="49">
        <v>0</v>
      </c>
      <c r="J16" s="49">
        <v>0</v>
      </c>
      <c r="K16" s="49">
        <v>0</v>
      </c>
    </row>
    <row r="17" spans="1:11" ht="31.2" x14ac:dyDescent="0.3">
      <c r="A17" s="1" t="s">
        <v>29</v>
      </c>
      <c r="B17" s="1" t="s">
        <v>14</v>
      </c>
      <c r="C17" s="1" t="s">
        <v>15</v>
      </c>
      <c r="D17" s="48"/>
      <c r="E17" s="48"/>
      <c r="F17" s="48"/>
      <c r="G17" s="48"/>
      <c r="H17" s="49">
        <v>0</v>
      </c>
      <c r="I17" s="49">
        <v>0</v>
      </c>
      <c r="J17" s="49">
        <v>0</v>
      </c>
      <c r="K17" s="49">
        <v>0</v>
      </c>
    </row>
    <row r="18" spans="1:11" ht="31.2" x14ac:dyDescent="0.3">
      <c r="A18" s="1" t="s">
        <v>30</v>
      </c>
      <c r="B18" s="1" t="s">
        <v>14</v>
      </c>
      <c r="C18" s="1" t="s">
        <v>15</v>
      </c>
      <c r="D18" s="48"/>
      <c r="E18" s="48"/>
      <c r="F18" s="48"/>
      <c r="G18" s="48"/>
      <c r="H18" s="49">
        <v>0</v>
      </c>
      <c r="I18" s="49">
        <v>0</v>
      </c>
      <c r="J18" s="49">
        <v>0</v>
      </c>
      <c r="K18" s="49">
        <v>0</v>
      </c>
    </row>
    <row r="19" spans="1:11" ht="15.6" x14ac:dyDescent="0.3">
      <c r="A19" s="1" t="s">
        <v>31</v>
      </c>
      <c r="B19" s="1" t="s">
        <v>14</v>
      </c>
      <c r="C19" s="1" t="s">
        <v>15</v>
      </c>
      <c r="D19" s="48"/>
      <c r="E19" s="48"/>
      <c r="F19" s="48"/>
      <c r="G19" s="48"/>
      <c r="H19" s="49">
        <v>0</v>
      </c>
      <c r="I19" s="49">
        <v>0</v>
      </c>
      <c r="J19" s="49">
        <v>0</v>
      </c>
      <c r="K19" s="49">
        <v>0</v>
      </c>
    </row>
    <row r="20" spans="1:11" ht="15.6" x14ac:dyDescent="0.3">
      <c r="A20" s="19" t="s">
        <v>32</v>
      </c>
      <c r="B20" s="1" t="s">
        <v>14</v>
      </c>
      <c r="C20" s="1" t="s">
        <v>15</v>
      </c>
      <c r="D20" s="54">
        <v>25286.955999999998</v>
      </c>
      <c r="E20" s="54">
        <v>8165.3995000000004</v>
      </c>
      <c r="F20" s="54"/>
      <c r="G20" s="54"/>
      <c r="H20" s="49">
        <v>0</v>
      </c>
      <c r="I20" s="49">
        <v>9528.0208229999989</v>
      </c>
      <c r="J20" s="49">
        <v>0</v>
      </c>
      <c r="K20" s="49">
        <v>0</v>
      </c>
    </row>
    <row r="21" spans="1:11" ht="31.2" x14ac:dyDescent="0.3">
      <c r="A21" s="1" t="s">
        <v>33</v>
      </c>
      <c r="B21" s="1" t="s">
        <v>14</v>
      </c>
      <c r="C21" s="1" t="s">
        <v>15</v>
      </c>
      <c r="D21" s="54"/>
      <c r="E21" s="54"/>
      <c r="F21" s="54">
        <v>9373.58</v>
      </c>
      <c r="G21" s="54"/>
      <c r="H21" s="49">
        <v>0</v>
      </c>
      <c r="I21" s="49">
        <v>0</v>
      </c>
      <c r="J21" s="49">
        <v>30000</v>
      </c>
      <c r="K21" s="49">
        <v>0</v>
      </c>
    </row>
    <row r="22" spans="1:11" ht="15.6" x14ac:dyDescent="0.3">
      <c r="A22" s="1" t="s">
        <v>34</v>
      </c>
      <c r="B22" s="1" t="s">
        <v>14</v>
      </c>
      <c r="C22" s="1" t="s">
        <v>15</v>
      </c>
      <c r="D22" s="54"/>
      <c r="E22" s="59">
        <v>998.93399999999997</v>
      </c>
      <c r="F22" s="54"/>
      <c r="G22" s="54"/>
      <c r="H22" s="49">
        <v>0</v>
      </c>
      <c r="I22" s="49">
        <v>0</v>
      </c>
      <c r="J22" s="49">
        <v>118723.02</v>
      </c>
      <c r="K22" s="49">
        <v>43</v>
      </c>
    </row>
    <row r="23" spans="1:11" ht="15.6" x14ac:dyDescent="0.3">
      <c r="A23" s="1" t="s">
        <v>35</v>
      </c>
      <c r="B23" s="1" t="s">
        <v>14</v>
      </c>
      <c r="C23" s="1" t="s">
        <v>15</v>
      </c>
      <c r="D23" s="54"/>
      <c r="E23" s="54"/>
      <c r="F23" s="54"/>
      <c r="G23" s="54"/>
      <c r="H23" s="49">
        <v>0</v>
      </c>
      <c r="I23" s="49">
        <v>0</v>
      </c>
      <c r="J23" s="49">
        <v>0</v>
      </c>
      <c r="K23" s="49">
        <v>0</v>
      </c>
    </row>
    <row r="24" spans="1:11" ht="46.8" x14ac:dyDescent="0.3">
      <c r="A24" s="1" t="s">
        <v>36</v>
      </c>
      <c r="B24" s="1" t="s">
        <v>14</v>
      </c>
      <c r="C24" s="1" t="s">
        <v>15</v>
      </c>
      <c r="D24" s="54">
        <v>6119.9859999999999</v>
      </c>
      <c r="E24" s="54"/>
      <c r="F24" s="54">
        <v>79000</v>
      </c>
      <c r="G24" s="54"/>
      <c r="H24" s="49">
        <v>0</v>
      </c>
      <c r="I24" s="49">
        <v>0</v>
      </c>
      <c r="J24" s="49">
        <v>79000</v>
      </c>
      <c r="K24" s="49">
        <v>0</v>
      </c>
    </row>
    <row r="25" spans="1:11" ht="31.2" x14ac:dyDescent="0.3">
      <c r="A25" s="1" t="s">
        <v>37</v>
      </c>
      <c r="B25" s="1" t="s">
        <v>14</v>
      </c>
      <c r="C25" s="1" t="s">
        <v>15</v>
      </c>
      <c r="D25" s="54">
        <v>78266.4905</v>
      </c>
      <c r="E25" s="54"/>
      <c r="F25" s="54">
        <v>1467836.26</v>
      </c>
      <c r="G25" s="54">
        <v>28995</v>
      </c>
      <c r="H25" s="49">
        <v>62438.569254000002</v>
      </c>
      <c r="I25" s="49">
        <v>0</v>
      </c>
      <c r="J25" s="49">
        <v>0</v>
      </c>
      <c r="K25" s="49">
        <v>918674</v>
      </c>
    </row>
    <row r="26" spans="1:11" ht="31.2" x14ac:dyDescent="0.3">
      <c r="A26" s="1" t="s">
        <v>38</v>
      </c>
      <c r="B26" s="1" t="s">
        <v>14</v>
      </c>
      <c r="C26" s="1" t="s">
        <v>15</v>
      </c>
      <c r="D26" s="54"/>
      <c r="E26" s="54"/>
      <c r="F26" s="54"/>
      <c r="G26" s="54"/>
      <c r="H26" s="49">
        <v>0</v>
      </c>
      <c r="I26" s="49">
        <v>0</v>
      </c>
      <c r="J26" s="49">
        <v>0</v>
      </c>
      <c r="K26" s="49">
        <v>0</v>
      </c>
    </row>
    <row r="27" spans="1:11" ht="31.2" x14ac:dyDescent="0.3">
      <c r="A27" s="1" t="s">
        <v>39</v>
      </c>
      <c r="B27" s="1" t="s">
        <v>14</v>
      </c>
      <c r="C27" s="1" t="s">
        <v>15</v>
      </c>
      <c r="D27" s="54">
        <v>22331.420999999998</v>
      </c>
      <c r="E27" s="54"/>
      <c r="F27" s="54"/>
      <c r="G27" s="54">
        <v>81567</v>
      </c>
      <c r="H27" s="49">
        <v>9176.8150829999995</v>
      </c>
      <c r="I27" s="49">
        <v>0</v>
      </c>
      <c r="J27" s="49">
        <v>0</v>
      </c>
      <c r="K27" s="49">
        <v>55089</v>
      </c>
    </row>
    <row r="28" spans="1:11" ht="31.2" x14ac:dyDescent="0.3">
      <c r="A28" s="1" t="s">
        <v>40</v>
      </c>
      <c r="B28" s="1" t="s">
        <v>14</v>
      </c>
      <c r="C28" s="1" t="s">
        <v>15</v>
      </c>
      <c r="D28" s="54"/>
      <c r="E28" s="54"/>
      <c r="F28" s="54"/>
      <c r="G28" s="54"/>
      <c r="H28" s="49">
        <v>0</v>
      </c>
      <c r="I28" s="49">
        <v>0</v>
      </c>
      <c r="J28" s="49">
        <v>0</v>
      </c>
      <c r="K28" s="49">
        <v>0</v>
      </c>
    </row>
    <row r="29" spans="1:11" ht="15.6" x14ac:dyDescent="0.3">
      <c r="A29" s="20" t="s">
        <v>41</v>
      </c>
      <c r="B29" s="20" t="s">
        <v>14</v>
      </c>
      <c r="C29" s="20" t="s">
        <v>15</v>
      </c>
      <c r="D29" s="50"/>
      <c r="E29" s="50"/>
      <c r="F29" s="50"/>
      <c r="G29" s="50"/>
      <c r="H29" s="49">
        <v>0</v>
      </c>
      <c r="I29" s="49">
        <v>0</v>
      </c>
      <c r="J29" s="49">
        <v>0</v>
      </c>
      <c r="K29" s="49">
        <v>0</v>
      </c>
    </row>
    <row r="30" spans="1:11" ht="15.6" x14ac:dyDescent="0.3">
      <c r="A30" s="19" t="s">
        <v>42</v>
      </c>
      <c r="B30" s="1" t="s">
        <v>14</v>
      </c>
      <c r="C30" s="1" t="s">
        <v>43</v>
      </c>
      <c r="D30" s="54">
        <v>22386.579000000002</v>
      </c>
      <c r="E30" s="54"/>
      <c r="F30" s="54">
        <v>7101.83</v>
      </c>
      <c r="G30" s="54">
        <v>304417</v>
      </c>
      <c r="H30" s="49">
        <v>4173.8458019999998</v>
      </c>
      <c r="I30" s="49">
        <v>1235.2419629999999</v>
      </c>
      <c r="J30" s="49">
        <v>0</v>
      </c>
      <c r="K30" s="49">
        <v>129995</v>
      </c>
    </row>
    <row r="31" spans="1:11" ht="31.2" x14ac:dyDescent="0.3">
      <c r="A31" s="1" t="s">
        <v>44</v>
      </c>
      <c r="B31" s="1" t="s">
        <v>14</v>
      </c>
      <c r="C31" s="1" t="s">
        <v>43</v>
      </c>
      <c r="D31" s="54">
        <v>53785.197999999997</v>
      </c>
      <c r="E31" s="54"/>
      <c r="F31" s="54">
        <v>49468.63</v>
      </c>
      <c r="G31" s="54">
        <v>16416</v>
      </c>
      <c r="H31" s="49">
        <v>0</v>
      </c>
      <c r="I31" s="49">
        <v>0</v>
      </c>
      <c r="J31" s="49">
        <v>0</v>
      </c>
      <c r="K31" s="49">
        <v>0</v>
      </c>
    </row>
    <row r="32" spans="1:11" ht="15.6" x14ac:dyDescent="0.3">
      <c r="A32" s="1" t="s">
        <v>45</v>
      </c>
      <c r="B32" s="1" t="s">
        <v>14</v>
      </c>
      <c r="C32" s="1" t="s">
        <v>43</v>
      </c>
      <c r="D32" s="54"/>
      <c r="E32" s="54"/>
      <c r="F32" s="54"/>
      <c r="G32" s="54"/>
      <c r="H32" s="49">
        <v>0</v>
      </c>
      <c r="I32" s="49">
        <v>0</v>
      </c>
      <c r="J32" s="49">
        <v>0</v>
      </c>
      <c r="K32" s="49">
        <v>90372</v>
      </c>
    </row>
    <row r="33" spans="1:11" ht="31.2" x14ac:dyDescent="0.3">
      <c r="A33" s="1" t="s">
        <v>46</v>
      </c>
      <c r="B33" s="1" t="s">
        <v>14</v>
      </c>
      <c r="C33" s="1" t="s">
        <v>43</v>
      </c>
      <c r="D33" s="54">
        <v>36751.932000000001</v>
      </c>
      <c r="E33" s="54">
        <v>3891.8434999999999</v>
      </c>
      <c r="F33" s="54">
        <v>374396.27</v>
      </c>
      <c r="G33" s="54"/>
      <c r="H33" s="49">
        <v>7951.4270939999997</v>
      </c>
      <c r="I33" s="49">
        <v>243.219099</v>
      </c>
      <c r="J33" s="49"/>
      <c r="K33" s="49"/>
    </row>
    <row r="34" spans="1:11" ht="15.6" x14ac:dyDescent="0.3">
      <c r="A34" s="52" t="s">
        <v>47</v>
      </c>
      <c r="B34" s="1" t="s">
        <v>14</v>
      </c>
      <c r="C34" s="1" t="s">
        <v>43</v>
      </c>
      <c r="D34" s="54">
        <v>7801.4205000000002</v>
      </c>
      <c r="E34" s="54">
        <v>2298.0904999999998</v>
      </c>
      <c r="F34" s="54">
        <v>1642871.37</v>
      </c>
      <c r="G34" s="54"/>
      <c r="H34" s="49">
        <v>44118.389258999996</v>
      </c>
      <c r="I34" s="49">
        <v>6219.4016639999991</v>
      </c>
      <c r="J34" s="49">
        <v>692210.02</v>
      </c>
      <c r="K34" s="49">
        <v>16052</v>
      </c>
    </row>
    <row r="35" spans="1:11" ht="31.2" x14ac:dyDescent="0.3">
      <c r="A35" s="1" t="s">
        <v>48</v>
      </c>
      <c r="B35" s="1" t="s">
        <v>14</v>
      </c>
      <c r="C35" s="1" t="s">
        <v>43</v>
      </c>
      <c r="D35" s="54"/>
      <c r="E35" s="54"/>
      <c r="F35" s="54"/>
      <c r="G35" s="54"/>
      <c r="H35" s="49">
        <v>0</v>
      </c>
      <c r="I35" s="49">
        <v>0</v>
      </c>
      <c r="J35" s="49">
        <v>0</v>
      </c>
      <c r="K35" s="49">
        <v>0</v>
      </c>
    </row>
    <row r="36" spans="1:11" ht="18" x14ac:dyDescent="0.3">
      <c r="A36" s="55" t="s">
        <v>49</v>
      </c>
      <c r="B36" s="24"/>
      <c r="C36" s="24"/>
      <c r="D36" s="25">
        <f>SUM(D3:D35)</f>
        <v>1172442.2035000001</v>
      </c>
      <c r="E36" s="25">
        <f t="shared" ref="E36:K36" si="0">SUM(E3:E35)</f>
        <v>79740.169000000009</v>
      </c>
      <c r="F36" s="25">
        <f t="shared" si="0"/>
        <v>4217674.3044000007</v>
      </c>
      <c r="G36" s="25">
        <f t="shared" si="0"/>
        <v>2698526</v>
      </c>
      <c r="H36" s="25">
        <f t="shared" si="0"/>
        <v>1081959.9022170005</v>
      </c>
      <c r="I36" s="25">
        <f t="shared" si="0"/>
        <v>59981.418710000005</v>
      </c>
      <c r="J36" s="25">
        <f t="shared" si="0"/>
        <v>934912.04</v>
      </c>
      <c r="K36" s="25">
        <f t="shared" si="0"/>
        <v>1631614</v>
      </c>
    </row>
  </sheetData>
  <mergeCells count="2">
    <mergeCell ref="D1:G1"/>
    <mergeCell ref="H1:K1"/>
  </mergeCells>
  <conditionalFormatting sqref="A1">
    <cfRule type="duplicateValues" dxfId="71" priority="7"/>
    <cfRule type="duplicateValues" dxfId="70" priority="8"/>
  </conditionalFormatting>
  <conditionalFormatting sqref="A2">
    <cfRule type="duplicateValues" dxfId="69" priority="5"/>
    <cfRule type="duplicateValues" dxfId="68" priority="6"/>
  </conditionalFormatting>
  <conditionalFormatting sqref="A3:A29">
    <cfRule type="duplicateValues" dxfId="67" priority="3"/>
    <cfRule type="duplicateValues" dxfId="66" priority="4"/>
  </conditionalFormatting>
  <conditionalFormatting sqref="A30:A36">
    <cfRule type="duplicateValues" dxfId="65" priority="1"/>
    <cfRule type="duplicateValues" dxfId="64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DB24-DFB6-4DD9-ABF8-8FD19EB80EB5}">
  <dimension ref="A1:K36"/>
  <sheetViews>
    <sheetView rightToLeft="1" topLeftCell="A26" workbookViewId="0">
      <selection activeCell="L35" sqref="L35"/>
    </sheetView>
  </sheetViews>
  <sheetFormatPr defaultRowHeight="13.8" x14ac:dyDescent="0.25"/>
  <cols>
    <col min="4" max="4" width="12.59765625" bestFit="1" customWidth="1"/>
    <col min="5" max="5" width="10.69921875" bestFit="1" customWidth="1"/>
    <col min="6" max="7" width="14" bestFit="1" customWidth="1"/>
    <col min="8" max="8" width="12.59765625" bestFit="1" customWidth="1"/>
    <col min="9" max="9" width="10.69921875" bestFit="1" customWidth="1"/>
    <col min="10" max="10" width="12.59765625" bestFit="1" customWidth="1"/>
    <col min="11" max="11" width="14" bestFit="1" customWidth="1"/>
  </cols>
  <sheetData>
    <row r="1" spans="1:11" ht="21" x14ac:dyDescent="0.25">
      <c r="A1" s="1"/>
      <c r="B1" s="1"/>
      <c r="C1" s="1"/>
      <c r="D1" s="42">
        <v>2025</v>
      </c>
      <c r="E1" s="42"/>
      <c r="F1" s="42"/>
      <c r="G1" s="42"/>
      <c r="H1" s="43">
        <v>2024</v>
      </c>
      <c r="I1" s="43"/>
      <c r="J1" s="43"/>
      <c r="K1" s="43"/>
    </row>
    <row r="2" spans="1:11" ht="63" x14ac:dyDescent="0.25">
      <c r="A2" s="9" t="s">
        <v>3</v>
      </c>
      <c r="B2" s="10" t="s">
        <v>4</v>
      </c>
      <c r="C2" s="10" t="s">
        <v>5</v>
      </c>
      <c r="D2" s="44" t="s">
        <v>6</v>
      </c>
      <c r="E2" s="44" t="s">
        <v>11</v>
      </c>
      <c r="F2" s="44" t="s">
        <v>10</v>
      </c>
      <c r="G2" s="44" t="s">
        <v>9</v>
      </c>
      <c r="H2" s="45" t="s">
        <v>6</v>
      </c>
      <c r="I2" s="45" t="s">
        <v>11</v>
      </c>
      <c r="J2" s="45" t="s">
        <v>10</v>
      </c>
      <c r="K2" s="45" t="s">
        <v>12</v>
      </c>
    </row>
    <row r="3" spans="1:11" ht="31.2" x14ac:dyDescent="0.3">
      <c r="A3" s="14" t="s">
        <v>13</v>
      </c>
      <c r="B3" s="14" t="s">
        <v>14</v>
      </c>
      <c r="C3" s="14" t="s">
        <v>15</v>
      </c>
      <c r="D3" s="46">
        <v>221661.6</v>
      </c>
      <c r="E3" s="46">
        <v>77189.926999999996</v>
      </c>
      <c r="F3" s="46">
        <v>85074.84</v>
      </c>
      <c r="G3" s="54">
        <v>1894156.49</v>
      </c>
      <c r="H3" s="49">
        <v>0</v>
      </c>
      <c r="I3" s="49">
        <v>0</v>
      </c>
      <c r="J3" s="49">
        <v>0</v>
      </c>
      <c r="K3" s="49">
        <v>0</v>
      </c>
    </row>
    <row r="4" spans="1:11" ht="31.2" x14ac:dyDescent="0.3">
      <c r="A4" s="19" t="s">
        <v>16</v>
      </c>
      <c r="B4" s="1" t="s">
        <v>14</v>
      </c>
      <c r="C4" s="1" t="s">
        <v>15</v>
      </c>
      <c r="D4" s="48"/>
      <c r="E4" s="48"/>
      <c r="F4" s="48"/>
      <c r="G4" s="54"/>
      <c r="H4" s="49">
        <v>0</v>
      </c>
      <c r="I4" s="49">
        <v>0</v>
      </c>
      <c r="J4" s="49">
        <v>0</v>
      </c>
      <c r="K4" s="49">
        <v>605320.94000000006</v>
      </c>
    </row>
    <row r="5" spans="1:11" ht="31.2" x14ac:dyDescent="0.3">
      <c r="A5" s="19" t="s">
        <v>17</v>
      </c>
      <c r="B5" s="1" t="s">
        <v>14</v>
      </c>
      <c r="C5" s="1" t="s">
        <v>15</v>
      </c>
      <c r="D5" s="48"/>
      <c r="E5" s="48"/>
      <c r="F5" s="48"/>
      <c r="G5" s="54"/>
      <c r="H5" s="49">
        <v>0</v>
      </c>
      <c r="I5" s="49">
        <v>0</v>
      </c>
      <c r="J5" s="49">
        <v>0</v>
      </c>
      <c r="K5" s="49">
        <v>0</v>
      </c>
    </row>
    <row r="6" spans="1:11" ht="31.2" x14ac:dyDescent="0.3">
      <c r="A6" s="19" t="s">
        <v>18</v>
      </c>
      <c r="B6" s="1" t="s">
        <v>14</v>
      </c>
      <c r="C6" s="1" t="s">
        <v>15</v>
      </c>
      <c r="D6" s="48"/>
      <c r="E6" s="48"/>
      <c r="F6" s="48"/>
      <c r="G6" s="54">
        <v>-1795.59</v>
      </c>
      <c r="H6" s="49">
        <v>11248.2</v>
      </c>
      <c r="I6" s="49">
        <v>0</v>
      </c>
      <c r="J6" s="49">
        <v>0</v>
      </c>
      <c r="K6" s="49">
        <v>0</v>
      </c>
    </row>
    <row r="7" spans="1:11" ht="15.6" x14ac:dyDescent="0.3">
      <c r="A7" s="19" t="s">
        <v>19</v>
      </c>
      <c r="B7" s="1" t="s">
        <v>14</v>
      </c>
      <c r="C7" s="1" t="s">
        <v>15</v>
      </c>
      <c r="D7" s="48"/>
      <c r="E7" s="48"/>
      <c r="F7" s="48"/>
      <c r="G7" s="54"/>
      <c r="H7" s="49">
        <v>0</v>
      </c>
      <c r="I7" s="49">
        <v>2330.1419999999998</v>
      </c>
      <c r="J7" s="49">
        <v>0</v>
      </c>
      <c r="K7" s="49">
        <v>0</v>
      </c>
    </row>
    <row r="8" spans="1:11" ht="31.2" x14ac:dyDescent="0.3">
      <c r="A8" s="19" t="s">
        <v>20</v>
      </c>
      <c r="B8" s="1" t="s">
        <v>14</v>
      </c>
      <c r="C8" s="1" t="s">
        <v>15</v>
      </c>
      <c r="D8" s="48">
        <v>0</v>
      </c>
      <c r="E8" s="48">
        <v>3432.777</v>
      </c>
      <c r="F8" s="48">
        <v>173481.28</v>
      </c>
      <c r="G8" s="54"/>
      <c r="H8" s="49">
        <v>0</v>
      </c>
      <c r="I8" s="49">
        <v>12933.547999999999</v>
      </c>
      <c r="J8" s="49">
        <v>115731.21000000002</v>
      </c>
      <c r="K8" s="49">
        <v>0</v>
      </c>
    </row>
    <row r="9" spans="1:11" ht="15.6" x14ac:dyDescent="0.3">
      <c r="A9" s="1" t="s">
        <v>21</v>
      </c>
      <c r="B9" s="1" t="s">
        <v>14</v>
      </c>
      <c r="C9" s="1" t="s">
        <v>15</v>
      </c>
      <c r="D9" s="48">
        <v>0</v>
      </c>
      <c r="E9" s="48">
        <v>2653.5</v>
      </c>
      <c r="F9" s="48"/>
      <c r="G9" s="54"/>
      <c r="H9" s="49">
        <v>0</v>
      </c>
      <c r="I9" s="49">
        <v>1894.9949999999999</v>
      </c>
      <c r="J9" s="49">
        <v>0</v>
      </c>
      <c r="K9" s="49">
        <v>0</v>
      </c>
    </row>
    <row r="10" spans="1:11" ht="15.6" x14ac:dyDescent="0.3">
      <c r="A10" s="1" t="s">
        <v>22</v>
      </c>
      <c r="B10" s="1" t="s">
        <v>14</v>
      </c>
      <c r="C10" s="1" t="s">
        <v>15</v>
      </c>
      <c r="D10" s="48">
        <v>0</v>
      </c>
      <c r="E10" s="48">
        <v>8599.4380000000001</v>
      </c>
      <c r="F10" s="48">
        <v>122699</v>
      </c>
      <c r="G10" s="54">
        <v>-1553507.79</v>
      </c>
      <c r="H10" s="49">
        <v>153330.23999999999</v>
      </c>
      <c r="I10" s="49">
        <v>23130.881000000001</v>
      </c>
      <c r="J10" s="49">
        <v>86574.44</v>
      </c>
      <c r="K10" s="49">
        <v>2167577.7999999998</v>
      </c>
    </row>
    <row r="11" spans="1:11" ht="31.2" x14ac:dyDescent="0.3">
      <c r="A11" s="1" t="s">
        <v>23</v>
      </c>
      <c r="B11" s="1" t="s">
        <v>14</v>
      </c>
      <c r="C11" s="1" t="s">
        <v>15</v>
      </c>
      <c r="D11" s="48"/>
      <c r="E11" s="48"/>
      <c r="F11" s="48"/>
      <c r="G11" s="54"/>
      <c r="H11" s="49">
        <v>0</v>
      </c>
      <c r="I11" s="49">
        <v>1740.588</v>
      </c>
      <c r="J11" s="49">
        <v>0</v>
      </c>
      <c r="K11" s="49">
        <v>0</v>
      </c>
    </row>
    <row r="12" spans="1:11" ht="15.6" x14ac:dyDescent="0.3">
      <c r="A12" s="1" t="s">
        <v>24</v>
      </c>
      <c r="B12" s="1" t="s">
        <v>14</v>
      </c>
      <c r="C12" s="1" t="s">
        <v>15</v>
      </c>
      <c r="D12" s="48"/>
      <c r="E12" s="48"/>
      <c r="F12" s="48"/>
      <c r="G12" s="54"/>
      <c r="H12" s="49">
        <v>0</v>
      </c>
      <c r="I12" s="49">
        <v>0</v>
      </c>
      <c r="J12" s="49">
        <v>0</v>
      </c>
      <c r="K12" s="49">
        <v>0</v>
      </c>
    </row>
    <row r="13" spans="1:11" ht="15.6" x14ac:dyDescent="0.3">
      <c r="A13" s="1" t="s">
        <v>25</v>
      </c>
      <c r="B13" s="1" t="s">
        <v>14</v>
      </c>
      <c r="C13" s="1" t="s">
        <v>15</v>
      </c>
      <c r="D13" s="48"/>
      <c r="E13" s="48"/>
      <c r="F13" s="48"/>
      <c r="G13" s="54"/>
      <c r="H13" s="49">
        <v>0</v>
      </c>
      <c r="I13" s="49">
        <v>0</v>
      </c>
      <c r="J13" s="49">
        <v>0</v>
      </c>
      <c r="K13" s="49">
        <v>0</v>
      </c>
    </row>
    <row r="14" spans="1:11" ht="31.2" x14ac:dyDescent="0.3">
      <c r="A14" s="1" t="s">
        <v>26</v>
      </c>
      <c r="B14" s="1" t="s">
        <v>14</v>
      </c>
      <c r="C14" s="1" t="s">
        <v>15</v>
      </c>
      <c r="D14" s="48">
        <v>0</v>
      </c>
      <c r="E14" s="48">
        <v>3004.078</v>
      </c>
      <c r="F14" s="48"/>
      <c r="G14" s="54"/>
      <c r="H14" s="49">
        <v>0</v>
      </c>
      <c r="I14" s="49">
        <v>649.33399999999995</v>
      </c>
      <c r="J14" s="49">
        <v>0</v>
      </c>
      <c r="K14" s="49">
        <v>0</v>
      </c>
    </row>
    <row r="15" spans="1:11" ht="15.6" x14ac:dyDescent="0.3">
      <c r="A15" s="19" t="s">
        <v>27</v>
      </c>
      <c r="B15" s="1" t="s">
        <v>14</v>
      </c>
      <c r="C15" s="1" t="s">
        <v>15</v>
      </c>
      <c r="D15" s="48">
        <v>71232.960000000006</v>
      </c>
      <c r="E15" s="48">
        <v>0</v>
      </c>
      <c r="F15" s="48"/>
      <c r="G15" s="54">
        <v>-103331.13</v>
      </c>
      <c r="H15" s="49">
        <v>0</v>
      </c>
      <c r="I15" s="49">
        <v>0</v>
      </c>
      <c r="J15" s="49">
        <v>0</v>
      </c>
      <c r="K15" s="49">
        <v>-289206.26000000007</v>
      </c>
    </row>
    <row r="16" spans="1:11" ht="46.8" x14ac:dyDescent="0.3">
      <c r="A16" s="1" t="s">
        <v>28</v>
      </c>
      <c r="B16" s="1" t="s">
        <v>14</v>
      </c>
      <c r="C16" s="1" t="s">
        <v>15</v>
      </c>
      <c r="D16" s="48">
        <v>2262</v>
      </c>
      <c r="E16" s="48">
        <v>0</v>
      </c>
      <c r="F16" s="48"/>
      <c r="G16" s="54"/>
      <c r="H16" s="49">
        <v>0</v>
      </c>
      <c r="I16" s="49">
        <v>0</v>
      </c>
      <c r="J16" s="49">
        <v>0</v>
      </c>
      <c r="K16" s="49">
        <v>0</v>
      </c>
    </row>
    <row r="17" spans="1:11" ht="31.2" x14ac:dyDescent="0.3">
      <c r="A17" s="1" t="s">
        <v>29</v>
      </c>
      <c r="B17" s="1" t="s">
        <v>14</v>
      </c>
      <c r="C17" s="1" t="s">
        <v>15</v>
      </c>
      <c r="D17" s="48">
        <v>44755.199999999997</v>
      </c>
      <c r="E17" s="48">
        <v>-3451</v>
      </c>
      <c r="F17" s="60">
        <v>24102.44</v>
      </c>
      <c r="G17" s="54">
        <v>-580576.23</v>
      </c>
      <c r="H17" s="49">
        <v>18288</v>
      </c>
      <c r="I17" s="49">
        <v>-5474.43</v>
      </c>
      <c r="J17" s="49">
        <v>17809.560000000001</v>
      </c>
      <c r="K17" s="49">
        <v>-194000.42000000004</v>
      </c>
    </row>
    <row r="18" spans="1:11" ht="31.2" x14ac:dyDescent="0.3">
      <c r="A18" s="1" t="s">
        <v>30</v>
      </c>
      <c r="B18" s="1" t="s">
        <v>14</v>
      </c>
      <c r="C18" s="1" t="s">
        <v>15</v>
      </c>
      <c r="D18" s="48"/>
      <c r="E18" s="48"/>
      <c r="F18" s="48"/>
      <c r="G18" s="54"/>
      <c r="H18" s="49">
        <v>0</v>
      </c>
      <c r="I18" s="49">
        <v>0</v>
      </c>
      <c r="J18" s="49">
        <v>0</v>
      </c>
      <c r="K18" s="49">
        <v>0</v>
      </c>
    </row>
    <row r="19" spans="1:11" ht="15.6" x14ac:dyDescent="0.3">
      <c r="A19" s="1" t="s">
        <v>31</v>
      </c>
      <c r="B19" s="1" t="s">
        <v>14</v>
      </c>
      <c r="C19" s="1" t="s">
        <v>15</v>
      </c>
      <c r="D19" s="48"/>
      <c r="E19" s="48"/>
      <c r="F19" s="48"/>
      <c r="G19" s="54"/>
      <c r="H19" s="49">
        <v>0</v>
      </c>
      <c r="I19" s="49">
        <v>0</v>
      </c>
      <c r="J19" s="49">
        <v>0</v>
      </c>
      <c r="K19" s="49">
        <v>0</v>
      </c>
    </row>
    <row r="20" spans="1:11" ht="15.6" x14ac:dyDescent="0.3">
      <c r="A20" s="19" t="s">
        <v>32</v>
      </c>
      <c r="B20" s="1" t="s">
        <v>14</v>
      </c>
      <c r="C20" s="1" t="s">
        <v>15</v>
      </c>
      <c r="D20" s="48">
        <v>0</v>
      </c>
      <c r="E20" s="48">
        <v>12090.064</v>
      </c>
      <c r="F20" s="48"/>
      <c r="G20" s="54">
        <v>-1203.1199999999999</v>
      </c>
      <c r="H20" s="49">
        <v>0</v>
      </c>
      <c r="I20" s="49">
        <v>0</v>
      </c>
      <c r="J20" s="49">
        <v>0</v>
      </c>
      <c r="K20" s="49">
        <v>0</v>
      </c>
    </row>
    <row r="21" spans="1:11" ht="31.2" x14ac:dyDescent="0.3">
      <c r="A21" s="1" t="s">
        <v>33</v>
      </c>
      <c r="B21" s="1" t="s">
        <v>14</v>
      </c>
      <c r="C21" s="1" t="s">
        <v>15</v>
      </c>
      <c r="D21" s="48">
        <v>9990</v>
      </c>
      <c r="E21" s="48">
        <v>17171.040999999997</v>
      </c>
      <c r="F21" s="48"/>
      <c r="G21" s="54"/>
      <c r="H21" s="49">
        <v>99417.600000000006</v>
      </c>
      <c r="I21" s="49">
        <v>16247.152</v>
      </c>
      <c r="J21" s="49">
        <v>11200</v>
      </c>
      <c r="K21" s="49">
        <v>85019.91</v>
      </c>
    </row>
    <row r="22" spans="1:11" ht="15.6" x14ac:dyDescent="0.3">
      <c r="A22" s="1" t="s">
        <v>34</v>
      </c>
      <c r="B22" s="1" t="s">
        <v>14</v>
      </c>
      <c r="C22" s="1" t="s">
        <v>15</v>
      </c>
      <c r="D22" s="48">
        <v>5141.88</v>
      </c>
      <c r="E22" s="48">
        <v>16283.5</v>
      </c>
      <c r="F22" s="48">
        <v>604514</v>
      </c>
      <c r="G22" s="54">
        <v>736975.22</v>
      </c>
      <c r="H22" s="49">
        <v>0</v>
      </c>
      <c r="I22" s="49">
        <v>10021.271000000001</v>
      </c>
      <c r="J22" s="49">
        <v>8400</v>
      </c>
      <c r="K22" s="49">
        <v>3214977.7500000005</v>
      </c>
    </row>
    <row r="23" spans="1:11" ht="15.6" x14ac:dyDescent="0.3">
      <c r="A23" s="1" t="s">
        <v>35</v>
      </c>
      <c r="B23" s="1" t="s">
        <v>14</v>
      </c>
      <c r="C23" s="1" t="s">
        <v>15</v>
      </c>
      <c r="D23" s="48">
        <v>0</v>
      </c>
      <c r="E23" s="48">
        <v>5611.4780000000001</v>
      </c>
      <c r="F23" s="48"/>
      <c r="G23" s="54"/>
      <c r="H23" s="49">
        <v>0</v>
      </c>
      <c r="I23" s="49">
        <v>0</v>
      </c>
      <c r="J23" s="49">
        <v>0</v>
      </c>
      <c r="K23" s="49">
        <v>0</v>
      </c>
    </row>
    <row r="24" spans="1:11" ht="46.8" x14ac:dyDescent="0.3">
      <c r="A24" s="1" t="s">
        <v>36</v>
      </c>
      <c r="B24" s="1" t="s">
        <v>14</v>
      </c>
      <c r="C24" s="1" t="s">
        <v>15</v>
      </c>
      <c r="D24" s="48">
        <v>3349.2</v>
      </c>
      <c r="E24" s="48">
        <v>-4045.5</v>
      </c>
      <c r="F24" s="48">
        <v>959126</v>
      </c>
      <c r="G24" s="48">
        <v>955923.42</v>
      </c>
      <c r="H24" s="49">
        <v>0</v>
      </c>
      <c r="I24" s="49">
        <v>0</v>
      </c>
      <c r="J24" s="49">
        <v>214495</v>
      </c>
      <c r="K24" s="49">
        <v>0</v>
      </c>
    </row>
    <row r="25" spans="1:11" ht="31.2" x14ac:dyDescent="0.3">
      <c r="A25" s="1" t="s">
        <v>37</v>
      </c>
      <c r="B25" s="1" t="s">
        <v>14</v>
      </c>
      <c r="C25" s="1" t="s">
        <v>15</v>
      </c>
      <c r="D25" s="48"/>
      <c r="E25" s="48"/>
      <c r="F25" s="48"/>
      <c r="G25" s="48"/>
      <c r="H25" s="49">
        <v>0</v>
      </c>
      <c r="I25" s="49">
        <v>0</v>
      </c>
      <c r="J25" s="49">
        <v>0</v>
      </c>
      <c r="K25" s="49">
        <v>0</v>
      </c>
    </row>
    <row r="26" spans="1:11" ht="31.2" x14ac:dyDescent="0.3">
      <c r="A26" s="1" t="s">
        <v>38</v>
      </c>
      <c r="B26" s="1" t="s">
        <v>14</v>
      </c>
      <c r="C26" s="1" t="s">
        <v>15</v>
      </c>
      <c r="D26" s="48"/>
      <c r="E26" s="48"/>
      <c r="F26" s="48"/>
      <c r="G26" s="48"/>
      <c r="H26" s="49">
        <v>0</v>
      </c>
      <c r="I26" s="49">
        <v>0</v>
      </c>
      <c r="J26" s="49">
        <v>0</v>
      </c>
      <c r="K26" s="49">
        <v>0</v>
      </c>
    </row>
    <row r="27" spans="1:11" ht="31.2" x14ac:dyDescent="0.3">
      <c r="A27" s="1" t="s">
        <v>39</v>
      </c>
      <c r="B27" s="1" t="s">
        <v>14</v>
      </c>
      <c r="C27" s="1" t="s">
        <v>15</v>
      </c>
      <c r="D27" s="48">
        <v>54528</v>
      </c>
      <c r="E27" s="48">
        <v>3121.4160000000002</v>
      </c>
      <c r="F27" s="48">
        <v>4500</v>
      </c>
      <c r="G27" s="48">
        <v>329702.56</v>
      </c>
      <c r="H27" s="49">
        <v>0</v>
      </c>
      <c r="I27" s="49">
        <v>11584.923000000001</v>
      </c>
      <c r="J27" s="49">
        <v>104000.43999999999</v>
      </c>
      <c r="K27" s="49">
        <v>0</v>
      </c>
    </row>
    <row r="28" spans="1:11" ht="31.2" x14ac:dyDescent="0.3">
      <c r="A28" s="1" t="s">
        <v>40</v>
      </c>
      <c r="B28" s="1" t="s">
        <v>14</v>
      </c>
      <c r="C28" s="1" t="s">
        <v>15</v>
      </c>
      <c r="D28" s="48">
        <v>0</v>
      </c>
      <c r="E28" s="48">
        <v>870</v>
      </c>
      <c r="F28" s="48"/>
      <c r="G28" s="48"/>
      <c r="H28" s="49">
        <v>28684.560000000001</v>
      </c>
      <c r="I28" s="49">
        <v>0</v>
      </c>
      <c r="J28" s="49">
        <v>0</v>
      </c>
      <c r="K28" s="49">
        <v>909374.59000000008</v>
      </c>
    </row>
    <row r="29" spans="1:11" ht="15.6" x14ac:dyDescent="0.3">
      <c r="A29" s="20" t="s">
        <v>41</v>
      </c>
      <c r="B29" s="20" t="s">
        <v>14</v>
      </c>
      <c r="C29" s="20" t="s">
        <v>15</v>
      </c>
      <c r="D29" s="50"/>
      <c r="E29" s="50"/>
      <c r="F29" s="50"/>
      <c r="G29" s="54"/>
      <c r="H29" s="49">
        <v>0</v>
      </c>
      <c r="I29" s="49">
        <v>0</v>
      </c>
      <c r="J29" s="49">
        <v>0</v>
      </c>
      <c r="K29" s="49">
        <v>0</v>
      </c>
    </row>
    <row r="30" spans="1:11" ht="15.6" x14ac:dyDescent="0.3">
      <c r="A30" s="19" t="s">
        <v>42</v>
      </c>
      <c r="B30" s="1" t="s">
        <v>14</v>
      </c>
      <c r="C30" s="1" t="s">
        <v>43</v>
      </c>
      <c r="D30" s="54">
        <v>367110.36000000004</v>
      </c>
      <c r="E30" s="54">
        <v>199602.283</v>
      </c>
      <c r="F30" s="54">
        <v>1244155</v>
      </c>
      <c r="G30" s="54">
        <v>1357736.04</v>
      </c>
      <c r="H30" s="49">
        <v>317943.12</v>
      </c>
      <c r="I30" s="49">
        <v>25955.236000000001</v>
      </c>
      <c r="J30" s="49">
        <v>411132.01000000007</v>
      </c>
      <c r="K30" s="49">
        <v>4024117</v>
      </c>
    </row>
    <row r="31" spans="1:11" ht="31.2" x14ac:dyDescent="0.3">
      <c r="A31" s="1" t="s">
        <v>44</v>
      </c>
      <c r="B31" s="1" t="s">
        <v>14</v>
      </c>
      <c r="C31" s="1" t="s">
        <v>43</v>
      </c>
      <c r="D31" s="54">
        <v>10360.92</v>
      </c>
      <c r="E31" s="54">
        <v>0</v>
      </c>
      <c r="F31" s="54"/>
      <c r="G31" s="54">
        <v>252648.44</v>
      </c>
      <c r="H31" s="49">
        <v>19613.04</v>
      </c>
      <c r="I31" s="49">
        <v>0</v>
      </c>
      <c r="J31" s="49">
        <v>0</v>
      </c>
      <c r="K31" s="49">
        <v>357632.39</v>
      </c>
    </row>
    <row r="32" spans="1:11" ht="15.6" x14ac:dyDescent="0.3">
      <c r="A32" s="1" t="s">
        <v>45</v>
      </c>
      <c r="B32" s="1" t="s">
        <v>14</v>
      </c>
      <c r="C32" s="1" t="s">
        <v>43</v>
      </c>
      <c r="D32" s="54">
        <v>0</v>
      </c>
      <c r="E32" s="54">
        <v>39500.925999999999</v>
      </c>
      <c r="F32" s="54"/>
      <c r="G32" s="54"/>
      <c r="H32" s="49">
        <v>0</v>
      </c>
      <c r="I32" s="49">
        <v>16857.392</v>
      </c>
      <c r="J32" s="49">
        <v>0</v>
      </c>
      <c r="K32" s="49">
        <v>0</v>
      </c>
    </row>
    <row r="33" spans="1:11" ht="31.2" x14ac:dyDescent="0.3">
      <c r="A33" s="1" t="s">
        <v>46</v>
      </c>
      <c r="B33" s="1" t="s">
        <v>14</v>
      </c>
      <c r="C33" s="1" t="s">
        <v>43</v>
      </c>
      <c r="D33" s="54">
        <v>126482.88</v>
      </c>
      <c r="E33" s="54">
        <v>11408.821</v>
      </c>
      <c r="F33" s="54">
        <v>810636.25</v>
      </c>
      <c r="G33" s="54">
        <v>2103704.83</v>
      </c>
      <c r="H33" s="49">
        <v>305369.76</v>
      </c>
      <c r="I33" s="49">
        <v>9540.4150000000009</v>
      </c>
      <c r="J33" s="49">
        <v>1568357.3000000003</v>
      </c>
      <c r="K33" s="49">
        <v>1520837.6599999997</v>
      </c>
    </row>
    <row r="34" spans="1:11" ht="15.6" x14ac:dyDescent="0.3">
      <c r="A34" s="52" t="s">
        <v>47</v>
      </c>
      <c r="B34" s="1" t="s">
        <v>14</v>
      </c>
      <c r="C34" s="1" t="s">
        <v>43</v>
      </c>
      <c r="D34" s="54">
        <v>642585.72</v>
      </c>
      <c r="E34" s="54">
        <v>183582.98300000001</v>
      </c>
      <c r="F34" s="54">
        <v>7792283</v>
      </c>
      <c r="G34" s="54">
        <v>7892736.3799999999</v>
      </c>
      <c r="H34" s="49">
        <v>452641.32</v>
      </c>
      <c r="I34" s="49">
        <v>105445.894</v>
      </c>
      <c r="J34" s="49">
        <v>3216783.1240000008</v>
      </c>
      <c r="K34" s="49">
        <v>4119016.120000001</v>
      </c>
    </row>
    <row r="35" spans="1:11" ht="31.2" x14ac:dyDescent="0.3">
      <c r="A35" s="1" t="s">
        <v>48</v>
      </c>
      <c r="B35" s="1" t="s">
        <v>14</v>
      </c>
      <c r="C35" s="1" t="s">
        <v>43</v>
      </c>
      <c r="D35" s="54">
        <v>0</v>
      </c>
      <c r="E35" s="54">
        <v>9626.5930000000008</v>
      </c>
      <c r="F35" s="54"/>
      <c r="G35" s="54"/>
      <c r="H35" s="49">
        <v>20280</v>
      </c>
      <c r="I35" s="49">
        <v>21951.023000000001</v>
      </c>
      <c r="J35" s="49">
        <v>0</v>
      </c>
      <c r="K35" s="49">
        <v>0</v>
      </c>
    </row>
    <row r="36" spans="1:11" ht="18" x14ac:dyDescent="0.3">
      <c r="A36" s="55" t="s">
        <v>49</v>
      </c>
      <c r="B36" s="24"/>
      <c r="C36" s="24"/>
      <c r="D36" s="25">
        <f>SUM(D3:D35)</f>
        <v>1559460.7200000002</v>
      </c>
      <c r="E36" s="25">
        <f t="shared" ref="E36:K36" si="0">SUM(E3:E35)</f>
        <v>586252.32499999995</v>
      </c>
      <c r="F36" s="25">
        <f t="shared" si="0"/>
        <v>11820571.810000001</v>
      </c>
      <c r="G36" s="25">
        <f t="shared" si="0"/>
        <v>13283169.52</v>
      </c>
      <c r="H36" s="25">
        <f t="shared" si="0"/>
        <v>1426815.84</v>
      </c>
      <c r="I36" s="25">
        <f t="shared" si="0"/>
        <v>254808.364</v>
      </c>
      <c r="J36" s="25">
        <f t="shared" si="0"/>
        <v>5754483.0840000007</v>
      </c>
      <c r="K36" s="25">
        <f t="shared" si="0"/>
        <v>16520667.480000002</v>
      </c>
    </row>
  </sheetData>
  <mergeCells count="2">
    <mergeCell ref="D1:G1"/>
    <mergeCell ref="H1:K1"/>
  </mergeCells>
  <conditionalFormatting sqref="A1">
    <cfRule type="duplicateValues" dxfId="63" priority="7"/>
    <cfRule type="duplicateValues" dxfId="62" priority="8"/>
  </conditionalFormatting>
  <conditionalFormatting sqref="A2">
    <cfRule type="duplicateValues" dxfId="61" priority="5"/>
    <cfRule type="duplicateValues" dxfId="60" priority="6"/>
  </conditionalFormatting>
  <conditionalFormatting sqref="A3:A29">
    <cfRule type="duplicateValues" dxfId="59" priority="3"/>
    <cfRule type="duplicateValues" dxfId="58" priority="4"/>
  </conditionalFormatting>
  <conditionalFormatting sqref="A30:A36">
    <cfRule type="duplicateValues" dxfId="57" priority="1"/>
    <cfRule type="duplicateValues" dxfId="56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2C226-CDED-437D-91C1-45B951A85B0D}">
  <dimension ref="A1:K36"/>
  <sheetViews>
    <sheetView rightToLeft="1" topLeftCell="A26" workbookViewId="0">
      <selection activeCell="N38" sqref="N38"/>
    </sheetView>
  </sheetViews>
  <sheetFormatPr defaultRowHeight="13.8" x14ac:dyDescent="0.25"/>
  <cols>
    <col min="6" max="6" width="10.69921875" bestFit="1" customWidth="1"/>
    <col min="7" max="9" width="8.8984375" bestFit="1" customWidth="1"/>
    <col min="10" max="10" width="10.69921875" bestFit="1" customWidth="1"/>
    <col min="11" max="11" width="8.8984375" bestFit="1" customWidth="1"/>
  </cols>
  <sheetData>
    <row r="1" spans="1:11" ht="21" x14ac:dyDescent="0.25">
      <c r="A1" s="1"/>
      <c r="B1" s="1"/>
      <c r="C1" s="1"/>
      <c r="D1" s="42">
        <v>2025</v>
      </c>
      <c r="E1" s="42"/>
      <c r="F1" s="42"/>
      <c r="G1" s="42"/>
      <c r="H1" s="43">
        <v>2024</v>
      </c>
      <c r="I1" s="43"/>
      <c r="J1" s="43"/>
      <c r="K1" s="43"/>
    </row>
    <row r="2" spans="1:11" ht="63" x14ac:dyDescent="0.25">
      <c r="A2" s="9" t="s">
        <v>3</v>
      </c>
      <c r="B2" s="10" t="s">
        <v>4</v>
      </c>
      <c r="C2" s="10" t="s">
        <v>5</v>
      </c>
      <c r="D2" s="44" t="s">
        <v>6</v>
      </c>
      <c r="E2" s="44" t="s">
        <v>11</v>
      </c>
      <c r="F2" s="44" t="s">
        <v>10</v>
      </c>
      <c r="G2" s="44" t="s">
        <v>9</v>
      </c>
      <c r="H2" s="45" t="s">
        <v>6</v>
      </c>
      <c r="I2" s="45" t="s">
        <v>11</v>
      </c>
      <c r="J2" s="45" t="s">
        <v>10</v>
      </c>
      <c r="K2" s="45" t="s">
        <v>12</v>
      </c>
    </row>
    <row r="3" spans="1:11" ht="31.2" x14ac:dyDescent="0.3">
      <c r="A3" s="14" t="s">
        <v>13</v>
      </c>
      <c r="B3" s="14" t="s">
        <v>14</v>
      </c>
      <c r="C3" s="14" t="s">
        <v>15</v>
      </c>
      <c r="D3" s="46"/>
      <c r="E3" s="46"/>
      <c r="F3" s="46"/>
      <c r="G3" s="46"/>
      <c r="H3" s="49"/>
      <c r="I3" s="49"/>
      <c r="J3" s="49">
        <v>0</v>
      </c>
      <c r="K3" s="49"/>
    </row>
    <row r="4" spans="1:11" ht="31.2" x14ac:dyDescent="0.3">
      <c r="A4" s="19" t="s">
        <v>16</v>
      </c>
      <c r="B4" s="1" t="s">
        <v>14</v>
      </c>
      <c r="C4" s="1" t="s">
        <v>15</v>
      </c>
      <c r="D4" s="48"/>
      <c r="E4" s="48"/>
      <c r="F4" s="48"/>
      <c r="G4" s="48"/>
      <c r="H4" s="49"/>
      <c r="I4" s="49"/>
      <c r="J4" s="49">
        <v>0</v>
      </c>
      <c r="K4" s="49"/>
    </row>
    <row r="5" spans="1:11" ht="31.2" x14ac:dyDescent="0.3">
      <c r="A5" s="19" t="s">
        <v>17</v>
      </c>
      <c r="B5" s="1" t="s">
        <v>14</v>
      </c>
      <c r="C5" s="1" t="s">
        <v>15</v>
      </c>
      <c r="D5" s="48"/>
      <c r="E5" s="48"/>
      <c r="F5" s="48"/>
      <c r="G5" s="48"/>
      <c r="H5" s="49"/>
      <c r="I5" s="49"/>
      <c r="J5" s="49">
        <v>0</v>
      </c>
      <c r="K5" s="49"/>
    </row>
    <row r="6" spans="1:11" ht="31.2" x14ac:dyDescent="0.3">
      <c r="A6" s="19" t="s">
        <v>18</v>
      </c>
      <c r="B6" s="1" t="s">
        <v>14</v>
      </c>
      <c r="C6" s="1" t="s">
        <v>15</v>
      </c>
      <c r="D6" s="48"/>
      <c r="E6" s="48"/>
      <c r="F6" s="48"/>
      <c r="G6" s="48"/>
      <c r="H6" s="49"/>
      <c r="I6" s="49"/>
      <c r="J6" s="49">
        <v>0</v>
      </c>
      <c r="K6" s="49"/>
    </row>
    <row r="7" spans="1:11" ht="15.6" x14ac:dyDescent="0.3">
      <c r="A7" s="19" t="s">
        <v>19</v>
      </c>
      <c r="B7" s="1" t="s">
        <v>14</v>
      </c>
      <c r="C7" s="1" t="s">
        <v>15</v>
      </c>
      <c r="D7" s="48"/>
      <c r="E7" s="48"/>
      <c r="F7" s="48"/>
      <c r="G7" s="48"/>
      <c r="H7" s="49"/>
      <c r="I7" s="49"/>
      <c r="J7" s="49">
        <v>0</v>
      </c>
      <c r="K7" s="49"/>
    </row>
    <row r="8" spans="1:11" ht="31.2" x14ac:dyDescent="0.3">
      <c r="A8" s="19" t="s">
        <v>20</v>
      </c>
      <c r="B8" s="1" t="s">
        <v>14</v>
      </c>
      <c r="C8" s="1" t="s">
        <v>15</v>
      </c>
      <c r="D8" s="48"/>
      <c r="E8" s="48"/>
      <c r="F8" s="48"/>
      <c r="G8" s="48"/>
      <c r="H8" s="49"/>
      <c r="I8" s="49"/>
      <c r="J8" s="49">
        <v>0</v>
      </c>
      <c r="K8" s="49"/>
    </row>
    <row r="9" spans="1:11" ht="15.6" x14ac:dyDescent="0.3">
      <c r="A9" s="1" t="s">
        <v>21</v>
      </c>
      <c r="B9" s="1" t="s">
        <v>14</v>
      </c>
      <c r="C9" s="1" t="s">
        <v>15</v>
      </c>
      <c r="D9" s="48"/>
      <c r="E9" s="48"/>
      <c r="F9" s="48"/>
      <c r="G9" s="48"/>
      <c r="H9" s="49"/>
      <c r="I9" s="49"/>
      <c r="J9" s="49">
        <v>0</v>
      </c>
      <c r="K9" s="49"/>
    </row>
    <row r="10" spans="1:11" ht="15.6" x14ac:dyDescent="0.3">
      <c r="A10" s="1" t="s">
        <v>22</v>
      </c>
      <c r="B10" s="1" t="s">
        <v>14</v>
      </c>
      <c r="C10" s="1" t="s">
        <v>15</v>
      </c>
      <c r="D10" s="48"/>
      <c r="E10" s="48"/>
      <c r="F10" s="61">
        <v>130880.8</v>
      </c>
      <c r="G10" s="48"/>
      <c r="H10" s="49"/>
      <c r="I10" s="49"/>
      <c r="J10" s="49">
        <v>0</v>
      </c>
      <c r="K10" s="49"/>
    </row>
    <row r="11" spans="1:11" ht="31.2" x14ac:dyDescent="0.3">
      <c r="A11" s="1" t="s">
        <v>23</v>
      </c>
      <c r="B11" s="1" t="s">
        <v>14</v>
      </c>
      <c r="C11" s="1" t="s">
        <v>15</v>
      </c>
      <c r="D11" s="48"/>
      <c r="E11" s="48"/>
      <c r="F11" s="48"/>
      <c r="G11" s="48"/>
      <c r="H11" s="49"/>
      <c r="I11" s="49"/>
      <c r="J11" s="49">
        <v>0</v>
      </c>
      <c r="K11" s="49"/>
    </row>
    <row r="12" spans="1:11" ht="15.6" x14ac:dyDescent="0.3">
      <c r="A12" s="1" t="s">
        <v>24</v>
      </c>
      <c r="B12" s="1" t="s">
        <v>14</v>
      </c>
      <c r="C12" s="1" t="s">
        <v>15</v>
      </c>
      <c r="D12" s="48"/>
      <c r="E12" s="48"/>
      <c r="F12" s="48"/>
      <c r="G12" s="48"/>
      <c r="H12" s="49"/>
      <c r="I12" s="49"/>
      <c r="J12" s="49">
        <v>0</v>
      </c>
      <c r="K12" s="49"/>
    </row>
    <row r="13" spans="1:11" ht="15.6" x14ac:dyDescent="0.3">
      <c r="A13" s="1" t="s">
        <v>25</v>
      </c>
      <c r="B13" s="1" t="s">
        <v>14</v>
      </c>
      <c r="C13" s="1" t="s">
        <v>15</v>
      </c>
      <c r="D13" s="48"/>
      <c r="E13" s="48"/>
      <c r="F13" s="48"/>
      <c r="G13" s="48"/>
      <c r="H13" s="49"/>
      <c r="I13" s="49"/>
      <c r="J13" s="49">
        <v>0</v>
      </c>
      <c r="K13" s="49"/>
    </row>
    <row r="14" spans="1:11" ht="31.2" x14ac:dyDescent="0.3">
      <c r="A14" s="1" t="s">
        <v>26</v>
      </c>
      <c r="B14" s="1" t="s">
        <v>14</v>
      </c>
      <c r="C14" s="1" t="s">
        <v>15</v>
      </c>
      <c r="D14" s="48"/>
      <c r="E14" s="48"/>
      <c r="F14" s="48"/>
      <c r="G14" s="48"/>
      <c r="H14" s="49"/>
      <c r="I14" s="49"/>
      <c r="J14" s="49">
        <v>0</v>
      </c>
      <c r="K14" s="49"/>
    </row>
    <row r="15" spans="1:11" ht="15.6" x14ac:dyDescent="0.3">
      <c r="A15" s="19" t="s">
        <v>27</v>
      </c>
      <c r="B15" s="1" t="s">
        <v>14</v>
      </c>
      <c r="C15" s="1" t="s">
        <v>15</v>
      </c>
      <c r="D15" s="48"/>
      <c r="E15" s="48"/>
      <c r="F15" s="48"/>
      <c r="G15" s="48"/>
      <c r="H15" s="49"/>
      <c r="I15" s="49"/>
      <c r="J15" s="49">
        <v>0</v>
      </c>
      <c r="K15" s="49"/>
    </row>
    <row r="16" spans="1:11" ht="46.8" x14ac:dyDescent="0.3">
      <c r="A16" s="1" t="s">
        <v>28</v>
      </c>
      <c r="B16" s="1" t="s">
        <v>14</v>
      </c>
      <c r="C16" s="1" t="s">
        <v>15</v>
      </c>
      <c r="D16" s="48"/>
      <c r="E16" s="48"/>
      <c r="F16" s="48"/>
      <c r="G16" s="48"/>
      <c r="H16" s="49"/>
      <c r="I16" s="49"/>
      <c r="J16" s="49">
        <v>0</v>
      </c>
      <c r="K16" s="49"/>
    </row>
    <row r="17" spans="1:11" ht="31.2" x14ac:dyDescent="0.3">
      <c r="A17" s="1" t="s">
        <v>29</v>
      </c>
      <c r="B17" s="1" t="s">
        <v>14</v>
      </c>
      <c r="C17" s="1" t="s">
        <v>15</v>
      </c>
      <c r="D17" s="48"/>
      <c r="E17" s="48"/>
      <c r="F17" s="48"/>
      <c r="G17" s="48"/>
      <c r="H17" s="49"/>
      <c r="I17" s="49"/>
      <c r="J17" s="49">
        <v>0</v>
      </c>
      <c r="K17" s="49"/>
    </row>
    <row r="18" spans="1:11" ht="31.2" x14ac:dyDescent="0.3">
      <c r="A18" s="1" t="s">
        <v>30</v>
      </c>
      <c r="B18" s="1" t="s">
        <v>14</v>
      </c>
      <c r="C18" s="1" t="s">
        <v>15</v>
      </c>
      <c r="D18" s="48"/>
      <c r="E18" s="48"/>
      <c r="F18" s="48"/>
      <c r="G18" s="48"/>
      <c r="H18" s="49"/>
      <c r="I18" s="49"/>
      <c r="J18" s="49">
        <v>0</v>
      </c>
      <c r="K18" s="49"/>
    </row>
    <row r="19" spans="1:11" ht="15.6" x14ac:dyDescent="0.3">
      <c r="A19" s="1" t="s">
        <v>31</v>
      </c>
      <c r="B19" s="1" t="s">
        <v>14</v>
      </c>
      <c r="C19" s="1" t="s">
        <v>15</v>
      </c>
      <c r="D19" s="48"/>
      <c r="E19" s="48"/>
      <c r="F19" s="48"/>
      <c r="G19" s="48"/>
      <c r="H19" s="49"/>
      <c r="I19" s="49"/>
      <c r="J19" s="49">
        <v>0</v>
      </c>
      <c r="K19" s="49"/>
    </row>
    <row r="20" spans="1:11" ht="15.6" x14ac:dyDescent="0.3">
      <c r="A20" s="19" t="s">
        <v>32</v>
      </c>
      <c r="B20" s="1" t="s">
        <v>14</v>
      </c>
      <c r="C20" s="1" t="s">
        <v>15</v>
      </c>
      <c r="D20" s="48"/>
      <c r="E20" s="48"/>
      <c r="F20" s="48"/>
      <c r="G20" s="48"/>
      <c r="H20" s="49"/>
      <c r="I20" s="49"/>
      <c r="J20" s="49">
        <v>0</v>
      </c>
      <c r="K20" s="49"/>
    </row>
    <row r="21" spans="1:11" ht="31.2" x14ac:dyDescent="0.3">
      <c r="A21" s="1" t="s">
        <v>33</v>
      </c>
      <c r="B21" s="1" t="s">
        <v>14</v>
      </c>
      <c r="C21" s="1" t="s">
        <v>15</v>
      </c>
      <c r="D21" s="48"/>
      <c r="E21" s="48"/>
      <c r="F21" s="48"/>
      <c r="G21" s="48"/>
      <c r="H21" s="49"/>
      <c r="I21" s="49"/>
      <c r="J21" s="49">
        <v>0</v>
      </c>
      <c r="K21" s="49"/>
    </row>
    <row r="22" spans="1:11" ht="15.6" x14ac:dyDescent="0.3">
      <c r="A22" s="1" t="s">
        <v>34</v>
      </c>
      <c r="B22" s="1" t="s">
        <v>14</v>
      </c>
      <c r="C22" s="1" t="s">
        <v>15</v>
      </c>
      <c r="D22" s="48"/>
      <c r="E22" s="48"/>
      <c r="F22" s="48"/>
      <c r="G22" s="48"/>
      <c r="H22" s="49"/>
      <c r="I22" s="49"/>
      <c r="J22" s="49">
        <v>0</v>
      </c>
      <c r="K22" s="49"/>
    </row>
    <row r="23" spans="1:11" ht="15.6" x14ac:dyDescent="0.3">
      <c r="A23" s="1" t="s">
        <v>35</v>
      </c>
      <c r="B23" s="1" t="s">
        <v>14</v>
      </c>
      <c r="C23" s="1" t="s">
        <v>15</v>
      </c>
      <c r="D23" s="48"/>
      <c r="E23" s="48"/>
      <c r="F23" s="48"/>
      <c r="G23" s="48"/>
      <c r="H23" s="49"/>
      <c r="I23" s="49"/>
      <c r="J23" s="49">
        <v>0</v>
      </c>
      <c r="K23" s="49"/>
    </row>
    <row r="24" spans="1:11" ht="46.8" x14ac:dyDescent="0.3">
      <c r="A24" s="1" t="s">
        <v>36</v>
      </c>
      <c r="B24" s="1" t="s">
        <v>14</v>
      </c>
      <c r="C24" s="1" t="s">
        <v>15</v>
      </c>
      <c r="D24" s="48"/>
      <c r="E24" s="48"/>
      <c r="F24" s="48"/>
      <c r="G24" s="48"/>
      <c r="H24" s="49"/>
      <c r="I24" s="49"/>
      <c r="J24" s="49">
        <v>0</v>
      </c>
      <c r="K24" s="49"/>
    </row>
    <row r="25" spans="1:11" ht="31.2" x14ac:dyDescent="0.3">
      <c r="A25" s="1" t="s">
        <v>37</v>
      </c>
      <c r="B25" s="1" t="s">
        <v>14</v>
      </c>
      <c r="C25" s="1" t="s">
        <v>15</v>
      </c>
      <c r="D25" s="48"/>
      <c r="E25" s="48"/>
      <c r="F25" s="48"/>
      <c r="G25" s="48"/>
      <c r="H25" s="49"/>
      <c r="I25" s="49"/>
      <c r="J25" s="49">
        <v>0</v>
      </c>
      <c r="K25" s="49"/>
    </row>
    <row r="26" spans="1:11" ht="31.2" x14ac:dyDescent="0.3">
      <c r="A26" s="1" t="s">
        <v>38</v>
      </c>
      <c r="B26" s="1" t="s">
        <v>14</v>
      </c>
      <c r="C26" s="1" t="s">
        <v>15</v>
      </c>
      <c r="D26" s="48"/>
      <c r="E26" s="48"/>
      <c r="F26" s="48"/>
      <c r="G26" s="48"/>
      <c r="H26" s="49"/>
      <c r="I26" s="49"/>
      <c r="J26" s="49">
        <v>0</v>
      </c>
      <c r="K26" s="49"/>
    </row>
    <row r="27" spans="1:11" ht="31.2" x14ac:dyDescent="0.3">
      <c r="A27" s="1" t="s">
        <v>39</v>
      </c>
      <c r="B27" s="1" t="s">
        <v>14</v>
      </c>
      <c r="C27" s="1" t="s">
        <v>15</v>
      </c>
      <c r="D27" s="48"/>
      <c r="E27" s="48"/>
      <c r="F27" s="48"/>
      <c r="G27" s="48"/>
      <c r="H27" s="49"/>
      <c r="I27" s="49"/>
      <c r="J27" s="49">
        <v>0</v>
      </c>
      <c r="K27" s="49"/>
    </row>
    <row r="28" spans="1:11" ht="31.2" x14ac:dyDescent="0.3">
      <c r="A28" s="1" t="s">
        <v>40</v>
      </c>
      <c r="B28" s="1" t="s">
        <v>14</v>
      </c>
      <c r="C28" s="1" t="s">
        <v>15</v>
      </c>
      <c r="D28" s="48"/>
      <c r="E28" s="48"/>
      <c r="F28" s="48"/>
      <c r="G28" s="48"/>
      <c r="H28" s="49"/>
      <c r="I28" s="49"/>
      <c r="J28" s="49">
        <v>0</v>
      </c>
      <c r="K28" s="49"/>
    </row>
    <row r="29" spans="1:11" ht="15.6" x14ac:dyDescent="0.3">
      <c r="A29" s="20" t="s">
        <v>41</v>
      </c>
      <c r="B29" s="20" t="s">
        <v>14</v>
      </c>
      <c r="C29" s="20" t="s">
        <v>15</v>
      </c>
      <c r="D29" s="50"/>
      <c r="E29" s="50"/>
      <c r="F29" s="50"/>
      <c r="G29" s="50"/>
      <c r="H29" s="49"/>
      <c r="I29" s="49"/>
      <c r="J29" s="49">
        <v>0</v>
      </c>
      <c r="K29" s="49"/>
    </row>
    <row r="30" spans="1:11" ht="15.6" x14ac:dyDescent="0.3">
      <c r="A30" s="19" t="s">
        <v>42</v>
      </c>
      <c r="B30" s="1" t="s">
        <v>14</v>
      </c>
      <c r="C30" s="1" t="s">
        <v>43</v>
      </c>
      <c r="D30" s="48"/>
      <c r="E30" s="48"/>
      <c r="F30" s="61">
        <v>12055.51</v>
      </c>
      <c r="G30" s="48"/>
      <c r="H30" s="49"/>
      <c r="I30" s="49"/>
      <c r="J30" s="49">
        <v>383100.49000000005</v>
      </c>
      <c r="K30" s="49"/>
    </row>
    <row r="31" spans="1:11" ht="31.2" x14ac:dyDescent="0.3">
      <c r="A31" s="1" t="s">
        <v>44</v>
      </c>
      <c r="B31" s="1" t="s">
        <v>14</v>
      </c>
      <c r="C31" s="1" t="s">
        <v>43</v>
      </c>
      <c r="D31" s="48"/>
      <c r="E31" s="48"/>
      <c r="F31" s="48"/>
      <c r="G31" s="48"/>
      <c r="H31" s="49"/>
      <c r="I31" s="49"/>
      <c r="J31" s="49">
        <v>0</v>
      </c>
      <c r="K31" s="49"/>
    </row>
    <row r="32" spans="1:11" ht="15.6" x14ac:dyDescent="0.3">
      <c r="A32" s="1" t="s">
        <v>45</v>
      </c>
      <c r="B32" s="1" t="s">
        <v>14</v>
      </c>
      <c r="C32" s="1" t="s">
        <v>43</v>
      </c>
      <c r="D32" s="48"/>
      <c r="E32" s="48"/>
      <c r="F32" s="48"/>
      <c r="G32" s="48"/>
      <c r="H32" s="49"/>
      <c r="I32" s="49"/>
      <c r="J32" s="49">
        <v>0</v>
      </c>
      <c r="K32" s="49"/>
    </row>
    <row r="33" spans="1:11" ht="31.2" x14ac:dyDescent="0.3">
      <c r="A33" s="1" t="s">
        <v>46</v>
      </c>
      <c r="B33" s="1" t="s">
        <v>14</v>
      </c>
      <c r="C33" s="1" t="s">
        <v>43</v>
      </c>
      <c r="D33" s="48"/>
      <c r="E33" s="48"/>
      <c r="F33" s="48"/>
      <c r="G33" s="48"/>
      <c r="H33" s="49"/>
      <c r="I33" s="49"/>
      <c r="J33" s="49"/>
      <c r="K33" s="49"/>
    </row>
    <row r="34" spans="1:11" ht="15.6" x14ac:dyDescent="0.3">
      <c r="A34" s="52" t="s">
        <v>47</v>
      </c>
      <c r="B34" s="1" t="s">
        <v>14</v>
      </c>
      <c r="C34" s="1" t="s">
        <v>43</v>
      </c>
      <c r="D34" s="48"/>
      <c r="E34" s="48"/>
      <c r="F34" s="61">
        <v>36400</v>
      </c>
      <c r="G34" s="48"/>
      <c r="H34" s="49"/>
      <c r="I34" s="49"/>
      <c r="J34" s="49">
        <v>389003.38</v>
      </c>
      <c r="K34" s="49"/>
    </row>
    <row r="35" spans="1:11" ht="31.2" x14ac:dyDescent="0.3">
      <c r="A35" s="1" t="s">
        <v>48</v>
      </c>
      <c r="B35" s="1" t="s">
        <v>14</v>
      </c>
      <c r="C35" s="1" t="s">
        <v>43</v>
      </c>
      <c r="D35" s="48"/>
      <c r="E35" s="48"/>
      <c r="F35" s="48"/>
      <c r="G35" s="48"/>
      <c r="H35" s="49"/>
      <c r="I35" s="49"/>
      <c r="J35" s="49">
        <v>0</v>
      </c>
      <c r="K35" s="49"/>
    </row>
    <row r="36" spans="1:11" ht="18" x14ac:dyDescent="0.3">
      <c r="A36" s="55" t="s">
        <v>49</v>
      </c>
      <c r="B36" s="24"/>
      <c r="C36" s="24"/>
      <c r="D36" s="24"/>
      <c r="E36" s="24"/>
      <c r="F36" s="25">
        <f>SUM(F3:F35)</f>
        <v>179336.31</v>
      </c>
      <c r="G36" s="25">
        <f t="shared" ref="G36:K36" si="0">SUM(G3:G35)</f>
        <v>0</v>
      </c>
      <c r="H36" s="25">
        <f t="shared" si="0"/>
        <v>0</v>
      </c>
      <c r="I36" s="25">
        <f t="shared" si="0"/>
        <v>0</v>
      </c>
      <c r="J36" s="25">
        <f t="shared" si="0"/>
        <v>772103.87000000011</v>
      </c>
      <c r="K36" s="25">
        <f t="shared" si="0"/>
        <v>0</v>
      </c>
    </row>
  </sheetData>
  <mergeCells count="2">
    <mergeCell ref="D1:G1"/>
    <mergeCell ref="H1:K1"/>
  </mergeCells>
  <conditionalFormatting sqref="A1">
    <cfRule type="duplicateValues" dxfId="55" priority="7"/>
    <cfRule type="duplicateValues" dxfId="54" priority="8"/>
  </conditionalFormatting>
  <conditionalFormatting sqref="A2">
    <cfRule type="duplicateValues" dxfId="53" priority="5"/>
    <cfRule type="duplicateValues" dxfId="52" priority="6"/>
  </conditionalFormatting>
  <conditionalFormatting sqref="A3:A29">
    <cfRule type="duplicateValues" dxfId="51" priority="3"/>
    <cfRule type="duplicateValues" dxfId="50" priority="4"/>
  </conditionalFormatting>
  <conditionalFormatting sqref="A30:A36">
    <cfRule type="duplicateValues" dxfId="49" priority="1"/>
    <cfRule type="duplicateValues" dxfId="48" priority="2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0EBA-C124-46F8-821E-1F28605A89CE}">
  <dimension ref="A1:K36"/>
  <sheetViews>
    <sheetView rightToLeft="1" topLeftCell="A24" workbookViewId="0">
      <selection activeCell="M30" sqref="M30"/>
    </sheetView>
  </sheetViews>
  <sheetFormatPr defaultRowHeight="13.8" x14ac:dyDescent="0.25"/>
  <cols>
    <col min="4" max="4" width="9.3984375" bestFit="1" customWidth="1"/>
    <col min="5" max="11" width="8.8984375" bestFit="1" customWidth="1"/>
  </cols>
  <sheetData>
    <row r="1" spans="1:11" ht="21" x14ac:dyDescent="0.25">
      <c r="A1" s="1"/>
      <c r="B1" s="1"/>
      <c r="C1" s="1"/>
      <c r="D1" s="42">
        <v>2025</v>
      </c>
      <c r="E1" s="42"/>
      <c r="F1" s="42"/>
      <c r="G1" s="42"/>
      <c r="H1" s="43">
        <v>2024</v>
      </c>
      <c r="I1" s="43"/>
      <c r="J1" s="43"/>
      <c r="K1" s="43"/>
    </row>
    <row r="2" spans="1:11" ht="63" x14ac:dyDescent="0.25">
      <c r="A2" s="9" t="s">
        <v>3</v>
      </c>
      <c r="B2" s="10" t="s">
        <v>4</v>
      </c>
      <c r="C2" s="10" t="s">
        <v>5</v>
      </c>
      <c r="D2" s="44" t="s">
        <v>6</v>
      </c>
      <c r="E2" s="44" t="s">
        <v>11</v>
      </c>
      <c r="F2" s="44" t="s">
        <v>10</v>
      </c>
      <c r="G2" s="44" t="s">
        <v>9</v>
      </c>
      <c r="H2" s="45" t="s">
        <v>6</v>
      </c>
      <c r="I2" s="45" t="s">
        <v>11</v>
      </c>
      <c r="J2" s="45" t="s">
        <v>10</v>
      </c>
      <c r="K2" s="45" t="s">
        <v>12</v>
      </c>
    </row>
    <row r="3" spans="1:11" ht="31.2" x14ac:dyDescent="0.3">
      <c r="A3" s="14" t="s">
        <v>13</v>
      </c>
      <c r="B3" s="14" t="s">
        <v>14</v>
      </c>
      <c r="C3" s="14" t="s">
        <v>15</v>
      </c>
      <c r="D3" s="46"/>
      <c r="E3" s="46"/>
      <c r="F3" s="46"/>
      <c r="G3" s="46"/>
      <c r="H3" s="49"/>
      <c r="I3" s="49"/>
      <c r="J3" s="49">
        <v>0</v>
      </c>
      <c r="K3" s="49"/>
    </row>
    <row r="4" spans="1:11" ht="31.2" x14ac:dyDescent="0.3">
      <c r="A4" s="19" t="s">
        <v>16</v>
      </c>
      <c r="B4" s="1" t="s">
        <v>14</v>
      </c>
      <c r="C4" s="1" t="s">
        <v>15</v>
      </c>
      <c r="D4" s="48"/>
      <c r="E4" s="48"/>
      <c r="F4" s="48"/>
      <c r="G4" s="48"/>
      <c r="H4" s="49"/>
      <c r="I4" s="49"/>
      <c r="J4" s="49">
        <v>0</v>
      </c>
      <c r="K4" s="49"/>
    </row>
    <row r="5" spans="1:11" ht="31.2" x14ac:dyDescent="0.3">
      <c r="A5" s="19" t="s">
        <v>17</v>
      </c>
      <c r="B5" s="1" t="s">
        <v>14</v>
      </c>
      <c r="C5" s="1" t="s">
        <v>15</v>
      </c>
      <c r="D5" s="48"/>
      <c r="E5" s="48"/>
      <c r="F5" s="48"/>
      <c r="G5" s="48"/>
      <c r="H5" s="49"/>
      <c r="I5" s="49"/>
      <c r="J5" s="49">
        <v>0</v>
      </c>
      <c r="K5" s="49"/>
    </row>
    <row r="6" spans="1:11" ht="31.2" x14ac:dyDescent="0.3">
      <c r="A6" s="19" t="s">
        <v>18</v>
      </c>
      <c r="B6" s="1" t="s">
        <v>14</v>
      </c>
      <c r="C6" s="1" t="s">
        <v>15</v>
      </c>
      <c r="D6" s="48"/>
      <c r="E6" s="48"/>
      <c r="F6" s="48"/>
      <c r="G6" s="48"/>
      <c r="H6" s="49"/>
      <c r="I6" s="49"/>
      <c r="J6" s="49">
        <v>0</v>
      </c>
      <c r="K6" s="49"/>
    </row>
    <row r="7" spans="1:11" ht="15.6" x14ac:dyDescent="0.3">
      <c r="A7" s="19" t="s">
        <v>19</v>
      </c>
      <c r="B7" s="1" t="s">
        <v>14</v>
      </c>
      <c r="C7" s="1" t="s">
        <v>15</v>
      </c>
      <c r="D7" s="48"/>
      <c r="E7" s="48"/>
      <c r="F7" s="48"/>
      <c r="G7" s="48"/>
      <c r="H7" s="49"/>
      <c r="I7" s="49"/>
      <c r="J7" s="49">
        <v>0</v>
      </c>
      <c r="K7" s="49"/>
    </row>
    <row r="8" spans="1:11" ht="31.2" x14ac:dyDescent="0.3">
      <c r="A8" s="19" t="s">
        <v>20</v>
      </c>
      <c r="B8" s="1" t="s">
        <v>14</v>
      </c>
      <c r="C8" s="1" t="s">
        <v>15</v>
      </c>
      <c r="D8" s="48"/>
      <c r="E8" s="48"/>
      <c r="F8" s="48"/>
      <c r="G8" s="48"/>
      <c r="H8" s="49"/>
      <c r="I8" s="49"/>
      <c r="J8" s="49">
        <v>0</v>
      </c>
      <c r="K8" s="49"/>
    </row>
    <row r="9" spans="1:11" ht="15.6" x14ac:dyDescent="0.3">
      <c r="A9" s="1" t="s">
        <v>21</v>
      </c>
      <c r="B9" s="1" t="s">
        <v>14</v>
      </c>
      <c r="C9" s="1" t="s">
        <v>15</v>
      </c>
      <c r="D9" s="48"/>
      <c r="E9" s="48"/>
      <c r="F9" s="48"/>
      <c r="G9" s="48"/>
      <c r="H9" s="49"/>
      <c r="I9" s="49"/>
      <c r="J9" s="49">
        <v>0</v>
      </c>
      <c r="K9" s="49"/>
    </row>
    <row r="10" spans="1:11" ht="15.6" x14ac:dyDescent="0.3">
      <c r="A10" s="1" t="s">
        <v>22</v>
      </c>
      <c r="B10" s="1" t="s">
        <v>14</v>
      </c>
      <c r="C10" s="1" t="s">
        <v>15</v>
      </c>
      <c r="D10" s="48"/>
      <c r="E10" s="48"/>
      <c r="F10" s="48">
        <v>1600</v>
      </c>
      <c r="G10" s="48"/>
      <c r="H10" s="49"/>
      <c r="I10" s="49"/>
      <c r="J10" s="49">
        <v>1400</v>
      </c>
      <c r="K10" s="49"/>
    </row>
    <row r="11" spans="1:11" ht="31.2" x14ac:dyDescent="0.3">
      <c r="A11" s="1" t="s">
        <v>23</v>
      </c>
      <c r="B11" s="1" t="s">
        <v>14</v>
      </c>
      <c r="C11" s="1" t="s">
        <v>15</v>
      </c>
      <c r="D11" s="48"/>
      <c r="E11" s="48"/>
      <c r="F11" s="48"/>
      <c r="G11" s="48"/>
      <c r="H11" s="49"/>
      <c r="I11" s="49"/>
      <c r="J11" s="49">
        <v>0</v>
      </c>
      <c r="K11" s="49"/>
    </row>
    <row r="12" spans="1:11" ht="15.6" x14ac:dyDescent="0.3">
      <c r="A12" s="1" t="s">
        <v>24</v>
      </c>
      <c r="B12" s="1" t="s">
        <v>14</v>
      </c>
      <c r="C12" s="1" t="s">
        <v>15</v>
      </c>
      <c r="D12" s="48"/>
      <c r="E12" s="48"/>
      <c r="F12" s="48"/>
      <c r="G12" s="48"/>
      <c r="H12" s="49"/>
      <c r="I12" s="49"/>
      <c r="J12" s="49">
        <v>0</v>
      </c>
      <c r="K12" s="49"/>
    </row>
    <row r="13" spans="1:11" ht="15.6" x14ac:dyDescent="0.3">
      <c r="A13" s="1" t="s">
        <v>25</v>
      </c>
      <c r="B13" s="1" t="s">
        <v>14</v>
      </c>
      <c r="C13" s="1" t="s">
        <v>15</v>
      </c>
      <c r="D13" s="48"/>
      <c r="E13" s="48"/>
      <c r="F13" s="48"/>
      <c r="G13" s="48"/>
      <c r="H13" s="49"/>
      <c r="I13" s="49"/>
      <c r="J13" s="49">
        <v>0</v>
      </c>
      <c r="K13" s="49"/>
    </row>
    <row r="14" spans="1:11" ht="31.2" x14ac:dyDescent="0.3">
      <c r="A14" s="1" t="s">
        <v>26</v>
      </c>
      <c r="B14" s="1" t="s">
        <v>14</v>
      </c>
      <c r="C14" s="1" t="s">
        <v>15</v>
      </c>
      <c r="D14" s="48"/>
      <c r="E14" s="48"/>
      <c r="F14" s="48"/>
      <c r="G14" s="48"/>
      <c r="H14" s="49"/>
      <c r="I14" s="49"/>
      <c r="J14" s="49">
        <v>0</v>
      </c>
      <c r="K14" s="49"/>
    </row>
    <row r="15" spans="1:11" ht="15.6" x14ac:dyDescent="0.3">
      <c r="A15" s="19" t="s">
        <v>27</v>
      </c>
      <c r="B15" s="1" t="s">
        <v>14</v>
      </c>
      <c r="C15" s="1" t="s">
        <v>15</v>
      </c>
      <c r="D15" s="48"/>
      <c r="E15" s="48"/>
      <c r="F15" s="48"/>
      <c r="G15" s="48"/>
      <c r="H15" s="49"/>
      <c r="I15" s="49"/>
      <c r="J15" s="49">
        <v>0</v>
      </c>
      <c r="K15" s="49"/>
    </row>
    <row r="16" spans="1:11" ht="46.8" x14ac:dyDescent="0.3">
      <c r="A16" s="1" t="s">
        <v>28</v>
      </c>
      <c r="B16" s="1" t="s">
        <v>14</v>
      </c>
      <c r="C16" s="1" t="s">
        <v>15</v>
      </c>
      <c r="D16" s="48"/>
      <c r="E16" s="48"/>
      <c r="F16" s="48"/>
      <c r="G16" s="48"/>
      <c r="H16" s="49"/>
      <c r="I16" s="49"/>
      <c r="J16" s="49">
        <v>0</v>
      </c>
      <c r="K16" s="49"/>
    </row>
    <row r="17" spans="1:11" ht="31.2" x14ac:dyDescent="0.3">
      <c r="A17" s="1" t="s">
        <v>29</v>
      </c>
      <c r="B17" s="1" t="s">
        <v>14</v>
      </c>
      <c r="C17" s="1" t="s">
        <v>15</v>
      </c>
      <c r="D17" s="48"/>
      <c r="E17" s="48"/>
      <c r="F17" s="48"/>
      <c r="G17" s="48"/>
      <c r="H17" s="49"/>
      <c r="I17" s="49"/>
      <c r="J17" s="49">
        <v>0</v>
      </c>
      <c r="K17" s="49"/>
    </row>
    <row r="18" spans="1:11" ht="31.2" x14ac:dyDescent="0.3">
      <c r="A18" s="1" t="s">
        <v>30</v>
      </c>
      <c r="B18" s="1" t="s">
        <v>14</v>
      </c>
      <c r="C18" s="1" t="s">
        <v>15</v>
      </c>
      <c r="D18" s="48"/>
      <c r="E18" s="48"/>
      <c r="F18" s="48"/>
      <c r="G18" s="48"/>
      <c r="H18" s="49"/>
      <c r="I18" s="49"/>
      <c r="J18" s="49">
        <v>0</v>
      </c>
      <c r="K18" s="49"/>
    </row>
    <row r="19" spans="1:11" ht="15.6" x14ac:dyDescent="0.3">
      <c r="A19" s="1" t="s">
        <v>31</v>
      </c>
      <c r="B19" s="1" t="s">
        <v>14</v>
      </c>
      <c r="C19" s="1" t="s">
        <v>15</v>
      </c>
      <c r="D19" s="48"/>
      <c r="E19" s="48"/>
      <c r="F19" s="48"/>
      <c r="G19" s="48"/>
      <c r="H19" s="49"/>
      <c r="I19" s="49"/>
      <c r="J19" s="49">
        <v>0</v>
      </c>
      <c r="K19" s="49"/>
    </row>
    <row r="20" spans="1:11" ht="15.6" x14ac:dyDescent="0.3">
      <c r="A20" s="19" t="s">
        <v>32</v>
      </c>
      <c r="B20" s="1" t="s">
        <v>14</v>
      </c>
      <c r="C20" s="1" t="s">
        <v>15</v>
      </c>
      <c r="D20" s="48"/>
      <c r="E20" s="48"/>
      <c r="F20" s="48"/>
      <c r="G20" s="48"/>
      <c r="H20" s="49"/>
      <c r="I20" s="49"/>
      <c r="J20" s="49">
        <v>0</v>
      </c>
      <c r="K20" s="49"/>
    </row>
    <row r="21" spans="1:11" ht="31.2" x14ac:dyDescent="0.3">
      <c r="A21" s="1" t="s">
        <v>33</v>
      </c>
      <c r="B21" s="1" t="s">
        <v>14</v>
      </c>
      <c r="C21" s="1" t="s">
        <v>15</v>
      </c>
      <c r="D21" s="48"/>
      <c r="E21" s="48"/>
      <c r="F21" s="48"/>
      <c r="G21" s="48"/>
      <c r="H21" s="49"/>
      <c r="I21" s="49"/>
      <c r="J21" s="49">
        <v>0</v>
      </c>
      <c r="K21" s="49"/>
    </row>
    <row r="22" spans="1:11" ht="15.6" x14ac:dyDescent="0.3">
      <c r="A22" s="1" t="s">
        <v>34</v>
      </c>
      <c r="B22" s="1" t="s">
        <v>14</v>
      </c>
      <c r="C22" s="1" t="s">
        <v>15</v>
      </c>
      <c r="D22" s="48"/>
      <c r="E22" s="48"/>
      <c r="F22" s="48"/>
      <c r="G22" s="48"/>
      <c r="H22" s="49"/>
      <c r="I22" s="49"/>
      <c r="J22" s="49">
        <v>0</v>
      </c>
      <c r="K22" s="49"/>
    </row>
    <row r="23" spans="1:11" ht="15.6" x14ac:dyDescent="0.3">
      <c r="A23" s="1" t="s">
        <v>35</v>
      </c>
      <c r="B23" s="1" t="s">
        <v>14</v>
      </c>
      <c r="C23" s="1" t="s">
        <v>15</v>
      </c>
      <c r="D23" s="48"/>
      <c r="E23" s="48"/>
      <c r="F23" s="48"/>
      <c r="G23" s="48"/>
      <c r="H23" s="49"/>
      <c r="I23" s="49"/>
      <c r="J23" s="49">
        <v>0</v>
      </c>
      <c r="K23" s="49"/>
    </row>
    <row r="24" spans="1:11" ht="46.8" x14ac:dyDescent="0.3">
      <c r="A24" s="1" t="s">
        <v>36</v>
      </c>
      <c r="B24" s="1" t="s">
        <v>14</v>
      </c>
      <c r="C24" s="1" t="s">
        <v>15</v>
      </c>
      <c r="D24" s="48"/>
      <c r="E24" s="48"/>
      <c r="F24" s="48"/>
      <c r="G24" s="48"/>
      <c r="H24" s="49"/>
      <c r="I24" s="49"/>
      <c r="J24" s="49">
        <v>0</v>
      </c>
      <c r="K24" s="49"/>
    </row>
    <row r="25" spans="1:11" ht="31.2" x14ac:dyDescent="0.3">
      <c r="A25" s="1" t="s">
        <v>37</v>
      </c>
      <c r="B25" s="1" t="s">
        <v>14</v>
      </c>
      <c r="C25" s="1" t="s">
        <v>15</v>
      </c>
      <c r="D25" s="48"/>
      <c r="E25" s="48"/>
      <c r="F25" s="48"/>
      <c r="G25" s="48"/>
      <c r="H25" s="49"/>
      <c r="I25" s="49"/>
      <c r="J25" s="49">
        <v>0</v>
      </c>
      <c r="K25" s="49"/>
    </row>
    <row r="26" spans="1:11" ht="31.2" x14ac:dyDescent="0.3">
      <c r="A26" s="1" t="s">
        <v>38</v>
      </c>
      <c r="B26" s="1" t="s">
        <v>14</v>
      </c>
      <c r="C26" s="1" t="s">
        <v>15</v>
      </c>
      <c r="D26" s="48"/>
      <c r="E26" s="48"/>
      <c r="F26" s="48"/>
      <c r="G26" s="48"/>
      <c r="H26" s="49"/>
      <c r="I26" s="49"/>
      <c r="J26" s="49">
        <v>0</v>
      </c>
      <c r="K26" s="49"/>
    </row>
    <row r="27" spans="1:11" ht="31.2" x14ac:dyDescent="0.3">
      <c r="A27" s="1" t="s">
        <v>39</v>
      </c>
      <c r="B27" s="1" t="s">
        <v>14</v>
      </c>
      <c r="C27" s="1" t="s">
        <v>15</v>
      </c>
      <c r="D27" s="48"/>
      <c r="E27" s="48"/>
      <c r="F27" s="48"/>
      <c r="G27" s="48"/>
      <c r="H27" s="49"/>
      <c r="I27" s="49"/>
      <c r="J27" s="49">
        <v>0</v>
      </c>
      <c r="K27" s="49"/>
    </row>
    <row r="28" spans="1:11" ht="31.2" x14ac:dyDescent="0.3">
      <c r="A28" s="1" t="s">
        <v>40</v>
      </c>
      <c r="B28" s="1" t="s">
        <v>14</v>
      </c>
      <c r="C28" s="1" t="s">
        <v>15</v>
      </c>
      <c r="D28" s="48"/>
      <c r="E28" s="48"/>
      <c r="F28" s="48"/>
      <c r="G28" s="48"/>
      <c r="H28" s="49"/>
      <c r="I28" s="49"/>
      <c r="J28" s="49"/>
      <c r="K28" s="49"/>
    </row>
    <row r="29" spans="1:11" ht="15.6" x14ac:dyDescent="0.3">
      <c r="A29" s="20" t="s">
        <v>41</v>
      </c>
      <c r="B29" s="20" t="s">
        <v>14</v>
      </c>
      <c r="C29" s="20" t="s">
        <v>15</v>
      </c>
      <c r="D29" s="50"/>
      <c r="E29" s="50"/>
      <c r="F29" s="50"/>
      <c r="G29" s="50"/>
      <c r="H29" s="49"/>
      <c r="I29" s="49"/>
      <c r="J29" s="49">
        <v>0</v>
      </c>
      <c r="K29" s="49"/>
    </row>
    <row r="30" spans="1:11" ht="15.6" x14ac:dyDescent="0.3">
      <c r="A30" s="19" t="s">
        <v>42</v>
      </c>
      <c r="B30" s="1" t="s">
        <v>14</v>
      </c>
      <c r="C30" s="1" t="s">
        <v>43</v>
      </c>
      <c r="D30" s="48">
        <v>12000</v>
      </c>
      <c r="E30" s="48"/>
      <c r="F30" s="48"/>
      <c r="G30" s="48"/>
      <c r="H30" s="49"/>
      <c r="I30" s="49"/>
      <c r="J30" s="49"/>
      <c r="K30" s="49"/>
    </row>
    <row r="31" spans="1:11" ht="31.2" x14ac:dyDescent="0.3">
      <c r="A31" s="1" t="s">
        <v>44</v>
      </c>
      <c r="B31" s="1" t="s">
        <v>14</v>
      </c>
      <c r="C31" s="1" t="s">
        <v>43</v>
      </c>
      <c r="D31" s="48"/>
      <c r="E31" s="48"/>
      <c r="F31" s="48"/>
      <c r="G31" s="48"/>
      <c r="H31" s="49"/>
      <c r="I31" s="49"/>
      <c r="J31" s="49"/>
      <c r="K31" s="49"/>
    </row>
    <row r="32" spans="1:11" ht="15.6" x14ac:dyDescent="0.3">
      <c r="A32" s="1" t="s">
        <v>45</v>
      </c>
      <c r="B32" s="1" t="s">
        <v>14</v>
      </c>
      <c r="C32" s="1" t="s">
        <v>43</v>
      </c>
      <c r="D32" s="48"/>
      <c r="E32" s="48"/>
      <c r="F32" s="48"/>
      <c r="G32" s="48"/>
      <c r="H32" s="49"/>
      <c r="I32" s="49"/>
      <c r="J32" s="49"/>
      <c r="K32" s="49"/>
    </row>
    <row r="33" spans="1:11" ht="31.2" x14ac:dyDescent="0.3">
      <c r="A33" s="1" t="s">
        <v>46</v>
      </c>
      <c r="B33" s="1" t="s">
        <v>14</v>
      </c>
      <c r="C33" s="1" t="s">
        <v>43</v>
      </c>
      <c r="D33" s="48"/>
      <c r="E33" s="48"/>
      <c r="F33" s="48"/>
      <c r="G33" s="48"/>
      <c r="H33" s="49"/>
      <c r="I33" s="49"/>
      <c r="J33" s="49"/>
      <c r="K33" s="49"/>
    </row>
    <row r="34" spans="1:11" ht="15.6" x14ac:dyDescent="0.3">
      <c r="A34" s="52" t="s">
        <v>47</v>
      </c>
      <c r="B34" s="1" t="s">
        <v>14</v>
      </c>
      <c r="C34" s="1" t="s">
        <v>43</v>
      </c>
      <c r="D34" s="48"/>
      <c r="E34" s="48"/>
      <c r="F34" s="48"/>
      <c r="G34" s="48"/>
      <c r="H34" s="49"/>
      <c r="I34" s="49"/>
      <c r="J34" s="49"/>
      <c r="K34" s="49"/>
    </row>
    <row r="35" spans="1:11" ht="31.2" x14ac:dyDescent="0.3">
      <c r="A35" s="1" t="s">
        <v>48</v>
      </c>
      <c r="B35" s="1" t="s">
        <v>14</v>
      </c>
      <c r="C35" s="1" t="s">
        <v>43</v>
      </c>
      <c r="D35" s="48"/>
      <c r="E35" s="48"/>
      <c r="F35" s="48"/>
      <c r="G35" s="48"/>
      <c r="H35" s="49"/>
      <c r="I35" s="49"/>
      <c r="J35" s="49"/>
      <c r="K35" s="49"/>
    </row>
    <row r="36" spans="1:11" ht="18" x14ac:dyDescent="0.3">
      <c r="A36" s="55" t="s">
        <v>49</v>
      </c>
      <c r="B36" s="24"/>
      <c r="C36" s="24"/>
      <c r="D36" s="25">
        <f>SUM(D3:D35)</f>
        <v>12000</v>
      </c>
      <c r="E36" s="25">
        <f t="shared" ref="E36:K36" si="0">SUM(E3:E35)</f>
        <v>0</v>
      </c>
      <c r="F36" s="25">
        <f t="shared" si="0"/>
        <v>1600</v>
      </c>
      <c r="G36" s="25">
        <f t="shared" si="0"/>
        <v>0</v>
      </c>
      <c r="H36" s="25">
        <f t="shared" si="0"/>
        <v>0</v>
      </c>
      <c r="I36" s="25">
        <f t="shared" si="0"/>
        <v>0</v>
      </c>
      <c r="J36" s="25">
        <f t="shared" si="0"/>
        <v>1400</v>
      </c>
      <c r="K36" s="25">
        <f t="shared" si="0"/>
        <v>0</v>
      </c>
    </row>
  </sheetData>
  <mergeCells count="2">
    <mergeCell ref="D1:G1"/>
    <mergeCell ref="H1:K1"/>
  </mergeCells>
  <conditionalFormatting sqref="A1">
    <cfRule type="duplicateValues" dxfId="47" priority="7"/>
    <cfRule type="duplicateValues" dxfId="46" priority="8"/>
  </conditionalFormatting>
  <conditionalFormatting sqref="A2">
    <cfRule type="duplicateValues" dxfId="45" priority="5"/>
    <cfRule type="duplicateValues" dxfId="44" priority="6"/>
  </conditionalFormatting>
  <conditionalFormatting sqref="A3:A29">
    <cfRule type="duplicateValues" dxfId="43" priority="3"/>
    <cfRule type="duplicateValues" dxfId="42" priority="4"/>
  </conditionalFormatting>
  <conditionalFormatting sqref="A30:A36">
    <cfRule type="duplicateValues" dxfId="41" priority="1"/>
    <cfRule type="duplicateValues" dxfId="40" priority="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C0C4E-6131-497D-BE81-61E478C5E53B}">
  <dimension ref="A1:K36"/>
  <sheetViews>
    <sheetView rightToLeft="1" topLeftCell="A24" workbookViewId="0">
      <selection activeCell="O33" sqref="O33"/>
    </sheetView>
  </sheetViews>
  <sheetFormatPr defaultRowHeight="13.8" x14ac:dyDescent="0.25"/>
  <cols>
    <col min="5" max="5" width="9.3984375" bestFit="1" customWidth="1"/>
    <col min="6" max="11" width="8.8984375" bestFit="1" customWidth="1"/>
  </cols>
  <sheetData>
    <row r="1" spans="1:11" ht="21" x14ac:dyDescent="0.25">
      <c r="A1" s="1"/>
      <c r="B1" s="1"/>
      <c r="C1" s="1"/>
      <c r="D1" s="42">
        <v>2025</v>
      </c>
      <c r="E1" s="42"/>
      <c r="F1" s="42"/>
      <c r="G1" s="42"/>
      <c r="H1" s="43">
        <v>2024</v>
      </c>
      <c r="I1" s="43"/>
      <c r="J1" s="43"/>
      <c r="K1" s="43"/>
    </row>
    <row r="2" spans="1:11" ht="63" x14ac:dyDescent="0.25">
      <c r="A2" s="9" t="s">
        <v>3</v>
      </c>
      <c r="B2" s="10" t="s">
        <v>4</v>
      </c>
      <c r="C2" s="10" t="s">
        <v>5</v>
      </c>
      <c r="D2" s="44" t="s">
        <v>6</v>
      </c>
      <c r="E2" s="44" t="s">
        <v>11</v>
      </c>
      <c r="F2" s="44" t="s">
        <v>10</v>
      </c>
      <c r="G2" s="44" t="s">
        <v>9</v>
      </c>
      <c r="H2" s="45" t="s">
        <v>6</v>
      </c>
      <c r="I2" s="45" t="s">
        <v>11</v>
      </c>
      <c r="J2" s="45" t="s">
        <v>10</v>
      </c>
      <c r="K2" s="45" t="s">
        <v>12</v>
      </c>
    </row>
    <row r="3" spans="1:11" ht="31.2" x14ac:dyDescent="0.3">
      <c r="A3" s="14" t="s">
        <v>13</v>
      </c>
      <c r="B3" s="14" t="s">
        <v>14</v>
      </c>
      <c r="C3" s="14" t="s">
        <v>15</v>
      </c>
      <c r="D3" s="46"/>
      <c r="E3" s="46">
        <v>1008</v>
      </c>
      <c r="F3" s="46"/>
      <c r="G3" s="46"/>
      <c r="H3" s="49"/>
      <c r="I3" s="49">
        <v>288</v>
      </c>
      <c r="J3" s="49"/>
      <c r="K3" s="49"/>
    </row>
    <row r="4" spans="1:11" ht="31.2" x14ac:dyDescent="0.3">
      <c r="A4" s="19" t="s">
        <v>16</v>
      </c>
      <c r="B4" s="1" t="s">
        <v>14</v>
      </c>
      <c r="C4" s="1" t="s">
        <v>15</v>
      </c>
      <c r="D4" s="48"/>
      <c r="E4" s="48"/>
      <c r="F4" s="48"/>
      <c r="G4" s="48"/>
      <c r="H4" s="49"/>
      <c r="I4" s="49"/>
      <c r="J4" s="49"/>
      <c r="K4" s="49"/>
    </row>
    <row r="5" spans="1:11" ht="31.2" x14ac:dyDescent="0.3">
      <c r="A5" s="19" t="s">
        <v>17</v>
      </c>
      <c r="B5" s="1" t="s">
        <v>14</v>
      </c>
      <c r="C5" s="1" t="s">
        <v>15</v>
      </c>
      <c r="D5" s="48"/>
      <c r="E5" s="48"/>
      <c r="F5" s="48"/>
      <c r="G5" s="48"/>
      <c r="H5" s="49"/>
      <c r="I5" s="49"/>
      <c r="J5" s="49"/>
      <c r="K5" s="49"/>
    </row>
    <row r="6" spans="1:11" ht="31.2" x14ac:dyDescent="0.3">
      <c r="A6" s="19" t="s">
        <v>18</v>
      </c>
      <c r="B6" s="1" t="s">
        <v>14</v>
      </c>
      <c r="C6" s="1" t="s">
        <v>15</v>
      </c>
      <c r="D6" s="48"/>
      <c r="E6" s="48"/>
      <c r="F6" s="48"/>
      <c r="G6" s="48"/>
      <c r="H6" s="49"/>
      <c r="I6" s="49"/>
      <c r="J6" s="49"/>
      <c r="K6" s="49"/>
    </row>
    <row r="7" spans="1:11" ht="15.6" x14ac:dyDescent="0.3">
      <c r="A7" s="19" t="s">
        <v>19</v>
      </c>
      <c r="B7" s="1" t="s">
        <v>14</v>
      </c>
      <c r="C7" s="1" t="s">
        <v>15</v>
      </c>
      <c r="D7" s="48"/>
      <c r="E7" s="48"/>
      <c r="F7" s="48"/>
      <c r="G7" s="48"/>
      <c r="H7" s="49"/>
      <c r="I7" s="49"/>
      <c r="J7" s="49"/>
      <c r="K7" s="49"/>
    </row>
    <row r="8" spans="1:11" ht="31.2" x14ac:dyDescent="0.3">
      <c r="A8" s="19" t="s">
        <v>20</v>
      </c>
      <c r="B8" s="1" t="s">
        <v>14</v>
      </c>
      <c r="C8" s="1" t="s">
        <v>15</v>
      </c>
      <c r="D8" s="48"/>
      <c r="E8" s="48"/>
      <c r="F8" s="48"/>
      <c r="G8" s="48"/>
      <c r="H8" s="49"/>
      <c r="I8" s="49"/>
      <c r="J8" s="49"/>
      <c r="K8" s="49"/>
    </row>
    <row r="9" spans="1:11" ht="15.6" x14ac:dyDescent="0.3">
      <c r="A9" s="1" t="s">
        <v>21</v>
      </c>
      <c r="B9" s="1" t="s">
        <v>14</v>
      </c>
      <c r="C9" s="1" t="s">
        <v>15</v>
      </c>
      <c r="D9" s="48"/>
      <c r="E9" s="48"/>
      <c r="F9" s="48"/>
      <c r="G9" s="48"/>
      <c r="H9" s="49"/>
      <c r="I9" s="49"/>
      <c r="J9" s="49"/>
      <c r="K9" s="49"/>
    </row>
    <row r="10" spans="1:11" ht="15.6" x14ac:dyDescent="0.3">
      <c r="A10" s="1" t="s">
        <v>22</v>
      </c>
      <c r="B10" s="1" t="s">
        <v>14</v>
      </c>
      <c r="C10" s="1" t="s">
        <v>15</v>
      </c>
      <c r="D10" s="48"/>
      <c r="E10" s="48">
        <v>1260</v>
      </c>
      <c r="F10" s="48"/>
      <c r="G10" s="48"/>
      <c r="H10" s="49"/>
      <c r="I10" s="49"/>
      <c r="J10" s="49"/>
      <c r="K10" s="49"/>
    </row>
    <row r="11" spans="1:11" ht="31.2" x14ac:dyDescent="0.3">
      <c r="A11" s="1" t="s">
        <v>23</v>
      </c>
      <c r="B11" s="1" t="s">
        <v>14</v>
      </c>
      <c r="C11" s="1" t="s">
        <v>15</v>
      </c>
      <c r="D11" s="48"/>
      <c r="E11" s="48"/>
      <c r="F11" s="48"/>
      <c r="G11" s="48"/>
      <c r="H11" s="49"/>
      <c r="I11" s="49"/>
      <c r="J11" s="49"/>
      <c r="K11" s="49"/>
    </row>
    <row r="12" spans="1:11" ht="15.6" x14ac:dyDescent="0.3">
      <c r="A12" s="1" t="s">
        <v>24</v>
      </c>
      <c r="B12" s="1" t="s">
        <v>14</v>
      </c>
      <c r="C12" s="1" t="s">
        <v>15</v>
      </c>
      <c r="D12" s="48"/>
      <c r="E12" s="48"/>
      <c r="F12" s="48"/>
      <c r="G12" s="48"/>
      <c r="H12" s="49"/>
      <c r="I12" s="49"/>
      <c r="J12" s="49"/>
      <c r="K12" s="49"/>
    </row>
    <row r="13" spans="1:11" ht="15.6" x14ac:dyDescent="0.3">
      <c r="A13" s="1" t="s">
        <v>25</v>
      </c>
      <c r="B13" s="1" t="s">
        <v>14</v>
      </c>
      <c r="C13" s="1" t="s">
        <v>15</v>
      </c>
      <c r="D13" s="48"/>
      <c r="E13" s="48"/>
      <c r="F13" s="48"/>
      <c r="G13" s="48"/>
      <c r="H13" s="49"/>
      <c r="I13" s="49"/>
      <c r="J13" s="49"/>
      <c r="K13" s="49"/>
    </row>
    <row r="14" spans="1:11" ht="31.2" x14ac:dyDescent="0.3">
      <c r="A14" s="1" t="s">
        <v>26</v>
      </c>
      <c r="B14" s="1" t="s">
        <v>14</v>
      </c>
      <c r="C14" s="1" t="s">
        <v>15</v>
      </c>
      <c r="D14" s="48"/>
      <c r="E14" s="48"/>
      <c r="F14" s="48"/>
      <c r="G14" s="48"/>
      <c r="H14" s="49"/>
      <c r="I14" s="49"/>
      <c r="J14" s="49"/>
      <c r="K14" s="49"/>
    </row>
    <row r="15" spans="1:11" ht="15.6" x14ac:dyDescent="0.3">
      <c r="A15" s="19" t="s">
        <v>27</v>
      </c>
      <c r="B15" s="1" t="s">
        <v>14</v>
      </c>
      <c r="C15" s="1" t="s">
        <v>15</v>
      </c>
      <c r="D15" s="48"/>
      <c r="E15" s="48"/>
      <c r="F15" s="48"/>
      <c r="G15" s="48"/>
      <c r="H15" s="49"/>
      <c r="I15" s="49">
        <v>-198</v>
      </c>
      <c r="J15" s="49"/>
      <c r="K15" s="49"/>
    </row>
    <row r="16" spans="1:11" ht="46.8" x14ac:dyDescent="0.3">
      <c r="A16" s="1" t="s">
        <v>28</v>
      </c>
      <c r="B16" s="1" t="s">
        <v>14</v>
      </c>
      <c r="C16" s="1" t="s">
        <v>15</v>
      </c>
      <c r="D16" s="48"/>
      <c r="E16" s="48"/>
      <c r="F16" s="48"/>
      <c r="G16" s="48"/>
      <c r="H16" s="49"/>
      <c r="I16" s="49"/>
      <c r="J16" s="49"/>
      <c r="K16" s="49"/>
    </row>
    <row r="17" spans="1:11" ht="31.2" x14ac:dyDescent="0.3">
      <c r="A17" s="1" t="s">
        <v>29</v>
      </c>
      <c r="B17" s="1" t="s">
        <v>14</v>
      </c>
      <c r="C17" s="1" t="s">
        <v>15</v>
      </c>
      <c r="D17" s="48"/>
      <c r="E17" s="48"/>
      <c r="F17" s="48"/>
      <c r="G17" s="48"/>
      <c r="H17" s="49"/>
      <c r="I17" s="49"/>
      <c r="J17" s="49"/>
      <c r="K17" s="49"/>
    </row>
    <row r="18" spans="1:11" ht="31.2" x14ac:dyDescent="0.3">
      <c r="A18" s="1" t="s">
        <v>30</v>
      </c>
      <c r="B18" s="1" t="s">
        <v>14</v>
      </c>
      <c r="C18" s="1" t="s">
        <v>15</v>
      </c>
      <c r="D18" s="48"/>
      <c r="E18" s="48"/>
      <c r="F18" s="48"/>
      <c r="G18" s="48"/>
      <c r="H18" s="49"/>
      <c r="I18" s="49"/>
      <c r="J18" s="49"/>
      <c r="K18" s="49"/>
    </row>
    <row r="19" spans="1:11" ht="15.6" x14ac:dyDescent="0.3">
      <c r="A19" s="1" t="s">
        <v>31</v>
      </c>
      <c r="B19" s="1" t="s">
        <v>14</v>
      </c>
      <c r="C19" s="1" t="s">
        <v>15</v>
      </c>
      <c r="D19" s="48"/>
      <c r="E19" s="48"/>
      <c r="F19" s="48"/>
      <c r="G19" s="48"/>
      <c r="H19" s="49"/>
      <c r="I19" s="49"/>
      <c r="J19" s="49"/>
      <c r="K19" s="49"/>
    </row>
    <row r="20" spans="1:11" ht="15.6" x14ac:dyDescent="0.3">
      <c r="A20" s="19" t="s">
        <v>32</v>
      </c>
      <c r="B20" s="1" t="s">
        <v>14</v>
      </c>
      <c r="C20" s="1" t="s">
        <v>15</v>
      </c>
      <c r="D20" s="48"/>
      <c r="E20" s="48"/>
      <c r="F20" s="48"/>
      <c r="G20" s="48"/>
      <c r="H20" s="49"/>
      <c r="I20" s="49"/>
      <c r="J20" s="49"/>
      <c r="K20" s="49"/>
    </row>
    <row r="21" spans="1:11" ht="31.2" x14ac:dyDescent="0.3">
      <c r="A21" s="1" t="s">
        <v>33</v>
      </c>
      <c r="B21" s="1" t="s">
        <v>14</v>
      </c>
      <c r="C21" s="1" t="s">
        <v>15</v>
      </c>
      <c r="D21" s="48"/>
      <c r="E21" s="48"/>
      <c r="F21" s="48"/>
      <c r="G21" s="48"/>
      <c r="H21" s="49"/>
      <c r="I21" s="49"/>
      <c r="J21" s="49"/>
      <c r="K21" s="49"/>
    </row>
    <row r="22" spans="1:11" ht="15.6" x14ac:dyDescent="0.3">
      <c r="A22" s="1" t="s">
        <v>34</v>
      </c>
      <c r="B22" s="1" t="s">
        <v>14</v>
      </c>
      <c r="C22" s="1" t="s">
        <v>15</v>
      </c>
      <c r="D22" s="48"/>
      <c r="E22" s="48"/>
      <c r="F22" s="48"/>
      <c r="G22" s="48"/>
      <c r="H22" s="49"/>
      <c r="I22" s="49"/>
      <c r="J22" s="49"/>
      <c r="K22" s="49"/>
    </row>
    <row r="23" spans="1:11" ht="15.6" x14ac:dyDescent="0.3">
      <c r="A23" s="1" t="s">
        <v>35</v>
      </c>
      <c r="B23" s="1" t="s">
        <v>14</v>
      </c>
      <c r="C23" s="1" t="s">
        <v>15</v>
      </c>
      <c r="D23" s="48"/>
      <c r="E23" s="48"/>
      <c r="F23" s="48"/>
      <c r="G23" s="48"/>
      <c r="H23" s="49"/>
      <c r="I23" s="49"/>
      <c r="J23" s="49"/>
      <c r="K23" s="49"/>
    </row>
    <row r="24" spans="1:11" ht="46.8" x14ac:dyDescent="0.3">
      <c r="A24" s="1" t="s">
        <v>36</v>
      </c>
      <c r="B24" s="1" t="s">
        <v>14</v>
      </c>
      <c r="C24" s="1" t="s">
        <v>15</v>
      </c>
      <c r="D24" s="48"/>
      <c r="E24" s="48"/>
      <c r="F24" s="48"/>
      <c r="G24" s="48"/>
      <c r="H24" s="49"/>
      <c r="I24" s="49"/>
      <c r="J24" s="49"/>
      <c r="K24" s="49"/>
    </row>
    <row r="25" spans="1:11" ht="31.2" x14ac:dyDescent="0.3">
      <c r="A25" s="1" t="s">
        <v>37</v>
      </c>
      <c r="B25" s="1" t="s">
        <v>14</v>
      </c>
      <c r="C25" s="1" t="s">
        <v>15</v>
      </c>
      <c r="D25" s="48"/>
      <c r="E25" s="48"/>
      <c r="F25" s="48"/>
      <c r="G25" s="48"/>
      <c r="H25" s="49"/>
      <c r="I25" s="49"/>
      <c r="J25" s="49"/>
      <c r="K25" s="49"/>
    </row>
    <row r="26" spans="1:11" ht="31.2" x14ac:dyDescent="0.3">
      <c r="A26" s="1" t="s">
        <v>38</v>
      </c>
      <c r="B26" s="1" t="s">
        <v>14</v>
      </c>
      <c r="C26" s="1" t="s">
        <v>15</v>
      </c>
      <c r="D26" s="48"/>
      <c r="E26" s="48"/>
      <c r="F26" s="48"/>
      <c r="G26" s="48"/>
      <c r="H26" s="49"/>
      <c r="I26" s="49"/>
      <c r="J26" s="49"/>
      <c r="K26" s="49"/>
    </row>
    <row r="27" spans="1:11" ht="31.2" x14ac:dyDescent="0.3">
      <c r="A27" s="1" t="s">
        <v>39</v>
      </c>
      <c r="B27" s="1" t="s">
        <v>14</v>
      </c>
      <c r="C27" s="1" t="s">
        <v>15</v>
      </c>
      <c r="D27" s="48"/>
      <c r="E27" s="48"/>
      <c r="F27" s="48"/>
      <c r="G27" s="48"/>
      <c r="H27" s="49"/>
      <c r="I27" s="49"/>
      <c r="J27" s="49"/>
      <c r="K27" s="49"/>
    </row>
    <row r="28" spans="1:11" ht="31.2" x14ac:dyDescent="0.3">
      <c r="A28" s="1" t="s">
        <v>40</v>
      </c>
      <c r="B28" s="1" t="s">
        <v>14</v>
      </c>
      <c r="C28" s="1" t="s">
        <v>15</v>
      </c>
      <c r="D28" s="48"/>
      <c r="E28" s="48"/>
      <c r="F28" s="48"/>
      <c r="G28" s="48"/>
      <c r="H28" s="49"/>
      <c r="I28" s="49"/>
      <c r="J28" s="49"/>
      <c r="K28" s="49"/>
    </row>
    <row r="29" spans="1:11" ht="15.6" x14ac:dyDescent="0.3">
      <c r="A29" s="20" t="s">
        <v>41</v>
      </c>
      <c r="B29" s="20" t="s">
        <v>14</v>
      </c>
      <c r="C29" s="20" t="s">
        <v>15</v>
      </c>
      <c r="D29" s="50"/>
      <c r="E29" s="50"/>
      <c r="F29" s="50"/>
      <c r="G29" s="50"/>
      <c r="H29" s="49"/>
      <c r="I29" s="49">
        <v>144</v>
      </c>
      <c r="J29" s="49"/>
      <c r="K29" s="49"/>
    </row>
    <row r="30" spans="1:11" ht="15.6" x14ac:dyDescent="0.3">
      <c r="A30" s="19" t="s">
        <v>42</v>
      </c>
      <c r="B30" s="1" t="s">
        <v>14</v>
      </c>
      <c r="C30" s="1" t="s">
        <v>43</v>
      </c>
      <c r="D30" s="48"/>
      <c r="E30" s="48">
        <v>9069</v>
      </c>
      <c r="F30" s="48"/>
      <c r="G30" s="48"/>
      <c r="H30" s="49"/>
      <c r="I30" s="49">
        <v>1422</v>
      </c>
      <c r="J30" s="49"/>
      <c r="K30" s="49"/>
    </row>
    <row r="31" spans="1:11" ht="31.2" x14ac:dyDescent="0.3">
      <c r="A31" s="1" t="s">
        <v>44</v>
      </c>
      <c r="B31" s="1" t="s">
        <v>14</v>
      </c>
      <c r="C31" s="1" t="s">
        <v>43</v>
      </c>
      <c r="D31" s="48"/>
      <c r="E31" s="48"/>
      <c r="F31" s="48"/>
      <c r="G31" s="48"/>
      <c r="H31" s="49"/>
      <c r="I31" s="49"/>
      <c r="J31" s="49"/>
      <c r="K31" s="49"/>
    </row>
    <row r="32" spans="1:11" ht="15.6" x14ac:dyDescent="0.3">
      <c r="A32" s="1" t="s">
        <v>45</v>
      </c>
      <c r="B32" s="1" t="s">
        <v>14</v>
      </c>
      <c r="C32" s="1" t="s">
        <v>43</v>
      </c>
      <c r="D32" s="48"/>
      <c r="E32" s="48"/>
      <c r="F32" s="48"/>
      <c r="G32" s="48"/>
      <c r="H32" s="49"/>
      <c r="I32" s="49"/>
      <c r="J32" s="49"/>
      <c r="K32" s="49"/>
    </row>
    <row r="33" spans="1:11" ht="31.2" x14ac:dyDescent="0.3">
      <c r="A33" s="1" t="s">
        <v>46</v>
      </c>
      <c r="B33" s="1" t="s">
        <v>14</v>
      </c>
      <c r="C33" s="1" t="s">
        <v>43</v>
      </c>
      <c r="D33" s="48"/>
      <c r="E33" s="48"/>
      <c r="F33" s="48"/>
      <c r="G33" s="48"/>
      <c r="H33" s="49"/>
      <c r="I33" s="49"/>
      <c r="J33" s="49"/>
      <c r="K33" s="49"/>
    </row>
    <row r="34" spans="1:11" ht="15.6" x14ac:dyDescent="0.3">
      <c r="A34" s="52" t="s">
        <v>47</v>
      </c>
      <c r="B34" s="1" t="s">
        <v>14</v>
      </c>
      <c r="C34" s="1" t="s">
        <v>43</v>
      </c>
      <c r="D34" s="48"/>
      <c r="E34" s="48">
        <v>504</v>
      </c>
      <c r="F34" s="48"/>
      <c r="G34" s="48"/>
      <c r="H34" s="49"/>
      <c r="I34" s="49">
        <v>144</v>
      </c>
      <c r="J34" s="49"/>
      <c r="K34" s="49"/>
    </row>
    <row r="35" spans="1:11" ht="31.2" x14ac:dyDescent="0.3">
      <c r="A35" s="1" t="s">
        <v>48</v>
      </c>
      <c r="B35" s="1" t="s">
        <v>14</v>
      </c>
      <c r="C35" s="1" t="s">
        <v>43</v>
      </c>
      <c r="D35" s="48"/>
      <c r="E35" s="48"/>
      <c r="F35" s="48"/>
      <c r="G35" s="48"/>
      <c r="H35" s="49"/>
      <c r="I35" s="49"/>
      <c r="J35" s="49"/>
      <c r="K35" s="49"/>
    </row>
    <row r="36" spans="1:11" ht="18" x14ac:dyDescent="0.3">
      <c r="A36" s="55" t="s">
        <v>49</v>
      </c>
      <c r="B36" s="24"/>
      <c r="C36" s="24"/>
      <c r="D36" s="24"/>
      <c r="E36" s="25">
        <f>SUM(E3:E35)</f>
        <v>11841</v>
      </c>
      <c r="F36" s="25">
        <f t="shared" ref="F36:K36" si="0">SUM(F3:F35)</f>
        <v>0</v>
      </c>
      <c r="G36" s="25">
        <f t="shared" si="0"/>
        <v>0</v>
      </c>
      <c r="H36" s="25">
        <f t="shared" si="0"/>
        <v>0</v>
      </c>
      <c r="I36" s="25">
        <f t="shared" si="0"/>
        <v>1800</v>
      </c>
      <c r="J36" s="25">
        <f t="shared" si="0"/>
        <v>0</v>
      </c>
      <c r="K36" s="25">
        <f t="shared" si="0"/>
        <v>0</v>
      </c>
    </row>
  </sheetData>
  <mergeCells count="2">
    <mergeCell ref="D1:G1"/>
    <mergeCell ref="H1:K1"/>
  </mergeCells>
  <conditionalFormatting sqref="A1">
    <cfRule type="duplicateValues" dxfId="31" priority="7"/>
    <cfRule type="duplicateValues" dxfId="30" priority="8"/>
  </conditionalFormatting>
  <conditionalFormatting sqref="A2">
    <cfRule type="duplicateValues" dxfId="29" priority="5"/>
    <cfRule type="duplicateValues" dxfId="28" priority="6"/>
  </conditionalFormatting>
  <conditionalFormatting sqref="A3:A29">
    <cfRule type="duplicateValues" dxfId="27" priority="3"/>
    <cfRule type="duplicateValues" dxfId="26" priority="4"/>
  </conditionalFormatting>
  <conditionalFormatting sqref="A30:A36">
    <cfRule type="duplicateValues" dxfId="25" priority="1"/>
    <cfRule type="duplicateValues" dxfId="24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158C-13B0-48A0-810D-9602726E5112}">
  <dimension ref="A1:K36"/>
  <sheetViews>
    <sheetView rightToLeft="1" topLeftCell="A26" workbookViewId="0">
      <selection activeCell="O35" sqref="O35"/>
    </sheetView>
  </sheetViews>
  <sheetFormatPr defaultRowHeight="13.8" x14ac:dyDescent="0.25"/>
  <cols>
    <col min="6" max="6" width="12.59765625" bestFit="1" customWidth="1"/>
    <col min="7" max="9" width="8.8984375" bestFit="1" customWidth="1"/>
    <col min="10" max="10" width="12.59765625" bestFit="1" customWidth="1"/>
    <col min="11" max="11" width="8.8984375" bestFit="1" customWidth="1"/>
  </cols>
  <sheetData>
    <row r="1" spans="1:11" ht="21" x14ac:dyDescent="0.25">
      <c r="A1" s="1"/>
      <c r="B1" s="1"/>
      <c r="C1" s="1"/>
      <c r="D1" s="42">
        <v>2025</v>
      </c>
      <c r="E1" s="42"/>
      <c r="F1" s="42"/>
      <c r="G1" s="42"/>
      <c r="H1" s="43">
        <v>2024</v>
      </c>
      <c r="I1" s="43"/>
      <c r="J1" s="43"/>
      <c r="K1" s="43"/>
    </row>
    <row r="2" spans="1:11" ht="63" x14ac:dyDescent="0.25">
      <c r="A2" s="9" t="s">
        <v>3</v>
      </c>
      <c r="B2" s="10" t="s">
        <v>4</v>
      </c>
      <c r="C2" s="10" t="s">
        <v>5</v>
      </c>
      <c r="D2" s="44" t="s">
        <v>6</v>
      </c>
      <c r="E2" s="44" t="s">
        <v>11</v>
      </c>
      <c r="F2" s="44" t="s">
        <v>10</v>
      </c>
      <c r="G2" s="44" t="s">
        <v>9</v>
      </c>
      <c r="H2" s="45" t="s">
        <v>6</v>
      </c>
      <c r="I2" s="45" t="s">
        <v>11</v>
      </c>
      <c r="J2" s="45" t="s">
        <v>10</v>
      </c>
      <c r="K2" s="45" t="s">
        <v>12</v>
      </c>
    </row>
    <row r="3" spans="1:11" ht="31.2" x14ac:dyDescent="0.3">
      <c r="A3" s="14" t="s">
        <v>13</v>
      </c>
      <c r="B3" s="14" t="s">
        <v>14</v>
      </c>
      <c r="C3" s="14" t="s">
        <v>15</v>
      </c>
      <c r="D3" s="46"/>
      <c r="E3" s="46"/>
      <c r="F3" s="46"/>
      <c r="G3" s="46"/>
      <c r="H3" s="49"/>
      <c r="I3" s="49"/>
      <c r="J3" s="49"/>
      <c r="K3" s="49"/>
    </row>
    <row r="4" spans="1:11" ht="31.2" x14ac:dyDescent="0.3">
      <c r="A4" s="19" t="s">
        <v>16</v>
      </c>
      <c r="B4" s="1" t="s">
        <v>14</v>
      </c>
      <c r="C4" s="1" t="s">
        <v>15</v>
      </c>
      <c r="D4" s="48"/>
      <c r="E4" s="48"/>
      <c r="F4" s="48"/>
      <c r="G4" s="48"/>
      <c r="H4" s="49"/>
      <c r="I4" s="49"/>
      <c r="J4" s="49"/>
      <c r="K4" s="49"/>
    </row>
    <row r="5" spans="1:11" ht="31.2" x14ac:dyDescent="0.3">
      <c r="A5" s="19" t="s">
        <v>17</v>
      </c>
      <c r="B5" s="1" t="s">
        <v>14</v>
      </c>
      <c r="C5" s="1" t="s">
        <v>15</v>
      </c>
      <c r="D5" s="48"/>
      <c r="E5" s="48"/>
      <c r="F5" s="48"/>
      <c r="G5" s="48"/>
      <c r="H5" s="49"/>
      <c r="I5" s="49"/>
      <c r="J5" s="49"/>
      <c r="K5" s="49"/>
    </row>
    <row r="6" spans="1:11" ht="31.2" x14ac:dyDescent="0.3">
      <c r="A6" s="19" t="s">
        <v>18</v>
      </c>
      <c r="B6" s="1" t="s">
        <v>14</v>
      </c>
      <c r="C6" s="1" t="s">
        <v>15</v>
      </c>
      <c r="D6" s="48"/>
      <c r="E6" s="48"/>
      <c r="F6" s="48"/>
      <c r="G6" s="48"/>
      <c r="H6" s="49"/>
      <c r="I6" s="49"/>
      <c r="J6" s="49"/>
      <c r="K6" s="49"/>
    </row>
    <row r="7" spans="1:11" ht="15.6" x14ac:dyDescent="0.3">
      <c r="A7" s="19" t="s">
        <v>19</v>
      </c>
      <c r="B7" s="1" t="s">
        <v>14</v>
      </c>
      <c r="C7" s="1" t="s">
        <v>15</v>
      </c>
      <c r="D7" s="48"/>
      <c r="E7" s="48"/>
      <c r="F7" s="48"/>
      <c r="G7" s="48"/>
      <c r="H7" s="49"/>
      <c r="I7" s="49"/>
      <c r="J7" s="49"/>
      <c r="K7" s="49"/>
    </row>
    <row r="8" spans="1:11" ht="31.2" x14ac:dyDescent="0.3">
      <c r="A8" s="19" t="s">
        <v>20</v>
      </c>
      <c r="B8" s="1" t="s">
        <v>14</v>
      </c>
      <c r="C8" s="1" t="s">
        <v>15</v>
      </c>
      <c r="D8" s="48"/>
      <c r="E8" s="48"/>
      <c r="F8" s="48"/>
      <c r="G8" s="48"/>
      <c r="H8" s="49"/>
      <c r="I8" s="49"/>
      <c r="J8" s="49"/>
      <c r="K8" s="49"/>
    </row>
    <row r="9" spans="1:11" ht="15.6" x14ac:dyDescent="0.3">
      <c r="A9" s="1" t="s">
        <v>21</v>
      </c>
      <c r="B9" s="1" t="s">
        <v>14</v>
      </c>
      <c r="C9" s="1" t="s">
        <v>15</v>
      </c>
      <c r="D9" s="48"/>
      <c r="E9" s="48"/>
      <c r="F9" s="48"/>
      <c r="G9" s="48"/>
      <c r="H9" s="49"/>
      <c r="I9" s="49"/>
      <c r="J9" s="49"/>
      <c r="K9" s="49"/>
    </row>
    <row r="10" spans="1:11" ht="15.6" x14ac:dyDescent="0.3">
      <c r="A10" s="1" t="s">
        <v>22</v>
      </c>
      <c r="B10" s="1" t="s">
        <v>14</v>
      </c>
      <c r="C10" s="1" t="s">
        <v>15</v>
      </c>
      <c r="D10" s="48"/>
      <c r="E10" s="48"/>
      <c r="F10" s="48">
        <v>1122023.23</v>
      </c>
      <c r="G10" s="48"/>
      <c r="H10" s="49"/>
      <c r="I10" s="49"/>
      <c r="J10" s="49">
        <v>695607.29</v>
      </c>
      <c r="K10" s="49"/>
    </row>
    <row r="11" spans="1:11" ht="31.2" x14ac:dyDescent="0.3">
      <c r="A11" s="1" t="s">
        <v>23</v>
      </c>
      <c r="B11" s="1" t="s">
        <v>14</v>
      </c>
      <c r="C11" s="1" t="s">
        <v>15</v>
      </c>
      <c r="D11" s="48"/>
      <c r="E11" s="48"/>
      <c r="F11" s="48"/>
      <c r="G11" s="48"/>
      <c r="H11" s="49"/>
      <c r="I11" s="49"/>
      <c r="J11" s="49"/>
      <c r="K11" s="49"/>
    </row>
    <row r="12" spans="1:11" ht="15.6" x14ac:dyDescent="0.3">
      <c r="A12" s="1" t="s">
        <v>24</v>
      </c>
      <c r="B12" s="1" t="s">
        <v>14</v>
      </c>
      <c r="C12" s="1" t="s">
        <v>15</v>
      </c>
      <c r="D12" s="48"/>
      <c r="E12" s="48"/>
      <c r="F12" s="48"/>
      <c r="G12" s="48"/>
      <c r="H12" s="49"/>
      <c r="I12" s="49"/>
      <c r="J12" s="49"/>
      <c r="K12" s="49"/>
    </row>
    <row r="13" spans="1:11" ht="15.6" x14ac:dyDescent="0.3">
      <c r="A13" s="1" t="s">
        <v>25</v>
      </c>
      <c r="B13" s="1" t="s">
        <v>14</v>
      </c>
      <c r="C13" s="1" t="s">
        <v>15</v>
      </c>
      <c r="D13" s="48"/>
      <c r="E13" s="48"/>
      <c r="F13" s="48"/>
      <c r="G13" s="48"/>
      <c r="H13" s="49"/>
      <c r="I13" s="49"/>
      <c r="J13" s="49"/>
      <c r="K13" s="49"/>
    </row>
    <row r="14" spans="1:11" ht="31.2" x14ac:dyDescent="0.3">
      <c r="A14" s="1" t="s">
        <v>26</v>
      </c>
      <c r="B14" s="1" t="s">
        <v>14</v>
      </c>
      <c r="C14" s="1" t="s">
        <v>15</v>
      </c>
      <c r="D14" s="48"/>
      <c r="E14" s="48"/>
      <c r="F14" s="48"/>
      <c r="G14" s="48"/>
      <c r="H14" s="49"/>
      <c r="I14" s="49"/>
      <c r="J14" s="49"/>
      <c r="K14" s="49"/>
    </row>
    <row r="15" spans="1:11" ht="15.6" x14ac:dyDescent="0.3">
      <c r="A15" s="19" t="s">
        <v>27</v>
      </c>
      <c r="B15" s="1" t="s">
        <v>14</v>
      </c>
      <c r="C15" s="1" t="s">
        <v>15</v>
      </c>
      <c r="D15" s="48"/>
      <c r="E15" s="48"/>
      <c r="F15" s="48"/>
      <c r="G15" s="48"/>
      <c r="H15" s="49"/>
      <c r="I15" s="49"/>
      <c r="J15" s="49"/>
      <c r="K15" s="49"/>
    </row>
    <row r="16" spans="1:11" ht="46.8" x14ac:dyDescent="0.3">
      <c r="A16" s="1" t="s">
        <v>28</v>
      </c>
      <c r="B16" s="1" t="s">
        <v>14</v>
      </c>
      <c r="C16" s="1" t="s">
        <v>15</v>
      </c>
      <c r="D16" s="48"/>
      <c r="E16" s="48"/>
      <c r="F16" s="48"/>
      <c r="G16" s="48"/>
      <c r="H16" s="49"/>
      <c r="I16" s="49"/>
      <c r="J16" s="49"/>
      <c r="K16" s="49"/>
    </row>
    <row r="17" spans="1:11" ht="31.2" x14ac:dyDescent="0.3">
      <c r="A17" s="1" t="s">
        <v>29</v>
      </c>
      <c r="B17" s="1" t="s">
        <v>14</v>
      </c>
      <c r="C17" s="1" t="s">
        <v>15</v>
      </c>
      <c r="D17" s="48"/>
      <c r="E17" s="48"/>
      <c r="F17" s="48"/>
      <c r="G17" s="48"/>
      <c r="H17" s="49"/>
      <c r="I17" s="49"/>
      <c r="J17" s="49"/>
      <c r="K17" s="49"/>
    </row>
    <row r="18" spans="1:11" ht="31.2" x14ac:dyDescent="0.3">
      <c r="A18" s="1" t="s">
        <v>30</v>
      </c>
      <c r="B18" s="1" t="s">
        <v>14</v>
      </c>
      <c r="C18" s="1" t="s">
        <v>15</v>
      </c>
      <c r="D18" s="48"/>
      <c r="E18" s="48"/>
      <c r="F18" s="48"/>
      <c r="G18" s="48"/>
      <c r="H18" s="49"/>
      <c r="I18" s="49"/>
      <c r="J18" s="49"/>
      <c r="K18" s="49"/>
    </row>
    <row r="19" spans="1:11" ht="15.6" x14ac:dyDescent="0.3">
      <c r="A19" s="1" t="s">
        <v>31</v>
      </c>
      <c r="B19" s="1" t="s">
        <v>14</v>
      </c>
      <c r="C19" s="1" t="s">
        <v>15</v>
      </c>
      <c r="D19" s="48"/>
      <c r="E19" s="48"/>
      <c r="F19" s="48"/>
      <c r="G19" s="48"/>
      <c r="H19" s="49"/>
      <c r="I19" s="49"/>
      <c r="J19" s="49"/>
      <c r="K19" s="49"/>
    </row>
    <row r="20" spans="1:11" ht="15.6" x14ac:dyDescent="0.3">
      <c r="A20" s="19" t="s">
        <v>32</v>
      </c>
      <c r="B20" s="1" t="s">
        <v>14</v>
      </c>
      <c r="C20" s="1" t="s">
        <v>15</v>
      </c>
      <c r="D20" s="48"/>
      <c r="E20" s="48"/>
      <c r="F20" s="48"/>
      <c r="G20" s="48"/>
      <c r="H20" s="49"/>
      <c r="I20" s="49"/>
      <c r="J20" s="49"/>
      <c r="K20" s="49"/>
    </row>
    <row r="21" spans="1:11" ht="31.2" x14ac:dyDescent="0.3">
      <c r="A21" s="1" t="s">
        <v>33</v>
      </c>
      <c r="B21" s="1" t="s">
        <v>14</v>
      </c>
      <c r="C21" s="1" t="s">
        <v>15</v>
      </c>
      <c r="D21" s="48"/>
      <c r="E21" s="48"/>
      <c r="F21" s="48"/>
      <c r="G21" s="48"/>
      <c r="H21" s="49"/>
      <c r="I21" s="49"/>
      <c r="J21" s="49"/>
      <c r="K21" s="49"/>
    </row>
    <row r="22" spans="1:11" ht="15.6" x14ac:dyDescent="0.3">
      <c r="A22" s="1" t="s">
        <v>34</v>
      </c>
      <c r="B22" s="1" t="s">
        <v>14</v>
      </c>
      <c r="C22" s="1" t="s">
        <v>15</v>
      </c>
      <c r="D22" s="48"/>
      <c r="E22" s="48"/>
      <c r="F22" s="48"/>
      <c r="G22" s="48"/>
      <c r="H22" s="49"/>
      <c r="I22" s="49"/>
      <c r="J22" s="49"/>
      <c r="K22" s="49"/>
    </row>
    <row r="23" spans="1:11" ht="15.6" x14ac:dyDescent="0.3">
      <c r="A23" s="1" t="s">
        <v>35</v>
      </c>
      <c r="B23" s="1" t="s">
        <v>14</v>
      </c>
      <c r="C23" s="1" t="s">
        <v>15</v>
      </c>
      <c r="D23" s="48"/>
      <c r="E23" s="48"/>
      <c r="F23" s="48"/>
      <c r="G23" s="48"/>
      <c r="H23" s="49"/>
      <c r="I23" s="49"/>
      <c r="J23" s="49"/>
      <c r="K23" s="49"/>
    </row>
    <row r="24" spans="1:11" ht="46.8" x14ac:dyDescent="0.3">
      <c r="A24" s="1" t="s">
        <v>36</v>
      </c>
      <c r="B24" s="1" t="s">
        <v>14</v>
      </c>
      <c r="C24" s="1" t="s">
        <v>15</v>
      </c>
      <c r="D24" s="48"/>
      <c r="E24" s="48"/>
      <c r="F24" s="48"/>
      <c r="G24" s="48"/>
      <c r="H24" s="49"/>
      <c r="I24" s="49"/>
      <c r="J24" s="49"/>
      <c r="K24" s="49"/>
    </row>
    <row r="25" spans="1:11" ht="31.2" x14ac:dyDescent="0.3">
      <c r="A25" s="1" t="s">
        <v>37</v>
      </c>
      <c r="B25" s="1" t="s">
        <v>14</v>
      </c>
      <c r="C25" s="1" t="s">
        <v>15</v>
      </c>
      <c r="D25" s="48"/>
      <c r="E25" s="48"/>
      <c r="F25" s="48"/>
      <c r="G25" s="48"/>
      <c r="H25" s="49"/>
      <c r="I25" s="49"/>
      <c r="J25" s="49"/>
      <c r="K25" s="49"/>
    </row>
    <row r="26" spans="1:11" ht="31.2" x14ac:dyDescent="0.3">
      <c r="A26" s="1" t="s">
        <v>38</v>
      </c>
      <c r="B26" s="1" t="s">
        <v>14</v>
      </c>
      <c r="C26" s="1" t="s">
        <v>15</v>
      </c>
      <c r="D26" s="48"/>
      <c r="E26" s="48"/>
      <c r="F26" s="48"/>
      <c r="G26" s="48"/>
      <c r="H26" s="49"/>
      <c r="I26" s="49"/>
      <c r="J26" s="49"/>
      <c r="K26" s="49"/>
    </row>
    <row r="27" spans="1:11" ht="31.2" x14ac:dyDescent="0.3">
      <c r="A27" s="1" t="s">
        <v>39</v>
      </c>
      <c r="B27" s="1" t="s">
        <v>14</v>
      </c>
      <c r="C27" s="1" t="s">
        <v>15</v>
      </c>
      <c r="D27" s="48"/>
      <c r="E27" s="48"/>
      <c r="F27" s="48"/>
      <c r="G27" s="48"/>
      <c r="H27" s="49"/>
      <c r="I27" s="49"/>
      <c r="J27" s="49"/>
      <c r="K27" s="49"/>
    </row>
    <row r="28" spans="1:11" ht="31.2" x14ac:dyDescent="0.3">
      <c r="A28" s="1" t="s">
        <v>40</v>
      </c>
      <c r="B28" s="1" t="s">
        <v>14</v>
      </c>
      <c r="C28" s="1" t="s">
        <v>15</v>
      </c>
      <c r="D28" s="48"/>
      <c r="E28" s="48"/>
      <c r="F28" s="48"/>
      <c r="G28" s="48"/>
      <c r="H28" s="49"/>
      <c r="I28" s="49"/>
      <c r="J28" s="49"/>
      <c r="K28" s="49"/>
    </row>
    <row r="29" spans="1:11" ht="15.6" x14ac:dyDescent="0.3">
      <c r="A29" s="20" t="s">
        <v>41</v>
      </c>
      <c r="B29" s="20" t="s">
        <v>14</v>
      </c>
      <c r="C29" s="20" t="s">
        <v>15</v>
      </c>
      <c r="D29" s="50"/>
      <c r="E29" s="50"/>
      <c r="F29" s="50"/>
      <c r="G29" s="50"/>
      <c r="H29" s="49"/>
      <c r="I29" s="49"/>
      <c r="J29" s="49"/>
      <c r="K29" s="49"/>
    </row>
    <row r="30" spans="1:11" ht="15.6" x14ac:dyDescent="0.3">
      <c r="A30" s="19" t="s">
        <v>42</v>
      </c>
      <c r="B30" s="1" t="s">
        <v>14</v>
      </c>
      <c r="C30" s="1" t="s">
        <v>43</v>
      </c>
      <c r="D30" s="48"/>
      <c r="E30" s="48"/>
      <c r="F30" s="54">
        <v>217015.57</v>
      </c>
      <c r="G30" s="48"/>
      <c r="H30" s="49"/>
      <c r="I30" s="49"/>
      <c r="J30" s="49"/>
      <c r="K30" s="49"/>
    </row>
    <row r="31" spans="1:11" ht="31.2" x14ac:dyDescent="0.3">
      <c r="A31" s="1" t="s">
        <v>44</v>
      </c>
      <c r="B31" s="1" t="s">
        <v>14</v>
      </c>
      <c r="C31" s="1" t="s">
        <v>43</v>
      </c>
      <c r="D31" s="48"/>
      <c r="E31" s="48"/>
      <c r="F31" s="54">
        <v>28104.63</v>
      </c>
      <c r="G31" s="48"/>
      <c r="H31" s="49"/>
      <c r="I31" s="49"/>
      <c r="J31" s="49"/>
      <c r="K31" s="49"/>
    </row>
    <row r="32" spans="1:11" ht="15.6" x14ac:dyDescent="0.3">
      <c r="A32" s="1" t="s">
        <v>45</v>
      </c>
      <c r="B32" s="1" t="s">
        <v>14</v>
      </c>
      <c r="C32" s="1" t="s">
        <v>43</v>
      </c>
      <c r="D32" s="48"/>
      <c r="E32" s="48"/>
      <c r="F32" s="54"/>
      <c r="G32" s="48"/>
      <c r="H32" s="49"/>
      <c r="I32" s="49"/>
      <c r="J32" s="49"/>
      <c r="K32" s="49"/>
    </row>
    <row r="33" spans="1:11" ht="31.2" x14ac:dyDescent="0.3">
      <c r="A33" s="1" t="s">
        <v>46</v>
      </c>
      <c r="B33" s="1" t="s">
        <v>14</v>
      </c>
      <c r="C33" s="1" t="s">
        <v>43</v>
      </c>
      <c r="D33" s="48"/>
      <c r="E33" s="48"/>
      <c r="F33" s="54">
        <v>54675.26</v>
      </c>
      <c r="G33" s="48"/>
      <c r="H33" s="49"/>
      <c r="I33" s="49"/>
      <c r="J33" s="49">
        <v>257295.97</v>
      </c>
      <c r="K33" s="49"/>
    </row>
    <row r="34" spans="1:11" ht="15.6" x14ac:dyDescent="0.3">
      <c r="A34" s="52" t="s">
        <v>47</v>
      </c>
      <c r="B34" s="1" t="s">
        <v>14</v>
      </c>
      <c r="C34" s="1" t="s">
        <v>43</v>
      </c>
      <c r="D34" s="48"/>
      <c r="E34" s="48"/>
      <c r="F34" s="54">
        <v>173195.4</v>
      </c>
      <c r="G34" s="48"/>
      <c r="H34" s="49"/>
      <c r="I34" s="49"/>
      <c r="J34" s="49">
        <v>4440218.12</v>
      </c>
      <c r="K34" s="49"/>
    </row>
    <row r="35" spans="1:11" ht="31.2" x14ac:dyDescent="0.3">
      <c r="A35" s="1" t="s">
        <v>48</v>
      </c>
      <c r="B35" s="1" t="s">
        <v>14</v>
      </c>
      <c r="C35" s="1" t="s">
        <v>43</v>
      </c>
      <c r="D35" s="48"/>
      <c r="E35" s="48"/>
      <c r="F35" s="54"/>
      <c r="G35" s="48"/>
      <c r="H35" s="49"/>
      <c r="I35" s="49"/>
      <c r="J35" s="49"/>
      <c r="K35" s="49"/>
    </row>
    <row r="36" spans="1:11" ht="18" x14ac:dyDescent="0.3">
      <c r="A36" s="55" t="s">
        <v>49</v>
      </c>
      <c r="B36" s="24"/>
      <c r="C36" s="24"/>
      <c r="D36" s="24"/>
      <c r="E36" s="24"/>
      <c r="F36" s="25">
        <f>SUM(F3:F35)</f>
        <v>1595014.0899999999</v>
      </c>
      <c r="G36" s="25">
        <f t="shared" ref="G36:K36" si="0">SUM(G3:G35)</f>
        <v>0</v>
      </c>
      <c r="H36" s="25">
        <f t="shared" si="0"/>
        <v>0</v>
      </c>
      <c r="I36" s="25">
        <f t="shared" si="0"/>
        <v>0</v>
      </c>
      <c r="J36" s="25">
        <f t="shared" si="0"/>
        <v>5393121.3799999999</v>
      </c>
      <c r="K36" s="25">
        <f t="shared" si="0"/>
        <v>0</v>
      </c>
    </row>
  </sheetData>
  <mergeCells count="2">
    <mergeCell ref="D1:G1"/>
    <mergeCell ref="H1:K1"/>
  </mergeCells>
  <conditionalFormatting sqref="A1">
    <cfRule type="duplicateValues" dxfId="23" priority="7"/>
    <cfRule type="duplicateValues" dxfId="22" priority="8"/>
  </conditionalFormatting>
  <conditionalFormatting sqref="A2">
    <cfRule type="duplicateValues" dxfId="21" priority="5"/>
    <cfRule type="duplicateValues" dxfId="20" priority="6"/>
  </conditionalFormatting>
  <conditionalFormatting sqref="A3:A29">
    <cfRule type="duplicateValues" dxfId="19" priority="3"/>
    <cfRule type="duplicateValues" dxfId="18" priority="4"/>
  </conditionalFormatting>
  <conditionalFormatting sqref="A30:A36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905E-51A7-4310-9618-0F78942F0A61}">
  <dimension ref="A1:K35"/>
  <sheetViews>
    <sheetView rightToLeft="1" workbookViewId="0">
      <selection activeCell="O4" sqref="O4:O5"/>
    </sheetView>
  </sheetViews>
  <sheetFormatPr defaultRowHeight="13.8" x14ac:dyDescent="0.25"/>
  <sheetData>
    <row r="1" spans="1:11" ht="21" x14ac:dyDescent="0.25">
      <c r="A1" s="1"/>
      <c r="B1" s="1"/>
      <c r="C1" s="1"/>
      <c r="D1" s="42">
        <v>2025</v>
      </c>
      <c r="E1" s="42"/>
      <c r="F1" s="42"/>
      <c r="G1" s="42"/>
      <c r="H1" s="43">
        <v>2024</v>
      </c>
      <c r="I1" s="43"/>
      <c r="J1" s="43"/>
      <c r="K1" s="43"/>
    </row>
    <row r="2" spans="1:11" ht="63" x14ac:dyDescent="0.25">
      <c r="A2" s="9" t="s">
        <v>3</v>
      </c>
      <c r="B2" s="10" t="s">
        <v>4</v>
      </c>
      <c r="C2" s="10" t="s">
        <v>5</v>
      </c>
      <c r="D2" s="44" t="s">
        <v>6</v>
      </c>
      <c r="E2" s="44" t="s">
        <v>11</v>
      </c>
      <c r="F2" s="44" t="s">
        <v>10</v>
      </c>
      <c r="G2" s="44" t="s">
        <v>9</v>
      </c>
      <c r="H2" s="45" t="s">
        <v>6</v>
      </c>
      <c r="I2" s="45" t="s">
        <v>11</v>
      </c>
      <c r="J2" s="45" t="s">
        <v>10</v>
      </c>
      <c r="K2" s="45" t="s">
        <v>12</v>
      </c>
    </row>
    <row r="3" spans="1:11" ht="31.2" x14ac:dyDescent="0.3">
      <c r="A3" s="14" t="s">
        <v>13</v>
      </c>
      <c r="B3" s="14" t="s">
        <v>14</v>
      </c>
      <c r="C3" s="14" t="s">
        <v>15</v>
      </c>
      <c r="D3" s="46"/>
      <c r="E3" s="46"/>
      <c r="F3" s="46"/>
      <c r="G3" s="46"/>
      <c r="H3" s="49"/>
      <c r="I3" s="49"/>
      <c r="J3" s="49"/>
      <c r="K3" s="49"/>
    </row>
    <row r="4" spans="1:11" ht="31.2" x14ac:dyDescent="0.3">
      <c r="A4" s="19" t="s">
        <v>16</v>
      </c>
      <c r="B4" s="1" t="s">
        <v>14</v>
      </c>
      <c r="C4" s="1" t="s">
        <v>15</v>
      </c>
      <c r="D4" s="48"/>
      <c r="E4" s="48"/>
      <c r="F4" s="48"/>
      <c r="G4" s="48"/>
      <c r="H4" s="49"/>
      <c r="I4" s="49"/>
      <c r="J4" s="49"/>
      <c r="K4" s="49"/>
    </row>
    <row r="5" spans="1:11" ht="31.2" x14ac:dyDescent="0.3">
      <c r="A5" s="19" t="s">
        <v>17</v>
      </c>
      <c r="B5" s="1" t="s">
        <v>14</v>
      </c>
      <c r="C5" s="1" t="s">
        <v>15</v>
      </c>
      <c r="D5" s="48"/>
      <c r="E5" s="48"/>
      <c r="F5" s="48"/>
      <c r="G5" s="48"/>
      <c r="H5" s="49"/>
      <c r="I5" s="49"/>
      <c r="J5" s="49"/>
      <c r="K5" s="49"/>
    </row>
    <row r="6" spans="1:11" ht="31.2" x14ac:dyDescent="0.3">
      <c r="A6" s="19" t="s">
        <v>18</v>
      </c>
      <c r="B6" s="1" t="s">
        <v>14</v>
      </c>
      <c r="C6" s="1" t="s">
        <v>15</v>
      </c>
      <c r="D6" s="48"/>
      <c r="E6" s="48"/>
      <c r="F6" s="48"/>
      <c r="G6" s="48"/>
      <c r="H6" s="49"/>
      <c r="I6" s="49"/>
      <c r="J6" s="49"/>
      <c r="K6" s="49"/>
    </row>
    <row r="7" spans="1:11" ht="15.6" x14ac:dyDescent="0.3">
      <c r="A7" s="19" t="s">
        <v>19</v>
      </c>
      <c r="B7" s="1" t="s">
        <v>14</v>
      </c>
      <c r="C7" s="1" t="s">
        <v>15</v>
      </c>
      <c r="D7" s="48"/>
      <c r="E7" s="48"/>
      <c r="F7" s="48"/>
      <c r="G7" s="48"/>
      <c r="H7" s="49"/>
      <c r="I7" s="49"/>
      <c r="J7" s="49"/>
      <c r="K7" s="49"/>
    </row>
    <row r="8" spans="1:11" ht="31.2" x14ac:dyDescent="0.3">
      <c r="A8" s="19" t="s">
        <v>20</v>
      </c>
      <c r="B8" s="1" t="s">
        <v>14</v>
      </c>
      <c r="C8" s="1" t="s">
        <v>15</v>
      </c>
      <c r="D8" s="48"/>
      <c r="E8" s="48"/>
      <c r="F8" s="48"/>
      <c r="G8" s="48"/>
      <c r="H8" s="49"/>
      <c r="I8" s="49"/>
      <c r="J8" s="49"/>
      <c r="K8" s="49"/>
    </row>
    <row r="9" spans="1:11" ht="15.6" x14ac:dyDescent="0.3">
      <c r="A9" s="1" t="s">
        <v>21</v>
      </c>
      <c r="B9" s="1" t="s">
        <v>14</v>
      </c>
      <c r="C9" s="1" t="s">
        <v>15</v>
      </c>
      <c r="D9" s="48"/>
      <c r="E9" s="48"/>
      <c r="F9" s="48"/>
      <c r="G9" s="48"/>
      <c r="H9" s="49"/>
      <c r="I9" s="49"/>
      <c r="J9" s="49"/>
      <c r="K9" s="49"/>
    </row>
    <row r="10" spans="1:11" ht="15.6" x14ac:dyDescent="0.3">
      <c r="A10" s="1" t="s">
        <v>22</v>
      </c>
      <c r="B10" s="1" t="s">
        <v>14</v>
      </c>
      <c r="C10" s="1" t="s">
        <v>15</v>
      </c>
      <c r="D10" s="48"/>
      <c r="E10" s="48"/>
      <c r="F10" s="48"/>
      <c r="G10" s="48"/>
      <c r="H10" s="49"/>
      <c r="I10" s="49"/>
      <c r="J10" s="49"/>
      <c r="K10" s="49"/>
    </row>
    <row r="11" spans="1:11" ht="31.2" x14ac:dyDescent="0.3">
      <c r="A11" s="1" t="s">
        <v>23</v>
      </c>
      <c r="B11" s="1" t="s">
        <v>14</v>
      </c>
      <c r="C11" s="1" t="s">
        <v>15</v>
      </c>
      <c r="D11" s="48"/>
      <c r="E11" s="48"/>
      <c r="F11" s="48"/>
      <c r="G11" s="48"/>
      <c r="H11" s="49"/>
      <c r="I11" s="49"/>
      <c r="J11" s="49"/>
      <c r="K11" s="49"/>
    </row>
    <row r="12" spans="1:11" ht="15.6" x14ac:dyDescent="0.3">
      <c r="A12" s="1" t="s">
        <v>24</v>
      </c>
      <c r="B12" s="1" t="s">
        <v>14</v>
      </c>
      <c r="C12" s="1" t="s">
        <v>15</v>
      </c>
      <c r="D12" s="48"/>
      <c r="E12" s="48"/>
      <c r="F12" s="48"/>
      <c r="G12" s="48"/>
      <c r="H12" s="49"/>
      <c r="I12" s="49"/>
      <c r="J12" s="49"/>
      <c r="K12" s="49"/>
    </row>
    <row r="13" spans="1:11" ht="15.6" x14ac:dyDescent="0.3">
      <c r="A13" s="1" t="s">
        <v>25</v>
      </c>
      <c r="B13" s="1" t="s">
        <v>14</v>
      </c>
      <c r="C13" s="1" t="s">
        <v>15</v>
      </c>
      <c r="D13" s="48"/>
      <c r="E13" s="48"/>
      <c r="F13" s="48"/>
      <c r="G13" s="48"/>
      <c r="H13" s="49"/>
      <c r="I13" s="49"/>
      <c r="J13" s="49"/>
      <c r="K13" s="49"/>
    </row>
    <row r="14" spans="1:11" ht="31.2" x14ac:dyDescent="0.3">
      <c r="A14" s="1" t="s">
        <v>26</v>
      </c>
      <c r="B14" s="1" t="s">
        <v>14</v>
      </c>
      <c r="C14" s="1" t="s">
        <v>15</v>
      </c>
      <c r="D14" s="48"/>
      <c r="E14" s="48"/>
      <c r="F14" s="48"/>
      <c r="G14" s="48"/>
      <c r="H14" s="49"/>
      <c r="I14" s="49"/>
      <c r="J14" s="49"/>
      <c r="K14" s="49"/>
    </row>
    <row r="15" spans="1:11" ht="15.6" x14ac:dyDescent="0.3">
      <c r="A15" s="19" t="s">
        <v>27</v>
      </c>
      <c r="B15" s="1" t="s">
        <v>14</v>
      </c>
      <c r="C15" s="1" t="s">
        <v>15</v>
      </c>
      <c r="D15" s="48"/>
      <c r="E15" s="48"/>
      <c r="F15" s="48"/>
      <c r="G15" s="48"/>
      <c r="H15" s="49"/>
      <c r="I15" s="49"/>
      <c r="J15" s="49"/>
      <c r="K15" s="49"/>
    </row>
    <row r="16" spans="1:11" ht="46.8" x14ac:dyDescent="0.3">
      <c r="A16" s="1" t="s">
        <v>28</v>
      </c>
      <c r="B16" s="1" t="s">
        <v>14</v>
      </c>
      <c r="C16" s="1" t="s">
        <v>15</v>
      </c>
      <c r="D16" s="48"/>
      <c r="E16" s="48"/>
      <c r="F16" s="48"/>
      <c r="G16" s="48"/>
      <c r="H16" s="49"/>
      <c r="I16" s="49"/>
      <c r="J16" s="49"/>
      <c r="K16" s="49"/>
    </row>
    <row r="17" spans="1:11" ht="31.2" x14ac:dyDescent="0.3">
      <c r="A17" s="1" t="s">
        <v>29</v>
      </c>
      <c r="B17" s="1" t="s">
        <v>14</v>
      </c>
      <c r="C17" s="1" t="s">
        <v>15</v>
      </c>
      <c r="D17" s="48"/>
      <c r="E17" s="48"/>
      <c r="F17" s="48"/>
      <c r="G17" s="48"/>
      <c r="H17" s="49"/>
      <c r="I17" s="49"/>
      <c r="J17" s="49"/>
      <c r="K17" s="49"/>
    </row>
    <row r="18" spans="1:11" ht="31.2" x14ac:dyDescent="0.3">
      <c r="A18" s="1" t="s">
        <v>30</v>
      </c>
      <c r="B18" s="1" t="s">
        <v>14</v>
      </c>
      <c r="C18" s="1" t="s">
        <v>15</v>
      </c>
      <c r="D18" s="48"/>
      <c r="E18" s="48"/>
      <c r="F18" s="48"/>
      <c r="G18" s="48"/>
      <c r="H18" s="49"/>
      <c r="I18" s="49"/>
      <c r="J18" s="49"/>
      <c r="K18" s="49"/>
    </row>
    <row r="19" spans="1:11" ht="15.6" x14ac:dyDescent="0.3">
      <c r="A19" s="1" t="s">
        <v>31</v>
      </c>
      <c r="B19" s="1" t="s">
        <v>14</v>
      </c>
      <c r="C19" s="1" t="s">
        <v>15</v>
      </c>
      <c r="D19" s="48"/>
      <c r="E19" s="48"/>
      <c r="F19" s="48"/>
      <c r="G19" s="48"/>
      <c r="H19" s="49"/>
      <c r="I19" s="49"/>
      <c r="J19" s="49"/>
      <c r="K19" s="49"/>
    </row>
    <row r="20" spans="1:11" ht="15.6" x14ac:dyDescent="0.3">
      <c r="A20" s="19" t="s">
        <v>32</v>
      </c>
      <c r="B20" s="1" t="s">
        <v>14</v>
      </c>
      <c r="C20" s="1" t="s">
        <v>15</v>
      </c>
      <c r="D20" s="48"/>
      <c r="E20" s="48"/>
      <c r="F20" s="48"/>
      <c r="G20" s="48"/>
      <c r="H20" s="49"/>
      <c r="I20" s="49"/>
      <c r="J20" s="49"/>
      <c r="K20" s="49"/>
    </row>
    <row r="21" spans="1:11" ht="31.2" x14ac:dyDescent="0.3">
      <c r="A21" s="1" t="s">
        <v>33</v>
      </c>
      <c r="B21" s="1" t="s">
        <v>14</v>
      </c>
      <c r="C21" s="1" t="s">
        <v>15</v>
      </c>
      <c r="D21" s="48"/>
      <c r="E21" s="48"/>
      <c r="F21" s="48"/>
      <c r="G21" s="48"/>
      <c r="H21" s="49"/>
      <c r="I21" s="49"/>
      <c r="J21" s="49"/>
      <c r="K21" s="49"/>
    </row>
    <row r="22" spans="1:11" ht="15.6" x14ac:dyDescent="0.3">
      <c r="A22" s="1" t="s">
        <v>34</v>
      </c>
      <c r="B22" s="1" t="s">
        <v>14</v>
      </c>
      <c r="C22" s="1" t="s">
        <v>15</v>
      </c>
      <c r="D22" s="48"/>
      <c r="E22" s="48"/>
      <c r="F22" s="48"/>
      <c r="G22" s="48"/>
      <c r="H22" s="49"/>
      <c r="I22" s="49"/>
      <c r="J22" s="49"/>
      <c r="K22" s="49"/>
    </row>
    <row r="23" spans="1:11" ht="15.6" x14ac:dyDescent="0.3">
      <c r="A23" s="1" t="s">
        <v>35</v>
      </c>
      <c r="B23" s="1" t="s">
        <v>14</v>
      </c>
      <c r="C23" s="1" t="s">
        <v>15</v>
      </c>
      <c r="D23" s="48"/>
      <c r="E23" s="48"/>
      <c r="F23" s="48"/>
      <c r="G23" s="48"/>
      <c r="H23" s="49"/>
      <c r="I23" s="49"/>
      <c r="J23" s="49"/>
      <c r="K23" s="49"/>
    </row>
    <row r="24" spans="1:11" ht="46.8" x14ac:dyDescent="0.3">
      <c r="A24" s="1" t="s">
        <v>36</v>
      </c>
      <c r="B24" s="1" t="s">
        <v>14</v>
      </c>
      <c r="C24" s="1" t="s">
        <v>15</v>
      </c>
      <c r="D24" s="48"/>
      <c r="E24" s="48"/>
      <c r="F24" s="48"/>
      <c r="G24" s="48"/>
      <c r="H24" s="49"/>
      <c r="I24" s="49"/>
      <c r="J24" s="49"/>
      <c r="K24" s="49"/>
    </row>
    <row r="25" spans="1:11" ht="31.2" x14ac:dyDescent="0.3">
      <c r="A25" s="1" t="s">
        <v>37</v>
      </c>
      <c r="B25" s="1" t="s">
        <v>14</v>
      </c>
      <c r="C25" s="1" t="s">
        <v>15</v>
      </c>
      <c r="D25" s="48"/>
      <c r="E25" s="48"/>
      <c r="F25" s="48"/>
      <c r="G25" s="48"/>
      <c r="H25" s="49"/>
      <c r="I25" s="49"/>
      <c r="J25" s="49"/>
      <c r="K25" s="49"/>
    </row>
    <row r="26" spans="1:11" ht="31.2" x14ac:dyDescent="0.3">
      <c r="A26" s="1" t="s">
        <v>38</v>
      </c>
      <c r="B26" s="1" t="s">
        <v>14</v>
      </c>
      <c r="C26" s="1" t="s">
        <v>15</v>
      </c>
      <c r="D26" s="48"/>
      <c r="E26" s="48"/>
      <c r="F26" s="48"/>
      <c r="G26" s="48"/>
      <c r="H26" s="49"/>
      <c r="I26" s="49"/>
      <c r="J26" s="49"/>
      <c r="K26" s="49"/>
    </row>
    <row r="27" spans="1:11" ht="31.2" x14ac:dyDescent="0.3">
      <c r="A27" s="1" t="s">
        <v>39</v>
      </c>
      <c r="B27" s="1" t="s">
        <v>14</v>
      </c>
      <c r="C27" s="1" t="s">
        <v>15</v>
      </c>
      <c r="D27" s="48"/>
      <c r="E27" s="48"/>
      <c r="F27" s="48"/>
      <c r="G27" s="48"/>
      <c r="H27" s="49"/>
      <c r="I27" s="49"/>
      <c r="J27" s="49"/>
      <c r="K27" s="49"/>
    </row>
    <row r="28" spans="1:11" ht="31.2" x14ac:dyDescent="0.3">
      <c r="A28" s="1" t="s">
        <v>40</v>
      </c>
      <c r="B28" s="1" t="s">
        <v>14</v>
      </c>
      <c r="C28" s="1" t="s">
        <v>15</v>
      </c>
      <c r="D28" s="48"/>
      <c r="E28" s="48"/>
      <c r="F28" s="48"/>
      <c r="G28" s="48"/>
      <c r="H28" s="49"/>
      <c r="I28" s="49"/>
      <c r="J28" s="49"/>
      <c r="K28" s="49"/>
    </row>
    <row r="29" spans="1:11" ht="15.6" x14ac:dyDescent="0.3">
      <c r="A29" s="20" t="s">
        <v>41</v>
      </c>
      <c r="B29" s="20" t="s">
        <v>14</v>
      </c>
      <c r="C29" s="20" t="s">
        <v>15</v>
      </c>
      <c r="D29" s="50"/>
      <c r="E29" s="50"/>
      <c r="F29" s="50"/>
      <c r="G29" s="50"/>
      <c r="H29" s="49"/>
      <c r="I29" s="49"/>
      <c r="J29" s="49"/>
      <c r="K29" s="49"/>
    </row>
    <row r="30" spans="1:11" ht="15.6" x14ac:dyDescent="0.3">
      <c r="A30" s="19" t="s">
        <v>42</v>
      </c>
      <c r="B30" s="1" t="s">
        <v>14</v>
      </c>
      <c r="C30" s="1" t="s">
        <v>43</v>
      </c>
      <c r="D30" s="48"/>
      <c r="E30" s="48"/>
      <c r="F30" s="48"/>
      <c r="G30" s="48"/>
      <c r="H30" s="49"/>
      <c r="I30" s="49"/>
      <c r="J30" s="49"/>
      <c r="K30" s="49"/>
    </row>
    <row r="31" spans="1:11" ht="31.2" x14ac:dyDescent="0.3">
      <c r="A31" s="1" t="s">
        <v>44</v>
      </c>
      <c r="B31" s="1" t="s">
        <v>14</v>
      </c>
      <c r="C31" s="1" t="s">
        <v>43</v>
      </c>
      <c r="D31" s="48"/>
      <c r="E31" s="48"/>
      <c r="F31" s="48"/>
      <c r="G31" s="48"/>
      <c r="H31" s="49"/>
      <c r="I31" s="49"/>
      <c r="J31" s="49"/>
      <c r="K31" s="49"/>
    </row>
    <row r="32" spans="1:11" ht="15.6" x14ac:dyDescent="0.3">
      <c r="A32" s="1" t="s">
        <v>45</v>
      </c>
      <c r="B32" s="1" t="s">
        <v>14</v>
      </c>
      <c r="C32" s="1" t="s">
        <v>43</v>
      </c>
      <c r="D32" s="48"/>
      <c r="E32" s="48"/>
      <c r="F32" s="48"/>
      <c r="G32" s="48"/>
      <c r="H32" s="49"/>
      <c r="I32" s="49"/>
      <c r="J32" s="49"/>
      <c r="K32" s="49"/>
    </row>
    <row r="33" spans="1:11" ht="31.2" x14ac:dyDescent="0.3">
      <c r="A33" s="1" t="s">
        <v>46</v>
      </c>
      <c r="B33" s="1" t="s">
        <v>14</v>
      </c>
      <c r="C33" s="1" t="s">
        <v>43</v>
      </c>
      <c r="D33" s="48"/>
      <c r="E33" s="48"/>
      <c r="F33" s="48"/>
      <c r="G33" s="48"/>
      <c r="H33" s="49"/>
      <c r="I33" s="49"/>
      <c r="J33" s="49"/>
      <c r="K33" s="49"/>
    </row>
    <row r="34" spans="1:11" ht="15.6" x14ac:dyDescent="0.3">
      <c r="A34" s="52" t="s">
        <v>47</v>
      </c>
      <c r="B34" s="1" t="s">
        <v>14</v>
      </c>
      <c r="C34" s="1" t="s">
        <v>43</v>
      </c>
      <c r="D34" s="48"/>
      <c r="E34" s="48"/>
      <c r="F34" s="48"/>
      <c r="G34" s="48"/>
      <c r="H34" s="49"/>
      <c r="I34" s="49"/>
      <c r="J34" s="49"/>
      <c r="K34" s="49"/>
    </row>
    <row r="35" spans="1:11" ht="31.2" x14ac:dyDescent="0.3">
      <c r="A35" s="1" t="s">
        <v>48</v>
      </c>
      <c r="B35" s="1" t="s">
        <v>14</v>
      </c>
      <c r="C35" s="1" t="s">
        <v>43</v>
      </c>
      <c r="D35" s="48"/>
      <c r="E35" s="48"/>
      <c r="F35" s="48"/>
      <c r="G35" s="48"/>
      <c r="H35" s="49"/>
      <c r="I35" s="49"/>
      <c r="J35" s="49"/>
      <c r="K35" s="49"/>
    </row>
  </sheetData>
  <mergeCells count="2">
    <mergeCell ref="D1:G1"/>
    <mergeCell ref="H1:K1"/>
  </mergeCells>
  <conditionalFormatting sqref="A1">
    <cfRule type="duplicateValues" dxfId="15" priority="7"/>
    <cfRule type="duplicateValues" dxfId="14" priority="8"/>
  </conditionalFormatting>
  <conditionalFormatting sqref="A2">
    <cfRule type="duplicateValues" dxfId="13" priority="5"/>
    <cfRule type="duplicateValues" dxfId="12" priority="6"/>
  </conditionalFormatting>
  <conditionalFormatting sqref="A3:A29">
    <cfRule type="duplicateValues" dxfId="11" priority="3"/>
    <cfRule type="duplicateValues" dxfId="10" priority="4"/>
  </conditionalFormatting>
  <conditionalFormatting sqref="A30:A35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99E9-9917-464A-A2CB-A8DCF6E5E4A1}">
  <dimension ref="A1:K35"/>
  <sheetViews>
    <sheetView rightToLeft="1" workbookViewId="0">
      <selection activeCell="O11" sqref="O11"/>
    </sheetView>
  </sheetViews>
  <sheetFormatPr defaultRowHeight="13.8" x14ac:dyDescent="0.25"/>
  <sheetData>
    <row r="1" spans="1:11" ht="21" x14ac:dyDescent="0.25">
      <c r="A1" s="1"/>
      <c r="B1" s="1"/>
      <c r="C1" s="1"/>
      <c r="D1" s="62">
        <v>2025</v>
      </c>
      <c r="E1" s="63"/>
      <c r="F1" s="63"/>
      <c r="G1" s="64"/>
      <c r="H1" s="65">
        <v>2024</v>
      </c>
      <c r="I1" s="66"/>
      <c r="J1" s="66"/>
      <c r="K1" s="67"/>
    </row>
    <row r="2" spans="1:11" ht="63" x14ac:dyDescent="0.25">
      <c r="A2" s="9" t="s">
        <v>3</v>
      </c>
      <c r="B2" s="10" t="s">
        <v>4</v>
      </c>
      <c r="C2" s="10" t="s">
        <v>5</v>
      </c>
      <c r="D2" s="44" t="s">
        <v>6</v>
      </c>
      <c r="E2" s="44" t="s">
        <v>11</v>
      </c>
      <c r="F2" s="44" t="s">
        <v>10</v>
      </c>
      <c r="G2" s="44" t="s">
        <v>9</v>
      </c>
      <c r="H2" s="45" t="s">
        <v>6</v>
      </c>
      <c r="I2" s="45" t="s">
        <v>11</v>
      </c>
      <c r="J2" s="45" t="s">
        <v>10</v>
      </c>
      <c r="K2" s="45" t="s">
        <v>12</v>
      </c>
    </row>
    <row r="3" spans="1:11" ht="31.2" x14ac:dyDescent="0.3">
      <c r="A3" s="14" t="s">
        <v>13</v>
      </c>
      <c r="B3" s="14" t="s">
        <v>14</v>
      </c>
      <c r="C3" s="14" t="s">
        <v>15</v>
      </c>
      <c r="D3" s="46"/>
      <c r="E3" s="46"/>
      <c r="F3" s="46"/>
      <c r="G3" s="46"/>
      <c r="H3" s="49"/>
      <c r="I3" s="49"/>
      <c r="J3" s="49"/>
      <c r="K3" s="49"/>
    </row>
    <row r="4" spans="1:11" ht="31.2" x14ac:dyDescent="0.3">
      <c r="A4" s="19" t="s">
        <v>16</v>
      </c>
      <c r="B4" s="1" t="s">
        <v>14</v>
      </c>
      <c r="C4" s="1" t="s">
        <v>15</v>
      </c>
      <c r="D4" s="48"/>
      <c r="E4" s="48"/>
      <c r="F4" s="48"/>
      <c r="G4" s="48"/>
      <c r="H4" s="49"/>
      <c r="I4" s="49"/>
      <c r="J4" s="49"/>
      <c r="K4" s="49"/>
    </row>
    <row r="5" spans="1:11" ht="31.2" x14ac:dyDescent="0.3">
      <c r="A5" s="19" t="s">
        <v>17</v>
      </c>
      <c r="B5" s="1" t="s">
        <v>14</v>
      </c>
      <c r="C5" s="1" t="s">
        <v>15</v>
      </c>
      <c r="D5" s="48"/>
      <c r="E5" s="48"/>
      <c r="F5" s="48"/>
      <c r="G5" s="48"/>
      <c r="H5" s="49"/>
      <c r="I5" s="49"/>
      <c r="J5" s="49"/>
      <c r="K5" s="49"/>
    </row>
    <row r="6" spans="1:11" ht="31.2" x14ac:dyDescent="0.3">
      <c r="A6" s="19" t="s">
        <v>18</v>
      </c>
      <c r="B6" s="1" t="s">
        <v>14</v>
      </c>
      <c r="C6" s="1" t="s">
        <v>15</v>
      </c>
      <c r="D6" s="48"/>
      <c r="E6" s="48"/>
      <c r="F6" s="48"/>
      <c r="G6" s="48"/>
      <c r="H6" s="49"/>
      <c r="I6" s="49"/>
      <c r="J6" s="49"/>
      <c r="K6" s="49"/>
    </row>
    <row r="7" spans="1:11" ht="15.6" x14ac:dyDescent="0.3">
      <c r="A7" s="19" t="s">
        <v>19</v>
      </c>
      <c r="B7" s="1" t="s">
        <v>14</v>
      </c>
      <c r="C7" s="1" t="s">
        <v>15</v>
      </c>
      <c r="D7" s="48"/>
      <c r="E7" s="48"/>
      <c r="F7" s="48"/>
      <c r="G7" s="48"/>
      <c r="H7" s="49"/>
      <c r="I7" s="49"/>
      <c r="J7" s="49"/>
      <c r="K7" s="49"/>
    </row>
    <row r="8" spans="1:11" ht="31.2" x14ac:dyDescent="0.3">
      <c r="A8" s="19" t="s">
        <v>20</v>
      </c>
      <c r="B8" s="1" t="s">
        <v>14</v>
      </c>
      <c r="C8" s="1" t="s">
        <v>15</v>
      </c>
      <c r="D8" s="48"/>
      <c r="E8" s="48"/>
      <c r="F8" s="48"/>
      <c r="G8" s="48"/>
      <c r="H8" s="49"/>
      <c r="I8" s="49"/>
      <c r="J8" s="49"/>
      <c r="K8" s="49"/>
    </row>
    <row r="9" spans="1:11" ht="15.6" x14ac:dyDescent="0.3">
      <c r="A9" s="1" t="s">
        <v>21</v>
      </c>
      <c r="B9" s="1" t="s">
        <v>14</v>
      </c>
      <c r="C9" s="1" t="s">
        <v>15</v>
      </c>
      <c r="D9" s="48"/>
      <c r="E9" s="48"/>
      <c r="F9" s="48"/>
      <c r="G9" s="48"/>
      <c r="H9" s="49"/>
      <c r="I9" s="49"/>
      <c r="J9" s="49"/>
      <c r="K9" s="49"/>
    </row>
    <row r="10" spans="1:11" ht="15.6" x14ac:dyDescent="0.3">
      <c r="A10" s="1" t="s">
        <v>22</v>
      </c>
      <c r="B10" s="1" t="s">
        <v>14</v>
      </c>
      <c r="C10" s="1" t="s">
        <v>15</v>
      </c>
      <c r="D10" s="48"/>
      <c r="E10" s="48"/>
      <c r="F10" s="48"/>
      <c r="G10" s="48"/>
      <c r="H10" s="49"/>
      <c r="I10" s="49"/>
      <c r="J10" s="49"/>
      <c r="K10" s="49"/>
    </row>
    <row r="11" spans="1:11" ht="31.2" x14ac:dyDescent="0.3">
      <c r="A11" s="1" t="s">
        <v>23</v>
      </c>
      <c r="B11" s="1" t="s">
        <v>14</v>
      </c>
      <c r="C11" s="1" t="s">
        <v>15</v>
      </c>
      <c r="D11" s="48"/>
      <c r="E11" s="48"/>
      <c r="F11" s="48"/>
      <c r="G11" s="48"/>
      <c r="H11" s="49"/>
      <c r="I11" s="49"/>
      <c r="J11" s="49"/>
      <c r="K11" s="49"/>
    </row>
    <row r="12" spans="1:11" ht="15.6" x14ac:dyDescent="0.3">
      <c r="A12" s="1" t="s">
        <v>24</v>
      </c>
      <c r="B12" s="1" t="s">
        <v>14</v>
      </c>
      <c r="C12" s="1" t="s">
        <v>15</v>
      </c>
      <c r="D12" s="48"/>
      <c r="E12" s="48"/>
      <c r="F12" s="48"/>
      <c r="G12" s="48"/>
      <c r="H12" s="49"/>
      <c r="I12" s="49"/>
      <c r="J12" s="49"/>
      <c r="K12" s="49"/>
    </row>
    <row r="13" spans="1:11" ht="15.6" x14ac:dyDescent="0.3">
      <c r="A13" s="1" t="s">
        <v>25</v>
      </c>
      <c r="B13" s="1" t="s">
        <v>14</v>
      </c>
      <c r="C13" s="1" t="s">
        <v>15</v>
      </c>
      <c r="D13" s="48"/>
      <c r="E13" s="48"/>
      <c r="F13" s="48"/>
      <c r="G13" s="48"/>
      <c r="H13" s="49"/>
      <c r="I13" s="49"/>
      <c r="J13" s="49"/>
      <c r="K13" s="49"/>
    </row>
    <row r="14" spans="1:11" ht="31.2" x14ac:dyDescent="0.3">
      <c r="A14" s="1" t="s">
        <v>26</v>
      </c>
      <c r="B14" s="1" t="s">
        <v>14</v>
      </c>
      <c r="C14" s="1" t="s">
        <v>15</v>
      </c>
      <c r="D14" s="48"/>
      <c r="E14" s="48"/>
      <c r="F14" s="48"/>
      <c r="G14" s="48"/>
      <c r="H14" s="49"/>
      <c r="I14" s="49"/>
      <c r="J14" s="49"/>
      <c r="K14" s="49"/>
    </row>
    <row r="15" spans="1:11" ht="15.6" x14ac:dyDescent="0.3">
      <c r="A15" s="19" t="s">
        <v>27</v>
      </c>
      <c r="B15" s="1" t="s">
        <v>14</v>
      </c>
      <c r="C15" s="1" t="s">
        <v>15</v>
      </c>
      <c r="D15" s="48"/>
      <c r="E15" s="48"/>
      <c r="F15" s="48"/>
      <c r="G15" s="48"/>
      <c r="H15" s="49"/>
      <c r="I15" s="49"/>
      <c r="J15" s="49"/>
      <c r="K15" s="49"/>
    </row>
    <row r="16" spans="1:11" ht="46.8" x14ac:dyDescent="0.3">
      <c r="A16" s="1" t="s">
        <v>28</v>
      </c>
      <c r="B16" s="1" t="s">
        <v>14</v>
      </c>
      <c r="C16" s="1" t="s">
        <v>15</v>
      </c>
      <c r="D16" s="48"/>
      <c r="E16" s="48"/>
      <c r="F16" s="48"/>
      <c r="G16" s="48"/>
      <c r="H16" s="49"/>
      <c r="I16" s="49"/>
      <c r="J16" s="49"/>
      <c r="K16" s="49"/>
    </row>
    <row r="17" spans="1:11" ht="31.2" x14ac:dyDescent="0.3">
      <c r="A17" s="1" t="s">
        <v>29</v>
      </c>
      <c r="B17" s="1" t="s">
        <v>14</v>
      </c>
      <c r="C17" s="1" t="s">
        <v>15</v>
      </c>
      <c r="D17" s="48"/>
      <c r="E17" s="48"/>
      <c r="F17" s="48"/>
      <c r="G17" s="48"/>
      <c r="H17" s="49"/>
      <c r="I17" s="49"/>
      <c r="J17" s="49"/>
      <c r="K17" s="49"/>
    </row>
    <row r="18" spans="1:11" ht="31.2" x14ac:dyDescent="0.3">
      <c r="A18" s="1" t="s">
        <v>30</v>
      </c>
      <c r="B18" s="1" t="s">
        <v>14</v>
      </c>
      <c r="C18" s="1" t="s">
        <v>15</v>
      </c>
      <c r="D18" s="48"/>
      <c r="E18" s="48"/>
      <c r="F18" s="48"/>
      <c r="G18" s="48"/>
      <c r="H18" s="49"/>
      <c r="I18" s="49"/>
      <c r="J18" s="49"/>
      <c r="K18" s="49"/>
    </row>
    <row r="19" spans="1:11" ht="15.6" x14ac:dyDescent="0.3">
      <c r="A19" s="1" t="s">
        <v>31</v>
      </c>
      <c r="B19" s="1" t="s">
        <v>14</v>
      </c>
      <c r="C19" s="1" t="s">
        <v>15</v>
      </c>
      <c r="D19" s="48"/>
      <c r="E19" s="48"/>
      <c r="F19" s="48"/>
      <c r="G19" s="48"/>
      <c r="H19" s="49"/>
      <c r="I19" s="49"/>
      <c r="J19" s="49"/>
      <c r="K19" s="49"/>
    </row>
    <row r="20" spans="1:11" ht="15.6" x14ac:dyDescent="0.3">
      <c r="A20" s="19" t="s">
        <v>32</v>
      </c>
      <c r="B20" s="1" t="s">
        <v>14</v>
      </c>
      <c r="C20" s="1" t="s">
        <v>15</v>
      </c>
      <c r="D20" s="48"/>
      <c r="E20" s="48"/>
      <c r="F20" s="48"/>
      <c r="G20" s="48"/>
      <c r="H20" s="49"/>
      <c r="I20" s="49"/>
      <c r="J20" s="49"/>
      <c r="K20" s="49"/>
    </row>
    <row r="21" spans="1:11" ht="31.2" x14ac:dyDescent="0.3">
      <c r="A21" s="1" t="s">
        <v>33</v>
      </c>
      <c r="B21" s="1" t="s">
        <v>14</v>
      </c>
      <c r="C21" s="1" t="s">
        <v>15</v>
      </c>
      <c r="D21" s="48"/>
      <c r="E21" s="48"/>
      <c r="F21" s="48"/>
      <c r="G21" s="48"/>
      <c r="H21" s="49"/>
      <c r="I21" s="49"/>
      <c r="J21" s="49"/>
      <c r="K21" s="49"/>
    </row>
    <row r="22" spans="1:11" ht="15.6" x14ac:dyDescent="0.3">
      <c r="A22" s="1" t="s">
        <v>34</v>
      </c>
      <c r="B22" s="1" t="s">
        <v>14</v>
      </c>
      <c r="C22" s="1" t="s">
        <v>15</v>
      </c>
      <c r="D22" s="48"/>
      <c r="E22" s="48"/>
      <c r="F22" s="48"/>
      <c r="G22" s="48"/>
      <c r="H22" s="49"/>
      <c r="I22" s="49"/>
      <c r="J22" s="49"/>
      <c r="K22" s="49"/>
    </row>
    <row r="23" spans="1:11" ht="15.6" x14ac:dyDescent="0.3">
      <c r="A23" s="1" t="s">
        <v>35</v>
      </c>
      <c r="B23" s="1" t="s">
        <v>14</v>
      </c>
      <c r="C23" s="1" t="s">
        <v>15</v>
      </c>
      <c r="D23" s="48"/>
      <c r="E23" s="48"/>
      <c r="F23" s="48"/>
      <c r="G23" s="48"/>
      <c r="H23" s="49"/>
      <c r="I23" s="49"/>
      <c r="J23" s="49"/>
      <c r="K23" s="49"/>
    </row>
    <row r="24" spans="1:11" ht="46.8" x14ac:dyDescent="0.3">
      <c r="A24" s="1" t="s">
        <v>36</v>
      </c>
      <c r="B24" s="1" t="s">
        <v>14</v>
      </c>
      <c r="C24" s="1" t="s">
        <v>15</v>
      </c>
      <c r="D24" s="48"/>
      <c r="E24" s="48"/>
      <c r="F24" s="48"/>
      <c r="G24" s="48"/>
      <c r="H24" s="49"/>
      <c r="I24" s="49"/>
      <c r="J24" s="49"/>
      <c r="K24" s="49"/>
    </row>
    <row r="25" spans="1:11" ht="31.2" x14ac:dyDescent="0.3">
      <c r="A25" s="1" t="s">
        <v>37</v>
      </c>
      <c r="B25" s="1" t="s">
        <v>14</v>
      </c>
      <c r="C25" s="1" t="s">
        <v>15</v>
      </c>
      <c r="D25" s="48"/>
      <c r="E25" s="48"/>
      <c r="F25" s="48"/>
      <c r="G25" s="48"/>
      <c r="H25" s="49"/>
      <c r="I25" s="49"/>
      <c r="J25" s="49"/>
      <c r="K25" s="49"/>
    </row>
    <row r="26" spans="1:11" ht="31.2" x14ac:dyDescent="0.3">
      <c r="A26" s="1" t="s">
        <v>38</v>
      </c>
      <c r="B26" s="1" t="s">
        <v>14</v>
      </c>
      <c r="C26" s="1" t="s">
        <v>15</v>
      </c>
      <c r="D26" s="48"/>
      <c r="E26" s="48"/>
      <c r="F26" s="48"/>
      <c r="G26" s="48"/>
      <c r="H26" s="49"/>
      <c r="I26" s="49"/>
      <c r="J26" s="49"/>
      <c r="K26" s="49"/>
    </row>
    <row r="27" spans="1:11" ht="31.2" x14ac:dyDescent="0.3">
      <c r="A27" s="1" t="s">
        <v>39</v>
      </c>
      <c r="B27" s="1" t="s">
        <v>14</v>
      </c>
      <c r="C27" s="1" t="s">
        <v>15</v>
      </c>
      <c r="D27" s="48"/>
      <c r="E27" s="48"/>
      <c r="F27" s="48"/>
      <c r="G27" s="48"/>
      <c r="H27" s="49"/>
      <c r="I27" s="49"/>
      <c r="J27" s="49"/>
      <c r="K27" s="49"/>
    </row>
    <row r="28" spans="1:11" ht="31.2" x14ac:dyDescent="0.3">
      <c r="A28" s="1" t="s">
        <v>40</v>
      </c>
      <c r="B28" s="1" t="s">
        <v>14</v>
      </c>
      <c r="C28" s="1" t="s">
        <v>15</v>
      </c>
      <c r="D28" s="48"/>
      <c r="E28" s="48"/>
      <c r="F28" s="48"/>
      <c r="G28" s="48"/>
      <c r="H28" s="49"/>
      <c r="I28" s="49"/>
      <c r="J28" s="49"/>
      <c r="K28" s="49"/>
    </row>
    <row r="29" spans="1:11" ht="15.6" x14ac:dyDescent="0.3">
      <c r="A29" s="20" t="s">
        <v>41</v>
      </c>
      <c r="B29" s="20" t="s">
        <v>14</v>
      </c>
      <c r="C29" s="20" t="s">
        <v>15</v>
      </c>
      <c r="D29" s="50"/>
      <c r="E29" s="50"/>
      <c r="F29" s="50"/>
      <c r="G29" s="50"/>
      <c r="H29" s="49"/>
      <c r="I29" s="49"/>
      <c r="J29" s="49"/>
      <c r="K29" s="49"/>
    </row>
    <row r="30" spans="1:11" ht="15.6" x14ac:dyDescent="0.3">
      <c r="A30" s="19" t="s">
        <v>42</v>
      </c>
      <c r="B30" s="1" t="s">
        <v>14</v>
      </c>
      <c r="C30" s="1" t="s">
        <v>43</v>
      </c>
      <c r="D30" s="48"/>
      <c r="E30" s="48"/>
      <c r="F30" s="48"/>
      <c r="G30" s="48"/>
      <c r="H30" s="49"/>
      <c r="I30" s="49"/>
      <c r="J30" s="49"/>
      <c r="K30" s="49"/>
    </row>
    <row r="31" spans="1:11" ht="31.2" x14ac:dyDescent="0.3">
      <c r="A31" s="1" t="s">
        <v>44</v>
      </c>
      <c r="B31" s="1" t="s">
        <v>14</v>
      </c>
      <c r="C31" s="1" t="s">
        <v>43</v>
      </c>
      <c r="D31" s="48"/>
      <c r="E31" s="48"/>
      <c r="F31" s="48"/>
      <c r="G31" s="48"/>
      <c r="H31" s="49"/>
      <c r="I31" s="49"/>
      <c r="J31" s="49"/>
      <c r="K31" s="49"/>
    </row>
    <row r="32" spans="1:11" ht="15.6" x14ac:dyDescent="0.3">
      <c r="A32" s="1" t="s">
        <v>45</v>
      </c>
      <c r="B32" s="1" t="s">
        <v>14</v>
      </c>
      <c r="C32" s="1" t="s">
        <v>43</v>
      </c>
      <c r="D32" s="48"/>
      <c r="E32" s="48"/>
      <c r="F32" s="48"/>
      <c r="G32" s="48"/>
      <c r="H32" s="49"/>
      <c r="I32" s="49"/>
      <c r="J32" s="49"/>
      <c r="K32" s="49"/>
    </row>
    <row r="33" spans="1:11" ht="31.2" x14ac:dyDescent="0.3">
      <c r="A33" s="1" t="s">
        <v>46</v>
      </c>
      <c r="B33" s="1" t="s">
        <v>14</v>
      </c>
      <c r="C33" s="1" t="s">
        <v>43</v>
      </c>
      <c r="D33" s="48"/>
      <c r="E33" s="48"/>
      <c r="F33" s="48"/>
      <c r="G33" s="48"/>
      <c r="H33" s="49"/>
      <c r="I33" s="49"/>
      <c r="J33" s="49"/>
      <c r="K33" s="49"/>
    </row>
    <row r="34" spans="1:11" ht="15.6" x14ac:dyDescent="0.3">
      <c r="A34" s="52" t="s">
        <v>47</v>
      </c>
      <c r="B34" s="1" t="s">
        <v>14</v>
      </c>
      <c r="C34" s="1" t="s">
        <v>43</v>
      </c>
      <c r="D34" s="48"/>
      <c r="E34" s="48"/>
      <c r="F34" s="48"/>
      <c r="G34" s="48"/>
      <c r="H34" s="49"/>
      <c r="I34" s="49"/>
      <c r="J34" s="49"/>
      <c r="K34" s="49"/>
    </row>
    <row r="35" spans="1:11" ht="31.2" x14ac:dyDescent="0.3">
      <c r="A35" s="1" t="s">
        <v>48</v>
      </c>
      <c r="B35" s="1" t="s">
        <v>14</v>
      </c>
      <c r="C35" s="1" t="s">
        <v>43</v>
      </c>
      <c r="D35" s="48"/>
      <c r="E35" s="48"/>
      <c r="F35" s="48"/>
      <c r="G35" s="48"/>
      <c r="H35" s="49"/>
      <c r="I35" s="49"/>
      <c r="J35" s="49"/>
      <c r="K35" s="49"/>
    </row>
  </sheetData>
  <mergeCells count="2">
    <mergeCell ref="D1:G1"/>
    <mergeCell ref="H1:K1"/>
  </mergeCells>
  <conditionalFormatting sqref="A1">
    <cfRule type="duplicateValues" dxfId="7" priority="7"/>
    <cfRule type="duplicateValues" dxfId="6" priority="8"/>
  </conditionalFormatting>
  <conditionalFormatting sqref="A2">
    <cfRule type="duplicateValues" dxfId="5" priority="5"/>
    <cfRule type="duplicateValues" dxfId="4" priority="6"/>
  </conditionalFormatting>
  <conditionalFormatting sqref="A3:A29">
    <cfRule type="duplicateValues" dxfId="3" priority="3"/>
    <cfRule type="duplicateValues" dxfId="2" priority="4"/>
  </conditionalFormatting>
  <conditionalFormatting sqref="A30:A3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17</vt:i4>
      </vt:variant>
    </vt:vector>
  </HeadingPairs>
  <TitlesOfParts>
    <vt:vector size="17" baseType="lpstr">
      <vt:lpstr>תפוקה מצטברת מול אשתקד</vt:lpstr>
      <vt:lpstr>תפוקה חודשית מול אשתקד</vt:lpstr>
      <vt:lpstr>תפוקה מצטברת מול יעד מצטבר</vt:lpstr>
      <vt:lpstr>תפוקה מול יעד חודשי</vt:lpstr>
      <vt:lpstr>הכשרה</vt:lpstr>
      <vt:lpstr>מגדל</vt:lpstr>
      <vt:lpstr>מנורה</vt:lpstr>
      <vt:lpstr>איילון</vt:lpstr>
      <vt:lpstr>הראל</vt:lpstr>
      <vt:lpstr>הפניקס</vt:lpstr>
      <vt:lpstr>כלל</vt:lpstr>
      <vt:lpstr>מור</vt:lpstr>
      <vt:lpstr>אלטשולר שחם</vt:lpstr>
      <vt:lpstr>מדיהו</vt:lpstr>
      <vt:lpstr>אנליסט</vt:lpstr>
      <vt:lpstr>מיטב</vt:lpstr>
      <vt:lpstr>אינפינטי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אלונה טוקיילו</dc:creator>
  <cp:lastModifiedBy>גלית ואלצר | גל אלמגור ביטוח</cp:lastModifiedBy>
  <dcterms:created xsi:type="dcterms:W3CDTF">2015-06-05T18:19:34Z</dcterms:created>
  <dcterms:modified xsi:type="dcterms:W3CDTF">2025-08-24T03:34:21Z</dcterms:modified>
</cp:coreProperties>
</file>