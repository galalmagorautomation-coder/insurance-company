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וח הנהלה" sheetId="1" r:id="rId4"/>
    <sheet state="visible" name="תפוקה מצטברת מול אשתקד" sheetId="2" r:id="rId5"/>
    <sheet state="visible" name="תפוקה חודשית מול אשתקד" sheetId="3" r:id="rId6"/>
    <sheet state="visible" name="תפוקה מצטברת מול יעד מצטבר" sheetId="4" r:id="rId7"/>
    <sheet state="visible" name="תפוקה מול יעד חודשי" sheetId="5" r:id="rId8"/>
    <sheet state="visible" name="עולים יורדים" sheetId="6" r:id="rId9"/>
    <sheet state="visible" name="הכשרה" sheetId="7" r:id="rId10"/>
    <sheet state="visible" name="מגדל" sheetId="8" r:id="rId11"/>
    <sheet state="visible" name="מנורה" sheetId="9" r:id="rId12"/>
    <sheet state="visible" name="איילון" sheetId="10" r:id="rId13"/>
    <sheet state="visible" name="הראל" sheetId="11" r:id="rId14"/>
    <sheet state="visible" name="הפניקס" sheetId="12" r:id="rId15"/>
    <sheet state="visible" name="כלל" sheetId="13" r:id="rId16"/>
    <sheet state="visible" name="מור" sheetId="14" r:id="rId17"/>
    <sheet state="visible" name="אלטשולר שחם" sheetId="15" r:id="rId18"/>
    <sheet state="visible" name="מדיהו " sheetId="16" r:id="rId19"/>
    <sheet state="visible" name="אנליסט " sheetId="17" r:id="rId20"/>
    <sheet state="visible" name="מיטב דש" sheetId="18" r:id="rId21"/>
    <sheet state="visible" name="אינפניטי" sheetId="19" r:id="rId22"/>
  </sheets>
  <definedNames>
    <definedName hidden="1" localSheetId="5" name="_xlnm._FilterDatabase">'עולים יורדים'!$A$1:$F$69</definedName>
  </definedNames>
  <calcPr/>
  <extLst>
    <ext uri="GoogleSheetsCustomDataVersion2">
      <go:sheetsCustomData xmlns:go="http://customooxmlschemas.google.com/" r:id="rId23" roundtripDataChecksum="GpE0J4sa5hxTI5foihdbTKROFxPM8PTElj/Fogqad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ID#AAAByPa0ccs
אלונה טוקיילו    (2026-01-04 09:24:39)
בשותפות עם אורן רכס</t>
      </text>
    </comment>
    <comment authorId="0" ref="C21">
      <text>
        <t xml:space="preserve">======
ID#AAAByPBMfJw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jYAwj6Ptkw2JJhDKbnYN69zmdDh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ID#AAAByPa0ccg
אלונה טוקיילו    (2026-01-04 09:24:39)
בשותפות עם אורן רכס</t>
      </text>
    </comment>
    <comment authorId="0" ref="C19">
      <text>
        <t xml:space="preserve">======
ID#AAAByPBMfJg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g4zKLn18M0tqFDFGlCRFJyKLnyO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ID#AAAByPBMfKI
אלונה טוקיילו    (2026-01-04 09:24:39)
בשותפות עם אורן רכס</t>
      </text>
    </comment>
    <comment authorId="0" ref="C21">
      <text>
        <t xml:space="preserve">======
ID#AAAByPBMfJ8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iM8J+1lt2dQFmZimRdmau8Ys9oJ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ID#AAAByPa0ccw
אלונה טוקיילו    (2026-01-04 09:24:39)
בשותפות עם אורן רכס</t>
      </text>
    </comment>
    <comment authorId="0" ref="C19">
      <text>
        <t xml:space="preserve">======
ID#AAAByPBMfKA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ixe4qkFackhlRUNxlmTp/gp0cox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ID#AAAByPa0ccc
אלונה טוקיילו    (2026-01-04 09:24:39)
בשותפות עם אורן רכס</t>
      </text>
    </comment>
    <comment authorId="0" ref="C21">
      <text>
        <t xml:space="preserve">======
ID#AAAByPBMfKk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jPj+cQyOMxEsOE8ax6dCJa/bssG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ID#AAAByPBMfKc
אלונה טוקיילו    (2026-01-04 09:24:39)
בשותפות עם אורן רכס</t>
      </text>
    </comment>
    <comment authorId="0" ref="C19">
      <text>
        <t xml:space="preserve">======
ID#AAAByPBMfJ0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hQXWKj8XMkTOrQ9Hemf1KB9TsRX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ID#AAAByPBMfKM
אלונה טוקיילו    (2026-01-04 09:24:39)
בשותפות עם אורן רכס</t>
      </text>
    </comment>
    <comment authorId="0" ref="C21">
      <text>
        <t xml:space="preserve">======
ID#AAAByPBMfJ4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isqiubLkLGMOrpdFtcIVKh+itYO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ID#AAAByPa0ccI
אלונה טוקיילו    (2026-01-04 09:24:39)
בשותפות עם אורן רכס</t>
      </text>
    </comment>
    <comment authorId="0" ref="C21">
      <text>
        <t xml:space="preserve">======
ID#AAAByPBMfKQ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gU9b7Cp20vErBKq/2Ex3hGRCY+iQ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ID#AAAByPa0ccU
אלונה טוקיילו    (2026-01-04 09:24:39)
בשותפות עם אורן רכס</t>
      </text>
    </comment>
    <comment authorId="0" ref="C19">
      <text>
        <t xml:space="preserve">======
ID#AAAByPBMfJc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gsPYPMY1tSxyvwYV+MUD45W2XXy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ID#AAAByPBMfKs
אלונה טוקיילו    (2026-01-04 09:24:39)
בשותפות עם אורן רכס</t>
      </text>
    </comment>
    <comment authorId="0" ref="C19">
      <text>
        <t xml:space="preserve">======
ID#AAAByPBMfKg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ja9pYhLi+0Ln8olNgTdBJMGH9oTw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ID#AAAByPa0ccA
אלונה טוקיילו    (2026-01-04 09:24:39)
בשותפות עם אורן רכס</t>
      </text>
    </comment>
    <comment authorId="0" ref="C19">
      <text>
        <t xml:space="preserve">======
ID#AAAByPBMfJk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iWWVL7Yoiog7MMvnPzUzDZ7wxi6g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ID#AAAByPBMfKo
אלונה טוקיילו    (2026-01-04 09:24:39)
בשותפות עם אורן רכס</t>
      </text>
    </comment>
    <comment authorId="0" ref="C21">
      <text>
        <t xml:space="preserve">======
ID#AAAByPBMfKU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jYeIaAz6RaFSvLz2QBMmFt1AIMUw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ID#AAAByPBMfKE
אלונה טוקיילו    (2026-01-04 09:24:39)
בשותפות עם אורן רכס</t>
      </text>
    </comment>
    <comment authorId="0" ref="C19">
      <text>
        <t xml:space="preserve">======
ID#AAAByPBMfJs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ia00/EMAFSH93yyXhlvWMhcj1HVA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ID#AAAByPa0cck
אלונה טוקיילו    (2026-01-04 09:24:39)
בשותפות עם אורן רכס</t>
      </text>
    </comment>
    <comment authorId="0" ref="C21">
      <text>
        <t xml:space="preserve">======
ID#AAAByPa0ccM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i19ZWetmYg6dmDg0HroQz6Yirug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ID#AAAByPa0ccQ
אלונה טוקיילו    (2026-01-04 09:24:39)
בשותפות עם אורן רכס</t>
      </text>
    </comment>
    <comment authorId="0" ref="C21">
      <text>
        <t xml:space="preserve">======
ID#AAAByPa0ccE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io1xTZD70nHIaPGeJQfFjGK44uhA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ID#AAAByPBMfKY
אלונה טוקיילו    (2026-01-04 09:24:39)
בשותפות עם אורן רכס</t>
      </text>
    </comment>
    <comment authorId="0" ref="C19">
      <text>
        <t xml:space="preserve">======
ID#AAAByPBMfJo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hAQQ7VcICgtEZzWw0KxXwtv59W/A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ID#AAAByPa0cco
אלונה טוקיילו    (2026-01-04 09:24:39)
בשותפות עם אורן רכס</t>
      </text>
    </comment>
    <comment authorId="0" ref="C19">
      <text>
        <t xml:space="preserve">======
ID#AAAByPa0ccY
אלונה טוקיילו    (2026-01-04 09:24:39)
בשותפות עם אורן רכס</t>
      </text>
    </comment>
  </commentList>
  <extLst>
    <ext uri="GoogleSheetsCustomDataVersion2">
      <go:sheetsCustomData xmlns:go="http://customooxmlschemas.google.com/" r:id="rId1" roundtripDataSignature="AMtx7mjtJUZlHCi88U4u53KXBaoP6rzieA=="/>
    </ext>
  </extLst>
</comments>
</file>

<file path=xl/sharedStrings.xml><?xml version="1.0" encoding="utf-8"?>
<sst xmlns="http://schemas.openxmlformats.org/spreadsheetml/2006/main" count="3959" uniqueCount="141">
  <si>
    <t>בס"ד</t>
  </si>
  <si>
    <r>
      <rPr>
        <rFont val="Calibri"/>
        <b/>
        <color theme="1"/>
        <sz val="12.0"/>
      </rPr>
      <t xml:space="preserve">תפוקה </t>
    </r>
    <r>
      <rPr>
        <rFont val="Calibri"/>
        <b/>
        <i/>
        <color rgb="FFFF0000"/>
        <sz val="11.0"/>
      </rPr>
      <t>מצטברת</t>
    </r>
    <r>
      <rPr>
        <rFont val="Calibri"/>
        <b/>
        <i/>
        <color theme="1"/>
        <sz val="11.0"/>
      </rPr>
      <t xml:space="preserve"> לפי קבוצות</t>
    </r>
  </si>
  <si>
    <t xml:space="preserve">קבוצה </t>
  </si>
  <si>
    <t>תפוקה מצטברת  06/2025</t>
  </si>
  <si>
    <t>שינוי מול אשתקד %</t>
  </si>
  <si>
    <t>השגת יעדים מצטבר %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</si>
  <si>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</si>
  <si>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</si>
  <si>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</si>
  <si>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</si>
  <si>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</si>
  <si>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</si>
  <si>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 xml:space="preserve">ניודי פנסיה </t>
  </si>
  <si>
    <t xml:space="preserve">ישירים </t>
  </si>
  <si>
    <t>חברות בת</t>
  </si>
  <si>
    <t xml:space="preserve">סוכני פרימיום </t>
  </si>
  <si>
    <t>סוכנים ערן</t>
  </si>
  <si>
    <t>סוכנים איתי</t>
  </si>
  <si>
    <t xml:space="preserve">סה"כ מכירות </t>
  </si>
  <si>
    <r>
      <rPr>
        <rFont val="Calibri"/>
        <b/>
        <color theme="1"/>
        <sz val="12.0"/>
      </rPr>
      <t xml:space="preserve">תפוקה </t>
    </r>
    <r>
      <rPr>
        <rFont val="Calibri"/>
        <b/>
        <color rgb="FFFF0000"/>
        <sz val="12.0"/>
      </rPr>
      <t>מצטברת</t>
    </r>
    <r>
      <rPr>
        <rFont val="Calibri"/>
        <b/>
        <color theme="1"/>
        <sz val="12.0"/>
      </rPr>
      <t xml:space="preserve"> לפי מפקחים</t>
    </r>
  </si>
  <si>
    <t>מפקח</t>
  </si>
  <si>
    <t>תפוקה מצטברת 06/2024</t>
  </si>
  <si>
    <t>יעדים מצטבר</t>
  </si>
  <si>
    <t xml:space="preserve">ערן גירוני </t>
  </si>
  <si>
    <t>לא מפוקחים</t>
  </si>
  <si>
    <t>יוסי אביב</t>
  </si>
  <si>
    <t>איתי אדן</t>
  </si>
  <si>
    <r>
      <rPr>
        <rFont val="Calibri"/>
        <b/>
        <color theme="1"/>
        <sz val="12.0"/>
      </rPr>
      <t xml:space="preserve">תפוקה </t>
    </r>
    <r>
      <rPr>
        <rFont val="Calibri"/>
        <b/>
        <color rgb="FFFF0000"/>
        <sz val="12.0"/>
      </rPr>
      <t>מצטברת</t>
    </r>
    <r>
      <rPr>
        <rFont val="Calibri"/>
        <b/>
        <color theme="1"/>
        <sz val="12.0"/>
      </rPr>
      <t xml:space="preserve"> לפי חברות</t>
    </r>
  </si>
  <si>
    <t>עולים בולטים</t>
  </si>
  <si>
    <t>סוכן</t>
  </si>
  <si>
    <t>שינוי % מול תקופה חופפת אשתקד</t>
  </si>
  <si>
    <t>עליה מול תקופה חופפת אשתקד</t>
  </si>
  <si>
    <t>תפוקה מצטברת - 2024</t>
  </si>
  <si>
    <t>אלרם סוכנות לביטוח</t>
  </si>
  <si>
    <t>מנורה</t>
  </si>
  <si>
    <t>שלי מזרחי</t>
  </si>
  <si>
    <t>מגדל</t>
  </si>
  <si>
    <t xml:space="preserve">רותי </t>
  </si>
  <si>
    <t>כלל</t>
  </si>
  <si>
    <t>גל אלמגור דאוד סוכ' לב</t>
  </si>
  <si>
    <t>אלטשולר שחם</t>
  </si>
  <si>
    <t>גולדר אבי</t>
  </si>
  <si>
    <t>מור</t>
  </si>
  <si>
    <t>הראל</t>
  </si>
  <si>
    <t>הפניקס</t>
  </si>
  <si>
    <t>איילון</t>
  </si>
  <si>
    <t xml:space="preserve">הכשרה </t>
  </si>
  <si>
    <t>יורדים בולטים</t>
  </si>
  <si>
    <t xml:space="preserve">מדיהו </t>
  </si>
  <si>
    <t>ירידה מול תקופה חופפת אשתקד</t>
  </si>
  <si>
    <t xml:space="preserve">אנליסט </t>
  </si>
  <si>
    <t>דאי גדי</t>
  </si>
  <si>
    <t>מיטב דש</t>
  </si>
  <si>
    <t>גל אלמגור סוכ</t>
  </si>
  <si>
    <t>אינפניטי</t>
  </si>
  <si>
    <t>אביב מור יוסף</t>
  </si>
  <si>
    <t>סה"כ</t>
  </si>
  <si>
    <t>גול זאב</t>
  </si>
  <si>
    <t>משה שטרן גל אלמגור</t>
  </si>
  <si>
    <t>c</t>
  </si>
  <si>
    <t>תפוקה מצטברת 06/2025</t>
  </si>
  <si>
    <t>שם סוכן</t>
  </si>
  <si>
    <t xml:space="preserve">מפקח </t>
  </si>
  <si>
    <t>מחלקה</t>
  </si>
  <si>
    <t>דניאלה אביב</t>
  </si>
  <si>
    <t xml:space="preserve">אילנית </t>
  </si>
  <si>
    <t>דני פחימה</t>
  </si>
  <si>
    <t>סה"כ ישיר</t>
  </si>
  <si>
    <t>בראשית סוכנות לביטוח</t>
  </si>
  <si>
    <t xml:space="preserve">שותפים </t>
  </si>
  <si>
    <t>גל אלמגור -וייס סוכנות</t>
  </si>
  <si>
    <t>גל אלמגור דרום סוכ ל</t>
  </si>
  <si>
    <t>מקסימום סוכנות לבטוח פ</t>
  </si>
  <si>
    <t>א.ד. אבידן ביטוחים בע"מ</t>
  </si>
  <si>
    <t xml:space="preserve">גל אלמגור -ראם </t>
  </si>
  <si>
    <t>רכס אורן</t>
  </si>
  <si>
    <t>מרדכי חג'ג'</t>
  </si>
  <si>
    <t>בדר צבי</t>
  </si>
  <si>
    <t>סה"כ חברות בנות</t>
  </si>
  <si>
    <t>מועלם אלפרד</t>
  </si>
  <si>
    <t xml:space="preserve">סוכנים </t>
  </si>
  <si>
    <t>גרניק בנימין</t>
  </si>
  <si>
    <t>סאוסן שלבי</t>
  </si>
  <si>
    <t>סברא סמיר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</si>
  <si>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</si>
  <si>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</si>
  <si>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</si>
  <si>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</si>
  <si>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</si>
  <si>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</si>
  <si>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</si>
  <si>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</si>
  <si>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מילאד אבו שקארה</t>
  </si>
  <si>
    <t>דראושה אדהם</t>
  </si>
  <si>
    <t>בדארנה עומר</t>
  </si>
  <si>
    <t>לוי חיים</t>
  </si>
  <si>
    <t>דאי דניאל</t>
  </si>
  <si>
    <t>אחמד עלי אחמד</t>
  </si>
  <si>
    <t>לילי שרון</t>
  </si>
  <si>
    <t>עבוד כיתי</t>
  </si>
  <si>
    <t>יעקב ישראל שטרן</t>
  </si>
  <si>
    <t xml:space="preserve">ניר יבלונקה </t>
  </si>
  <si>
    <t>יונתן מנחם</t>
  </si>
  <si>
    <t>ינאי חיים בוני</t>
  </si>
  <si>
    <t>יהונתן שיוביץ</t>
  </si>
  <si>
    <t>סיון פיינרו</t>
  </si>
  <si>
    <t>דורי כדורי דאי</t>
  </si>
  <si>
    <t>מכלול סוכנות לביטוח</t>
  </si>
  <si>
    <t>דורון ענק הביטוח</t>
  </si>
  <si>
    <t xml:space="preserve">אבו חיט ניזאם </t>
  </si>
  <si>
    <t>סטו וסרמן</t>
  </si>
  <si>
    <t>מטאנס זוהיר</t>
  </si>
  <si>
    <t>עאטף עדווי</t>
  </si>
  <si>
    <t>סטולרז אסף</t>
  </si>
  <si>
    <t>שירלי בוכריס</t>
  </si>
  <si>
    <t>אילנית כהן</t>
  </si>
  <si>
    <t>גל אלמגור קפיטל</t>
  </si>
  <si>
    <t>שלומי אחלופי</t>
  </si>
  <si>
    <t>מחמוד פארס</t>
  </si>
  <si>
    <t>אריאל בר-חיים</t>
  </si>
  <si>
    <t>פרמיום</t>
  </si>
  <si>
    <t xml:space="preserve">פרמיום </t>
  </si>
  <si>
    <t>חנה כצנלסון</t>
  </si>
  <si>
    <t xml:space="preserve">מיכאל וקסלר </t>
  </si>
  <si>
    <t xml:space="preserve">שני לוי </t>
  </si>
  <si>
    <t>נעם הלשטוק</t>
  </si>
  <si>
    <t>אורטל / לנג ביג סוכנות לביטוח פנסיוני</t>
  </si>
  <si>
    <t>נור אבו ראס</t>
  </si>
  <si>
    <t>סה"כ פרימיום</t>
  </si>
  <si>
    <t>סה"כ כולל</t>
  </si>
  <si>
    <t>תפוקה חודשית  06/2025</t>
  </si>
  <si>
    <t>תפוקה חודשית 06/2024</t>
  </si>
  <si>
    <t>השגת יעדים%</t>
  </si>
  <si>
    <t>יעד מצטבר 06/2025</t>
  </si>
  <si>
    <t>יעד חודשי 06/2025</t>
  </si>
  <si>
    <t>תפוקה חודשית 06/2025</t>
  </si>
  <si>
    <t xml:space="preserve">סוכנים איתי </t>
  </si>
  <si>
    <t>שינוי %</t>
  </si>
  <si>
    <t>עליה/ירידה</t>
  </si>
  <si>
    <t>תפוקה מצטברת - 2025</t>
  </si>
  <si>
    <t xml:space="preserve">תפוקה מצטברת - 2024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</si>
</sst>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??_ ;_ @_ "/>
    <numFmt numFmtId="165" formatCode="_ * #,##0.00_ ;_ * \-#,##0.00_ ;_ * &quot;-&quot;??_ ;_ @_ "/>
  </numFmts>
  <fonts count="18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4.0"/>
      <color theme="1"/>
      <name val="Calibri"/>
    </font>
    <font>
      <b/>
      <i/>
      <sz val="11.0"/>
      <color theme="1"/>
      <name val="Calibri"/>
    </font>
    <font>
      <b/>
      <sz val="18.0"/>
      <color theme="1"/>
      <name val="Calibri"/>
    </font>
    <font>
      <sz val="11.0"/>
      <color theme="1"/>
      <name val="Arial"/>
    </font>
    <font>
      <sz val="12.0"/>
      <color theme="1"/>
      <name val="Calibri"/>
    </font>
    <font>
      <sz val="12.0"/>
      <color rgb="FF333333"/>
      <name val="Calibri"/>
    </font>
    <font>
      <b/>
      <sz val="11.0"/>
      <color theme="1"/>
      <name val="Arial"/>
    </font>
    <font>
      <sz val="12.0"/>
      <color theme="1"/>
      <name val="Arial"/>
    </font>
    <font>
      <sz val="16.0"/>
      <color theme="1"/>
      <name val="Arial"/>
    </font>
    <font>
      <b/>
      <sz val="16.0"/>
      <color theme="1"/>
      <name val="Arial"/>
    </font>
    <font>
      <color theme="1"/>
      <name val="Arial"/>
      <scheme val="minor"/>
    </font>
    <font>
      <sz val="9.0"/>
      <color rgb="FF333333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BF95DF"/>
        <bgColor rgb="FFBF95DF"/>
      </patternFill>
    </fill>
    <fill>
      <patternFill patternType="solid">
        <fgColor rgb="FFE9D9AB"/>
        <bgColor rgb="FFE9D9AB"/>
      </patternFill>
    </fill>
    <fill>
      <patternFill patternType="solid">
        <fgColor rgb="FFE1CCF0"/>
        <bgColor rgb="FFE1CCF0"/>
      </patternFill>
    </fill>
    <fill>
      <patternFill patternType="solid">
        <fgColor rgb="FFF0E5C6"/>
        <bgColor rgb="FFF0E5C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</fills>
  <borders count="6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Font="1" applyNumberFormat="1"/>
    <xf borderId="0" fillId="0" fontId="1" numFmtId="0" xfId="0" applyFont="1"/>
    <xf borderId="1" fillId="0" fontId="2" numFmtId="0" xfId="0" applyAlignment="1" applyBorder="1" applyFont="1">
      <alignment horizontal="center" readingOrder="1" shrinkToFit="0" vertical="center" wrapText="1"/>
    </xf>
    <xf borderId="0" fillId="0" fontId="3" numFmtId="164" xfId="0" applyAlignment="1" applyFont="1" applyNumberFormat="1">
      <alignment vertical="center"/>
    </xf>
    <xf borderId="2" fillId="2" fontId="3" numFmtId="164" xfId="0" applyAlignment="1" applyBorder="1" applyFill="1" applyFont="1" applyNumberFormat="1">
      <alignment horizontal="center" readingOrder="2" shrinkToFit="0" vertical="center" wrapText="1"/>
    </xf>
    <xf borderId="3" fillId="3" fontId="3" numFmtId="164" xfId="0" applyAlignment="1" applyBorder="1" applyFill="1" applyFont="1" applyNumberFormat="1">
      <alignment horizontal="center" readingOrder="2" shrinkToFit="0" vertical="center" wrapText="1"/>
    </xf>
    <xf borderId="4" fillId="0" fontId="4" numFmtId="0" xfId="0" applyBorder="1" applyFont="1"/>
    <xf borderId="5" fillId="0" fontId="4" numFmtId="0" xfId="0" applyBorder="1" applyFont="1"/>
    <xf borderId="3" fillId="4" fontId="3" numFmtId="164" xfId="0" applyAlignment="1" applyBorder="1" applyFill="1" applyFont="1" applyNumberFormat="1">
      <alignment horizontal="center" readingOrder="2" shrinkToFit="0" vertical="center" wrapText="1"/>
    </xf>
    <xf borderId="3" fillId="5" fontId="3" numFmtId="164" xfId="0" applyAlignment="1" applyBorder="1" applyFill="1" applyFont="1" applyNumberFormat="1">
      <alignment horizontal="center" readingOrder="0" vertical="center"/>
    </xf>
    <xf borderId="6" fillId="0" fontId="4" numFmtId="0" xfId="0" applyBorder="1" applyFont="1"/>
    <xf borderId="7" fillId="6" fontId="2" numFmtId="164" xfId="0" applyAlignment="1" applyBorder="1" applyFill="1" applyFont="1" applyNumberFormat="1">
      <alignment horizontal="center" readingOrder="2" shrinkToFit="0" vertical="center" wrapText="1"/>
    </xf>
    <xf borderId="8" fillId="6" fontId="2" numFmtId="164" xfId="0" applyAlignment="1" applyBorder="1" applyFont="1" applyNumberFormat="1">
      <alignment horizontal="center" readingOrder="2" shrinkToFit="0" vertical="center" wrapText="1"/>
    </xf>
    <xf borderId="9" fillId="6" fontId="2" numFmtId="164" xfId="0" applyAlignment="1" applyBorder="1" applyFont="1" applyNumberFormat="1">
      <alignment horizontal="center" readingOrder="2" shrinkToFit="0" vertical="center" wrapText="1"/>
    </xf>
    <xf borderId="7" fillId="7" fontId="2" numFmtId="164" xfId="0" applyAlignment="1" applyBorder="1" applyFill="1" applyFont="1" applyNumberFormat="1">
      <alignment horizontal="center" readingOrder="2" shrinkToFit="0" vertical="center" wrapText="1"/>
    </xf>
    <xf borderId="8" fillId="7" fontId="2" numFmtId="164" xfId="0" applyAlignment="1" applyBorder="1" applyFont="1" applyNumberFormat="1">
      <alignment horizontal="center" readingOrder="2" shrinkToFit="0" vertical="center" wrapText="1"/>
    </xf>
    <xf borderId="10" fillId="7" fontId="2" numFmtId="164" xfId="0" applyAlignment="1" applyBorder="1" applyFont="1" applyNumberFormat="1">
      <alignment horizontal="center" readingOrder="2" shrinkToFit="0" vertical="center" wrapText="1"/>
    </xf>
    <xf borderId="11" fillId="7" fontId="2" numFmtId="164" xfId="0" applyAlignment="1" applyBorder="1" applyFont="1" applyNumberFormat="1">
      <alignment horizontal="center" readingOrder="2" shrinkToFit="0" vertical="center" wrapText="1"/>
    </xf>
    <xf borderId="12" fillId="8" fontId="2" numFmtId="164" xfId="0" applyAlignment="1" applyBorder="1" applyFill="1" applyFont="1" applyNumberFormat="1">
      <alignment horizontal="center" readingOrder="0" vertical="center"/>
    </xf>
    <xf borderId="13" fillId="8" fontId="2" numFmtId="164" xfId="0" applyAlignment="1" applyBorder="1" applyFont="1" applyNumberFormat="1">
      <alignment horizontal="center" readingOrder="0" vertical="center"/>
    </xf>
    <xf borderId="14" fillId="8" fontId="2" numFmtId="164" xfId="0" applyAlignment="1" applyBorder="1" applyFont="1" applyNumberFormat="1">
      <alignment horizontal="center" readingOrder="0" vertical="center"/>
    </xf>
    <xf borderId="15" fillId="0" fontId="5" numFmtId="164" xfId="0" applyAlignment="1" applyBorder="1" applyFont="1" applyNumberFormat="1">
      <alignment horizontal="center" readingOrder="0" vertical="center"/>
    </xf>
    <xf borderId="16" fillId="0" fontId="1" numFmtId="164" xfId="0" applyAlignment="1" applyBorder="1" applyFont="1" applyNumberFormat="1">
      <alignment horizontal="center" readingOrder="1" vertical="center"/>
    </xf>
    <xf borderId="17" fillId="0" fontId="1" numFmtId="164" xfId="0" applyAlignment="1" applyBorder="1" applyFont="1" applyNumberFormat="1">
      <alignment horizontal="center" readingOrder="1" vertical="center"/>
    </xf>
    <xf borderId="18" fillId="0" fontId="1" numFmtId="164" xfId="0" applyAlignment="1" applyBorder="1" applyFont="1" applyNumberFormat="1">
      <alignment horizontal="center" readingOrder="1" vertical="center"/>
    </xf>
    <xf borderId="16" fillId="0" fontId="1" numFmtId="9" xfId="0" applyAlignment="1" applyBorder="1" applyFont="1" applyNumberFormat="1">
      <alignment horizontal="center" readingOrder="1" vertical="center"/>
    </xf>
    <xf borderId="17" fillId="0" fontId="1" numFmtId="9" xfId="0" applyAlignment="1" applyBorder="1" applyFont="1" applyNumberFormat="1">
      <alignment horizontal="center" readingOrder="1" vertical="center"/>
    </xf>
    <xf borderId="18" fillId="0" fontId="1" numFmtId="9" xfId="0" applyAlignment="1" applyBorder="1" applyFont="1" applyNumberFormat="1">
      <alignment horizontal="center" readingOrder="1" vertical="center"/>
    </xf>
    <xf borderId="19" fillId="0" fontId="5" numFmtId="164" xfId="0" applyAlignment="1" applyBorder="1" applyFont="1" applyNumberFormat="1">
      <alignment horizontal="center" readingOrder="0" vertical="center"/>
    </xf>
    <xf borderId="20" fillId="0" fontId="5" numFmtId="164" xfId="0" applyAlignment="1" applyBorder="1" applyFont="1" applyNumberFormat="1">
      <alignment horizontal="center" readingOrder="0" vertical="center"/>
    </xf>
    <xf borderId="21" fillId="0" fontId="5" numFmtId="164" xfId="0" applyAlignment="1" applyBorder="1" applyFont="1" applyNumberFormat="1">
      <alignment horizontal="center" readingOrder="0" vertical="center"/>
    </xf>
    <xf borderId="22" fillId="0" fontId="1" numFmtId="164" xfId="0" applyAlignment="1" applyBorder="1" applyFont="1" applyNumberFormat="1">
      <alignment horizontal="center" readingOrder="1" vertical="center"/>
    </xf>
    <xf borderId="23" fillId="0" fontId="1" numFmtId="164" xfId="0" applyAlignment="1" applyBorder="1" applyFont="1" applyNumberFormat="1">
      <alignment horizontal="center" readingOrder="1" vertical="center"/>
    </xf>
    <xf borderId="24" fillId="0" fontId="1" numFmtId="164" xfId="0" applyAlignment="1" applyBorder="1" applyFont="1" applyNumberFormat="1">
      <alignment horizontal="center" readingOrder="1" vertical="center"/>
    </xf>
    <xf borderId="25" fillId="0" fontId="1" numFmtId="9" xfId="0" applyAlignment="1" applyBorder="1" applyFont="1" applyNumberFormat="1">
      <alignment horizontal="center" readingOrder="1" vertical="center"/>
    </xf>
    <xf borderId="26" fillId="0" fontId="1" numFmtId="9" xfId="0" applyAlignment="1" applyBorder="1" applyFont="1" applyNumberFormat="1">
      <alignment horizontal="center" readingOrder="1" vertical="center"/>
    </xf>
    <xf borderId="27" fillId="0" fontId="1" numFmtId="9" xfId="0" applyAlignment="1" applyBorder="1" applyFont="1" applyNumberFormat="1">
      <alignment horizontal="center" readingOrder="1" vertical="center"/>
    </xf>
    <xf borderId="28" fillId="9" fontId="3" numFmtId="164" xfId="0" applyAlignment="1" applyBorder="1" applyFill="1" applyFont="1" applyNumberFormat="1">
      <alignment horizontal="center" readingOrder="2" shrinkToFit="0" vertical="center" wrapText="1"/>
    </xf>
    <xf borderId="29" fillId="9" fontId="6" numFmtId="164" xfId="0" applyAlignment="1" applyBorder="1" applyFont="1" applyNumberFormat="1">
      <alignment horizontal="center" readingOrder="1" shrinkToFit="0" vertical="center" wrapText="1"/>
    </xf>
    <xf borderId="29" fillId="9" fontId="6" numFmtId="9" xfId="0" applyAlignment="1" applyBorder="1" applyFont="1" applyNumberFormat="1">
      <alignment horizontal="center" readingOrder="1" shrinkToFit="0" vertical="center" wrapText="1"/>
    </xf>
    <xf borderId="30" fillId="9" fontId="6" numFmtId="9" xfId="0" applyAlignment="1" applyBorder="1" applyFont="1" applyNumberFormat="1">
      <alignment horizontal="center" readingOrder="1" shrinkToFit="0" vertical="center" wrapText="1"/>
    </xf>
    <xf borderId="31" fillId="9" fontId="6" numFmtId="9" xfId="0" applyAlignment="1" applyBorder="1" applyFont="1" applyNumberFormat="1">
      <alignment horizontal="center" readingOrder="1" shrinkToFit="0" vertical="center" wrapText="1"/>
    </xf>
    <xf borderId="1" fillId="9" fontId="3" numFmtId="10" xfId="0" applyAlignment="1" applyBorder="1" applyFont="1" applyNumberFormat="1">
      <alignment horizontal="center" readingOrder="1" shrinkToFit="0" vertical="center" wrapText="1"/>
    </xf>
    <xf borderId="29" fillId="9" fontId="3" numFmtId="10" xfId="0" applyAlignment="1" applyBorder="1" applyFont="1" applyNumberFormat="1">
      <alignment horizontal="center" readingOrder="1" shrinkToFit="0" vertical="center" wrapText="1"/>
    </xf>
    <xf borderId="32" fillId="10" fontId="6" numFmtId="164" xfId="0" applyAlignment="1" applyBorder="1" applyFill="1" applyFont="1" applyNumberFormat="1">
      <alignment horizontal="center" readingOrder="2" shrinkToFit="0" vertical="center" wrapText="1"/>
    </xf>
    <xf borderId="32" fillId="10" fontId="6" numFmtId="9" xfId="0" applyAlignment="1" applyBorder="1" applyFont="1" applyNumberFormat="1">
      <alignment horizontal="center" readingOrder="2" shrinkToFit="0" vertical="center" wrapText="1"/>
    </xf>
    <xf borderId="0" fillId="0" fontId="1" numFmtId="0" xfId="0" applyAlignment="1" applyFont="1">
      <alignment horizontal="left" readingOrder="1"/>
    </xf>
    <xf borderId="32" fillId="10" fontId="1" numFmtId="0" xfId="0" applyAlignment="1" applyBorder="1" applyFont="1">
      <alignment horizontal="left" readingOrder="1"/>
    </xf>
    <xf borderId="0" fillId="0" fontId="2" numFmtId="0" xfId="0" applyAlignment="1" applyFont="1">
      <alignment horizontal="center" readingOrder="1" vertical="center"/>
    </xf>
    <xf borderId="0" fillId="0" fontId="7" numFmtId="0" xfId="0" applyAlignment="1" applyFont="1">
      <alignment horizontal="left" readingOrder="1"/>
    </xf>
    <xf borderId="0" fillId="0" fontId="5" numFmtId="0" xfId="0" applyAlignment="1" applyFont="1">
      <alignment horizontal="left" readingOrder="1"/>
    </xf>
    <xf borderId="33" fillId="2" fontId="3" numFmtId="164" xfId="0" applyAlignment="1" applyBorder="1" applyFont="1" applyNumberFormat="1">
      <alignment horizontal="center" readingOrder="2" shrinkToFit="0" vertical="center" wrapText="1"/>
    </xf>
    <xf borderId="3" fillId="11" fontId="8" numFmtId="0" xfId="0" applyAlignment="1" applyBorder="1" applyFill="1" applyFont="1">
      <alignment horizontal="center" readingOrder="0" vertical="center"/>
    </xf>
    <xf borderId="3" fillId="12" fontId="3" numFmtId="0" xfId="0" applyAlignment="1" applyBorder="1" applyFill="1" applyFont="1">
      <alignment horizontal="center" readingOrder="0" vertical="center"/>
    </xf>
    <xf borderId="34" fillId="0" fontId="4" numFmtId="0" xfId="0" applyBorder="1" applyFont="1"/>
    <xf borderId="35" fillId="8" fontId="2" numFmtId="164" xfId="0" applyAlignment="1" applyBorder="1" applyFont="1" applyNumberFormat="1">
      <alignment horizontal="center" readingOrder="0" vertical="center"/>
    </xf>
    <xf borderId="36" fillId="8" fontId="2" numFmtId="164" xfId="0" applyAlignment="1" applyBorder="1" applyFont="1" applyNumberFormat="1">
      <alignment horizontal="center" readingOrder="0" vertical="center"/>
    </xf>
    <xf borderId="37" fillId="8" fontId="2" numFmtId="164" xfId="0" applyAlignment="1" applyBorder="1" applyFont="1" applyNumberFormat="1">
      <alignment horizontal="center" readingOrder="0" vertical="center"/>
    </xf>
    <xf borderId="7" fillId="13" fontId="5" numFmtId="9" xfId="0" applyAlignment="1" applyBorder="1" applyFill="1" applyFont="1" applyNumberFormat="1">
      <alignment horizontal="center" readingOrder="0" vertical="center"/>
    </xf>
    <xf borderId="8" fillId="13" fontId="5" numFmtId="9" xfId="0" applyAlignment="1" applyBorder="1" applyFont="1" applyNumberFormat="1">
      <alignment horizontal="center" readingOrder="0" vertical="center"/>
    </xf>
    <xf borderId="11" fillId="13" fontId="5" numFmtId="9" xfId="0" applyAlignment="1" applyBorder="1" applyFont="1" applyNumberFormat="1">
      <alignment horizontal="center" readingOrder="0" vertical="center"/>
    </xf>
    <xf borderId="38" fillId="14" fontId="5" numFmtId="9" xfId="0" applyAlignment="1" applyBorder="1" applyFill="1" applyFont="1" applyNumberFormat="1">
      <alignment horizontal="center" readingOrder="0" vertical="center"/>
    </xf>
    <xf borderId="39" fillId="14" fontId="5" numFmtId="9" xfId="0" applyAlignment="1" applyBorder="1" applyFont="1" applyNumberFormat="1">
      <alignment horizontal="center" readingOrder="0" vertical="center"/>
    </xf>
    <xf borderId="40" fillId="14" fontId="5" numFmtId="9" xfId="0" applyAlignment="1" applyBorder="1" applyFont="1" applyNumberFormat="1">
      <alignment horizontal="center" readingOrder="0" vertical="center"/>
    </xf>
    <xf borderId="41" fillId="0" fontId="2" numFmtId="0" xfId="0" applyAlignment="1" applyBorder="1" applyFont="1">
      <alignment horizontal="center" readingOrder="2" shrinkToFit="0" vertical="center" wrapText="1"/>
    </xf>
    <xf borderId="16" fillId="0" fontId="1" numFmtId="164" xfId="0" applyBorder="1" applyFont="1" applyNumberFormat="1"/>
    <xf borderId="17" fillId="0" fontId="1" numFmtId="0" xfId="0" applyAlignment="1" applyBorder="1" applyFont="1">
      <alignment horizontal="center" readingOrder="1" vertical="center"/>
    </xf>
    <xf borderId="42" fillId="9" fontId="3" numFmtId="164" xfId="0" applyAlignment="1" applyBorder="1" applyFont="1" applyNumberFormat="1">
      <alignment horizontal="center" readingOrder="2" shrinkToFit="0" vertical="center" wrapText="1"/>
    </xf>
    <xf borderId="43" fillId="9" fontId="6" numFmtId="9" xfId="0" applyAlignment="1" applyBorder="1" applyFont="1" applyNumberFormat="1">
      <alignment horizontal="center" readingOrder="1" shrinkToFit="0" vertical="center" wrapText="1"/>
    </xf>
    <xf borderId="44" fillId="9" fontId="6" numFmtId="9" xfId="0" applyAlignment="1" applyBorder="1" applyFont="1" applyNumberFormat="1">
      <alignment horizontal="center" readingOrder="1" shrinkToFit="0" vertical="center" wrapText="1"/>
    </xf>
    <xf borderId="45" fillId="9" fontId="6" numFmtId="9" xfId="0" applyAlignment="1" applyBorder="1" applyFont="1" applyNumberFormat="1">
      <alignment horizontal="center" readingOrder="1" shrinkToFit="0" vertical="center" wrapText="1"/>
    </xf>
    <xf borderId="42" fillId="9" fontId="3" numFmtId="10" xfId="0" applyAlignment="1" applyBorder="1" applyFont="1" applyNumberFormat="1">
      <alignment horizontal="center" readingOrder="1" shrinkToFit="0" vertical="center" wrapText="1"/>
    </xf>
    <xf borderId="43" fillId="9" fontId="3" numFmtId="10" xfId="0" applyAlignment="1" applyBorder="1" applyFont="1" applyNumberFormat="1">
      <alignment horizontal="center" readingOrder="1" shrinkToFit="0" vertical="center" wrapText="1"/>
    </xf>
    <xf borderId="44" fillId="9" fontId="6" numFmtId="10" xfId="0" applyAlignment="1" applyBorder="1" applyFont="1" applyNumberFormat="1">
      <alignment horizontal="center" readingOrder="1" shrinkToFit="0" vertical="center" wrapText="1"/>
    </xf>
    <xf borderId="46" fillId="9" fontId="6" numFmtId="10" xfId="0" applyAlignment="1" applyBorder="1" applyFont="1" applyNumberFormat="1">
      <alignment horizontal="center" readingOrder="1" shrinkToFit="0" vertical="center" wrapText="1"/>
    </xf>
    <xf borderId="46" fillId="9" fontId="6" numFmtId="9" xfId="0" applyAlignment="1" applyBorder="1" applyFont="1" applyNumberFormat="1">
      <alignment horizontal="center" readingOrder="1" shrinkToFit="0" vertical="center" wrapText="1"/>
    </xf>
    <xf borderId="29" fillId="15" fontId="3" numFmtId="164" xfId="0" applyAlignment="1" applyBorder="1" applyFill="1" applyFont="1" applyNumberFormat="1">
      <alignment horizontal="center" readingOrder="2" shrinkToFit="0" vertical="center" wrapText="1"/>
    </xf>
    <xf borderId="42" fillId="15" fontId="3" numFmtId="164" xfId="0" applyAlignment="1" applyBorder="1" applyFont="1" applyNumberFormat="1">
      <alignment horizontal="center" readingOrder="2" shrinkToFit="0" vertical="center" wrapText="1"/>
    </xf>
    <xf borderId="33" fillId="0" fontId="2" numFmtId="0" xfId="0" applyAlignment="1" applyBorder="1" applyFont="1">
      <alignment horizontal="center" readingOrder="1" shrinkToFit="0" vertical="center" wrapText="1"/>
    </xf>
    <xf borderId="38" fillId="16" fontId="2" numFmtId="0" xfId="0" applyAlignment="1" applyBorder="1" applyFill="1" applyFont="1">
      <alignment horizontal="center" readingOrder="1" shrinkToFit="0" vertical="center" wrapText="1"/>
    </xf>
    <xf borderId="38" fillId="9" fontId="2" numFmtId="9" xfId="0" applyAlignment="1" applyBorder="1" applyFont="1" applyNumberFormat="1">
      <alignment horizontal="center" readingOrder="0" vertical="center"/>
    </xf>
    <xf borderId="38" fillId="9" fontId="2" numFmtId="9" xfId="0" applyAlignment="1" applyBorder="1" applyFont="1" applyNumberFormat="1">
      <alignment horizontal="center" readingOrder="0" shrinkToFit="0" vertical="center" wrapText="1"/>
    </xf>
    <xf borderId="47" fillId="6" fontId="2" numFmtId="164" xfId="0" applyAlignment="1" applyBorder="1" applyFont="1" applyNumberFormat="1">
      <alignment horizontal="center" readingOrder="2" shrinkToFit="0" vertical="center" wrapText="1"/>
    </xf>
    <xf borderId="1" fillId="7" fontId="2" numFmtId="164" xfId="0" applyAlignment="1" applyBorder="1" applyFont="1" applyNumberFormat="1">
      <alignment horizontal="center" readingOrder="2" shrinkToFit="0" vertical="center" wrapText="1"/>
    </xf>
    <xf borderId="17" fillId="0" fontId="9" numFmtId="0" xfId="0" applyAlignment="1" applyBorder="1" applyFont="1">
      <alignment readingOrder="0"/>
    </xf>
    <xf borderId="17" fillId="0" fontId="1" numFmtId="9" xfId="0" applyAlignment="1" applyBorder="1" applyFont="1" applyNumberFormat="1">
      <alignment horizontal="center" vertical="center"/>
    </xf>
    <xf borderId="17" fillId="16" fontId="1" numFmtId="164" xfId="0" applyAlignment="1" applyBorder="1" applyFont="1" applyNumberFormat="1">
      <alignment horizontal="left" readingOrder="1"/>
    </xf>
    <xf borderId="17" fillId="17" fontId="1" numFmtId="164" xfId="0" applyAlignment="1" applyBorder="1" applyFill="1" applyFont="1" applyNumberFormat="1">
      <alignment horizontal="left" readingOrder="1"/>
    </xf>
    <xf borderId="48" fillId="0" fontId="1" numFmtId="164" xfId="0" applyAlignment="1" applyBorder="1" applyFont="1" applyNumberFormat="1">
      <alignment horizontal="center" readingOrder="1" vertical="center"/>
    </xf>
    <xf borderId="49" fillId="0" fontId="1" numFmtId="9" xfId="0" applyAlignment="1" applyBorder="1" applyFont="1" applyNumberFormat="1">
      <alignment horizontal="center" readingOrder="1" vertical="center"/>
    </xf>
    <xf borderId="17" fillId="0" fontId="1" numFmtId="164" xfId="0" applyAlignment="1" applyBorder="1" applyFont="1" applyNumberFormat="1">
      <alignment horizontal="center" readingOrder="1" shrinkToFit="0" vertical="center" wrapText="1"/>
    </xf>
    <xf borderId="17" fillId="0" fontId="5" numFmtId="164" xfId="0" applyAlignment="1" applyBorder="1" applyFont="1" applyNumberFormat="1">
      <alignment horizontal="center" readingOrder="0" vertical="center"/>
    </xf>
    <xf borderId="38" fillId="15" fontId="2" numFmtId="0" xfId="0" applyAlignment="1" applyBorder="1" applyFont="1">
      <alignment horizontal="center" readingOrder="1" shrinkToFit="0" vertical="center" wrapText="1"/>
    </xf>
    <xf borderId="1" fillId="8" fontId="2" numFmtId="9" xfId="0" applyAlignment="1" applyBorder="1" applyFont="1" applyNumberFormat="1">
      <alignment horizontal="center" readingOrder="0" vertical="center"/>
    </xf>
    <xf borderId="1" fillId="8" fontId="2" numFmtId="9" xfId="0" applyAlignment="1" applyBorder="1" applyFont="1" applyNumberFormat="1">
      <alignment horizontal="center" readingOrder="0" shrinkToFit="0" vertical="center" wrapText="1"/>
    </xf>
    <xf borderId="17" fillId="0" fontId="10" numFmtId="0" xfId="0" applyAlignment="1" applyBorder="1" applyFont="1">
      <alignment horizontal="center" readingOrder="2" shrinkToFit="0" vertical="center" wrapText="1"/>
    </xf>
    <xf borderId="17" fillId="0" fontId="11" numFmtId="0" xfId="0" applyAlignment="1" applyBorder="1" applyFont="1">
      <alignment horizontal="center" readingOrder="2" shrinkToFit="0" vertical="center" wrapText="1"/>
    </xf>
    <xf borderId="50" fillId="9" fontId="3" numFmtId="164" xfId="0" applyAlignment="1" applyBorder="1" applyFont="1" applyNumberFormat="1">
      <alignment horizontal="center" readingOrder="2" shrinkToFit="0" vertical="center" wrapText="1"/>
    </xf>
    <xf borderId="43" fillId="9" fontId="6" numFmtId="164" xfId="0" applyAlignment="1" applyBorder="1" applyFont="1" applyNumberFormat="1">
      <alignment horizontal="center" readingOrder="1" shrinkToFit="0" vertical="center" wrapText="1"/>
    </xf>
    <xf borderId="44" fillId="9" fontId="6" numFmtId="164" xfId="0" applyAlignment="1" applyBorder="1" applyFont="1" applyNumberFormat="1">
      <alignment horizontal="center" readingOrder="1" shrinkToFit="0" vertical="center" wrapText="1"/>
    </xf>
    <xf borderId="45" fillId="9" fontId="6" numFmtId="164" xfId="0" applyAlignment="1" applyBorder="1" applyFont="1" applyNumberFormat="1">
      <alignment horizontal="center" readingOrder="1" shrinkToFit="0" vertical="center" wrapText="1"/>
    </xf>
    <xf borderId="42" fillId="9" fontId="6" numFmtId="9" xfId="0" applyAlignment="1" applyBorder="1" applyFont="1" applyNumberFormat="1">
      <alignment horizontal="center" readingOrder="1" shrinkToFit="0" vertical="center" wrapText="1"/>
    </xf>
    <xf borderId="20" fillId="5" fontId="3" numFmtId="0" xfId="0" applyAlignment="1" applyBorder="1" applyFont="1">
      <alignment horizontal="center" readingOrder="0" vertical="center"/>
    </xf>
    <xf borderId="51" fillId="0" fontId="4" numFmtId="0" xfId="0" applyBorder="1" applyFont="1"/>
    <xf borderId="52" fillId="0" fontId="4" numFmtId="0" xfId="0" applyBorder="1" applyFont="1"/>
    <xf borderId="17" fillId="5" fontId="3" numFmtId="0" xfId="0" applyAlignment="1" applyBorder="1" applyFont="1">
      <alignment horizontal="center" vertical="center"/>
    </xf>
    <xf borderId="20" fillId="18" fontId="3" numFmtId="0" xfId="0" applyAlignment="1" applyBorder="1" applyFill="1" applyFont="1">
      <alignment horizontal="center" readingOrder="2" shrinkToFit="0" vertical="center" wrapText="1"/>
    </xf>
    <xf borderId="53" fillId="19" fontId="3" numFmtId="0" xfId="0" applyAlignment="1" applyBorder="1" applyFill="1" applyFont="1">
      <alignment horizontal="center" readingOrder="2" shrinkToFit="0" vertical="center" wrapText="1"/>
    </xf>
    <xf borderId="54" fillId="0" fontId="4" numFmtId="0" xfId="0" applyBorder="1" applyFont="1"/>
    <xf borderId="55" fillId="0" fontId="4" numFmtId="0" xfId="0" applyBorder="1" applyFont="1"/>
    <xf borderId="0" fillId="0" fontId="9" numFmtId="0" xfId="0" applyAlignment="1" applyFont="1">
      <alignment horizontal="center" vertical="center"/>
    </xf>
    <xf borderId="17" fillId="20" fontId="3" numFmtId="0" xfId="0" applyAlignment="1" applyBorder="1" applyFill="1" applyFont="1">
      <alignment horizontal="center" readingOrder="2" shrinkToFit="0" vertical="center" wrapText="1"/>
    </xf>
    <xf borderId="17" fillId="20" fontId="2" numFmtId="0" xfId="0" applyAlignment="1" applyBorder="1" applyFont="1">
      <alignment horizontal="center" readingOrder="2" shrinkToFit="0" vertical="center" wrapText="1"/>
    </xf>
    <xf borderId="17" fillId="5" fontId="5" numFmtId="164" xfId="0" applyAlignment="1" applyBorder="1" applyFont="1" applyNumberFormat="1">
      <alignment horizontal="center" readingOrder="0" vertical="center"/>
    </xf>
    <xf borderId="17" fillId="18" fontId="2" numFmtId="164" xfId="0" applyAlignment="1" applyBorder="1" applyFont="1" applyNumberFormat="1">
      <alignment horizontal="center" readingOrder="2" shrinkToFit="0" vertical="center" wrapText="1"/>
    </xf>
    <xf borderId="17" fillId="19" fontId="2" numFmtId="164" xfId="0" applyAlignment="1" applyBorder="1" applyFont="1" applyNumberFormat="1">
      <alignment horizontal="center" readingOrder="2" shrinkToFit="0" vertical="center" wrapText="1"/>
    </xf>
    <xf borderId="0" fillId="0" fontId="9" numFmtId="164" xfId="0" applyAlignment="1" applyFont="1" applyNumberFormat="1">
      <alignment horizontal="center" vertical="center"/>
    </xf>
    <xf borderId="17" fillId="17" fontId="1" numFmtId="164" xfId="0" applyAlignment="1" applyBorder="1" applyFont="1" applyNumberFormat="1">
      <alignment horizontal="center" vertical="center"/>
    </xf>
    <xf borderId="17" fillId="16" fontId="1" numFmtId="164" xfId="0" applyAlignment="1" applyBorder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26" fillId="0" fontId="10" numFmtId="0" xfId="0" applyAlignment="1" applyBorder="1" applyFont="1">
      <alignment horizontal="center" readingOrder="2" shrinkToFit="0" vertical="center" wrapText="1"/>
    </xf>
    <xf borderId="26" fillId="0" fontId="1" numFmtId="9" xfId="0" applyAlignment="1" applyBorder="1" applyFont="1" applyNumberFormat="1">
      <alignment horizontal="center" vertical="center"/>
    </xf>
    <xf borderId="49" fillId="0" fontId="10" numFmtId="0" xfId="0" applyAlignment="1" applyBorder="1" applyFont="1">
      <alignment horizontal="center" readingOrder="2" shrinkToFit="0" vertical="center" wrapText="1"/>
    </xf>
    <xf borderId="1" fillId="21" fontId="3" numFmtId="0" xfId="0" applyAlignment="1" applyBorder="1" applyFill="1" applyFont="1">
      <alignment horizontal="center" readingOrder="2" shrinkToFit="0" vertical="center" wrapText="1"/>
    </xf>
    <xf borderId="1" fillId="21" fontId="2" numFmtId="0" xfId="0" applyAlignment="1" applyBorder="1" applyFont="1">
      <alignment horizontal="center" readingOrder="2" shrinkToFit="0" vertical="center" wrapText="1"/>
    </xf>
    <xf borderId="1" fillId="21" fontId="1" numFmtId="9" xfId="0" applyAlignment="1" applyBorder="1" applyFont="1" applyNumberFormat="1">
      <alignment horizontal="center" vertical="center"/>
    </xf>
    <xf borderId="1" fillId="21" fontId="3" numFmtId="164" xfId="0" applyAlignment="1" applyBorder="1" applyFont="1" applyNumberFormat="1">
      <alignment horizontal="center" readingOrder="2" shrinkToFit="0" vertical="center" wrapText="1"/>
    </xf>
    <xf borderId="49" fillId="0" fontId="1" numFmtId="9" xfId="0" applyAlignment="1" applyBorder="1" applyFont="1" applyNumberForma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9" numFmtId="9" xfId="0" applyAlignment="1" applyFont="1" applyNumberFormat="1">
      <alignment horizontal="center" vertical="center"/>
    </xf>
    <xf borderId="1" fillId="21" fontId="3" numFmtId="164" xfId="0" applyAlignment="1" applyBorder="1" applyFont="1" applyNumberFormat="1">
      <alignment horizontal="center" readingOrder="0" vertical="center"/>
    </xf>
    <xf borderId="1" fillId="21" fontId="3" numFmtId="164" xfId="0" applyAlignment="1" applyBorder="1" applyFont="1" applyNumberFormat="1">
      <alignment horizontal="center" vertical="center"/>
    </xf>
    <xf borderId="26" fillId="0" fontId="1" numFmtId="0" xfId="0" applyAlignment="1" applyBorder="1" applyFont="1">
      <alignment horizontal="center" readingOrder="2" shrinkToFit="0" vertical="center" wrapText="1"/>
    </xf>
    <xf borderId="16" fillId="0" fontId="13" numFmtId="0" xfId="0" applyAlignment="1" applyBorder="1" applyFont="1">
      <alignment horizontal="center" readingOrder="2" shrinkToFit="0" vertical="center" wrapText="1"/>
    </xf>
    <xf borderId="52" fillId="0" fontId="13" numFmtId="0" xfId="0" applyAlignment="1" applyBorder="1" applyFont="1">
      <alignment horizontal="center" readingOrder="2" shrinkToFit="0" vertical="center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9" numFmtId="164" xfId="0" applyFont="1" applyNumberFormat="1"/>
    <xf borderId="0" fillId="0" fontId="9" numFmtId="165" xfId="0" applyFont="1" applyNumberFormat="1"/>
    <xf borderId="20" fillId="5" fontId="3" numFmtId="0" xfId="0" applyAlignment="1" applyBorder="1" applyFont="1">
      <alignment horizontal="center" readingOrder="0" vertical="center"/>
    </xf>
    <xf borderId="20" fillId="19" fontId="3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17" fillId="19" fontId="2" numFmtId="164" xfId="0" applyAlignment="1" applyBorder="1" applyFont="1" applyNumberFormat="1">
      <alignment horizontal="center" readingOrder="0" vertical="center"/>
    </xf>
    <xf borderId="17" fillId="0" fontId="9" numFmtId="9" xfId="0" applyAlignment="1" applyBorder="1" applyFont="1" applyNumberFormat="1">
      <alignment horizontal="center" vertical="center"/>
    </xf>
    <xf borderId="56" fillId="17" fontId="1" numFmtId="164" xfId="0" applyAlignment="1" applyBorder="1" applyFont="1" applyNumberFormat="1">
      <alignment horizontal="center" vertical="center"/>
    </xf>
    <xf borderId="17" fillId="17" fontId="9" numFmtId="164" xfId="0" applyAlignment="1" applyBorder="1" applyFont="1" applyNumberFormat="1">
      <alignment horizontal="center" vertical="center"/>
    </xf>
    <xf borderId="26" fillId="0" fontId="9" numFmtId="9" xfId="0" applyAlignment="1" applyBorder="1" applyFont="1" applyNumberFormat="1">
      <alignment horizontal="center" vertical="center"/>
    </xf>
    <xf borderId="29" fillId="21" fontId="3" numFmtId="0" xfId="0" applyAlignment="1" applyBorder="1" applyFont="1">
      <alignment horizontal="center" readingOrder="2" shrinkToFit="0" vertical="center" wrapText="1"/>
    </xf>
    <xf borderId="31" fillId="21" fontId="2" numFmtId="0" xfId="0" applyAlignment="1" applyBorder="1" applyFont="1">
      <alignment horizontal="center" readingOrder="2" shrinkToFit="0" vertical="center" wrapText="1"/>
    </xf>
    <xf borderId="57" fillId="21" fontId="2" numFmtId="0" xfId="0" applyAlignment="1" applyBorder="1" applyFont="1">
      <alignment horizontal="center" readingOrder="2" shrinkToFit="0" vertical="center" wrapText="1"/>
    </xf>
    <xf borderId="30" fillId="0" fontId="9" numFmtId="9" xfId="0" applyAlignment="1" applyBorder="1" applyFont="1" applyNumberFormat="1">
      <alignment horizontal="center" vertical="center"/>
    </xf>
    <xf borderId="46" fillId="21" fontId="2" numFmtId="164" xfId="0" applyAlignment="1" applyBorder="1" applyFont="1" applyNumberFormat="1">
      <alignment horizontal="center" readingOrder="2" shrinkToFit="0" vertical="center" wrapText="1"/>
    </xf>
    <xf borderId="49" fillId="0" fontId="9" numFmtId="9" xfId="0" applyAlignment="1" applyBorder="1" applyFont="1" applyNumberFormat="1">
      <alignment horizontal="center" vertical="center"/>
    </xf>
    <xf borderId="57" fillId="21" fontId="2" numFmtId="164" xfId="0" applyAlignment="1" applyBorder="1" applyFont="1" applyNumberFormat="1">
      <alignment horizontal="center" readingOrder="2" shrinkToFit="0" vertical="center" wrapText="1"/>
    </xf>
    <xf borderId="29" fillId="21" fontId="3" numFmtId="164" xfId="0" applyAlignment="1" applyBorder="1" applyFont="1" applyNumberFormat="1">
      <alignment horizontal="center" readingOrder="0" vertical="center"/>
    </xf>
    <xf borderId="30" fillId="21" fontId="9" numFmtId="9" xfId="0" applyAlignment="1" applyBorder="1" applyFont="1" applyNumberFormat="1">
      <alignment horizontal="center" vertical="center"/>
    </xf>
    <xf borderId="31" fillId="21" fontId="2" numFmtId="164" xfId="0" applyAlignment="1" applyBorder="1" applyFont="1" applyNumberFormat="1">
      <alignment horizontal="center" readingOrder="2" shrinkToFit="0" vertical="center" wrapText="1"/>
    </xf>
    <xf borderId="58" fillId="21" fontId="2" numFmtId="0" xfId="0" applyAlignment="1" applyBorder="1" applyFont="1">
      <alignment horizontal="center" readingOrder="2" shrinkToFit="0" vertical="center" wrapText="1"/>
    </xf>
    <xf borderId="17" fillId="21" fontId="9" numFmtId="9" xfId="0" applyAlignment="1" applyBorder="1" applyFont="1" applyNumberFormat="1">
      <alignment horizontal="center" vertical="center"/>
    </xf>
    <xf borderId="29" fillId="21" fontId="3" numFmtId="164" xfId="0" applyAlignment="1" applyBorder="1" applyFont="1" applyNumberFormat="1">
      <alignment horizontal="center" readingOrder="2" shrinkToFit="0" vertical="center" wrapText="1"/>
    </xf>
    <xf borderId="0" fillId="0" fontId="13" numFmtId="0" xfId="0" applyFont="1"/>
    <xf borderId="0" fillId="0" fontId="9" numFmtId="164" xfId="0" applyAlignment="1" applyFont="1" applyNumberFormat="1">
      <alignment horizontal="center"/>
    </xf>
    <xf borderId="20" fillId="19" fontId="3" numFmtId="0" xfId="0" applyAlignment="1" applyBorder="1" applyFont="1">
      <alignment horizontal="center" readingOrder="0" vertical="center"/>
    </xf>
    <xf borderId="59" fillId="21" fontId="3" numFmtId="0" xfId="0" applyAlignment="1" applyBorder="1" applyFont="1">
      <alignment horizontal="center" readingOrder="2" shrinkToFit="0" vertical="center" wrapText="1"/>
    </xf>
    <xf borderId="60" fillId="21" fontId="2" numFmtId="0" xfId="0" applyAlignment="1" applyBorder="1" applyFont="1">
      <alignment horizontal="center" readingOrder="2" shrinkToFit="0" vertical="center" wrapText="1"/>
    </xf>
    <xf borderId="60" fillId="21" fontId="2" numFmtId="164" xfId="0" applyAlignment="1" applyBorder="1" applyFont="1" applyNumberFormat="1">
      <alignment horizontal="center" readingOrder="2" shrinkToFit="0" vertical="center" wrapText="1"/>
    </xf>
    <xf borderId="43" fillId="21" fontId="3" numFmtId="0" xfId="0" applyAlignment="1" applyBorder="1" applyFont="1">
      <alignment horizontal="center" readingOrder="2" shrinkToFit="0" vertical="center" wrapText="1"/>
    </xf>
    <xf borderId="46" fillId="21" fontId="2" numFmtId="0" xfId="0" applyAlignment="1" applyBorder="1" applyFont="1">
      <alignment horizontal="center" readingOrder="2" shrinkToFit="0" vertical="center" wrapText="1"/>
    </xf>
    <xf borderId="43" fillId="21" fontId="3" numFmtId="164" xfId="0" applyAlignment="1" applyBorder="1" applyFont="1" applyNumberFormat="1">
      <alignment horizontal="center" readingOrder="0" vertical="center"/>
    </xf>
    <xf borderId="17" fillId="21" fontId="2" numFmtId="0" xfId="0" applyAlignment="1" applyBorder="1" applyFont="1">
      <alignment horizontal="center" readingOrder="2" shrinkToFit="0" vertical="center" wrapText="1"/>
    </xf>
    <xf borderId="29" fillId="21" fontId="3" numFmtId="164" xfId="0" applyAlignment="1" applyBorder="1" applyFont="1" applyNumberFormat="1">
      <alignment horizontal="center" readingOrder="1" shrinkToFit="0" vertical="center" wrapText="1"/>
    </xf>
    <xf borderId="56" fillId="5" fontId="3" numFmtId="9" xfId="0" applyAlignment="1" applyBorder="1" applyFont="1" applyNumberFormat="1">
      <alignment readingOrder="0" vertical="center"/>
    </xf>
    <xf borderId="56" fillId="19" fontId="3" numFmtId="9" xfId="0" applyAlignment="1" applyBorder="1" applyFont="1" applyNumberFormat="1">
      <alignment readingOrder="0" vertical="center"/>
    </xf>
    <xf borderId="56" fillId="18" fontId="3" numFmtId="9" xfId="0" applyAlignment="1" applyBorder="1" applyFont="1" applyNumberFormat="1">
      <alignment readingOrder="0" shrinkToFit="0" vertical="center" wrapText="1"/>
    </xf>
    <xf borderId="56" fillId="22" fontId="3" numFmtId="9" xfId="0" applyAlignment="1" applyBorder="1" applyFill="1" applyFont="1" applyNumberFormat="1">
      <alignment readingOrder="0" shrinkToFit="0" vertical="center" wrapText="1"/>
    </xf>
    <xf borderId="17" fillId="7" fontId="1" numFmtId="164" xfId="0" applyAlignment="1" applyBorder="1" applyFont="1" applyNumberFormat="1">
      <alignment horizontal="left" readingOrder="1"/>
    </xf>
    <xf borderId="0" fillId="0" fontId="9" numFmtId="164" xfId="0" applyAlignment="1" applyFont="1" applyNumberFormat="1">
      <alignment horizontal="left" readingOrder="1"/>
    </xf>
    <xf borderId="17" fillId="0" fontId="1" numFmtId="0" xfId="0" applyAlignment="1" applyBorder="1" applyFont="1">
      <alignment horizontal="center" readingOrder="2" shrinkToFit="0" vertical="center" wrapText="1"/>
    </xf>
    <xf borderId="0" fillId="0" fontId="10" numFmtId="0" xfId="0" applyAlignment="1" applyFont="1">
      <alignment horizontal="center" readingOrder="2" shrinkToFit="0" vertical="center" wrapText="1"/>
    </xf>
    <xf borderId="0" fillId="0" fontId="13" numFmtId="164" xfId="0" applyAlignment="1" applyFont="1" applyNumberFormat="1">
      <alignment horizontal="left" readingOrder="1"/>
    </xf>
    <xf borderId="20" fillId="21" fontId="3" numFmtId="0" xfId="0" applyAlignment="1" applyBorder="1" applyFont="1">
      <alignment horizontal="center" readingOrder="2" shrinkToFit="0" vertical="center" wrapText="1"/>
    </xf>
    <xf borderId="20" fillId="19" fontId="3" numFmtId="0" xfId="0" applyAlignment="1" applyBorder="1" applyFont="1">
      <alignment horizontal="center" readingOrder="1" shrinkToFit="0" vertical="center" wrapText="1"/>
    </xf>
    <xf borderId="17" fillId="21" fontId="3" numFmtId="164" xfId="0" applyAlignment="1" applyBorder="1" applyFont="1" applyNumberFormat="1">
      <alignment horizontal="center" readingOrder="2" shrinkToFit="0" vertical="center" wrapText="1"/>
    </xf>
    <xf borderId="17" fillId="19" fontId="3" numFmtId="164" xfId="0" applyAlignment="1" applyBorder="1" applyFont="1" applyNumberFormat="1">
      <alignment horizontal="center" readingOrder="1" shrinkToFit="0" vertical="center" wrapText="1"/>
    </xf>
    <xf borderId="17" fillId="10" fontId="1" numFmtId="164" xfId="0" applyAlignment="1" applyBorder="1" applyFont="1" applyNumberFormat="1">
      <alignment horizontal="center"/>
    </xf>
    <xf borderId="17" fillId="16" fontId="1" numFmtId="164" xfId="0" applyAlignment="1" applyBorder="1" applyFont="1" applyNumberFormat="1">
      <alignment horizontal="center" readingOrder="1" vertical="center"/>
    </xf>
    <xf borderId="56" fillId="10" fontId="1" numFmtId="164" xfId="0" applyAlignment="1" applyBorder="1" applyFont="1" applyNumberFormat="1">
      <alignment horizontal="center"/>
    </xf>
    <xf borderId="56" fillId="16" fontId="1" numFmtId="164" xfId="0" applyAlignment="1" applyBorder="1" applyFont="1" applyNumberFormat="1">
      <alignment horizontal="center" readingOrder="1" vertical="center"/>
    </xf>
    <xf borderId="1" fillId="21" fontId="6" numFmtId="164" xfId="0" applyAlignment="1" applyBorder="1" applyFont="1" applyNumberFormat="1">
      <alignment horizontal="center"/>
    </xf>
    <xf borderId="8" fillId="10" fontId="1" numFmtId="164" xfId="0" applyAlignment="1" applyBorder="1" applyFont="1" applyNumberFormat="1">
      <alignment horizontal="center"/>
    </xf>
    <xf borderId="8" fillId="16" fontId="1" numFmtId="164" xfId="0" applyAlignment="1" applyBorder="1" applyFont="1" applyNumberFormat="1">
      <alignment horizontal="center" readingOrder="1" vertical="center"/>
    </xf>
    <xf borderId="1" fillId="21" fontId="1" numFmtId="164" xfId="0" applyAlignment="1" applyBorder="1" applyFont="1" applyNumberFormat="1">
      <alignment horizontal="center"/>
    </xf>
    <xf borderId="1" fillId="21" fontId="3" numFmtId="164" xfId="0" applyAlignment="1" applyBorder="1" applyFont="1" applyNumberFormat="1">
      <alignment horizontal="center" readingOrder="1" shrinkToFit="0" vertical="center" wrapText="1"/>
    </xf>
    <xf borderId="1" fillId="21" fontId="15" numFmtId="164" xfId="0" applyBorder="1" applyFont="1" applyNumberFormat="1"/>
    <xf borderId="1" fillId="21" fontId="9" numFmtId="164" xfId="0" applyBorder="1" applyFont="1" applyNumberFormat="1"/>
    <xf borderId="17" fillId="0" fontId="1" numFmtId="164" xfId="0" applyAlignment="1" applyBorder="1" applyFont="1" applyNumberFormat="1">
      <alignment horizontal="center"/>
    </xf>
    <xf borderId="1" fillId="21" fontId="3" numFmtId="164" xfId="0" applyAlignment="1" applyBorder="1" applyFont="1" applyNumberFormat="1">
      <alignment horizontal="center"/>
    </xf>
    <xf borderId="32" fillId="10" fontId="9" numFmtId="0" xfId="0" applyBorder="1" applyFont="1"/>
    <xf borderId="17" fillId="0" fontId="5" numFmtId="164" xfId="0" applyAlignment="1" applyBorder="1" applyFont="1" applyNumberFormat="1">
      <alignment horizontal="center"/>
    </xf>
    <xf borderId="26" fillId="0" fontId="1" numFmtId="164" xfId="0" applyAlignment="1" applyBorder="1" applyFont="1" applyNumberFormat="1">
      <alignment horizontal="center"/>
    </xf>
    <xf borderId="0" fillId="0" fontId="9" numFmtId="3" xfId="0" applyFont="1" applyNumberFormat="1"/>
    <xf borderId="49" fillId="0" fontId="1" numFmtId="164" xfId="0" applyAlignment="1" applyBorder="1" applyFont="1" applyNumberFormat="1">
      <alignment horizontal="center"/>
    </xf>
    <xf borderId="42" fillId="21" fontId="3" numFmtId="0" xfId="0" applyAlignment="1" applyBorder="1" applyFont="1">
      <alignment horizontal="center" readingOrder="2" shrinkToFit="0" vertical="center" wrapText="1"/>
    </xf>
    <xf borderId="42" fillId="21" fontId="2" numFmtId="0" xfId="0" applyAlignment="1" applyBorder="1" applyFont="1">
      <alignment horizontal="center" readingOrder="2" shrinkToFit="0" vertical="center" wrapText="1"/>
    </xf>
    <xf borderId="42" fillId="21" fontId="3" numFmtId="164" xfId="0" applyAlignment="1" applyBorder="1" applyFont="1" applyNumberFormat="1">
      <alignment horizontal="center" readingOrder="1" shrinkToFit="0" vertical="center" wrapText="1"/>
    </xf>
    <xf borderId="0" fillId="0" fontId="16" numFmtId="0" xfId="0" applyFont="1"/>
    <xf borderId="17" fillId="10" fontId="5" numFmtId="164" xfId="0" applyAlignment="1" applyBorder="1" applyFont="1" applyNumberFormat="1">
      <alignment horizontal="center"/>
    </xf>
    <xf borderId="17" fillId="0" fontId="9" numFmtId="0" xfId="0" applyBorder="1" applyFont="1"/>
    <xf borderId="17" fillId="0" fontId="9" numFmtId="3" xfId="0" applyBorder="1" applyFont="1" applyNumberFormat="1"/>
    <xf borderId="32" fillId="10" fontId="9" numFmtId="164" xfId="0" applyBorder="1" applyFont="1" applyNumberFormat="1"/>
    <xf borderId="17" fillId="23" fontId="17" numFmtId="3" xfId="0" applyAlignment="1" applyBorder="1" applyFill="1" applyFont="1" applyNumberFormat="1">
      <alignment horizontal="center"/>
    </xf>
    <xf borderId="17" fillId="0" fontId="9" numFmtId="164" xfId="0" applyBorder="1" applyFont="1" applyNumberFormat="1"/>
    <xf borderId="0" fillId="0" fontId="9" numFmtId="3" xfId="0" applyAlignment="1" applyFont="1" applyNumberFormat="1">
      <alignment horizontal="center" vertical="center"/>
    </xf>
    <xf borderId="32" fillId="10" fontId="9" numFmtId="4" xfId="0" applyBorder="1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showGridLines="0" rightToLeft="1" workbookViewId="0"/>
  </sheetViews>
  <sheetFormatPr customHeight="1" defaultColWidth="12.63" defaultRowHeight="15.0"/>
  <cols>
    <col customWidth="1" min="1" max="1" width="18.0"/>
    <col customWidth="1" min="2" max="2" width="13.5"/>
    <col customWidth="1" min="3" max="3" width="12.13"/>
    <col customWidth="1" min="4" max="4" width="13.5"/>
    <col customWidth="1" min="5" max="5" width="19.25"/>
    <col customWidth="1" min="6" max="6" width="7.38"/>
    <col customWidth="1" min="7" max="7" width="7.0"/>
    <col customWidth="1" min="8" max="8" width="7.25"/>
    <col customWidth="1" min="9" max="13" width="10.75"/>
    <col customWidth="1" min="14" max="14" width="15.0"/>
    <col customWidth="1" min="15" max="15" width="13.63"/>
    <col customWidth="1" min="16" max="16" width="15.0"/>
    <col customWidth="1" min="17" max="17" width="16.38"/>
    <col customWidth="1" min="18" max="18" width="16.13"/>
    <col customWidth="1" min="19" max="19" width="27.75"/>
    <col customWidth="1" min="20" max="20" width="25.63"/>
    <col customWidth="1" min="21" max="21" width="18.63"/>
    <col customWidth="1" min="22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4"/>
      <c r="S2" s="3"/>
      <c r="T2" s="3"/>
      <c r="U2" s="3"/>
    </row>
    <row r="3" ht="14.25" customHeight="1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6"/>
      <c r="M3" s="2"/>
      <c r="N3" s="3"/>
      <c r="O3" s="3"/>
      <c r="P3" s="3"/>
      <c r="Q3" s="3"/>
      <c r="R3" s="3"/>
      <c r="S3" s="3"/>
      <c r="T3" s="3"/>
      <c r="U3" s="3"/>
    </row>
    <row r="4" ht="31.5" customHeight="1">
      <c r="A4" s="7" t="s">
        <v>2</v>
      </c>
      <c r="B4" s="8" t="s">
        <v>3</v>
      </c>
      <c r="C4" s="9"/>
      <c r="D4" s="9"/>
      <c r="E4" s="10"/>
      <c r="F4" s="11" t="s">
        <v>4</v>
      </c>
      <c r="G4" s="9"/>
      <c r="H4" s="9"/>
      <c r="I4" s="10"/>
      <c r="J4" s="12" t="s">
        <v>5</v>
      </c>
      <c r="K4" s="9"/>
      <c r="L4" s="9"/>
      <c r="M4" s="10"/>
      <c r="N4" s="3"/>
      <c r="O4" s="3"/>
      <c r="P4" s="3"/>
      <c r="Q4" s="3"/>
      <c r="R4" s="3"/>
      <c r="S4" s="3"/>
      <c r="T4" s="3"/>
      <c r="U4" s="3"/>
    </row>
    <row r="5" ht="14.25" customHeight="1">
      <c r="A5" s="13"/>
      <c r="B5" s="14" t="s">
        <v>6</v>
      </c>
      <c r="C5" s="15" t="s">
        <v>7</v>
      </c>
      <c r="D5" s="15" t="s">
        <v>8</v>
      </c>
      <c r="E5" s="16" t="s">
        <v>9</v>
      </c>
      <c r="F5" s="17" t="s">
        <v>6</v>
      </c>
      <c r="G5" s="18" t="s">
        <v>10</v>
      </c>
      <c r="H5" s="19" t="s">
        <v>11</v>
      </c>
      <c r="I5" s="20" t="s">
        <v>12</v>
      </c>
      <c r="J5" s="21" t="s">
        <v>6</v>
      </c>
      <c r="K5" s="22" t="s">
        <v>10</v>
      </c>
      <c r="L5" s="22" t="s">
        <v>11</v>
      </c>
      <c r="M5" s="23" t="s">
        <v>9</v>
      </c>
      <c r="N5" s="3"/>
      <c r="O5" s="3"/>
      <c r="P5" s="3"/>
      <c r="Q5" s="3"/>
      <c r="R5" s="3"/>
      <c r="S5" s="3"/>
      <c r="T5" s="3"/>
      <c r="U5" s="3"/>
    </row>
    <row r="6" ht="14.25" customHeight="1">
      <c r="A6" s="24" t="s">
        <v>13</v>
      </c>
      <c r="B6" s="25">
        <f>'תפוקה מצטברת מול אשתקד'!H8</f>
        <v>7204918.29</v>
      </c>
      <c r="C6" s="26">
        <f>'תפוקה מצטברת מול אשתקד'!I8</f>
        <v>331810.6771</v>
      </c>
      <c r="D6" s="26">
        <f>'תפוקה מצטברת מול אשתקד'!J8</f>
        <v>21403333.89</v>
      </c>
      <c r="E6" s="27">
        <f>'תפוקה מצטברת מול אשתקד'!K8</f>
        <v>45376086.65</v>
      </c>
      <c r="F6" s="28">
        <f>'תפוקה מצטברת מול אשתקד'!D8</f>
        <v>0.7828923791</v>
      </c>
      <c r="G6" s="29">
        <f>'תפוקה מצטברת מול אשתקד'!E8</f>
        <v>-0.5615769856</v>
      </c>
      <c r="H6" s="29">
        <f>'תפוקה מצטברת מול אשתקד'!F8</f>
        <v>0.2098071189</v>
      </c>
      <c r="I6" s="30">
        <f>'תפוקה מצטברת מול אשתקד'!G8</f>
        <v>0.5624035329</v>
      </c>
      <c r="J6" s="28">
        <f>'תפוקה מצטברת מול יעד מצטבר'!D8</f>
        <v>-0.2692780639</v>
      </c>
      <c r="K6" s="29">
        <f>'תפוקה מצטברת מול יעד מצטבר'!E8</f>
        <v>-0.6550824562</v>
      </c>
      <c r="L6" s="29">
        <f>'תפוקה מצטברת מול יעד מצטבר'!F8</f>
        <v>-0.4235258055</v>
      </c>
      <c r="M6" s="30">
        <f>'תפוקה מצטברת מול יעד מצטבר'!G8</f>
        <v>-0.2154081224</v>
      </c>
      <c r="N6" s="3"/>
      <c r="O6" s="3"/>
      <c r="P6" s="3"/>
      <c r="Q6" s="3"/>
      <c r="R6" s="3"/>
      <c r="S6" s="3"/>
      <c r="T6" s="3"/>
      <c r="U6" s="3"/>
    </row>
    <row r="7" ht="14.25" customHeight="1">
      <c r="A7" s="31" t="s">
        <v>14</v>
      </c>
      <c r="B7" s="25">
        <f>'תפוקה מצטברת מול אשתקד'!H22</f>
        <v>3888390.332</v>
      </c>
      <c r="C7" s="26">
        <f>'תפוקה מצטברת מול אשתקד'!I22</f>
        <v>1454969.682</v>
      </c>
      <c r="D7" s="26">
        <f>'תפוקה מצטברת מול אשתקד'!J22</f>
        <v>12759738.3</v>
      </c>
      <c r="E7" s="27">
        <f>'תפוקה מצטברת מול אשתקד'!K22</f>
        <v>5828149.395</v>
      </c>
      <c r="F7" s="28">
        <f>'תפוקה מצטברת מול אשתקד'!D22</f>
        <v>0.4509501423</v>
      </c>
      <c r="G7" s="29">
        <f>'תפוקה מצטברת מול אשתקד'!E22</f>
        <v>0.3677994488</v>
      </c>
      <c r="H7" s="29">
        <f>'תפוקה מצטברת מול אשתקד'!F22</f>
        <v>-0.2773074421</v>
      </c>
      <c r="I7" s="30">
        <f>'תפוקה מצטברת מול אשתקד'!G22</f>
        <v>-0.5565872893</v>
      </c>
      <c r="J7" s="28">
        <f>'תפוקה מצטברת מול יעד מצטבר'!D22</f>
        <v>0.01117967759</v>
      </c>
      <c r="K7" s="29">
        <f>'תפוקה מצטברת מול יעד מצטבר'!E22</f>
        <v>-0.03516599333</v>
      </c>
      <c r="L7" s="29">
        <f>'תפוקה מצטברת מול יעד מצטבר'!F22</f>
        <v>-0.4844966752</v>
      </c>
      <c r="M7" s="30">
        <f>'תפוקה מצטברת מול יעד מצטבר'!G22</f>
        <v>-0.5985570054</v>
      </c>
      <c r="N7" s="3"/>
      <c r="O7" s="3"/>
      <c r="P7" s="3"/>
      <c r="Q7" s="3"/>
      <c r="R7" s="3"/>
      <c r="S7" s="3"/>
      <c r="T7" s="3"/>
      <c r="U7" s="3"/>
    </row>
    <row r="8" ht="14.25" customHeight="1">
      <c r="A8" s="31" t="s">
        <v>15</v>
      </c>
      <c r="B8" s="25">
        <f>'תפוקה מצטברת מול אשתקד'!H75</f>
        <v>4773890.063</v>
      </c>
      <c r="C8" s="26">
        <f>'תפוקה מצטברת מול אשתקד'!I75</f>
        <v>768736.0353</v>
      </c>
      <c r="D8" s="26">
        <f>'תפוקה מצטברת מול אשתקד'!J75</f>
        <v>33678748.37</v>
      </c>
      <c r="E8" s="27">
        <f>'תפוקה מצטברת מול אשתקד'!K75</f>
        <v>34335142.61</v>
      </c>
      <c r="F8" s="28">
        <f>'תפוקה מצטברת מול אשתקד'!D75</f>
        <v>0.3471389131</v>
      </c>
      <c r="G8" s="29">
        <f>'תפוקה מצטברת מול אשתקד'!E75</f>
        <v>0.1389952063</v>
      </c>
      <c r="H8" s="29">
        <f>'תפוקה מצטברת מול אשתקד'!F75</f>
        <v>0.395758416</v>
      </c>
      <c r="I8" s="30">
        <f>'תפוקה מצטברת מול אשתקד'!G66</f>
        <v>0.8574685905</v>
      </c>
      <c r="J8" s="28">
        <f>'תפוקה מצטברת מול יעד מצטבר'!D66</f>
        <v>-0.6149973141</v>
      </c>
      <c r="K8" s="29">
        <f>'תפוקה מצטברת מול יעד מצטבר'!E66</f>
        <v>-0.8212050808</v>
      </c>
      <c r="L8" s="29">
        <f>'תפוקה מצטברת מול יעד מצטבר'!F66</f>
        <v>-0.08948543535</v>
      </c>
      <c r="M8" s="30">
        <f>'תפוקה מצטברת מול יעד מצטבר'!G66</f>
        <v>-0.2212783634</v>
      </c>
      <c r="N8" s="3"/>
      <c r="O8" s="3"/>
      <c r="P8" s="3"/>
      <c r="Q8" s="3"/>
      <c r="R8" s="3"/>
      <c r="S8" s="3"/>
      <c r="T8" s="3"/>
      <c r="U8" s="3"/>
    </row>
    <row r="9" ht="14.25" customHeight="1">
      <c r="A9" s="32" t="s">
        <v>16</v>
      </c>
      <c r="B9" s="25">
        <f>'תפוקה מצטברת מול אשתקד'!H56</f>
        <v>5287150.384</v>
      </c>
      <c r="C9" s="26">
        <f>'תפוקה מצטברת מול אשתקד'!I56</f>
        <v>736281.5837</v>
      </c>
      <c r="D9" s="26">
        <f>'תפוקה מצטברת מול אשתקד'!J56</f>
        <v>10134031.46</v>
      </c>
      <c r="E9" s="27">
        <f>'תפוקה מצטברת מול אשתקד'!K56</f>
        <v>12164367.59</v>
      </c>
      <c r="F9" s="28">
        <f>'תפוקה מצטברת מול אשתקד'!D76</f>
        <v>0.2037589666</v>
      </c>
      <c r="G9" s="29">
        <f>'תפוקה מצטברת מול אשתקד'!E76</f>
        <v>-0.07303112764</v>
      </c>
      <c r="H9" s="29">
        <f>'תפוקה מצטברת מול אשתקד'!F76</f>
        <v>0.08479807409</v>
      </c>
      <c r="I9" s="30">
        <f>'תפוקה מצטברת מול אשתקד'!G75</f>
        <v>0.3547519521</v>
      </c>
      <c r="J9" s="28">
        <f>'תפוקה מצטברת מול יעד מצטבר'!D75</f>
        <v>0.1130283889</v>
      </c>
      <c r="K9" s="29">
        <f>'תפוקה מצטברת מול יעד מצטבר'!E75</f>
        <v>0.05595609249</v>
      </c>
      <c r="L9" s="29">
        <f>'תפוקה מצטברת מול יעד מצטבר'!F75</f>
        <v>0.429367132</v>
      </c>
      <c r="M9" s="30">
        <f>'תפוקה מצטברת מול יעד מצטבר'!G75</f>
        <v>1.81768174</v>
      </c>
      <c r="N9" s="3"/>
      <c r="O9" s="3"/>
      <c r="P9" s="3"/>
      <c r="Q9" s="3"/>
      <c r="R9" s="3"/>
      <c r="S9" s="3"/>
      <c r="T9" s="3"/>
      <c r="U9" s="3"/>
    </row>
    <row r="10" ht="14.25" customHeight="1">
      <c r="A10" s="33" t="s">
        <v>17</v>
      </c>
      <c r="B10" s="34">
        <f>'תפוקה מצטברת מול אשתקד'!H66</f>
        <v>1442528.064</v>
      </c>
      <c r="C10" s="35">
        <f>'תפוקה מצטברת מול אשתקד'!I66</f>
        <v>104130.1609</v>
      </c>
      <c r="D10" s="35">
        <f>'תפוקה מצטברת מול אשתקד'!J66</f>
        <v>9968313.454</v>
      </c>
      <c r="E10" s="36">
        <f>'תפוקה מצטברת מול אשתקד'!K66</f>
        <v>7413429.98</v>
      </c>
      <c r="F10" s="37" t="str">
        <f>'תפוקה מצטברת מול אשתקד'!D77</f>
        <v/>
      </c>
      <c r="G10" s="38" t="str">
        <f>'תפוקה מצטברת מול אשתקד'!E77</f>
        <v/>
      </c>
      <c r="H10" s="38" t="str">
        <f>'תפוקה מצטברת מול אשתקד'!F77</f>
        <v/>
      </c>
      <c r="I10" s="39">
        <f>'תפוקה מצטברת מול אשתקד'!G76</f>
        <v>0.01971270572</v>
      </c>
      <c r="J10" s="37">
        <f>'תפוקה מצטברת מול יעד מצטבר'!D76</f>
        <v>-0.1673850941</v>
      </c>
      <c r="K10" s="38">
        <f>'תפוקה מצטברת מול יעד מצטבר'!E76</f>
        <v>-0.2962682072</v>
      </c>
      <c r="L10" s="38">
        <f>'תפוקה מצטברת מול יעד מצטבר'!F76</f>
        <v>-0.1860940522</v>
      </c>
      <c r="M10" s="39">
        <f>'תפוקה מצטברת מול יעד מצטבר'!G76</f>
        <v>-0.000296949597</v>
      </c>
      <c r="N10" s="3"/>
      <c r="O10" s="3"/>
      <c r="P10" s="3"/>
      <c r="Q10" s="3"/>
      <c r="R10" s="3"/>
      <c r="S10" s="3"/>
      <c r="T10" s="3"/>
      <c r="U10" s="3"/>
    </row>
    <row r="11" ht="14.25" customHeight="1">
      <c r="A11" s="40" t="s">
        <v>18</v>
      </c>
      <c r="B11" s="41">
        <f t="shared" ref="B11:E11" si="1">SUM(B6:B10)</f>
        <v>22596877.13</v>
      </c>
      <c r="C11" s="41">
        <f t="shared" si="1"/>
        <v>3395928.139</v>
      </c>
      <c r="D11" s="41">
        <f t="shared" si="1"/>
        <v>87944165.47</v>
      </c>
      <c r="E11" s="41">
        <f t="shared" si="1"/>
        <v>105117176.2</v>
      </c>
      <c r="F11" s="42">
        <f>'תפוקה מצטברת מול אשתקד'!D76</f>
        <v>0.2037589666</v>
      </c>
      <c r="G11" s="43">
        <f>'תפוקה מצטברת מול אשתקד'!E76</f>
        <v>-0.07303112764</v>
      </c>
      <c r="H11" s="44">
        <f>'תפוקה מצטברת מול אשתקד'!F76</f>
        <v>0.08479807409</v>
      </c>
      <c r="I11" s="45">
        <f>'תפוקה מצטברת מול יעד מצטבר'!D75</f>
        <v>0.1130283889</v>
      </c>
      <c r="J11" s="46">
        <f>'תפוקה מצטברת מול יעד מצטבר'!D76</f>
        <v>-0.1673850941</v>
      </c>
      <c r="K11" s="46">
        <f>'תפוקה מצטברת מול יעד מצטבר'!E76</f>
        <v>-0.2962682072</v>
      </c>
      <c r="L11" s="46">
        <f>'תפוקה מצטברת מול יעד מצטבר'!F76</f>
        <v>-0.1860940522</v>
      </c>
      <c r="M11" s="45">
        <f>'תפוקה מצטברת מול יעד מצטבר'!G76</f>
        <v>-0.000296949597</v>
      </c>
      <c r="N11" s="3"/>
      <c r="O11" s="3"/>
      <c r="P11" s="3"/>
      <c r="Q11" s="3"/>
      <c r="R11" s="3"/>
      <c r="S11" s="3"/>
      <c r="T11" s="3"/>
      <c r="U11" s="3"/>
    </row>
    <row r="12" ht="14.25" customHeight="1">
      <c r="A12" s="47"/>
      <c r="B12" s="47"/>
      <c r="C12" s="47"/>
      <c r="D12" s="47"/>
      <c r="E12" s="47"/>
      <c r="F12" s="48"/>
      <c r="G12" s="48"/>
      <c r="H12" s="48"/>
      <c r="I12" s="48"/>
      <c r="J12" s="48"/>
      <c r="K12" s="48"/>
      <c r="L12" s="48"/>
      <c r="M12" s="48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47"/>
      <c r="B13" s="47"/>
      <c r="C13" s="47"/>
      <c r="D13" s="47"/>
      <c r="E13" s="47"/>
      <c r="F13" s="48"/>
      <c r="G13" s="48"/>
      <c r="H13" s="48"/>
      <c r="I13" s="48"/>
      <c r="J13" s="48"/>
      <c r="K13" s="48"/>
      <c r="L13" s="48"/>
      <c r="M13" s="48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5" t="s">
        <v>19</v>
      </c>
      <c r="B14" s="49"/>
      <c r="C14" s="49"/>
      <c r="H14" s="50"/>
      <c r="I14" s="50"/>
      <c r="J14" s="50"/>
      <c r="K14" s="51"/>
      <c r="L14" s="51"/>
      <c r="M14" s="52"/>
      <c r="N14" s="53"/>
      <c r="O14" s="49"/>
    </row>
    <row r="15" ht="24.0" customHeight="1">
      <c r="A15" s="54" t="s">
        <v>20</v>
      </c>
      <c r="B15" s="8" t="s">
        <v>3</v>
      </c>
      <c r="C15" s="9"/>
      <c r="D15" s="9"/>
      <c r="E15" s="10"/>
      <c r="F15" s="11" t="s">
        <v>4</v>
      </c>
      <c r="G15" s="9"/>
      <c r="H15" s="9"/>
      <c r="I15" s="10"/>
      <c r="J15" s="12" t="s">
        <v>5</v>
      </c>
      <c r="K15" s="9"/>
      <c r="L15" s="9"/>
      <c r="M15" s="10"/>
      <c r="N15" s="55" t="s">
        <v>21</v>
      </c>
      <c r="O15" s="9"/>
      <c r="P15" s="9"/>
      <c r="Q15" s="10"/>
      <c r="R15" s="56" t="s">
        <v>22</v>
      </c>
      <c r="S15" s="9"/>
      <c r="T15" s="9"/>
      <c r="U15" s="10"/>
    </row>
    <row r="16" ht="16.5" customHeight="1">
      <c r="A16" s="57"/>
      <c r="B16" s="14" t="s">
        <v>6</v>
      </c>
      <c r="C16" s="15" t="s">
        <v>7</v>
      </c>
      <c r="D16" s="15" t="s">
        <v>8</v>
      </c>
      <c r="E16" s="16" t="s">
        <v>9</v>
      </c>
      <c r="F16" s="17" t="s">
        <v>6</v>
      </c>
      <c r="G16" s="18" t="s">
        <v>10</v>
      </c>
      <c r="H16" s="19" t="s">
        <v>11</v>
      </c>
      <c r="I16" s="20" t="s">
        <v>12</v>
      </c>
      <c r="J16" s="58" t="s">
        <v>6</v>
      </c>
      <c r="K16" s="59" t="s">
        <v>10</v>
      </c>
      <c r="L16" s="59" t="s">
        <v>11</v>
      </c>
      <c r="M16" s="60" t="s">
        <v>9</v>
      </c>
      <c r="N16" s="61" t="s">
        <v>6</v>
      </c>
      <c r="O16" s="62" t="s">
        <v>10</v>
      </c>
      <c r="P16" s="62" t="s">
        <v>8</v>
      </c>
      <c r="Q16" s="63" t="s">
        <v>12</v>
      </c>
      <c r="R16" s="64" t="s">
        <v>6</v>
      </c>
      <c r="S16" s="64" t="s">
        <v>10</v>
      </c>
      <c r="T16" s="65" t="s">
        <v>8</v>
      </c>
      <c r="U16" s="66" t="s">
        <v>12</v>
      </c>
    </row>
    <row r="17" ht="21.75" customHeight="1">
      <c r="A17" s="67" t="s">
        <v>23</v>
      </c>
      <c r="B17" s="25">
        <f>SUMIF('תפוקה מצטברת מול אשתקד'!B:B,'דוח הנהלה'!A17,'תפוקה מצטברת מול אשתקד'!H:H)</f>
        <v>9693339.71</v>
      </c>
      <c r="C17" s="25">
        <f>SUMIF('תפוקה מצטברת מול אשתקד'!B:B,'דוח הנהלה'!A17,'תפוקה מצטברת מול אשתקד'!I:I)</f>
        <v>1461007.746</v>
      </c>
      <c r="D17" s="25">
        <f>SUMIF('תפוקה מצטברת מול אשתקד'!B:B,'דוח הנהלה'!A17,'תפוקה מצטברת מול אשתקד'!J:J)</f>
        <v>39669784.3</v>
      </c>
      <c r="E17" s="25">
        <f>SUMIF('תפוקה מצטברת מול אשתקד'!B:B,'דוח הנהלה'!A17,'תפוקה מצטברת מול אשתקד'!K:K)</f>
        <v>42406946.96</v>
      </c>
      <c r="F17" s="28">
        <f t="shared" ref="F17:I17" si="2">(B17-N17)/N17</f>
        <v>0.0618477892</v>
      </c>
      <c r="G17" s="29">
        <f t="shared" si="2"/>
        <v>-0.04818658305</v>
      </c>
      <c r="H17" s="29">
        <f t="shared" si="2"/>
        <v>0.2949283444</v>
      </c>
      <c r="I17" s="30">
        <f t="shared" si="2"/>
        <v>-0.2364633325</v>
      </c>
      <c r="J17" s="28">
        <f t="shared" ref="J17:M17" si="3">(B17-R17)/R17</f>
        <v>0.07736694098</v>
      </c>
      <c r="K17" s="29">
        <f t="shared" si="3"/>
        <v>-0.1108764936</v>
      </c>
      <c r="L17" s="29">
        <f t="shared" si="3"/>
        <v>0.3228552856</v>
      </c>
      <c r="M17" s="30">
        <f t="shared" si="3"/>
        <v>1.076695215</v>
      </c>
      <c r="N17" s="68">
        <f>SUMIF('תפוקה מצטברת מול אשתקד'!B:B,'דוח הנהלה'!A17,'תפוקה מצטברת מול אשתקד'!L:L)</f>
        <v>9128746.896</v>
      </c>
      <c r="O17" s="68">
        <f>SUMIF('תפוקה מצטברת מול אשתקד'!B:B,'דוח הנהלה'!A17,'תפוקה מצטברת מול אשתקד'!M:M)</f>
        <v>1534972.842</v>
      </c>
      <c r="P17" s="68">
        <f>SUMIF('תפוקה מצטברת מול אשתקד'!B:B,'דוח הנהלה'!A17,'תפוקה מצטברת מול אשתקד'!N:N)</f>
        <v>30634733.17</v>
      </c>
      <c r="Q17" s="68">
        <f>SUMIF('תפוקה מצטברת מול אשתקד'!B:B,'דוח הנהלה'!A17,'תפוקה מצטברת מול אשתקד'!O:O)</f>
        <v>55540157.75</v>
      </c>
      <c r="R17" s="68">
        <f>SUMIF('תפוקה מצטברת מול יעד מצטבר'!B:B,'דוח הנהלה'!A17,'תפוקה מצטברת מול יעד מצטבר'!H:K)</f>
        <v>8997250</v>
      </c>
      <c r="S17" s="68">
        <f>SUMIF('תפוקה מצטברת מול יעד מצטבר'!B:B,'דוח הנהלה'!A17,'תפוקה מצטברת מול יעד מצטבר'!I:I)</f>
        <v>1643200</v>
      </c>
      <c r="T17" s="68">
        <f>SUMIF('תפוקה מצטברת מול יעד מצטבר'!B:B,'דוח הנהלה'!A17,'תפוקה מצטברת מול יעד מצטבר'!J:J)</f>
        <v>29988000</v>
      </c>
      <c r="U17" s="68">
        <f>SUMIF('תפוקה מצטברת מול יעד מצטבר'!B:B,'דוח הנהלה'!A17,'תפוקה מצטברת מול יעד מצטבר'!K:K)</f>
        <v>20420400</v>
      </c>
    </row>
    <row r="18" ht="14.25" customHeight="1">
      <c r="A18" s="67" t="s">
        <v>24</v>
      </c>
      <c r="B18" s="25">
        <f>SUMIF('תפוקה מצטברת מול אשתקד'!B:B,'דוח הנהלה'!A18,'תפוקה מצטברת מול אשתקד'!H:H)</f>
        <v>29942.03</v>
      </c>
      <c r="C18" s="25">
        <f>SUMIF('תפוקה מצטברת מול אשתקד'!B:B,'דוח הנהלה'!A18,'תפוקה מצטברת מול אשתקד'!I:I)</f>
        <v>17842.41</v>
      </c>
      <c r="D18" s="25">
        <f>SUMIF('תפוקה מצטברת מול אשתקד'!B:B,'דוח הנהלה'!A18,'תפוקה מצטברת מול אשתקד'!J:J)</f>
        <v>0</v>
      </c>
      <c r="E18" s="25">
        <f>SUMIF('תפוקה מצטברת מול אשתקד'!B:B,'דוח הנהלה'!A18,'תפוקה מצטברת מול אשתקד'!K:K)</f>
        <v>0</v>
      </c>
      <c r="F18" s="28">
        <f t="shared" ref="F18:G18" si="4">(B18-N18)/N18</f>
        <v>85.10177693</v>
      </c>
      <c r="G18" s="29">
        <f t="shared" si="4"/>
        <v>4.238636708</v>
      </c>
      <c r="H18" s="69">
        <v>0.0</v>
      </c>
      <c r="I18" s="30">
        <f>(E18-Q18)/Q18</f>
        <v>-1</v>
      </c>
      <c r="J18" s="28">
        <f t="shared" ref="J18:M18" si="5">(B18-R18)/R18</f>
        <v>-0.8481641481</v>
      </c>
      <c r="K18" s="29">
        <f t="shared" si="5"/>
        <v>-0.6568767308</v>
      </c>
      <c r="L18" s="29">
        <f t="shared" si="5"/>
        <v>-1</v>
      </c>
      <c r="M18" s="30">
        <f t="shared" si="5"/>
        <v>-1</v>
      </c>
      <c r="N18" s="68">
        <f>SUMIF('תפוקה מצטברת מול אשתקד'!B:B,'דוח הנהלה'!A18,'תפוקה מצטברת מול אשתקד'!L:L)</f>
        <v>347.751592</v>
      </c>
      <c r="O18" s="68">
        <f>SUMIF('תפוקה מצטברת מול אשתקד'!B:B,'דוח הנהלה'!A18,'תפוקה מצטברת מול אשתקד'!M:M)</f>
        <v>3405.926197</v>
      </c>
      <c r="P18" s="68">
        <f>SUMIF('תפוקה מצטברת מול אשתקד'!B:B,'דוח הנהלה'!A18,'תפוקה מצטברת מול אשתקד'!N:N)</f>
        <v>0</v>
      </c>
      <c r="Q18" s="68">
        <f>SUMIF('תפוקה מצטברת מול אשתקד'!B:B,'דוח הנהלה'!A18,'תפוקה מצטברת מול אשתקד'!O:O)</f>
        <v>-168129.66</v>
      </c>
      <c r="R18" s="68">
        <f>SUMIF('תפוקה מצטברת מול יעד מצטבר'!B:B,'דוח הנהלה'!A18,'תפוקה מצטברת מול יעד מצטבר'!H:H)</f>
        <v>197200</v>
      </c>
      <c r="S18" s="68">
        <f>SUMIF('תפוקה מצטברת מול יעד מצטבר'!B:B,'דוח הנהלה'!A18,'תפוקה מצטברת מול יעד מצטבר'!I:I)</f>
        <v>52000</v>
      </c>
      <c r="T18" s="68">
        <f>SUMIF('תפוקה מצטברת מול יעד מצטבר'!B:B,'דוח הנהלה'!A18,'תפוקה מצטברת מול יעד מצטבר'!J:J)</f>
        <v>476000</v>
      </c>
      <c r="U18" s="68">
        <f>SUMIF('תפוקה מצטברת מול יעד מצטבר'!B:B,'דוח הנהלה'!A18,'תפוקה מצטברת מול יעד מצטבר'!K:K)</f>
        <v>476000</v>
      </c>
    </row>
    <row r="19" ht="14.25" customHeight="1">
      <c r="A19" s="67" t="s">
        <v>25</v>
      </c>
      <c r="B19" s="25">
        <f>SUMIF('תפוקה מצטברת מול אשתקד'!B:B,'דוח הנהלה'!A19,'תפוקה מצטברת מול אשתקד'!H:H)</f>
        <v>11431067.33</v>
      </c>
      <c r="C19" s="25">
        <f>SUMIF('תפוקה מצטברת מול אשתקד'!B:B,'דוח הנהלה'!A19,'תפוקה מצטברת מול אשתקד'!I:I)</f>
        <v>1812947.823</v>
      </c>
      <c r="D19" s="25">
        <f>SUMIF('תפוקה מצטברת מול אשתקד'!B:B,'דוח הנהלה'!A19,'תפוקה מצטברת מול אשתקד'!J:J)</f>
        <v>38306067.71</v>
      </c>
      <c r="E19" s="25">
        <f>SUMIF('תפוקה מצטברת מול אשתקד'!B:B,'דוח הנהלה'!A19,'תפוקה מצטברת מול אשתקד'!K:K)</f>
        <v>55296799.29</v>
      </c>
      <c r="F19" s="28">
        <f t="shared" ref="F19:I19" si="6">(B19-N19)/N19</f>
        <v>0.6516245871</v>
      </c>
      <c r="G19" s="29">
        <f t="shared" si="6"/>
        <v>-0.02172578685</v>
      </c>
      <c r="H19" s="29">
        <f t="shared" si="6"/>
        <v>-0.0588234587</v>
      </c>
      <c r="I19" s="30">
        <f t="shared" si="6"/>
        <v>0.264738725</v>
      </c>
      <c r="J19" s="28">
        <f t="shared" ref="J19:M19" si="7">(B19-R19)/R19</f>
        <v>-0.1949045436</v>
      </c>
      <c r="K19" s="29">
        <f t="shared" si="7"/>
        <v>-0.2884820163</v>
      </c>
      <c r="L19" s="29">
        <f t="shared" si="7"/>
        <v>-0.4251790559</v>
      </c>
      <c r="M19" s="30">
        <f t="shared" si="7"/>
        <v>-0.2600653096</v>
      </c>
      <c r="N19" s="68">
        <f>SUMIF('תפוקה מצטברת מול אשתקד'!B:B,'דוח הנהלה'!A19,'תפוקה מצטברת מול אשתקד'!L:L)</f>
        <v>6921105.085</v>
      </c>
      <c r="O19" s="68">
        <f>SUMIF('תפוקה מצטברת מול אשתקד'!B:B,'דוח הנהלה'!A19,'תפוקה מצטברת מול אשתקד'!M:M)</f>
        <v>1853210.274</v>
      </c>
      <c r="P19" s="68">
        <f>SUMIF('תפוקה מצטברת מול אשתקד'!B:B,'דוח הנהלה'!A19,'תפוקה מצטברת מול אשתקד'!N:N)</f>
        <v>40700193.89</v>
      </c>
      <c r="Q19" s="68">
        <f>SUMIF('תפוקה מצטברת מול אשתקד'!B:B,'דוח הנהלה'!A19,'תפוקה מצטברת מול אשתקד'!O:O)</f>
        <v>43721915.2</v>
      </c>
      <c r="R19" s="68">
        <f>SUMIF('תפוקה מצטברת מול יעד מצטבר'!B:B,'דוח הנהלה'!A19,'תפוקה מצטברת מול יעד מצטבר'!H:H)</f>
        <v>14198400</v>
      </c>
      <c r="S19" s="68">
        <f>SUMIF('תפוקה מצטברת מול יעד מצטבר'!B:B,'דוח הנהלה'!A19,'תפוקה מצטברת מול יעד מצטבר'!I:I)</f>
        <v>2548000</v>
      </c>
      <c r="T19" s="68">
        <f>SUMIF('תפוקה מצטברת מול יעד מצטבר'!B:B,'דוח הנהלה'!A19,'תפוקה מצטברת מול יעד מצטבר'!J:J)</f>
        <v>66640000</v>
      </c>
      <c r="U19" s="68">
        <f>SUMIF('תפוקה מצטברת מול יעד מצטבר'!B:B,'דוח הנהלה'!A19,'תפוקה מצטברת מול יעד מצטבר'!K:K)</f>
        <v>74732000</v>
      </c>
    </row>
    <row r="20" ht="14.25" customHeight="1">
      <c r="A20" s="67" t="s">
        <v>26</v>
      </c>
      <c r="B20" s="25">
        <f>SUMIF('תפוקה מצטברת מול אשתקד'!B:B,'דוח הנהלה'!A20,'תפוקה מצטברת מול אשתקד'!H:H)</f>
        <v>1442528.064</v>
      </c>
      <c r="C20" s="25">
        <f>SUMIF('תפוקה מצטברת מול אשתקד'!B:B,'דוח הנהלה'!A20,'תפוקה מצטברת מול אשתקד'!I:I)</f>
        <v>104130.1609</v>
      </c>
      <c r="D20" s="25">
        <f>SUMIF('תפוקה מצטברת מול אשתקד'!B:B,'דוח הנהלה'!A20,'תפוקה מצטברת מול אשתקד'!J:J)</f>
        <v>9968313.454</v>
      </c>
      <c r="E20" s="25">
        <f>SUMIF('תפוקה מצטברת מול אשתקד'!B:B,'דוח הנהלה'!A20,'תפוקה מצטברת מול אשתקד'!K:K)</f>
        <v>7413429.98</v>
      </c>
      <c r="F20" s="28">
        <f t="shared" ref="F20:I20" si="8">(B20-N20)/N20</f>
        <v>-0.4699956389</v>
      </c>
      <c r="G20" s="29">
        <f t="shared" si="8"/>
        <v>-0.6170092388</v>
      </c>
      <c r="H20" s="29">
        <f t="shared" si="8"/>
        <v>0.0239989657</v>
      </c>
      <c r="I20" s="30">
        <f t="shared" si="8"/>
        <v>0.8574685905</v>
      </c>
      <c r="J20" s="28">
        <f t="shared" ref="J20:M20" si="9">(B20-R20)/R20</f>
        <v>-0.6149973141</v>
      </c>
      <c r="K20" s="29">
        <f t="shared" si="9"/>
        <v>-0.8212050808</v>
      </c>
      <c r="L20" s="29">
        <f t="shared" si="9"/>
        <v>-0.08948543535</v>
      </c>
      <c r="M20" s="30">
        <f t="shared" si="9"/>
        <v>-0.2212783634</v>
      </c>
      <c r="N20" s="68">
        <f>SUMIF('תפוקה מצטברת מול אשתקד'!B:B,'דוח הנהלה'!A20,'תפוקה מצטברת מול אשתקד'!L:L)</f>
        <v>2721728.668</v>
      </c>
      <c r="O20" s="68">
        <f>SUMIF('תפוקה מצטברת מול אשתקד'!B:B,'דוח הנהלה'!A20,'תפוקה מצטברת מול אשתקד'!M:M)</f>
        <v>271886.8743</v>
      </c>
      <c r="P20" s="68">
        <f>SUMIF('תפוקה מצטברת מול אשתקד'!B:B,'דוח הנהלה'!A20,'תפוקה מצטברת מול אשתקד'!N:N)</f>
        <v>9734690.94</v>
      </c>
      <c r="Q20" s="68">
        <f>SUMIF('תפוקה מצטברת מול אשתקד'!B:B,'דוח הנהלה'!A20,'תפוקה מצטברת מול אשתקד'!O:O)</f>
        <v>3991146.886</v>
      </c>
      <c r="R20" s="68">
        <f>SUMIF('תפוקה מצטברת מול יעד מצטבר'!B:B,'דוח הנהלה'!A20,'תפוקה מצטברת מול יעד מצטבר'!H:H)</f>
        <v>3746800</v>
      </c>
      <c r="S20" s="68">
        <f>SUMIF('תפוקה מצטברת מול יעד מצטבר'!B:B,'דוח הנהלה'!A20,'תפוקה מצטברת מול יעד מצטבר'!I:I)</f>
        <v>582400</v>
      </c>
      <c r="T20" s="68">
        <f>SUMIF('תפוקה מצטברת מול יעד מצטבר'!B:B,'דוח הנהלה'!A20,'תפוקה מצטברת מול יעד מצטבר'!J:J)</f>
        <v>10948000</v>
      </c>
      <c r="U20" s="68">
        <f>SUMIF('תפוקה מצטברת מול יעד מצטבר'!B:B,'דוח הנהלה'!A20,'תפוקה מצטברת מול יעד מצטבר'!K:K)</f>
        <v>9520000</v>
      </c>
    </row>
    <row r="21" ht="14.25" customHeight="1">
      <c r="A21" s="70"/>
      <c r="B21" s="41">
        <f t="shared" ref="B21:E21" si="10">SUM(B17:B20)</f>
        <v>22596877.13</v>
      </c>
      <c r="C21" s="41">
        <f t="shared" si="10"/>
        <v>3395928.139</v>
      </c>
      <c r="D21" s="41">
        <f t="shared" si="10"/>
        <v>87944165.47</v>
      </c>
      <c r="E21" s="41">
        <f t="shared" si="10"/>
        <v>105117176.2</v>
      </c>
      <c r="F21" s="71">
        <f t="shared" ref="F21:H21" si="11">(B21-N21)/N21</f>
        <v>0.2037589666</v>
      </c>
      <c r="G21" s="72">
        <f t="shared" si="11"/>
        <v>-0.07303112764</v>
      </c>
      <c r="H21" s="73">
        <f t="shared" si="11"/>
        <v>0.08479807409</v>
      </c>
      <c r="I21" s="74">
        <f>(B21-R21)/R21</f>
        <v>-0.1673850941</v>
      </c>
      <c r="J21" s="75">
        <f t="shared" ref="J21:M21" si="12">(B21-R21)/R21</f>
        <v>-0.1673850941</v>
      </c>
      <c r="K21" s="76">
        <f t="shared" si="12"/>
        <v>-0.2962682072</v>
      </c>
      <c r="L21" s="77">
        <f t="shared" si="12"/>
        <v>-0.1860940522</v>
      </c>
      <c r="M21" s="78">
        <f t="shared" si="12"/>
        <v>-0.000296949597</v>
      </c>
      <c r="N21" s="79">
        <f t="shared" ref="N21:U21" si="13">SUM(N17:N20)</f>
        <v>18771928.4</v>
      </c>
      <c r="O21" s="79">
        <f t="shared" si="13"/>
        <v>3663475.916</v>
      </c>
      <c r="P21" s="79">
        <f t="shared" si="13"/>
        <v>81069618</v>
      </c>
      <c r="Q21" s="79">
        <f t="shared" si="13"/>
        <v>103085090.2</v>
      </c>
      <c r="R21" s="80">
        <f t="shared" si="13"/>
        <v>27139650</v>
      </c>
      <c r="S21" s="80">
        <f t="shared" si="13"/>
        <v>4825600</v>
      </c>
      <c r="T21" s="80">
        <f t="shared" si="13"/>
        <v>108052000</v>
      </c>
      <c r="U21" s="80">
        <f t="shared" si="13"/>
        <v>105148400</v>
      </c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81" t="s">
        <v>27</v>
      </c>
      <c r="B25" s="49"/>
      <c r="C25" s="49"/>
      <c r="H25" s="50"/>
      <c r="I25" s="50"/>
      <c r="J25" s="50"/>
      <c r="K25" s="51"/>
      <c r="L25" s="51"/>
      <c r="M25" s="52"/>
      <c r="N25" s="52"/>
      <c r="O25" s="49"/>
      <c r="R25" s="82" t="s">
        <v>28</v>
      </c>
      <c r="S25" s="52"/>
      <c r="T25" s="52"/>
      <c r="U25" s="49"/>
    </row>
    <row r="26" ht="21.0" customHeight="1">
      <c r="A26" s="7" t="s">
        <v>2</v>
      </c>
      <c r="B26" s="8" t="s">
        <v>3</v>
      </c>
      <c r="C26" s="9"/>
      <c r="D26" s="9"/>
      <c r="E26" s="10"/>
      <c r="F26" s="11" t="s">
        <v>4</v>
      </c>
      <c r="G26" s="9"/>
      <c r="H26" s="9"/>
      <c r="I26" s="10"/>
      <c r="J26" s="2"/>
      <c r="K26" s="2"/>
      <c r="L26" s="2"/>
      <c r="M26" s="2"/>
      <c r="N26" s="3"/>
      <c r="O26" s="3"/>
      <c r="P26" s="3"/>
      <c r="Q26" s="3"/>
      <c r="R26" s="83" t="s">
        <v>29</v>
      </c>
      <c r="S26" s="84" t="s">
        <v>30</v>
      </c>
      <c r="T26" s="84" t="s">
        <v>31</v>
      </c>
      <c r="U26" s="84" t="s">
        <v>32</v>
      </c>
    </row>
    <row r="27" ht="14.25" customHeight="1">
      <c r="A27" s="13"/>
      <c r="B27" s="14" t="s">
        <v>6</v>
      </c>
      <c r="C27" s="15" t="s">
        <v>7</v>
      </c>
      <c r="D27" s="15" t="s">
        <v>8</v>
      </c>
      <c r="E27" s="85" t="s">
        <v>9</v>
      </c>
      <c r="F27" s="86" t="s">
        <v>6</v>
      </c>
      <c r="G27" s="86" t="s">
        <v>10</v>
      </c>
      <c r="H27" s="86" t="s">
        <v>11</v>
      </c>
      <c r="I27" s="86" t="s">
        <v>9</v>
      </c>
      <c r="J27" s="2"/>
      <c r="K27" s="2"/>
      <c r="L27" s="2"/>
      <c r="M27" s="2"/>
      <c r="N27" s="3"/>
      <c r="O27" s="3"/>
      <c r="P27" s="3"/>
      <c r="Q27" s="3"/>
      <c r="R27" s="87" t="s">
        <v>33</v>
      </c>
      <c r="S27" s="88">
        <v>0.5057780629557751</v>
      </c>
      <c r="T27" s="89">
        <v>72482.85253060338</v>
      </c>
      <c r="U27" s="90">
        <v>215792.4537952617</v>
      </c>
    </row>
    <row r="28" ht="14.25" customHeight="1">
      <c r="A28" s="24" t="s">
        <v>34</v>
      </c>
      <c r="B28" s="91">
        <f>'מנורה'!D76</f>
        <v>3151388.549</v>
      </c>
      <c r="C28" s="91">
        <f>'מנורה'!E76</f>
        <v>800939.3742</v>
      </c>
      <c r="D28" s="91">
        <f>'מנורה'!F76</f>
        <v>3449865.769</v>
      </c>
      <c r="E28" s="91">
        <f>'מנורה'!G76</f>
        <v>-4300781.835</v>
      </c>
      <c r="F28" s="92">
        <f>'מנורה'!D76/'מנורה'!H76-1</f>
        <v>0.1423648783</v>
      </c>
      <c r="G28" s="92">
        <f>'מנורה'!E76/'מנורה'!I76-1</f>
        <v>-0.1048077887</v>
      </c>
      <c r="H28" s="92">
        <f>'מנורה'!F76/'מנורה'!J76-1</f>
        <v>-0.5202845395</v>
      </c>
      <c r="I28" s="92">
        <f>'מנורה'!G76/'מנורה'!K76-1</f>
        <v>-1.305946829</v>
      </c>
      <c r="J28" s="2"/>
      <c r="K28" s="2"/>
      <c r="L28" s="2"/>
      <c r="M28" s="2"/>
      <c r="N28" s="3"/>
      <c r="O28" s="3"/>
      <c r="P28" s="3"/>
      <c r="Q28" s="3"/>
      <c r="R28" s="93" t="s">
        <v>35</v>
      </c>
      <c r="S28" s="88">
        <v>0.09812025873303232</v>
      </c>
      <c r="T28" s="89">
        <v>34397.55526370165</v>
      </c>
      <c r="U28" s="90">
        <v>384962.8280000001</v>
      </c>
    </row>
    <row r="29" ht="14.25" customHeight="1">
      <c r="A29" s="31" t="s">
        <v>36</v>
      </c>
      <c r="B29" s="25">
        <f>'מגדל'!D76</f>
        <v>12507528.65</v>
      </c>
      <c r="C29" s="25">
        <f>'מגדל'!E76</f>
        <v>618564.33</v>
      </c>
      <c r="D29" s="25">
        <f>'מגדל'!F76</f>
        <v>35895361.35</v>
      </c>
      <c r="E29" s="25">
        <f>'מגדל'!G76</f>
        <v>92537771.58</v>
      </c>
      <c r="F29" s="29">
        <f>'מגדל'!D76/'מגדל'!H76-1</f>
        <v>0.5781608558</v>
      </c>
      <c r="G29" s="29">
        <f>'מגדל'!E76/'מגדל'!I76-1</f>
        <v>0.2065780318</v>
      </c>
      <c r="H29" s="29">
        <f>'מגדל'!F76/'מגדל'!J76-1</f>
        <v>0.5484298934</v>
      </c>
      <c r="I29" s="92">
        <f>'מגדל'!G76/'מגדל'!K76-1</f>
        <v>1.186739499</v>
      </c>
      <c r="J29" s="2"/>
      <c r="K29" s="2"/>
      <c r="L29" s="2"/>
      <c r="M29" s="2"/>
      <c r="N29" s="3"/>
      <c r="O29" s="3"/>
      <c r="P29" s="3"/>
      <c r="Q29" s="3"/>
      <c r="R29" s="93" t="s">
        <v>37</v>
      </c>
      <c r="S29" s="88">
        <v>1.0</v>
      </c>
      <c r="T29" s="89">
        <v>47762.66377677448</v>
      </c>
      <c r="U29" s="90">
        <v>47762.66377677448</v>
      </c>
    </row>
    <row r="30" ht="14.25" customHeight="1">
      <c r="A30" s="31" t="s">
        <v>38</v>
      </c>
      <c r="B30" s="25">
        <f>'כלל'!D76</f>
        <v>3764122.32</v>
      </c>
      <c r="C30" s="25">
        <f>'כלל'!E76</f>
        <v>1080218.301</v>
      </c>
      <c r="D30" s="25">
        <f>'כלל'!F76</f>
        <v>14135034.08</v>
      </c>
      <c r="E30" s="25">
        <f>'כלל'!G76</f>
        <v>8594073.48</v>
      </c>
      <c r="F30" s="29">
        <f>'כלל'!D76/'כלל'!H76-1</f>
        <v>-0.2513631768</v>
      </c>
      <c r="G30" s="29">
        <f>'כלל'!E76/'כלל'!I76-1</f>
        <v>0.2355022676</v>
      </c>
      <c r="H30" s="29">
        <f>'כלל'!F76/'כלל'!J76-1</f>
        <v>0.1962024424</v>
      </c>
      <c r="I30" s="92">
        <f>'כלל'!G76/'כלל'!K76-1</f>
        <v>-0.7635779691</v>
      </c>
      <c r="J30" s="2"/>
      <c r="K30" s="2"/>
      <c r="L30" s="2"/>
      <c r="M30" s="2"/>
      <c r="N30" s="3"/>
      <c r="O30" s="3"/>
      <c r="P30" s="3"/>
      <c r="Q30" s="3"/>
      <c r="R30" s="93" t="s">
        <v>39</v>
      </c>
      <c r="S30" s="88">
        <v>0.6998451095219413</v>
      </c>
      <c r="T30" s="89">
        <v>330261.0519935355</v>
      </c>
      <c r="U30" s="90">
        <v>802166.9744613429</v>
      </c>
    </row>
    <row r="31" ht="14.25" customHeight="1">
      <c r="A31" s="31" t="s">
        <v>40</v>
      </c>
      <c r="B31" s="25">
        <f>'אלטשולר שחם'!D76</f>
        <v>12000</v>
      </c>
      <c r="C31" s="25">
        <f>'אלטשולר שחם'!E76</f>
        <v>0</v>
      </c>
      <c r="D31" s="25">
        <f>'אלטשולר שחם'!F76</f>
        <v>243273.06</v>
      </c>
      <c r="E31" s="25">
        <f>'אלטשולר שחם'!G76</f>
        <v>0</v>
      </c>
      <c r="F31" s="29">
        <v>1.0</v>
      </c>
      <c r="G31" s="29">
        <v>0.0</v>
      </c>
      <c r="H31" s="29">
        <f>'אלטשולר שחם'!F76/'אלטשולר שחם'!J76-1</f>
        <v>1.522271229</v>
      </c>
      <c r="I31" s="92">
        <v>0.0</v>
      </c>
      <c r="J31" s="2"/>
      <c r="K31" s="2"/>
      <c r="L31" s="2"/>
      <c r="M31" s="2"/>
      <c r="N31" s="3"/>
      <c r="O31" s="3"/>
      <c r="P31" s="3"/>
      <c r="Q31" s="3"/>
      <c r="R31" s="93" t="s">
        <v>41</v>
      </c>
      <c r="S31" s="88">
        <v>6.3252763377214505</v>
      </c>
      <c r="T31" s="89">
        <v>52841.261361239594</v>
      </c>
      <c r="U31" s="90">
        <v>61195.24599999999</v>
      </c>
    </row>
    <row r="32" ht="14.25" customHeight="1">
      <c r="A32" s="31" t="s">
        <v>42</v>
      </c>
      <c r="B32" s="25">
        <f>'מור'!D76</f>
        <v>0</v>
      </c>
      <c r="C32" s="25">
        <f>'מור'!E76</f>
        <v>0</v>
      </c>
      <c r="D32" s="25">
        <f>'מור'!F76</f>
        <v>1507099.39</v>
      </c>
      <c r="E32" s="25">
        <f>'מור'!G76</f>
        <v>0</v>
      </c>
      <c r="F32" s="29">
        <v>0.0</v>
      </c>
      <c r="G32" s="29">
        <v>0.0</v>
      </c>
      <c r="H32" s="29">
        <f>'מור'!F76/'מור'!J76-1</f>
        <v>-0.5683385288</v>
      </c>
      <c r="I32" s="92">
        <v>0.0</v>
      </c>
      <c r="J32" s="2"/>
      <c r="K32" s="2"/>
      <c r="L32" s="2"/>
      <c r="M32" s="2"/>
      <c r="N32" s="3"/>
      <c r="O32" s="3"/>
      <c r="P32" s="3"/>
      <c r="Q32" s="3"/>
    </row>
    <row r="33" ht="14.25" customHeight="1">
      <c r="A33" s="31" t="s">
        <v>43</v>
      </c>
      <c r="B33" s="25">
        <f>'הראל'!D76</f>
        <v>1258477</v>
      </c>
      <c r="C33" s="25">
        <f>'הראל'!E76</f>
        <v>434795</v>
      </c>
      <c r="D33" s="25">
        <f>'הראל'!F76</f>
        <v>2089048</v>
      </c>
      <c r="E33" s="25">
        <f>'הראל'!G76</f>
        <v>845855</v>
      </c>
      <c r="F33" s="29">
        <f>'הראל'!D76/'הראל'!H76-1</f>
        <v>-0.4448129858</v>
      </c>
      <c r="G33" s="29">
        <f>'הראל'!E76/'הראל'!I76-1</f>
        <v>-0.4064270194</v>
      </c>
      <c r="H33" s="29">
        <f>'הראל'!F76/'הראל'!J76-1</f>
        <v>-0.6749902525</v>
      </c>
      <c r="I33" s="92">
        <f>'הראל'!G76/'הראל'!K76-1</f>
        <v>-0.8440127461</v>
      </c>
      <c r="J33" s="2"/>
      <c r="K33" s="2"/>
      <c r="L33" s="2"/>
      <c r="M33" s="2"/>
      <c r="N33" s="3"/>
      <c r="O33" s="3"/>
      <c r="P33" s="3"/>
      <c r="Q33" s="3"/>
      <c r="R33" s="3"/>
      <c r="S33" s="3"/>
      <c r="T33" s="3"/>
      <c r="U33" s="4"/>
    </row>
    <row r="34" ht="14.25" customHeight="1">
      <c r="A34" s="31" t="s">
        <v>44</v>
      </c>
      <c r="B34" s="25">
        <f>'הפניקס'!D76</f>
        <v>1902110.613</v>
      </c>
      <c r="C34" s="25">
        <f>'הפניקס'!E76</f>
        <v>139945.2139</v>
      </c>
      <c r="D34" s="25">
        <f>'הפניקס'!F76</f>
        <v>12507945.65</v>
      </c>
      <c r="E34" s="25">
        <f>'הפניקס'!G76</f>
        <v>7440258</v>
      </c>
      <c r="F34" s="29">
        <f>'הפניקס'!D76/'הפניקס'!H76-1</f>
        <v>1.401072981</v>
      </c>
      <c r="G34" s="29">
        <f>'הפניקס'!E76/'הפניקס'!I76-1</f>
        <v>-0.4100317527</v>
      </c>
      <c r="H34" s="29">
        <f>'הפניקס'!F76/'הפניקס'!J76-1</f>
        <v>0.5849061113</v>
      </c>
      <c r="I34" s="92">
        <f>'הפניקס'!G76/'הפניקס'!K76-1</f>
        <v>0.5070525181</v>
      </c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4"/>
    </row>
    <row r="35" ht="14.25" customHeight="1">
      <c r="A35" s="31" t="s">
        <v>45</v>
      </c>
      <c r="B35" s="25">
        <f>'איילון'!D76</f>
        <v>1250</v>
      </c>
      <c r="C35" s="25">
        <f>'איילון'!E76</f>
        <v>301886.92</v>
      </c>
      <c r="D35" s="25">
        <f>'איילון'!F76</f>
        <v>0</v>
      </c>
      <c r="E35" s="25">
        <f>'איילון'!G76</f>
        <v>0</v>
      </c>
      <c r="F35" s="29">
        <v>1.0</v>
      </c>
      <c r="G35" s="29">
        <f>'איילון'!E76/'איילון'!I76-1</f>
        <v>-0.2582591775</v>
      </c>
      <c r="H35" s="29">
        <v>0.0</v>
      </c>
      <c r="I35" s="92">
        <v>0.0</v>
      </c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4"/>
    </row>
    <row r="36" ht="14.25" customHeight="1">
      <c r="A36" s="94" t="s">
        <v>46</v>
      </c>
      <c r="B36" s="26">
        <f>'הכשרה'!D76</f>
        <v>0</v>
      </c>
      <c r="C36" s="26">
        <f>'הכשרה'!E76</f>
        <v>2710</v>
      </c>
      <c r="D36" s="26">
        <f>'הכשרה'!F76</f>
        <v>0</v>
      </c>
      <c r="E36" s="26">
        <f>'הכשרה'!G76</f>
        <v>0</v>
      </c>
      <c r="F36" s="29">
        <v>0.0</v>
      </c>
      <c r="G36" s="29">
        <f>'הכשרה'!E76/'הכשרה'!I76-1</f>
        <v>-0.09364548495</v>
      </c>
      <c r="H36" s="29">
        <v>1.0</v>
      </c>
      <c r="I36" s="29">
        <v>0.0</v>
      </c>
      <c r="J36" s="2"/>
      <c r="K36" s="2"/>
      <c r="L36" s="2"/>
      <c r="M36" s="2"/>
      <c r="N36" s="3"/>
      <c r="O36" s="3"/>
      <c r="P36" s="3"/>
      <c r="Q36" s="3"/>
      <c r="R36" s="95" t="s">
        <v>47</v>
      </c>
      <c r="S36" s="52"/>
      <c r="T36" s="52"/>
      <c r="U36" s="49"/>
    </row>
    <row r="37" ht="14.25" customHeight="1">
      <c r="A37" s="94" t="s">
        <v>48</v>
      </c>
      <c r="B37" s="26">
        <f>'מדיהו '!D76</f>
        <v>0</v>
      </c>
      <c r="C37" s="26">
        <f>'מדיהו '!E76</f>
        <v>16869</v>
      </c>
      <c r="D37" s="26">
        <f>'מדיהו '!F76</f>
        <v>0</v>
      </c>
      <c r="E37" s="2">
        <f>'מדיהו '!G76</f>
        <v>0</v>
      </c>
      <c r="F37" s="29">
        <v>0.0</v>
      </c>
      <c r="G37" s="29">
        <f>'מדיהו '!E76/'מדיהו '!I76-1</f>
        <v>7.079022989</v>
      </c>
      <c r="H37" s="29">
        <v>0.0</v>
      </c>
      <c r="I37" s="29">
        <v>0.0</v>
      </c>
      <c r="J37" s="2"/>
      <c r="K37" s="2"/>
      <c r="L37" s="2"/>
      <c r="M37" s="2"/>
      <c r="N37" s="3"/>
      <c r="O37" s="3"/>
      <c r="P37" s="3"/>
      <c r="Q37" s="3"/>
      <c r="R37" s="96" t="s">
        <v>29</v>
      </c>
      <c r="S37" s="97" t="s">
        <v>30</v>
      </c>
      <c r="T37" s="97" t="s">
        <v>49</v>
      </c>
      <c r="U37" s="97" t="s">
        <v>32</v>
      </c>
    </row>
    <row r="38" ht="14.25" customHeight="1">
      <c r="A38" s="94" t="s">
        <v>50</v>
      </c>
      <c r="B38" s="26">
        <f>'אנליסט '!D76</f>
        <v>0</v>
      </c>
      <c r="C38" s="26">
        <f>'אנליסט '!E76</f>
        <v>0</v>
      </c>
      <c r="D38" s="26">
        <f>'אנליסט '!F76</f>
        <v>18116538.17</v>
      </c>
      <c r="E38" s="26">
        <f>'אנליסט '!G76</f>
        <v>0</v>
      </c>
      <c r="F38" s="29">
        <v>0.0</v>
      </c>
      <c r="G38" s="29">
        <v>0.0</v>
      </c>
      <c r="H38" s="29">
        <f>'אנליסט '!F76/'אנליסט '!J76-1</f>
        <v>-0.1361707102</v>
      </c>
      <c r="I38" s="29">
        <v>0.0</v>
      </c>
      <c r="J38" s="2"/>
      <c r="K38" s="2"/>
      <c r="L38" s="2"/>
      <c r="M38" s="2"/>
      <c r="N38" s="3"/>
      <c r="O38" s="3"/>
      <c r="P38" s="3"/>
      <c r="Q38" s="3"/>
      <c r="R38" s="98" t="s">
        <v>51</v>
      </c>
      <c r="S38" s="88">
        <v>-0.41942988442271567</v>
      </c>
      <c r="T38" s="89">
        <v>-138690.44885835325</v>
      </c>
      <c r="U38" s="90">
        <v>191973.7551223443</v>
      </c>
    </row>
    <row r="39" ht="14.25" customHeight="1">
      <c r="A39" s="94" t="s">
        <v>52</v>
      </c>
      <c r="B39" s="26">
        <f>'מיטב דש'!D76</f>
        <v>0</v>
      </c>
      <c r="C39" s="26">
        <f>'מיטב דש'!E76</f>
        <v>0</v>
      </c>
      <c r="D39" s="26">
        <f>'מיטב דש'!F76</f>
        <v>0</v>
      </c>
      <c r="E39" s="26">
        <f>'מיטב דש'!G76</f>
        <v>0</v>
      </c>
      <c r="F39" s="29">
        <v>0.0</v>
      </c>
      <c r="G39" s="29">
        <v>0.0</v>
      </c>
      <c r="H39" s="29">
        <v>0.0</v>
      </c>
      <c r="I39" s="29">
        <v>0.0</v>
      </c>
      <c r="J39" s="2"/>
      <c r="K39" s="2"/>
      <c r="L39" s="2"/>
      <c r="M39" s="2"/>
      <c r="N39" s="3"/>
      <c r="O39" s="3"/>
      <c r="P39" s="3"/>
      <c r="Q39" s="3"/>
      <c r="R39" s="99" t="s">
        <v>53</v>
      </c>
      <c r="S39" s="88">
        <v>-0.56</v>
      </c>
      <c r="T39" s="89">
        <v>-502390.8896466062</v>
      </c>
      <c r="U39" s="90">
        <v>244728.17522679683</v>
      </c>
    </row>
    <row r="40" ht="14.25" customHeight="1">
      <c r="A40" s="94" t="s">
        <v>54</v>
      </c>
      <c r="B40" s="26">
        <f>'אינפניטי'!D76</f>
        <v>0</v>
      </c>
      <c r="C40" s="26">
        <f>'אינפניטי'!E76</f>
        <v>0</v>
      </c>
      <c r="D40" s="26">
        <f>'אינפניטי'!F76</f>
        <v>0</v>
      </c>
      <c r="E40" s="26">
        <f>'אינפניטי'!G76</f>
        <v>0</v>
      </c>
      <c r="F40" s="29">
        <v>0.0</v>
      </c>
      <c r="G40" s="29">
        <v>0.0</v>
      </c>
      <c r="H40" s="29">
        <v>0.0</v>
      </c>
      <c r="I40" s="29">
        <v>0.0</v>
      </c>
      <c r="J40" s="2"/>
      <c r="K40" s="2"/>
      <c r="L40" s="2"/>
      <c r="M40" s="2"/>
      <c r="N40" s="3"/>
      <c r="O40" s="3"/>
      <c r="P40" s="3"/>
      <c r="Q40" s="3"/>
      <c r="R40" s="98" t="s">
        <v>55</v>
      </c>
      <c r="S40" s="88">
        <v>-0.7253185558510162</v>
      </c>
      <c r="T40" s="89">
        <v>-76929.91614068043</v>
      </c>
      <c r="U40" s="90">
        <v>29133.71</v>
      </c>
    </row>
    <row r="41" ht="14.25" customHeight="1">
      <c r="A41" s="100" t="s">
        <v>56</v>
      </c>
      <c r="B41" s="101">
        <f t="shared" ref="B41:E41" si="14">SUM(B28:B40)</f>
        <v>22596877.13</v>
      </c>
      <c r="C41" s="102">
        <f t="shared" si="14"/>
        <v>3395928.139</v>
      </c>
      <c r="D41" s="102">
        <f t="shared" si="14"/>
        <v>87944165.47</v>
      </c>
      <c r="E41" s="103">
        <f t="shared" si="14"/>
        <v>105117176.2</v>
      </c>
      <c r="F41" s="104">
        <f>('תפוקה מצטברת מול אשתקד'!H76-'תפוקה מצטברת מול אשתקד'!L76)/'תפוקה מצטברת מול אשתקד'!L76</f>
        <v>0.2037589666</v>
      </c>
      <c r="G41" s="104">
        <f>('תפוקה מצטברת מול אשתקד'!I76-'תפוקה מצטברת מול אשתקד'!M76)/'תפוקה מצטברת מול אשתקד'!M76</f>
        <v>-0.07303112764</v>
      </c>
      <c r="H41" s="104">
        <f>('תפוקה מצטברת מול אשתקד'!J76-'תפוקה מצטברת מול אשתקד'!N76)/'תפוקה מצטברת מול אשתקד'!N76</f>
        <v>0.08479807409</v>
      </c>
      <c r="I41" s="104">
        <f>('תפוקה מצטברת מול אשתקד'!K76-'תפוקה מצטברת מול אשתקד'!O76)/'תפוקה מצטברת מול אשתקד'!O76</f>
        <v>0.01971270572</v>
      </c>
      <c r="J41" s="2"/>
      <c r="K41" s="2"/>
      <c r="L41" s="2"/>
      <c r="M41" s="2"/>
      <c r="N41" s="3"/>
      <c r="O41" s="3"/>
      <c r="P41" s="3"/>
      <c r="Q41" s="3"/>
      <c r="R41" s="99" t="s">
        <v>57</v>
      </c>
      <c r="S41" s="88">
        <v>-0.9357186391466882</v>
      </c>
      <c r="T41" s="89">
        <v>-115972.94099999999</v>
      </c>
      <c r="U41" s="90">
        <v>7967.03</v>
      </c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3"/>
      <c r="Q42" s="3"/>
      <c r="R42" s="99" t="s">
        <v>58</v>
      </c>
      <c r="S42" s="88">
        <v>-0.33182619820635295</v>
      </c>
      <c r="T42" s="89">
        <v>-68976.85606216753</v>
      </c>
      <c r="U42" s="90">
        <v>138893.57862627396</v>
      </c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3"/>
      <c r="P968" s="3"/>
      <c r="Q968" s="3"/>
      <c r="R968" s="3"/>
      <c r="S968" s="3"/>
      <c r="T968" s="3"/>
      <c r="U968" s="3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3"/>
      <c r="P969" s="3"/>
      <c r="Q969" s="3"/>
      <c r="R969" s="3"/>
      <c r="S969" s="3"/>
      <c r="T969" s="3"/>
      <c r="U969" s="3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3"/>
      <c r="P970" s="3"/>
      <c r="Q970" s="3"/>
      <c r="R970" s="3"/>
      <c r="S970" s="3"/>
      <c r="T970" s="3"/>
      <c r="U970" s="3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3"/>
      <c r="P971" s="3"/>
      <c r="Q971" s="3"/>
      <c r="R971" s="3"/>
      <c r="S971" s="3"/>
      <c r="T971" s="3"/>
      <c r="U971" s="3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3"/>
      <c r="P972" s="3"/>
      <c r="Q972" s="3"/>
      <c r="R972" s="3"/>
      <c r="S972" s="3"/>
      <c r="T972" s="3"/>
      <c r="U972" s="3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3"/>
      <c r="P973" s="3"/>
      <c r="Q973" s="3"/>
      <c r="R973" s="3"/>
      <c r="S973" s="3"/>
      <c r="T973" s="3"/>
      <c r="U973" s="3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3"/>
      <c r="P974" s="3"/>
      <c r="Q974" s="3"/>
      <c r="R974" s="3"/>
      <c r="S974" s="3"/>
      <c r="T974" s="3"/>
      <c r="U974" s="3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3"/>
      <c r="P975" s="3"/>
      <c r="Q975" s="3"/>
      <c r="R975" s="3"/>
      <c r="S975" s="3"/>
      <c r="T975" s="3"/>
      <c r="U975" s="3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3"/>
      <c r="P976" s="3"/>
      <c r="Q976" s="3"/>
      <c r="R976" s="3"/>
      <c r="S976" s="3"/>
      <c r="T976" s="3"/>
      <c r="U976" s="3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3"/>
      <c r="P977" s="3"/>
      <c r="Q977" s="3"/>
      <c r="R977" s="3"/>
      <c r="S977" s="3"/>
      <c r="T977" s="3"/>
      <c r="U977" s="3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3"/>
      <c r="P978" s="3"/>
      <c r="Q978" s="3"/>
      <c r="R978" s="3"/>
      <c r="S978" s="3"/>
      <c r="T978" s="3"/>
      <c r="U978" s="3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3"/>
      <c r="P979" s="3"/>
      <c r="Q979" s="3"/>
      <c r="R979" s="3"/>
      <c r="S979" s="3"/>
      <c r="T979" s="3"/>
      <c r="U979" s="3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3"/>
      <c r="P980" s="3"/>
      <c r="Q980" s="3"/>
      <c r="R980" s="3"/>
      <c r="S980" s="3"/>
      <c r="T980" s="3"/>
      <c r="U980" s="3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3"/>
      <c r="P981" s="3"/>
      <c r="Q981" s="3"/>
      <c r="R981" s="3"/>
      <c r="S981" s="3"/>
      <c r="T981" s="3"/>
      <c r="U981" s="3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3"/>
      <c r="P982" s="3"/>
      <c r="Q982" s="3"/>
      <c r="R982" s="3"/>
      <c r="S982" s="3"/>
      <c r="T982" s="3"/>
      <c r="U982" s="3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3"/>
      <c r="P983" s="3"/>
      <c r="Q983" s="3"/>
      <c r="R983" s="3"/>
      <c r="S983" s="3"/>
      <c r="T983" s="3"/>
      <c r="U983" s="3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3"/>
      <c r="P984" s="3"/>
      <c r="Q984" s="3"/>
      <c r="R984" s="3"/>
      <c r="S984" s="3"/>
      <c r="T984" s="3"/>
      <c r="U984" s="3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3"/>
      <c r="P985" s="3"/>
      <c r="Q985" s="3"/>
      <c r="R985" s="3"/>
      <c r="S985" s="3"/>
      <c r="T985" s="3"/>
      <c r="U985" s="3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3"/>
      <c r="P986" s="3"/>
      <c r="Q986" s="3"/>
      <c r="R986" s="3"/>
      <c r="S986" s="3"/>
      <c r="T986" s="3"/>
      <c r="U986" s="3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3"/>
      <c r="P987" s="3"/>
      <c r="Q987" s="3"/>
      <c r="R987" s="3"/>
      <c r="S987" s="3"/>
      <c r="T987" s="3"/>
      <c r="U987" s="3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3"/>
      <c r="P988" s="3"/>
      <c r="Q988" s="3"/>
      <c r="R988" s="3"/>
      <c r="S988" s="3"/>
      <c r="T988" s="3"/>
      <c r="U988" s="3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3"/>
      <c r="P989" s="3"/>
      <c r="Q989" s="3"/>
      <c r="R989" s="3"/>
      <c r="S989" s="3"/>
      <c r="T989" s="3"/>
      <c r="U989" s="3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3"/>
      <c r="P990" s="3"/>
      <c r="Q990" s="3"/>
      <c r="R990" s="3"/>
      <c r="S990" s="3"/>
      <c r="T990" s="3"/>
      <c r="U990" s="3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3"/>
      <c r="P991" s="3"/>
      <c r="Q991" s="3"/>
      <c r="R991" s="3"/>
      <c r="S991" s="3"/>
      <c r="T991" s="3"/>
      <c r="U991" s="3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3"/>
      <c r="P992" s="3"/>
      <c r="Q992" s="3"/>
      <c r="R992" s="3"/>
      <c r="S992" s="3"/>
      <c r="T992" s="3"/>
      <c r="U992" s="3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3"/>
      <c r="P993" s="3"/>
      <c r="Q993" s="3"/>
      <c r="R993" s="3"/>
      <c r="S993" s="3"/>
      <c r="T993" s="3"/>
      <c r="U993" s="3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3"/>
      <c r="P994" s="3"/>
      <c r="Q994" s="3"/>
      <c r="R994" s="3"/>
      <c r="S994" s="3"/>
      <c r="T994" s="3"/>
      <c r="U994" s="3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3"/>
      <c r="P995" s="3"/>
      <c r="Q995" s="3"/>
      <c r="R995" s="3"/>
      <c r="S995" s="3"/>
      <c r="T995" s="3"/>
      <c r="U995" s="3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3"/>
      <c r="P996" s="3"/>
      <c r="Q996" s="3"/>
      <c r="R996" s="3"/>
      <c r="S996" s="3"/>
      <c r="T996" s="3"/>
      <c r="U996" s="3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3"/>
      <c r="P997" s="3"/>
      <c r="Q997" s="3"/>
      <c r="R997" s="3"/>
      <c r="S997" s="3"/>
      <c r="T997" s="3"/>
      <c r="U997" s="3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3"/>
      <c r="P998" s="3"/>
      <c r="Q998" s="3"/>
      <c r="R998" s="3"/>
      <c r="S998" s="3"/>
      <c r="T998" s="3"/>
      <c r="U998" s="3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3"/>
      <c r="P999" s="3"/>
      <c r="Q999" s="3"/>
      <c r="R999" s="3"/>
      <c r="S999" s="3"/>
      <c r="T999" s="3"/>
      <c r="U999" s="3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3"/>
      <c r="P1000" s="3"/>
      <c r="Q1000" s="3"/>
      <c r="R1000" s="3"/>
      <c r="S1000" s="3"/>
      <c r="T1000" s="3"/>
      <c r="U1000" s="3"/>
    </row>
  </sheetData>
  <mergeCells count="13">
    <mergeCell ref="J15:M15"/>
    <mergeCell ref="N15:Q15"/>
    <mergeCell ref="R15:U15"/>
    <mergeCell ref="A26:A27"/>
    <mergeCell ref="B26:E26"/>
    <mergeCell ref="F26:I26"/>
    <mergeCell ref="A4:A5"/>
    <mergeCell ref="B4:E4"/>
    <mergeCell ref="F4:I4"/>
    <mergeCell ref="J4:M4"/>
    <mergeCell ref="A15:A16"/>
    <mergeCell ref="B15:E15"/>
    <mergeCell ref="F15:I15"/>
  </mergeCells>
  <conditionalFormatting sqref="F28:I40">
    <cfRule type="cellIs" dxfId="0" priority="1" operator="lessThan">
      <formula>-0.0001</formula>
    </cfRule>
  </conditionalFormatting>
  <conditionalFormatting sqref="F28:I40">
    <cfRule type="cellIs" dxfId="1" priority="2" operator="greaterThan">
      <formula>0.1</formula>
    </cfRule>
  </conditionalFormatting>
  <conditionalFormatting sqref="F6:M10">
    <cfRule type="cellIs" dxfId="0" priority="3" operator="lessThan">
      <formula>-0.0001</formula>
    </cfRule>
  </conditionalFormatting>
  <conditionalFormatting sqref="F6:M10">
    <cfRule type="cellIs" dxfId="1" priority="4" operator="greaterThan">
      <formula>0.1</formula>
    </cfRule>
  </conditionalFormatting>
  <conditionalFormatting sqref="F17:M20">
    <cfRule type="cellIs" dxfId="0" priority="5" operator="lessThan">
      <formula>-0.0001</formula>
    </cfRule>
  </conditionalFormatting>
  <conditionalFormatting sqref="F17:M20">
    <cfRule type="cellIs" dxfId="1" priority="6" operator="greaterThan">
      <formula>0.1</formula>
    </cfRule>
  </conditionalFormatting>
  <conditionalFormatting sqref="P5:P10">
    <cfRule type="cellIs" dxfId="0" priority="7" operator="lessThan">
      <formula>-0.0001</formula>
    </cfRule>
  </conditionalFormatting>
  <conditionalFormatting sqref="P5:P10">
    <cfRule type="cellIs" dxfId="1" priority="8" operator="greaterThan">
      <formula>0.1</formula>
    </cfRule>
  </conditionalFormatting>
  <conditionalFormatting sqref="S27:S31">
    <cfRule type="cellIs" dxfId="0" priority="9" operator="lessThan">
      <formula>-0.0001</formula>
    </cfRule>
  </conditionalFormatting>
  <conditionalFormatting sqref="S27:S31">
    <cfRule type="cellIs" dxfId="1" priority="10" operator="greaterThan">
      <formula>0.1</formula>
    </cfRule>
  </conditionalFormatting>
  <conditionalFormatting sqref="S38:S42">
    <cfRule type="cellIs" dxfId="0" priority="11" operator="lessThan">
      <formula>-0.0001</formula>
    </cfRule>
  </conditionalFormatting>
  <conditionalFormatting sqref="S38:S42">
    <cfRule type="cellIs" dxfId="1" priority="12" operator="greaterThan">
      <formula>0.1</formula>
    </cfRule>
  </conditionalFormatting>
  <conditionalFormatting sqref="U8:U13">
    <cfRule type="cellIs" dxfId="0" priority="13" operator="lessThan">
      <formula>-0.0001</formula>
    </cfRule>
  </conditionalFormatting>
  <conditionalFormatting sqref="U8:U13">
    <cfRule type="cellIs" dxfId="1" priority="14" operator="greaterThan">
      <formula>0.1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2.63" defaultRowHeight="15.0"/>
  <cols>
    <col customWidth="1" min="1" max="1" width="27.63"/>
    <col customWidth="1" min="2" max="2" width="10.13"/>
    <col customWidth="1" min="3" max="3" width="10.38"/>
    <col customWidth="1" min="4" max="4" width="10.75"/>
    <col customWidth="1" min="5" max="5" width="11.0"/>
    <col customWidth="1" min="6" max="6" width="11.75"/>
    <col customWidth="1" min="7" max="7" width="13.63"/>
    <col customWidth="1" min="8" max="8" width="14.75"/>
    <col customWidth="1" min="9" max="9" width="13.63"/>
    <col customWidth="1" min="10" max="10" width="15.0"/>
    <col customWidth="1" min="11" max="11" width="16.13"/>
    <col customWidth="1" min="12" max="12" width="15.0"/>
    <col customWidth="1" min="13" max="13" width="13.63"/>
    <col customWidth="1" min="14" max="15" width="16.38"/>
    <col customWidth="1" min="16" max="26" width="27.75"/>
  </cols>
  <sheetData>
    <row r="1" ht="15.75" customHeight="1">
      <c r="A1" s="98"/>
      <c r="B1" s="98"/>
      <c r="C1" s="98"/>
      <c r="D1" s="105" t="s">
        <v>59</v>
      </c>
      <c r="E1" s="106"/>
      <c r="F1" s="107"/>
      <c r="G1" s="108"/>
      <c r="H1" s="109" t="s">
        <v>60</v>
      </c>
      <c r="I1" s="106"/>
      <c r="J1" s="106"/>
      <c r="K1" s="107"/>
      <c r="L1" s="110" t="s">
        <v>21</v>
      </c>
      <c r="M1" s="111"/>
      <c r="N1" s="111"/>
      <c r="O1" s="112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15.75" customHeight="1">
      <c r="A2" s="114" t="s">
        <v>61</v>
      </c>
      <c r="B2" s="115" t="s">
        <v>62</v>
      </c>
      <c r="C2" s="115" t="s">
        <v>63</v>
      </c>
      <c r="D2" s="116" t="s">
        <v>6</v>
      </c>
      <c r="E2" s="116" t="s">
        <v>10</v>
      </c>
      <c r="F2" s="116" t="s">
        <v>11</v>
      </c>
      <c r="G2" s="116" t="s">
        <v>9</v>
      </c>
      <c r="H2" s="117" t="s">
        <v>6</v>
      </c>
      <c r="I2" s="117" t="s">
        <v>10</v>
      </c>
      <c r="J2" s="117" t="s">
        <v>8</v>
      </c>
      <c r="K2" s="117" t="s">
        <v>9</v>
      </c>
      <c r="L2" s="118" t="s">
        <v>6</v>
      </c>
      <c r="M2" s="118" t="s">
        <v>7</v>
      </c>
      <c r="N2" s="118" t="s">
        <v>8</v>
      </c>
      <c r="O2" s="118" t="s">
        <v>12</v>
      </c>
      <c r="P2" s="119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15.75" customHeight="1">
      <c r="A3" s="98" t="s">
        <v>53</v>
      </c>
      <c r="B3" s="98" t="s">
        <v>25</v>
      </c>
      <c r="C3" s="98" t="s">
        <v>13</v>
      </c>
      <c r="D3" s="88">
        <f t="shared" ref="D3:E3" si="1">IF(H3=0,0%,IF(L3=0,100%,H3/L3-1))</f>
        <v>1.039167826</v>
      </c>
      <c r="E3" s="88">
        <f t="shared" si="1"/>
        <v>-0.672437518</v>
      </c>
      <c r="F3" s="88">
        <f t="shared" ref="F3:G3" si="2">IF(J3=0,0%,IF(N3=G29,100%,J3/N3-1))</f>
        <v>0.728403622</v>
      </c>
      <c r="G3" s="88">
        <f t="shared" si="2"/>
        <v>0.9725829551</v>
      </c>
      <c r="H3" s="120">
        <f>VLOOKUP(A3,'הכשרה'!A:G,4,0)+VLOOKUP('תפוקה מצטברת מול אשתקד'!A3,'מגדל'!A:G,4,0)+VLOOKUP('תפוקה מצטברת מול אשתקד'!A3,'מנורה'!A:G,4,0)+VLOOKUP('תפוקה מצטברת מול אשתקד'!A3,'איילון'!A:G,4,0)+VLOOKUP('תפוקה מצטברת מול אשתקד'!A3,'הראל'!A:G,4,0)+VLOOKUP('תפוקה מצטברת מול אשתקד'!A3,'הפניקס'!A:G,4,0)+VLOOKUP('תפוקה מצטברת מול אשתקד'!A3,'כלל'!A:G,4,0)+VLOOKUP('תפוקה מצטברת מול אשתקד'!A3,'מור'!A:G,4,0)+VLOOKUP('תפוקה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אשתקד'!A3,'אינפניטי'!A:G,4,0)</f>
        <v>6757134.216</v>
      </c>
      <c r="I3" s="120">
        <f>VLOOKUP(A3,'הכשרה'!A:G,5,0)+VLOOKUP('תפוקה מצטברת מול אשתקד'!A3,'מגדל'!A:G,5,0)+VLOOKUP('תפוקה מצטברת מול אשתקד'!A3,'מנורה'!A:G,5,0)+VLOOKUP('תפוקה מצטברת מול אשתקד'!A3,'איילון'!A:G,5,0)+VLOOKUP('תפוקה מצטברת מול אשתקד'!A3,'הראל'!A:G,5,0)+VLOOKUP('תפוקה מצטברת מול אשתקד'!A3,'הפניקס'!A:G,5,0)+VLOOKUP('תפוקה מצטברת מול אשתקד'!A3,'כלל'!A:G,5,0)+VLOOKUP('תפוקה מצטברת מול אשתקד'!A3,'מור'!A:G,5,0)+VLOOKUP('תפוקה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אשתקד'!A3,'אינפניטי'!A:G,5,0)</f>
        <v>244728.1752</v>
      </c>
      <c r="J3" s="120">
        <f>VLOOKUP(A3,'הכשרה'!A:G,6,0)+VLOOKUP('תפוקה מצטברת מול אשתקד'!A3,'מגדל'!A:G,6,0)+VLOOKUP('תפוקה מצטברת מול אשתקד'!A3,'מנורה'!A:G,6,0)+VLOOKUP('תפוקה מצטברת מול אשתקד'!A3,'איילון'!A:G,6,0)+VLOOKUP(A3,'הראל'!A:G,6,0)+VLOOKUP('תפוקה מצטברת מול אשתקד'!A3,'הפניקס'!A:G,6,0)+VLOOKUP('תפוקה מצטברת מול אשתקד'!A3,'כלל'!A:G,6,0)+VLOOKUP('תפוקה מצטברת מול אשתקד'!A3,'מור'!A:G,6,0)+VLOOKUP('תפוקה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אשתקד'!A3,'אינפניטי'!A:G,6,0)</f>
        <v>18040300.9</v>
      </c>
      <c r="K3" s="120">
        <f>VLOOKUP(A3,'הכשרה'!A:G,7,0)+VLOOKUP('תפוקה מצטברת מול אשתקד'!A3,'מגדל'!A:G,7,0)+VLOOKUP('תפוקה מצטברת מול אשתקד'!A3,'מנורה'!A:G,7,0)+VLOOKUP('תפוקה מצטברת מול אשתקד'!A3,'איילון'!A:G,7,0)+VLOOKUP('תפוקה מצטברת מול אשתקד'!A3,'הראל'!A:G,7,0)+VLOOKUP('תפוקה מצטברת מול אשתקד'!A3,'הפניקס'!A:G,7,0)+VLOOKUP('תפוקה מצטברת מול אשתקד'!A3,'כלל'!A:G,7,0)+VLOOKUP('תפוקה מצטברת מול אשתקד'!A3,'מור'!A:G,7,0)+VLOOKUP('תפוקה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אשתקד'!A3,'אינפניטי'!A:G,7,0)</f>
        <v>43938898.46</v>
      </c>
      <c r="L3" s="121">
        <f>VLOOKUP(A3,'הכשרה'!A:K,8,0)+VLOOKUP('תפוקה מצטברת מול אשתקד'!A3,'מגדל'!A:K,8,0)+VLOOKUP('תפוקה מצטברת מול אשתקד'!A3,'מנורה'!A:K,8,0)+VLOOKUP('תפוקה מצטברת מול אשתקד'!A3,'איילון'!A:K,8,0)+VLOOKUP('תפוקה מצטברת מול אשתקד'!A3,'הראל'!A:K,8,0)+VLOOKUP('תפוקה מצטברת מול אשתקד'!A3,'הפניקס'!A:K,8,0)+VLOOKUP('תפוקה מצטברת מול אשתקד'!A3,'כלל'!A:K,8,0)+VLOOKUP('תפוקה מצטברת מול אשתקד'!A3,'מור'!A:K,8,0)+VLOOKUP('תפוקה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אשתקד'!A3,'אינפניטי'!A:K,8,0)</f>
        <v>3313672.435</v>
      </c>
      <c r="M3" s="121">
        <f>VLOOKUP(A3,'הכשרה'!A:K,9,0)+VLOOKUP('תפוקה מצטברת מול אשתקד'!A3,'מגדל'!A:K,9,0)+VLOOKUP('תפוקה מצטברת מול אשתקד'!A3,'מנורה'!A:K,9,0)+VLOOKUP('תפוקה מצטברת מול אשתקד'!A3,'איילון'!A:K,9,0)+VLOOKUP('תפוקה מצטברת מול אשתקד'!A3,'הראל'!A:K,9,0)+VLOOKUP('תפוקה מצטברת מול אשתקד'!A3,'הפניקס'!A:K,9,0)+VLOOKUP('תפוקה מצטברת מול אשתקד'!A3,'כלל'!A:K,9,0)+VLOOKUP('תפוקה מצטברת מול אשתקד'!A3,'מור'!A:K,9,0)+VLOOKUP('תפוקה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אשתקד'!A3,'אינפניטי'!A:K,9,0)</f>
        <v>747119.0649</v>
      </c>
      <c r="N3" s="121">
        <f>VLOOKUP(A3,'הכשרה'!A:K,10,0)+VLOOKUP('תפוקה מצטברת מול אשתקד'!A3,'מגדל'!A:K,10,0)+VLOOKUP('תפוקה מצטברת מול אשתקד'!A3,'מנורה'!A:K,10,0)+VLOOKUP('תפוקה מצטברת מול אשתקד'!A3,'איילון'!A:K,10,0)+VLOOKUP('תפוקה מצטברת מול אשתקד'!A3,'הראל'!A:K,10,0)+VLOOKUP('תפוקה מצטברת מול אשתקד'!A3,'הפניקס'!A:K,10,0)+VLOOKUP('תפוקה מצטברת מול אשתקד'!A3,'כלל'!A:K,10,0)+VLOOKUP('תפוקה מצטברת מול אשתקד'!A3,'מור'!A:K,10,0)+VLOOKUP('תפוקה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אשתקד'!A3,'אינפניטי'!A:K,10,0)</f>
        <v>10437550.97</v>
      </c>
      <c r="O3" s="121">
        <f>VLOOKUP(A3,'הכשרה'!A:K,11,0)+VLOOKUP('תפוקה מצטברת מול אשתקד'!A3,'מגדל'!A:K,11,0)+VLOOKUP('תפוקה מצטברת מול אשתקד'!A3,'מנורה'!A:K,11,0)+VLOOKUP('תפוקה מצטברת מול אשתקד'!A3,'איילון'!A:K,11,0)+VLOOKUP('תפוקה מצטברת מול אשתקד'!A3,'הראל'!A:K,11,0)+VLOOKUP('תפוקה מצטברת מול אשתקד'!A3,'הפניקס'!A:K,11,0)+VLOOKUP('תפוקה מצטברת מול אשתקד'!A3,'כלל'!A:K,11,0)+VLOOKUP('תפוקה מצטברת מול אשתקד'!A3,'מור'!A:K,11,0)+VLOOKUP('תפוקה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אשתקד'!A3,'אינפניטי'!A:K,11,0)</f>
        <v>22274803.88</v>
      </c>
      <c r="P3" s="122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15.75" customHeight="1">
      <c r="A4" s="98" t="s">
        <v>64</v>
      </c>
      <c r="B4" s="98" t="s">
        <v>25</v>
      </c>
      <c r="C4" s="98" t="s">
        <v>13</v>
      </c>
      <c r="D4" s="88">
        <f t="shared" ref="D4:F4" si="3">IF(H4=0,0%,IF(L4=0,100%,H4/L4-1))</f>
        <v>-0.390361764</v>
      </c>
      <c r="E4" s="88">
        <f t="shared" si="3"/>
        <v>-0.4230920521</v>
      </c>
      <c r="F4" s="88">
        <f t="shared" si="3"/>
        <v>-0.6499280877</v>
      </c>
      <c r="G4" s="88">
        <f t="shared" ref="G4:G5" si="5">IF(K4=0,0%,IF(O4=H30,100%,K4/O4-1))</f>
        <v>-0.7762757888</v>
      </c>
      <c r="H4" s="120">
        <f>VLOOKUP(A4,'הכשרה'!A:G,4,0)+VLOOKUP('תפוקה מצטברת מול אשתקד'!A4,'מגדל'!A:G,4,0)+VLOOKUP('תפוקה מצטברת מול אשתקד'!A4,'מנורה'!A:G,4,0)+VLOOKUP('תפוקה מצטברת מול אשתקד'!A4,'איילון'!A:G,4,0)+VLOOKUP('תפוקה מצטברת מול אשתקד'!A4,'הראל'!A:G,4,0)+VLOOKUP('תפוקה מצטברת מול אשתקד'!A4,'הפניקס'!A:G,4,0)+VLOOKUP('תפוקה מצטברת מול אשתקד'!A4,'כלל'!A:G,4,0)+VLOOKUP('תפוקה מצטברת מול אשתקד'!A4,'מור'!A:G,4,0)+VLOOKUP('תפוקה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אשתקד'!A4,'אינפניטי'!A:G,4,0)</f>
        <v>419302.9669</v>
      </c>
      <c r="I4" s="120">
        <f>VLOOKUP(A4,'הכשרה'!A:G,5,0)+VLOOKUP('תפוקה מצטברת מול אשתקד'!A4,'מגדל'!A:G,5,0)+VLOOKUP('תפוקה מצטברת מול אשתקד'!A4,'מנורה'!A:G,5,0)+VLOOKUP('תפוקה מצטברת מול אשתקד'!A4,'איילון'!A:G,5,0)+VLOOKUP('תפוקה מצטברת מול אשתקד'!A4,'הראל'!A:G,5,0)+VLOOKUP('תפוקה מצטברת מול אשתקד'!A4,'הפניקס'!A:G,5,0)+VLOOKUP('תפוקה מצטברת מול אשתקד'!A4,'כלל'!A:G,5,0)+VLOOKUP('תפוקה מצטברת מול אשתקד'!A4,'מור'!A:G,5,0)+VLOOKUP('תפוקה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אשתקד'!A4,'אינפניטי'!A:G,5,0)</f>
        <v>3936.109177</v>
      </c>
      <c r="J4" s="120">
        <f>VLOOKUP(A4,'הכשרה'!A:G,6,0)+VLOOKUP('תפוקה מצטברת מול אשתקד'!A4,'מגדל'!A:G,6,0)+VLOOKUP('תפוקה מצטברת מול אשתקד'!A4,'מנורה'!A:G,6,0)+VLOOKUP('תפוקה מצטברת מול אשתקד'!A4,'איילון'!A:G,6,0)+VLOOKUP(A4,'הראל'!A:G,6,0)+VLOOKUP('תפוקה מצטברת מול אשתקד'!A4,'הפניקס'!A:G,6,0)+VLOOKUP('תפוקה מצטברת מול אשתקד'!A4,'כלל'!A:G,6,0)+VLOOKUP('תפוקה מצטברת מול אשתקד'!A4,'מור'!A:G,6,0)+VLOOKUP('תפוקה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אשתקד'!A4,'אינפניטי'!A:G,6,0)</f>
        <v>2535750.272</v>
      </c>
      <c r="K4" s="120">
        <f>VLOOKUP(A4,'הכשרה'!A:G,7,0)+VLOOKUP('תפוקה מצטברת מול אשתקד'!A4,'מגדל'!A:G,7,0)+VLOOKUP('תפוקה מצטברת מול אשתקד'!A4,'מנורה'!A:G,7,0)+VLOOKUP('תפוקה מצטברת מול אשתקד'!A4,'איילון'!A:G,7,0)+VLOOKUP('תפוקה מצטברת מול אשתקד'!A4,'הראל'!A:G,7,0)+VLOOKUP('תפוקה מצטברת מול אשתקד'!A4,'הפניקס'!A:G,7,0)+VLOOKUP('תפוקה מצטברת מול אשתקד'!A4,'כלל'!A:G,7,0)+VLOOKUP('תפוקה מצטברת מול אשתקד'!A4,'מור'!A:G,7,0)+VLOOKUP('תפוקה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אשתקד'!A4,'אינפניטי'!A:G,7,0)</f>
        <v>1490442.54</v>
      </c>
      <c r="L4" s="121">
        <f>VLOOKUP(A4,'הכשרה'!A:K,8,0)+VLOOKUP('תפוקה מצטברת מול אשתקד'!A4,'מגדל'!A:K,8,0)+VLOOKUP('תפוקה מצטברת מול אשתקד'!A4,'מנורה'!A:K,8,0)+VLOOKUP('תפוקה מצטברת מול אשתקד'!A4,'איילון'!A:K,8,0)+VLOOKUP('תפוקה מצטברת מול אשתקד'!A4,'הראל'!A:K,8,0)+VLOOKUP('תפוקה מצטברת מול אשתקד'!A4,'הפניקס'!A:K,8,0)+VLOOKUP('תפוקה מצטברת מול אשתקד'!A4,'כלל'!A:K,8,0)+VLOOKUP('תפוקה מצטברת מול אשתקד'!A4,'מור'!A:K,8,0)+VLOOKUP('תפוקה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אשתקד'!A4,'אינפניטי'!A:K,8,0)</f>
        <v>687789.8108</v>
      </c>
      <c r="M4" s="121">
        <f>VLOOKUP(A4,'הכשרה'!A:K,9,0)+VLOOKUP('תפוקה מצטברת מול אשתקד'!A4,'מגדל'!A:K,9,0)+VLOOKUP('תפוקה מצטברת מול אשתקד'!A4,'מנורה'!A:K,9,0)+VLOOKUP('תפוקה מצטברת מול אשתקד'!A4,'איילון'!A:K,9,0)+VLOOKUP('תפוקה מצטברת מול אשתקד'!A4,'הראל'!A:K,9,0)+VLOOKUP('תפוקה מצטברת מול אשתקד'!A4,'הפניקס'!A:K,9,0)+VLOOKUP('תפוקה מצטברת מול אשתקד'!A4,'כלל'!A:K,9,0)+VLOOKUP('תפוקה מצטברת מול אשתקד'!A4,'מור'!A:K,9,0)+VLOOKUP('תפוקה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אשתקד'!A4,'אינפניטי'!A:K,9,0)</f>
        <v>6822.768158</v>
      </c>
      <c r="N4" s="121">
        <f>VLOOKUP(A4,'הכשרה'!A:K,10,0)+VLOOKUP('תפוקה מצטברת מול אשתקד'!A4,'מגדל'!A:K,10,0)+VLOOKUP('תפוקה מצטברת מול אשתקד'!A4,'מנורה'!A:K,10,0)+VLOOKUP('תפוקה מצטברת מול אשתקד'!A4,'איילון'!A:K,10,0)+VLOOKUP('תפוקה מצטברת מול אשתקד'!A4,'הראל'!A:K,10,0)+VLOOKUP('תפוקה מצטברת מול אשתקד'!A4,'הפניקס'!A:K,10,0)+VLOOKUP('תפוקה מצטברת מול אשתקד'!A4,'כלל'!A:K,10,0)+VLOOKUP('תפוקה מצטברת מול אשתקד'!A4,'מור'!A:K,10,0)+VLOOKUP('תפוקה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אשתקד'!A4,'אינפניטי'!A:K,10,0)</f>
        <v>7243512.5</v>
      </c>
      <c r="O4" s="121">
        <f>VLOOKUP(A4,'הכשרה'!A:K,11,0)+VLOOKUP('תפוקה מצטברת מול אשתקד'!A4,'מגדל'!A:K,11,0)+VLOOKUP('תפוקה מצטברת מול אשתקד'!A4,'מנורה'!A:K,11,0)+VLOOKUP('תפוקה מצטברת מול אשתקד'!A4,'איילון'!A:K,11,0)+VLOOKUP('תפוקה מצטברת מול אשתקד'!A4,'הראל'!A:K,11,0)+VLOOKUP('תפוקה מצטברת מול אשתקד'!A4,'הפניקס'!A:K,11,0)+VLOOKUP('תפוקה מצטברת מול אשתקד'!A4,'כלל'!A:K,11,0)+VLOOKUP('תפוקה מצטברת מול אשתקד'!A4,'מור'!A:K,11,0)+VLOOKUP('תפוקה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אשתקד'!A4,'אינפניטי'!A:K,11,0)</f>
        <v>6661963.55</v>
      </c>
      <c r="P4" s="122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15.75" customHeight="1">
      <c r="A5" s="98" t="s">
        <v>37</v>
      </c>
      <c r="B5" s="98" t="s">
        <v>25</v>
      </c>
      <c r="C5" s="98" t="s">
        <v>13</v>
      </c>
      <c r="D5" s="88">
        <f t="shared" ref="D5:F5" si="4">IF(H5=0,0%,IF(L5=0,100%,H5/L5-1))</f>
        <v>0</v>
      </c>
      <c r="E5" s="88">
        <f t="shared" si="4"/>
        <v>1</v>
      </c>
      <c r="F5" s="88">
        <f t="shared" si="4"/>
        <v>1</v>
      </c>
      <c r="G5" s="88">
        <f t="shared" si="5"/>
        <v>0</v>
      </c>
      <c r="H5" s="120">
        <f>VLOOKUP(A5,'הכשרה'!A:G,4,0)+VLOOKUP('תפוקה מצטברת מול אשתקד'!A5,'מגדל'!A:G,4,0)+VLOOKUP('תפוקה מצטברת מול אשתקד'!A5,'מנורה'!A:G,4,0)+VLOOKUP('תפוקה מצטברת מול אשתקד'!A5,'איילון'!A:G,4,0)+VLOOKUP('תפוקה מצטברת מול אשתקד'!A5,'הראל'!A:G,4,0)+VLOOKUP('תפוקה מצטברת מול אשתקד'!A5,'הפניקס'!A:G,4,0)+VLOOKUP('תפוקה מצטברת מול אשתקד'!A5,'כלל'!A:G,4,0)+VLOOKUP('תפוקה מצטברת מול אשתקד'!A5,'מור'!A:G,4,0)+VLOOKUP('תפוקה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אשתקד'!A5,'אינפניטי'!A:G,4,0)</f>
        <v>0</v>
      </c>
      <c r="I5" s="120">
        <f>VLOOKUP(A5,'הכשרה'!A:G,5,0)+VLOOKUP('תפוקה מצטברת מול אשתקד'!A5,'מגדל'!A:G,5,0)+VLOOKUP('תפוקה מצטברת מול אשתקד'!A5,'מנורה'!A:G,5,0)+VLOOKUP('תפוקה מצטברת מול אשתקד'!A5,'איילון'!A:G,5,0)+VLOOKUP('תפוקה מצטברת מול אשתקד'!A5,'הראל'!A:G,5,0)+VLOOKUP('תפוקה מצטברת מול אשתקד'!A5,'הפניקס'!A:G,5,0)+VLOOKUP('תפוקה מצטברת מול אשתקד'!A5,'כלל'!A:G,5,0)+VLOOKUP('תפוקה מצטברת מול אשתקד'!A5,'מור'!A:G,5,0)+VLOOKUP('תפוקה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אשתקד'!A5,'אינפניטי'!A:G,5,0)</f>
        <v>47762.66378</v>
      </c>
      <c r="J5" s="120">
        <f>VLOOKUP(A5,'הכשרה'!A:G,6,0)+VLOOKUP('תפוקה מצטברת מול אשתקד'!A5,'מגדל'!A:G,6,0)+VLOOKUP('תפוקה מצטברת מול אשתקד'!A5,'מנורה'!A:G,6,0)+VLOOKUP('תפוקה מצטברת מול אשתקד'!A5,'איילון'!A:G,6,0)+VLOOKUP(A5,'הראל'!A:G,6,0)+VLOOKUP('תפוקה מצטברת מול אשתקד'!A5,'הפניקס'!A:G,6,0)+VLOOKUP('תפוקה מצטברת מול אשתקד'!A5,'כלל'!A:G,6,0)+VLOOKUP('תפוקה מצטברת מול אשתקד'!A5,'מור'!A:G,6,0)+VLOOKUP('תפוקה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אשתקד'!A5,'אינפניטי'!A:G,6,0)</f>
        <v>300000</v>
      </c>
      <c r="K5" s="120">
        <f>VLOOKUP(A5,'הכשרה'!A:G,7,0)+VLOOKUP('תפוקה מצטברת מול אשתקד'!A5,'מגדל'!A:G,7,0)+VLOOKUP('תפוקה מצטברת מול אשתקד'!A5,'מנורה'!A:G,7,0)+VLOOKUP('תפוקה מצטברת מול אשתקד'!A5,'איילון'!A:G,7,0)+VLOOKUP('תפוקה מצטברת מול אשתקד'!A5,'הראל'!A:G,7,0)+VLOOKUP('תפוקה מצטברת מול אשתקד'!A5,'הפניקס'!A:G,7,0)+VLOOKUP('תפוקה מצטברת מול אשתקד'!A5,'כלל'!A:G,7,0)+VLOOKUP('תפוקה מצטברת מול אשתקד'!A5,'מור'!A:G,7,0)+VLOOKUP('תפוקה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אשתקד'!A5,'אינפניטי'!A:G,7,0)</f>
        <v>0</v>
      </c>
      <c r="L5" s="121">
        <f>VLOOKUP(A5,'הכשרה'!A:K,8,0)+VLOOKUP('תפוקה מצטברת מול אשתקד'!A5,'מגדל'!A:K,8,0)+VLOOKUP('תפוקה מצטברת מול אשתקד'!A5,'מנורה'!A:K,8,0)+VLOOKUP('תפוקה מצטברת מול אשתקד'!A5,'איילון'!A:K,8,0)+VLOOKUP('תפוקה מצטברת מול אשתקד'!A5,'הראל'!A:K,8,0)+VLOOKUP('תפוקה מצטברת מול אשתקד'!A5,'הפניקס'!A:K,8,0)+VLOOKUP('תפוקה מצטברת מול אשתקד'!A5,'כלל'!A:K,8,0)+VLOOKUP('תפוקה מצטברת מול אשתקד'!A5,'מור'!A:K,8,0)+VLOOKUP('תפוקה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אשתקד'!A5,'אינפניטי'!A:K,8,0)</f>
        <v>0</v>
      </c>
      <c r="M5" s="121">
        <f>VLOOKUP(A5,'הכשרה'!A:K,9,0)+VLOOKUP('תפוקה מצטברת מול אשתקד'!A5,'מגדל'!A:K,9,0)+VLOOKUP('תפוקה מצטברת מול אשתקד'!A5,'מנורה'!A:K,9,0)+VLOOKUP('תפוקה מצטברת מול אשתקד'!A5,'איילון'!A:K,9,0)+VLOOKUP('תפוקה מצטברת מול אשתקד'!A5,'הראל'!A:K,9,0)+VLOOKUP('תפוקה מצטברת מול אשתקד'!A5,'הפניקס'!A:K,9,0)+VLOOKUP('תפוקה מצטברת מול אשתקד'!A5,'כלל'!A:K,9,0)+VLOOKUP('תפוקה מצטברת מול אשתקד'!A5,'מור'!A:K,9,0)+VLOOKUP('תפוקה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אשתקד'!A5,'אינפניטי'!A:K,9,0)</f>
        <v>0</v>
      </c>
      <c r="N5" s="121">
        <f>VLOOKUP(A5,'הכשרה'!A:K,10,0)+VLOOKUP('תפוקה מצטברת מול אשתקד'!A5,'מגדל'!A:K,10,0)+VLOOKUP('תפוקה מצטברת מול אשתקד'!A5,'מנורה'!A:K,10,0)+VLOOKUP('תפוקה מצטברת מול אשתקד'!A5,'איילון'!A:K,10,0)+VLOOKUP('תפוקה מצטברת מול אשתקד'!A5,'הראל'!A:K,10,0)+VLOOKUP('תפוקה מצטברת מול אשתקד'!A5,'הפניקס'!A:K,10,0)+VLOOKUP('תפוקה מצטברת מול אשתקד'!A5,'כלל'!A:K,10,0)+VLOOKUP('תפוקה מצטברת מול אשתקד'!A5,'מור'!A:K,10,0)+VLOOKUP('תפוקה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אשתקד'!A5,'אינפניטי'!A:K,10,0)</f>
        <v>0</v>
      </c>
      <c r="O5" s="121">
        <f>VLOOKUP(A5,'הכשרה'!A:K,11,0)+VLOOKUP('תפוקה מצטברת מול אשתקד'!A5,'מגדל'!A:K,11,0)+VLOOKUP('תפוקה מצטברת מול אשתקד'!A5,'מנורה'!A:K,11,0)+VLOOKUP('תפוקה מצטברת מול אשתקד'!A5,'איילון'!A:K,11,0)+VLOOKUP('תפוקה מצטברת מול אשתקד'!A5,'הראל'!A:K,11,0)+VLOOKUP('תפוקה מצטברת מול אשתקד'!A5,'הפניקס'!A:K,11,0)+VLOOKUP('תפוקה מצטברת מול אשתקד'!A5,'כלל'!A:K,11,0)+VLOOKUP('תפוקה מצטברת מול אשתקד'!A5,'מור'!A:K,11,0)+VLOOKUP('תפוקה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אשתקד'!A5,'אינפניטי'!A:K,11,0)</f>
        <v>0</v>
      </c>
      <c r="P5" s="122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15.75" customHeight="1">
      <c r="A6" s="123" t="s">
        <v>65</v>
      </c>
      <c r="B6" s="98" t="s">
        <v>25</v>
      </c>
      <c r="C6" s="123" t="s">
        <v>13</v>
      </c>
      <c r="D6" s="124">
        <f t="shared" ref="D6:F6" si="6">IF(H6=0,0%,IF(L6=0,100%,H6/L6-1))</f>
        <v>1</v>
      </c>
      <c r="E6" s="124">
        <f t="shared" si="6"/>
        <v>1</v>
      </c>
      <c r="F6" s="124">
        <f t="shared" si="6"/>
        <v>1</v>
      </c>
      <c r="G6" s="88">
        <v>1.0</v>
      </c>
      <c r="H6" s="120">
        <f>VLOOKUP(A6,'הכשרה'!A:G,4,0)+VLOOKUP('תפוקה מצטברת מול אשתקד'!A6,'מגדל'!A:G,4,0)+VLOOKUP('תפוקה מצטברת מול אשתקד'!A6,'מנורה'!A:G,4,0)+VLOOKUP('תפוקה מצטברת מול אשתקד'!A6,'איילון'!A:G,4,0)+VLOOKUP('תפוקה מצטברת מול אשתקד'!A6,'הראל'!A:G,4,0)+VLOOKUP('תפוקה מצטברת מול אשתקד'!A6,'הפניקס'!A:G,4,0)+VLOOKUP('תפוקה מצטברת מול אשתקד'!A6,'כלל'!A:G,4,0)+VLOOKUP('תפוקה מצטברת מול אשתקד'!A6,'מור'!A:G,4,0)+VLOOKUP('תפוקה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אשתקד'!A6,'אינפניטי'!A:G,4,0)</f>
        <v>9117.136267</v>
      </c>
      <c r="I6" s="120">
        <f>VLOOKUP(A6,'הכשרה'!A:G,5,0)+VLOOKUP('תפוקה מצטברת מול אשתקד'!A6,'מגדל'!A:G,5,0)+VLOOKUP('תפוקה מצטברת מול אשתקד'!A6,'מנורה'!A:G,5,0)+VLOOKUP('תפוקה מצטברת מול אשתקד'!A6,'איילון'!A:G,5,0)+VLOOKUP('תפוקה מצטברת מול אשתקד'!A6,'הראל'!A:G,5,0)+VLOOKUP('תפוקה מצטברת מול אשתקד'!A6,'הפניקס'!A:G,5,0)+VLOOKUP('תפוקה מצטברת מול אשתקד'!A6,'כלל'!A:G,5,0)+VLOOKUP('תפוקה מצטברת מול אשתקד'!A6,'מור'!A:G,5,0)+VLOOKUP('תפוקה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אשתקד'!A6,'אינפניטי'!A:G,5,0)</f>
        <v>34130.66896</v>
      </c>
      <c r="J6" s="120">
        <f>VLOOKUP(A6,'הכשרה'!A:G,6,0)+VLOOKUP('תפוקה מצטברת מול אשתקד'!A6,'מגדל'!A:G,6,0)+VLOOKUP('תפוקה מצטברת מול אשתקד'!A6,'מנורה'!A:G,6,0)+VLOOKUP('תפוקה מצטברת מול אשתקד'!A6,'איילון'!A:G,6,0)+VLOOKUP(A6,'הראל'!A:G,6,0)+VLOOKUP('תפוקה מצטברת מול אשתקד'!A6,'הפניקס'!A:G,6,0)+VLOOKUP('תפוקה מצטברת מול אשתקד'!A6,'כלל'!A:G,6,0)+VLOOKUP('תפוקה מצטברת מול אשתקד'!A6,'מור'!A:G,6,0)+VLOOKUP('תפוקה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אשתקד'!A6,'אינפניטי'!A:G,6,0)</f>
        <v>515090.01</v>
      </c>
      <c r="K6" s="120">
        <f>VLOOKUP(A6,'הכשרה'!A:G,7,0)+VLOOKUP('תפוקה מצטברת מול אשתקד'!A6,'מגדל'!A:G,7,0)+VLOOKUP('תפוקה מצטברת מול אשתקד'!A6,'מנורה'!A:G,7,0)+VLOOKUP('תפוקה מצטברת מול אשתקד'!A6,'איילון'!A:G,7,0)+VLOOKUP('תפוקה מצטברת מול אשתקד'!A6,'הראל'!A:G,7,0)+VLOOKUP('תפוקה מצטברת מול אשתקד'!A6,'הפניקס'!A:G,7,0)+VLOOKUP('תפוקה מצטברת מול אשתקד'!A6,'כלל'!A:G,7,0)+VLOOKUP('תפוקה מצטברת מול אשתקד'!A6,'מור'!A:G,7,0)+VLOOKUP('תפוקה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אשתקד'!A6,'אינפניטי'!A:G,7,0)</f>
        <v>-106250.99</v>
      </c>
      <c r="L6" s="121">
        <f>VLOOKUP(A6,'הכשרה'!A:K,8,0)+VLOOKUP('תפוקה מצטברת מול אשתקד'!A6,'מגדל'!A:K,8,0)+VLOOKUP('תפוקה מצטברת מול אשתקד'!A6,'מנורה'!A:K,8,0)+VLOOKUP('תפוקה מצטברת מול אשתקד'!A6,'איילון'!A:K,8,0)+VLOOKUP('תפוקה מצטברת מול אשתקד'!A6,'הראל'!A:K,8,0)+VLOOKUP('תפוקה מצטברת מול אשתקד'!A6,'הפניקס'!A:K,8,0)+VLOOKUP('תפוקה מצטברת מול אשתקד'!A6,'כלל'!A:K,8,0)+VLOOKUP('תפוקה מצטברת מול אשתקד'!A6,'מור'!A:K,8,0)+VLOOKUP('תפוקה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אשתקד'!A6,'אינפניטי'!A:K,8,0)</f>
        <v>0</v>
      </c>
      <c r="M6" s="121">
        <f>VLOOKUP(A6,'הכשרה'!A:K,9,0)+VLOOKUP('תפוקה מצטברת מול אשתקד'!A6,'מגדל'!A:K,9,0)+VLOOKUP('תפוקה מצטברת מול אשתקד'!A6,'מנורה'!A:K,9,0)+VLOOKUP('תפוקה מצטברת מול אשתקד'!A6,'איילון'!A:K,9,0)+VLOOKUP('תפוקה מצטברת מול אשתקד'!A6,'הראל'!A:K,9,0)+VLOOKUP('תפוקה מצטברת מול אשתקד'!A6,'הפניקס'!A:K,9,0)+VLOOKUP('תפוקה מצטברת מול אשתקד'!A6,'כלל'!A:K,9,0)+VLOOKUP('תפוקה מצטברת מול אשתקד'!A6,'מור'!A:K,9,0)+VLOOKUP('תפוקה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אשתקד'!A6,'אינפניטי'!A:K,9,0)</f>
        <v>0</v>
      </c>
      <c r="N6" s="121">
        <f>VLOOKUP(A6,'הכשרה'!A:K,10,0)+VLOOKUP('תפוקה מצטברת מול אשתקד'!A6,'מגדל'!A:K,10,0)+VLOOKUP('תפוקה מצטברת מול אשתקד'!A6,'מנורה'!A:K,10,0)+VLOOKUP('תפוקה מצטברת מול אשתקד'!A6,'איילון'!A:K,10,0)+VLOOKUP('תפוקה מצטברת מול אשתקד'!A6,'הראל'!A:K,10,0)+VLOOKUP('תפוקה מצטברת מול אשתקד'!A6,'הפניקס'!A:K,10,0)+VLOOKUP('תפוקה מצטברת מול אשתקד'!A6,'כלל'!A:K,10,0)+VLOOKUP('תפוקה מצטברת מול אשתקד'!A6,'מור'!A:K,10,0)+VLOOKUP('תפוקה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אשתקד'!A6,'אינפניטי'!A:K,10,0)</f>
        <v>0</v>
      </c>
      <c r="O6" s="121">
        <f>VLOOKUP(A6,'הכשרה'!A:K,11,0)+VLOOKUP('תפוקה מצטברת מול אשתקד'!A6,'מגדל'!A:K,11,0)+VLOOKUP('תפוקה מצטברת מול אשתקד'!A6,'מנורה'!A:K,11,0)+VLOOKUP('תפוקה מצטברת מול אשתקד'!A6,'איילון'!A:K,11,0)+VLOOKUP('תפוקה מצטברת מול אשתקד'!A6,'הראל'!A:K,11,0)+VLOOKUP('תפוקה מצטברת מול אשתקד'!A6,'הפניקס'!A:K,11,0)+VLOOKUP('תפוקה מצטברת מול אשתקד'!A6,'כלל'!A:K,11,0)+VLOOKUP('תפוקה מצטברת מול אשתקד'!A6,'מור'!A:K,11,0)+VLOOKUP('תפוקה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אשתקד'!A6,'אינפניטי'!A:K,11,0)</f>
        <v>0</v>
      </c>
      <c r="P6" s="122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15.75" customHeight="1">
      <c r="A7" s="98" t="s">
        <v>66</v>
      </c>
      <c r="B7" s="98" t="s">
        <v>25</v>
      </c>
      <c r="C7" s="125" t="s">
        <v>13</v>
      </c>
      <c r="D7" s="88">
        <f t="shared" ref="D7:F7" si="7">IF(H7=0,0%,IF(L7=0,100%,H7/L7-1))</f>
        <v>-0.5119731096</v>
      </c>
      <c r="E7" s="88">
        <f t="shared" si="7"/>
        <v>-0.5657927249</v>
      </c>
      <c r="F7" s="88">
        <f t="shared" si="7"/>
        <v>0.1653881151</v>
      </c>
      <c r="G7" s="88">
        <f t="shared" ref="G7:G8" si="9">IF(K7=0,0%,IF(O7=H74,100%,K7/O7-1))</f>
        <v>-0.4987126503</v>
      </c>
      <c r="H7" s="120">
        <f>VLOOKUP(A7,'הכשרה'!A:G,4,0)+VLOOKUP('תפוקה מצטברת מול אשתקד'!A7,'מגדל'!A:G,4,0)+VLOOKUP('תפוקה מצטברת מול אשתקד'!A7,'מנורה'!A:G,4,0)+VLOOKUP('תפוקה מצטברת מול אשתקד'!A7,'איילון'!A:G,4,0)+VLOOKUP('תפוקה מצטברת מול אשתקד'!A7,'הראל'!A:G,4,0)+VLOOKUP('תפוקה מצטברת מול אשתקד'!A7,'הפניקס'!A:G,4,0)+VLOOKUP('תפוקה מצטברת מול אשתקד'!A7,'כלל'!A:G,4,0)+VLOOKUP('תפוקה מצטברת מול אשתקד'!A7,'מור'!A:G,4,0)+VLOOKUP('תפוקה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אשתקד'!A7,'אינפניטי'!A:G,4,0)</f>
        <v>19363.97</v>
      </c>
      <c r="I7" s="120">
        <f>VLOOKUP(A7,'הכשרה'!A:G,5,0)+VLOOKUP('תפוקה מצטברת מול אשתקד'!A7,'מגדל'!A:G,5,0)+VLOOKUP('תפוקה מצטברת מול אשתקד'!A7,'מנורה'!A:G,5,0)+VLOOKUP('תפוקה מצטברת מול אשתקד'!A7,'איילון'!A:G,5,0)+VLOOKUP('תפוקה מצטברת מול אשתקד'!A7,'הראל'!A:G,5,0)+VLOOKUP('תפוקה מצטברת מול אשתקד'!A7,'הפניקס'!A:G,5,0)+VLOOKUP('תפוקה מצטברת מול אשתקד'!A7,'כלל'!A:G,5,0)+VLOOKUP('תפוקה מצטברת מול אשתקד'!A7,'מור'!A:G,5,0)+VLOOKUP('תפוקה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אשתקד'!A7,'אינפניטי'!A:G,5,0)</f>
        <v>1253.06</v>
      </c>
      <c r="J7" s="120">
        <f>VLOOKUP(A7,'הכשרה'!A:G,6,0)+VLOOKUP('תפוקה מצטברת מול אשתקד'!A7,'מגדל'!A:G,6,0)+VLOOKUP('תפוקה מצטברת מול אשתקד'!A7,'מנורה'!A:G,6,0)+VLOOKUP('תפוקה מצטברת מול אשתקד'!A7,'איילון'!A:G,6,0)+VLOOKUP(A7,'הראל'!A:G,6,0)+VLOOKUP('תפוקה מצטברת מול אשתקד'!A7,'הפניקס'!A:G,6,0)+VLOOKUP('תפוקה מצטברת מול אשתקד'!A7,'כלל'!A:G,6,0)+VLOOKUP('תפוקה מצטברת מול אשתקד'!A7,'מור'!A:G,6,0)+VLOOKUP('תפוקה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אשתקד'!A7,'אינפניטי'!A:G,6,0)</f>
        <v>12192.71</v>
      </c>
      <c r="K7" s="120">
        <f>VLOOKUP(A7,'הכשרה'!A:G,7,0)+VLOOKUP('תפוקה מצטברת מול אשתקד'!A7,'מגדל'!A:G,7,0)+VLOOKUP('תפוקה מצטברת מול אשתקד'!A7,'מנורה'!A:G,7,0)+VLOOKUP('תפוקה מצטברת מול אשתקד'!A7,'איילון'!A:G,7,0)+VLOOKUP('תפוקה מצטברת מול אשתקד'!A7,'הראל'!A:G,7,0)+VLOOKUP('תפוקה מצטברת מול אשתקד'!A7,'הפניקס'!A:G,7,0)+VLOOKUP('תפוקה מצטברת מול אשתקד'!A7,'כלל'!A:G,7,0)+VLOOKUP('תפוקה מצטברת מול אשתקד'!A7,'מור'!A:G,7,0)+VLOOKUP('תפוקה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אשתקד'!A7,'אינפניטי'!A:G,7,0)</f>
        <v>52996.64</v>
      </c>
      <c r="L7" s="121">
        <f>VLOOKUP(A7,'הכשרה'!A:K,8,0)+VLOOKUP('תפוקה מצטברת מול אשתקד'!A7,'מגדל'!A:K,8,0)+VLOOKUP('תפוקה מצטברת מול אשתקד'!A7,'מנורה'!A:K,8,0)+VLOOKUP('תפוקה מצטברת מול אשתקד'!A7,'איילון'!A:K,8,0)+VLOOKUP('תפוקה מצטברת מול אשתקד'!A7,'הראל'!A:K,8,0)+VLOOKUP('תפוקה מצטברת מול אשתקד'!A7,'הפניקס'!A:K,8,0)+VLOOKUP('תפוקה מצטברת מול אשתקד'!A7,'כלל'!A:K,8,0)+VLOOKUP('תפוקה מצטברת מול אשתקד'!A7,'מור'!A:K,8,0)+VLOOKUP('תפוקה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אשתקד'!A7,'אינפניטי'!A:K,8,0)</f>
        <v>39678.08</v>
      </c>
      <c r="M7" s="121">
        <f>VLOOKUP(A7,'הכשרה'!A:K,9,0)+VLOOKUP('תפוקה מצטברת מול אשתקד'!A7,'מגדל'!A:K,9,0)+VLOOKUP('תפוקה מצטברת מול אשתקד'!A7,'מנורה'!A:K,9,0)+VLOOKUP('תפוקה מצטברת מול אשתקד'!A7,'איילון'!A:K,9,0)+VLOOKUP('תפוקה מצטברת מול אשתקד'!A7,'הראל'!A:K,9,0)+VLOOKUP('תפוקה מצטברת מול אשתקד'!A7,'הפניקס'!A:K,9,0)+VLOOKUP('תפוקה מצטברת מול אשתקד'!A7,'כלל'!A:K,9,0)+VLOOKUP('תפוקה מצטברת מול אשתקד'!A7,'מור'!A:K,9,0)+VLOOKUP('תפוקה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אשתקד'!A7,'אינפניטי'!A:K,9,0)</f>
        <v>2885.85676</v>
      </c>
      <c r="N7" s="121">
        <f>VLOOKUP(A7,'הכשרה'!A:K,10,0)+VLOOKUP('תפוקה מצטברת מול אשתקד'!A7,'מגדל'!A:K,10,0)+VLOOKUP('תפוקה מצטברת מול אשתקד'!A7,'מנורה'!A:K,10,0)+VLOOKUP('תפוקה מצטברת מול אשתקד'!A7,'איילון'!A:K,10,0)+VLOOKUP('תפוקה מצטברת מול אשתקד'!A7,'הראל'!A:K,10,0)+VLOOKUP('תפוקה מצטברת מול אשתקד'!A7,'הפניקס'!A:K,10,0)+VLOOKUP('תפוקה מצטברת מול אשתקד'!A7,'כלל'!A:K,10,0)+VLOOKUP('תפוקה מצטברת מול אשתקד'!A7,'מור'!A:K,10,0)+VLOOKUP('תפוקה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אשתקד'!A7,'אינפניטי'!A:K,10,0)</f>
        <v>10462.36</v>
      </c>
      <c r="O7" s="121">
        <f>VLOOKUP(A7,'הכשרה'!A:K,11,0)+VLOOKUP('תפוקה מצטברת מול אשתקד'!A7,'מגדל'!A:K,11,0)+VLOOKUP('תפוקה מצטברת מול אשתקד'!A7,'מנורה'!A:K,11,0)+VLOOKUP('תפוקה מצטברת מול אשתקד'!A7,'איילון'!A:K,11,0)+VLOOKUP('תפוקה מצטברת מול אשתקד'!A7,'הראל'!A:K,11,0)+VLOOKUP('תפוקה מצטברת מול אשתקד'!A7,'הפניקס'!A:K,11,0)+VLOOKUP('תפוקה מצטברת מול אשתקד'!A7,'כלל'!A:K,11,0)+VLOOKUP('תפוקה מצטברת מול אשתקד'!A7,'מור'!A:K,11,0)+VLOOKUP('תפוקה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אשתקד'!A7,'אינפניטי'!A:K,11,0)</f>
        <v>105721.08</v>
      </c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ht="26.25" customHeight="1">
      <c r="A8" s="126" t="s">
        <v>67</v>
      </c>
      <c r="B8" s="127"/>
      <c r="C8" s="127"/>
      <c r="D8" s="128">
        <f t="shared" ref="D8:F8" si="8">IF(H8=0,0%,IF(L8=0,100%,H8/L8-1))</f>
        <v>0.7828923791</v>
      </c>
      <c r="E8" s="128">
        <f t="shared" si="8"/>
        <v>-0.5615769856</v>
      </c>
      <c r="F8" s="128">
        <f t="shared" si="8"/>
        <v>0.2098071189</v>
      </c>
      <c r="G8" s="88">
        <f t="shared" si="9"/>
        <v>0.5624035329</v>
      </c>
      <c r="H8" s="129">
        <f t="shared" ref="H8:O8" si="10">SUM(H3:H7)</f>
        <v>7204918.29</v>
      </c>
      <c r="I8" s="129">
        <f t="shared" si="10"/>
        <v>331810.6771</v>
      </c>
      <c r="J8" s="129">
        <f t="shared" si="10"/>
        <v>21403333.89</v>
      </c>
      <c r="K8" s="129">
        <f t="shared" si="10"/>
        <v>45376086.65</v>
      </c>
      <c r="L8" s="129">
        <f t="shared" si="10"/>
        <v>4041140.326</v>
      </c>
      <c r="M8" s="129">
        <f t="shared" si="10"/>
        <v>756827.6898</v>
      </c>
      <c r="N8" s="129">
        <f t="shared" si="10"/>
        <v>17691525.83</v>
      </c>
      <c r="O8" s="129">
        <f t="shared" si="10"/>
        <v>29042488.51</v>
      </c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ht="15.75" customHeight="1">
      <c r="A9" s="125" t="s">
        <v>68</v>
      </c>
      <c r="B9" s="98" t="s">
        <v>25</v>
      </c>
      <c r="C9" s="125" t="s">
        <v>69</v>
      </c>
      <c r="D9" s="130">
        <f t="shared" ref="D9:F9" si="11">IF(H9=0,0%,IF(L9=0,100%,H9/L9-1))</f>
        <v>14.73480784</v>
      </c>
      <c r="E9" s="130">
        <f t="shared" si="11"/>
        <v>0.6736298518</v>
      </c>
      <c r="F9" s="130">
        <f t="shared" si="11"/>
        <v>0</v>
      </c>
      <c r="G9" s="130">
        <f t="shared" ref="G9:G20" si="13">IF(K9=0,0%,IF(O9=H33,100%,K9/O9-1))</f>
        <v>-0.555180523</v>
      </c>
      <c r="H9" s="120">
        <f>VLOOKUP(A9,'הכשרה'!A:G,4,0)+VLOOKUP('תפוקה מצטברת מול אשתקד'!A9,'מגדל'!A:G,4,0)+VLOOKUP('תפוקה מצטברת מול אשתקד'!A9,'מנורה'!A:G,4,0)+VLOOKUP('תפוקה מצטברת מול אשתקד'!A9,'איילון'!A:G,4,0)+VLOOKUP('תפוקה מצטברת מול אשתקד'!A9,'הראל'!A:G,4,0)+VLOOKUP('תפוקה מצטברת מול אשתקד'!A9,'הפניקס'!A:G,4,0)+VLOOKUP('תפוקה מצטברת מול אשתקד'!A9,'כלל'!A:G,4,0)+VLOOKUP('תפוקה מצטברת מול אשתקד'!A9,'מור'!A:G,4,0)+VLOOKUP('תפוקה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אשתקד'!A9,'אינפניטי'!A:G,4,0)</f>
        <v>42413.39971</v>
      </c>
      <c r="I9" s="120">
        <f>VLOOKUP(A9,'הכשרה'!A:G,5,0)+VLOOKUP('תפוקה מצטברת מול אשתקד'!A9,'מגדל'!A:G,5,0)+VLOOKUP('תפוקה מצטברת מול אשתקד'!A9,'מנורה'!A:G,5,0)+VLOOKUP('תפוקה מצטברת מול אשתקד'!A9,'איילון'!A:G,5,0)+VLOOKUP('תפוקה מצטברת מול אשתקד'!A9,'הראל'!A:G,5,0)+VLOOKUP('תפוקה מצטברת מול אשתקד'!A9,'הפניקס'!A:G,5,0)+VLOOKUP('תפוקה מצטברת מול אשתקד'!A9,'כלל'!A:G,5,0)+VLOOKUP('תפוקה מצטברת מול אשתקד'!A9,'מור'!A:G,5,0)+VLOOKUP('תפוקה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אשתקד'!A9,'אינפניטי'!A:G,5,0)</f>
        <v>1169.643</v>
      </c>
      <c r="J9" s="120">
        <f>VLOOKUP(A9,'הכשרה'!A:G,6,0)+VLOOKUP('תפוקה מצטברת מול אשתקד'!A9,'מגדל'!A:G,6,0)+VLOOKUP('תפוקה מצטברת מול אשתקד'!A9,'מנורה'!A:G,6,0)+VLOOKUP('תפוקה מצטברת מול אשתקד'!A9,'איילון'!A:G,6,0)+VLOOKUP(A9,'הראל'!A:G,6,0)+VLOOKUP('תפוקה מצטברת מול אשתקד'!A9,'הפניקס'!A:G,6,0)+VLOOKUP('תפוקה מצטברת מול אשתקד'!A9,'כלל'!A:G,6,0)+VLOOKUP('תפוקה מצטברת מול אשתקד'!A9,'מור'!A:G,6,0)+VLOOKUP('תפוקה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אשתקד'!A9,'אינפניטי'!A:G,6,0)</f>
        <v>0</v>
      </c>
      <c r="K9" s="120">
        <f>VLOOKUP(A9,'הכשרה'!A:G,7,0)+VLOOKUP('תפוקה מצטברת מול אשתקד'!A9,'מגדל'!A:G,7,0)+VLOOKUP('תפוקה מצטברת מול אשתקד'!A9,'מנורה'!A:G,7,0)+VLOOKUP('תפוקה מצטברת מול אשתקד'!A9,'איילון'!A:G,7,0)+VLOOKUP('תפוקה מצטברת מול אשתקד'!A9,'הראל'!A:G,7,0)+VLOOKUP('תפוקה מצטברת מול אשתקד'!A9,'הפניקס'!A:G,7,0)+VLOOKUP('תפוקה מצטברת מול אשתקד'!A9,'כלל'!A:G,7,0)+VLOOKUP('תפוקה מצטברת מול אשתקד'!A9,'מור'!A:G,7,0)+VLOOKUP('תפוקה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אשתקד'!A9,'אינפניטי'!A:G,7,0)</f>
        <v>-312354.79</v>
      </c>
      <c r="L9" s="121">
        <f>VLOOKUP(A9,'הכשרה'!A:K,8,0)+VLOOKUP('תפוקה מצטברת מול אשתקד'!A9,'מגדל'!A:K,8,0)+VLOOKUP('תפוקה מצטברת מול אשתקד'!A9,'מנורה'!A:K,8,0)+VLOOKUP('תפוקה מצטברת מול אשתקד'!A9,'איילון'!A:K,8,0)+VLOOKUP('תפוקה מצטברת מול אשתקד'!A9,'הראל'!A:K,8,0)+VLOOKUP('תפוקה מצטברת מול אשתקד'!A9,'הפניקס'!A:K,8,0)+VLOOKUP('תפוקה מצטברת מול אשתקד'!A9,'כלל'!A:K,8,0)+VLOOKUP('תפוקה מצטברת מול אשתקד'!A9,'מור'!A:K,8,0)+VLOOKUP('תפוקה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אשתקד'!A9,'אינפניטי'!A:K,8,0)</f>
        <v>2695.51431</v>
      </c>
      <c r="M9" s="121">
        <f>VLOOKUP(A9,'הכשרה'!A:K,9,0)+VLOOKUP('תפוקה מצטברת מול אשתקד'!A9,'מגדל'!A:K,9,0)+VLOOKUP('תפוקה מצטברת מול אשתקד'!A9,'מנורה'!A:K,9,0)+VLOOKUP('תפוקה מצטברת מול אשתקד'!A9,'איילון'!A:K,9,0)+VLOOKUP('תפוקה מצטברת מול אשתקד'!A9,'הראל'!A:K,9,0)+VLOOKUP('תפוקה מצטברת מול אשתקד'!A9,'הפניקס'!A:K,9,0)+VLOOKUP('תפוקה מצטברת מול אשתקד'!A9,'כלל'!A:K,9,0)+VLOOKUP('תפוקה מצטברת מול אשתקד'!A9,'מור'!A:K,9,0)+VLOOKUP('תפוקה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אשתקד'!A9,'אינפניטי'!A:K,9,0)</f>
        <v>698.866</v>
      </c>
      <c r="N9" s="121">
        <f>VLOOKUP(A9,'הכשרה'!A:K,10,0)+VLOOKUP('תפוקה מצטברת מול אשתקד'!A9,'מגדל'!A:K,10,0)+VLOOKUP('תפוקה מצטברת מול אשתקד'!A9,'מנורה'!A:K,10,0)+VLOOKUP('תפוקה מצטברת מול אשתקד'!A9,'איילון'!A:K,10,0)+VLOOKUP('תפוקה מצטברת מול אשתקד'!A9,'הראל'!A:K,10,0)+VLOOKUP('תפוקה מצטברת מול אשתקד'!A9,'הפניקס'!A:K,10,0)+VLOOKUP('תפוקה מצטברת מול אשתקד'!A9,'כלל'!A:K,10,0)+VLOOKUP('תפוקה מצטברת מול אשתקד'!A9,'מור'!A:K,10,0)+VLOOKUP('תפוקה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אשתקד'!A9,'אינפניטי'!A:K,10,0)</f>
        <v>0</v>
      </c>
      <c r="O9" s="121">
        <f>VLOOKUP(A9,'הכשרה'!A:K,11,0)+VLOOKUP('תפוקה מצטברת מול אשתקד'!A9,'מגדל'!A:K,11,0)+VLOOKUP('תפוקה מצטברת מול אשתקד'!A9,'מנורה'!A:K,11,0)+VLOOKUP('תפוקה מצטברת מול אשתקד'!A9,'איילון'!A:K,11,0)+VLOOKUP('תפוקה מצטברת מול אשתקד'!A9,'הראל'!A:K,11,0)+VLOOKUP('תפוקה מצטברת מול אשתקד'!A9,'הפניקס'!A:K,11,0)+VLOOKUP('תפוקה מצטברת מול אשתקד'!A9,'כלל'!A:K,11,0)+VLOOKUP('תפוקה מצטברת מול אשתקד'!A9,'מור'!A:K,11,0)+VLOOKUP('תפוקה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אשתקד'!A9,'אינפניטי'!A:K,11,0)</f>
        <v>-702205.74</v>
      </c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15.75" customHeight="1">
      <c r="A10" s="98" t="s">
        <v>39</v>
      </c>
      <c r="B10" s="98" t="s">
        <v>25</v>
      </c>
      <c r="C10" s="98" t="s">
        <v>69</v>
      </c>
      <c r="D10" s="88">
        <f t="shared" ref="D10:F10" si="12">IF(H10=0,0%,IF(L10=0,100%,H10/L10-1))</f>
        <v>-0.1729636119</v>
      </c>
      <c r="E10" s="88">
        <f t="shared" si="12"/>
        <v>0.6998451095</v>
      </c>
      <c r="F10" s="88">
        <f t="shared" si="12"/>
        <v>0.9975964612</v>
      </c>
      <c r="G10" s="88">
        <f t="shared" si="13"/>
        <v>0.9090325917</v>
      </c>
      <c r="H10" s="120">
        <f>VLOOKUP(A10,'הכשרה'!A:G,4,0)+VLOOKUP('תפוקה מצטברת מול אשתקד'!A10,'מגדל'!A:G,4,0)+VLOOKUP('תפוקה מצטברת מול אשתקד'!A10,'מנורה'!A:G,4,0)+VLOOKUP('תפוקה מצטברת מול אשתקד'!A10,'איילון'!A:G,4,0)+VLOOKUP('תפוקה מצטברת מול אשתקד'!A10,'הראל'!A:G,4,0)+VLOOKUP('תפוקה מצטברת מול אשתקד'!A10,'הפניקס'!A:G,4,0)+VLOOKUP('תפוקה מצטברת מול אשתקד'!A10,'כלל'!A:G,4,0)+VLOOKUP('תפוקה מצטברת מול אשתקד'!A10,'מור'!A:G,4,0)+VLOOKUP('תפוקה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אשתקד'!A10,'אינפניטי'!A:G,4,0)</f>
        <v>672364.4527</v>
      </c>
      <c r="I10" s="120">
        <f>VLOOKUP(A10,'הכשרה'!A:G,5,0)+VLOOKUP('תפוקה מצטברת מול אשתקד'!A10,'מגדל'!A:G,5,0)+VLOOKUP('תפוקה מצטברת מול אשתקד'!A10,'מנורה'!A:G,5,0)+VLOOKUP('תפוקה מצטברת מול אשתקד'!A10,'איילון'!A:G,5,0)+VLOOKUP('תפוקה מצטברת מול אשתקד'!A10,'הראל'!A:G,5,0)+VLOOKUP('תפוקה מצטברת מול אשתקד'!A10,'הפניקס'!A:G,5,0)+VLOOKUP('תפוקה מצטברת מול אשתקד'!A10,'כלל'!A:G,5,0)+VLOOKUP('תפוקה מצטברת מול אשתקד'!A10,'מור'!A:G,5,0)+VLOOKUP('תפוקה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אשתקד'!A10,'אינפניטי'!A:G,5,0)</f>
        <v>802166.9745</v>
      </c>
      <c r="J10" s="120">
        <f>VLOOKUP(A10,'הכשרה'!A:G,6,0)+VLOOKUP('תפוקה מצטברת מול אשתקד'!A10,'מגדל'!A:G,6,0)+VLOOKUP('תפוקה מצטברת מול אשתקד'!A10,'מנורה'!A:G,6,0)+VLOOKUP('תפוקה מצטברת מול אשתקד'!A10,'איילון'!A:G,6,0)+VLOOKUP(A10,'הראל'!A:G,6,0)+VLOOKUP('תפוקה מצטברת מול אשתקד'!A10,'הפניקס'!A:G,6,0)+VLOOKUP('תפוקה מצטברת מול אשתקד'!A10,'כלל'!A:G,6,0)+VLOOKUP('תפוקה מצטברת מול אשתקד'!A10,'מור'!A:G,6,0)+VLOOKUP('תפוקה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אשתקד'!A10,'אינפניטי'!A:G,6,0)</f>
        <v>324158.7089</v>
      </c>
      <c r="K10" s="120">
        <f>VLOOKUP(A10,'הכשרה'!A:G,7,0)+VLOOKUP('תפוקה מצטברת מול אשתקד'!A10,'מגדל'!A:G,7,0)+VLOOKUP('תפוקה מצטברת מול אשתקד'!A10,'מנורה'!A:G,7,0)+VLOOKUP('תפוקה מצטברת מול אשתקד'!A10,'איילון'!A:G,7,0)+VLOOKUP('תפוקה מצטברת מול אשתקד'!A10,'הראל'!A:G,7,0)+VLOOKUP('תפוקה מצטברת מול אשתקד'!A10,'הפניקס'!A:G,7,0)+VLOOKUP('תפוקה מצטברת מול אשתקד'!A10,'כלל'!A:G,7,0)+VLOOKUP('תפוקה מצטברת מול אשתקד'!A10,'מור'!A:G,7,0)+VLOOKUP('תפוקה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אשתקד'!A10,'אינפניטי'!A:G,7,0)</f>
        <v>1237689.19</v>
      </c>
      <c r="L10" s="121">
        <f>VLOOKUP(A10,'הכשרה'!A:K,8,0)+VLOOKUP('תפוקה מצטברת מול אשתקד'!A10,'מגדל'!A:K,8,0)+VLOOKUP('תפוקה מצטברת מול אשתקד'!A10,'מנורה'!A:K,8,0)+VLOOKUP('תפוקה מצטברת מול אשתקד'!A10,'איילון'!A:K,8,0)+VLOOKUP('תפוקה מצטברת מול אשתקד'!A10,'הראל'!A:K,8,0)+VLOOKUP('תפוקה מצטברת מול אשתקד'!A10,'הפניקס'!A:K,8,0)+VLOOKUP('תפוקה מצטברת מול אשתקד'!A10,'כלל'!A:K,8,0)+VLOOKUP('תפוקה מצטברת מול אשתקד'!A10,'מור'!A:K,8,0)+VLOOKUP('תפוקה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אשתקד'!A10,'אינפניטי'!A:K,8,0)</f>
        <v>812980.4957</v>
      </c>
      <c r="M10" s="121">
        <f>VLOOKUP(A10,'הכשרה'!A:K,9,0)+VLOOKUP('תפוקה מצטברת מול אשתקד'!A10,'מגדל'!A:K,9,0)+VLOOKUP('תפוקה מצטברת מול אשתקד'!A10,'מנורה'!A:K,9,0)+VLOOKUP('תפוקה מצטברת מול אשתקד'!A10,'איילון'!A:K,9,0)+VLOOKUP('תפוקה מצטברת מול אשתקד'!A10,'הראל'!A:K,9,0)+VLOOKUP('תפוקה מצטברת מול אשתקד'!A10,'הפניקס'!A:K,9,0)+VLOOKUP('תפוקה מצטברת מול אשתקד'!A10,'כלל'!A:K,9,0)+VLOOKUP('תפוקה מצטברת מול אשתקד'!A10,'מור'!A:K,9,0)+VLOOKUP('תפוקה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אשתקד'!A10,'אינפניטי'!A:K,9,0)</f>
        <v>471905.9225</v>
      </c>
      <c r="N10" s="121">
        <f>VLOOKUP(A10,'הכשרה'!A:K,10,0)+VLOOKUP('תפוקה מצטברת מול אשתקד'!A10,'מגדל'!A:K,10,0)+VLOOKUP('תפוקה מצטברת מול אשתקד'!A10,'מנורה'!A:K,10,0)+VLOOKUP('תפוקה מצטברת מול אשתקד'!A10,'איילון'!A:K,10,0)+VLOOKUP('תפוקה מצטברת מול אשתקד'!A10,'הראל'!A:K,10,0)+VLOOKUP('תפוקה מצטברת מול אשתקד'!A10,'הפניקס'!A:K,10,0)+VLOOKUP('תפוקה מצטברת מול אשתקד'!A10,'כלל'!A:K,10,0)+VLOOKUP('תפוקה מצטברת מול אשתקד'!A10,'מור'!A:K,10,0)+VLOOKUP('תפוקה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אשתקד'!A10,'אינפניטי'!A:K,10,0)</f>
        <v>162274.3708</v>
      </c>
      <c r="O10" s="121">
        <f>VLOOKUP(A10,'הכשרה'!A:K,11,0)+VLOOKUP('תפוקה מצטברת מול אשתקד'!A10,'מגדל'!A:K,11,0)+VLOOKUP('תפוקה מצטברת מול אשתקד'!A10,'מנורה'!A:K,11,0)+VLOOKUP('תפוקה מצטברת מול אשתקד'!A10,'איילון'!A:K,11,0)+VLOOKUP('תפוקה מצטברת מול אשתקד'!A10,'הראל'!A:K,11,0)+VLOOKUP('תפוקה מצטברת מול אשתקד'!A10,'הפניקס'!A:K,11,0)+VLOOKUP('תפוקה מצטברת מול אשתקד'!A10,'כלל'!A:K,11,0)+VLOOKUP('תפוקה מצטברת מול אשתקד'!A10,'מור'!A:K,11,0)+VLOOKUP('תפוקה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אשתקד'!A10,'אינפניטי'!A:K,11,0)</f>
        <v>648333.19</v>
      </c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ht="15.75" customHeight="1">
      <c r="A11" s="98" t="s">
        <v>70</v>
      </c>
      <c r="B11" s="98" t="s">
        <v>25</v>
      </c>
      <c r="C11" s="98" t="s">
        <v>69</v>
      </c>
      <c r="D11" s="88">
        <f t="shared" ref="D11:F11" si="14">IF(H11=0,0%,IF(L11=0,100%,H11/L11-1))</f>
        <v>-0.3552174255</v>
      </c>
      <c r="E11" s="88">
        <f t="shared" si="14"/>
        <v>-0.4529976349</v>
      </c>
      <c r="F11" s="88">
        <f t="shared" si="14"/>
        <v>1.502380214</v>
      </c>
      <c r="G11" s="88">
        <f t="shared" si="13"/>
        <v>-0.9912567937</v>
      </c>
      <c r="H11" s="120">
        <f>VLOOKUP(A11,'הכשרה'!A:G,4,0)+VLOOKUP('תפוקה מצטברת מול אשתקד'!A11,'מגדל'!A:G,4,0)+VLOOKUP('תפוקה מצטברת מול אשתקד'!A11,'מנורה'!A:G,4,0)+VLOOKUP('תפוקה מצטברת מול אשתקד'!A11,'איילון'!A:G,4,0)+VLOOKUP('תפוקה מצטברת מול אשתקד'!A11,'הראל'!A:G,4,0)+VLOOKUP('תפוקה מצטברת מול אשתקד'!A11,'הפניקס'!A:G,4,0)+VLOOKUP('תפוקה מצטברת מול אשתקד'!A11,'כלל'!A:G,4,0)+VLOOKUP('תפוקה מצטברת מול אשתקד'!A11,'מור'!A:G,4,0)+VLOOKUP('תפוקה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אשתקד'!A11,'אינפניטי'!A:G,4,0)</f>
        <v>139066.9044</v>
      </c>
      <c r="I11" s="120">
        <f>VLOOKUP(A11,'הכשרה'!A:G,5,0)+VLOOKUP('תפוקה מצטברת מול אשתקד'!A11,'מגדל'!A:G,5,0)+VLOOKUP('תפוקה מצטברת מול אשתקד'!A11,'מנורה'!A:G,5,0)+VLOOKUP('תפוקה מצטברת מול אשתקד'!A11,'איילון'!A:G,5,0)+VLOOKUP('תפוקה מצטברת מול אשתקד'!A11,'הראל'!A:G,5,0)+VLOOKUP('תפוקה מצטברת מול אשתקד'!A11,'הפניקס'!A:G,5,0)+VLOOKUP('תפוקה מצטברת מול אשתקד'!A11,'כלל'!A:G,5,0)+VLOOKUP('תפוקה מצטברת מול אשתקד'!A11,'מור'!A:G,5,0)+VLOOKUP('תפוקה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אשתקד'!A11,'אינפניטי'!A:G,5,0)</f>
        <v>40457.14224</v>
      </c>
      <c r="J11" s="120">
        <f>VLOOKUP(A11,'הכשרה'!A:G,6,0)+VLOOKUP('תפוקה מצטברת מול אשתקד'!A11,'מגדל'!A:G,6,0)+VLOOKUP('תפוקה מצטברת מול אשתקד'!A11,'מנורה'!A:G,6,0)+VLOOKUP('תפוקה מצטברת מול אשתקד'!A11,'איילון'!A:G,6,0)+VLOOKUP(A11,'הראל'!A:G,6,0)+VLOOKUP('תפוקה מצטברת מול אשתקד'!A11,'הפניקס'!A:G,6,0)+VLOOKUP('תפוקה מצטברת מול אשתקד'!A11,'כלל'!A:G,6,0)+VLOOKUP('תפוקה מצטברת מול אשתקד'!A11,'מור'!A:G,6,0)+VLOOKUP('תפוקה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אשתקד'!A11,'אינפניטי'!A:G,6,0)</f>
        <v>669332.1555</v>
      </c>
      <c r="K11" s="120">
        <f>VLOOKUP(A11,'הכשרה'!A:G,7,0)+VLOOKUP('תפוקה מצטברת מול אשתקד'!A11,'מגדל'!A:G,7,0)+VLOOKUP('תפוקה מצטברת מול אשתקד'!A11,'מנורה'!A:G,7,0)+VLOOKUP('תפוקה מצטברת מול אשתקד'!A11,'איילון'!A:G,7,0)+VLOOKUP('תפוקה מצטברת מול אשתקד'!A11,'הראל'!A:G,7,0)+VLOOKUP('תפוקה מצטברת מול אשתקד'!A11,'הפניקס'!A:G,7,0)+VLOOKUP('תפוקה מצטברת מול אשתקד'!A11,'כלל'!A:G,7,0)+VLOOKUP('תפוקה מצטברת מול אשתקד'!A11,'מור'!A:G,7,0)+VLOOKUP('תפוקה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אשתקד'!A11,'אינפניטי'!A:G,7,0)</f>
        <v>-3933.52</v>
      </c>
      <c r="L11" s="121">
        <f>VLOOKUP(A11,'הכשרה'!A:K,8,0)+VLOOKUP('תפוקה מצטברת מול אשתקד'!A11,'מגדל'!A:K,8,0)+VLOOKUP('תפוקה מצטברת מול אשתקד'!A11,'מנורה'!A:K,8,0)+VLOOKUP('תפוקה מצטברת מול אשתקד'!A11,'איילון'!A:K,8,0)+VLOOKUP('תפוקה מצטברת מול אשתקד'!A11,'הראל'!A:K,8,0)+VLOOKUP('תפוקה מצטברת מול אשתקד'!A11,'הפניקס'!A:K,8,0)+VLOOKUP('תפוקה מצטברת מול אשתקד'!A11,'כלל'!A:K,8,0)+VLOOKUP('תפוקה מצטברת מול אשתקד'!A11,'מור'!A:K,8,0)+VLOOKUP('תפוקה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אשתקד'!A11,'אינפניטי'!A:K,8,0)</f>
        <v>215680.3082</v>
      </c>
      <c r="M11" s="121">
        <f>VLOOKUP(A11,'הכשרה'!A:K,9,0)+VLOOKUP('תפוקה מצטברת מול אשתקד'!A11,'מגדל'!A:K,9,0)+VLOOKUP('תפוקה מצטברת מול אשתקד'!A11,'מנורה'!A:K,9,0)+VLOOKUP('תפוקה מצטברת מול אשתקד'!A11,'איילון'!A:K,9,0)+VLOOKUP('תפוקה מצטברת מול אשתקד'!A11,'הראל'!A:K,9,0)+VLOOKUP('תפוקה מצטברת מול אשתקד'!A11,'הפניקס'!A:K,9,0)+VLOOKUP('תפוקה מצטברת מול אשתקד'!A11,'כלל'!A:K,9,0)+VLOOKUP('תפוקה מצטברת מול אשתקד'!A11,'מור'!A:K,9,0)+VLOOKUP('תפוקה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אשתקד'!A11,'אינפניטי'!A:K,9,0)</f>
        <v>73961.54901</v>
      </c>
      <c r="N11" s="121">
        <f>VLOOKUP(A11,'הכשרה'!A:K,10,0)+VLOOKUP('תפוקה מצטברת מול אשתקד'!A11,'מגדל'!A:K,10,0)+VLOOKUP('תפוקה מצטברת מול אשתקד'!A11,'מנורה'!A:K,10,0)+VLOOKUP('תפוקה מצטברת מול אשתקד'!A11,'איילון'!A:K,10,0)+VLOOKUP('תפוקה מצטברת מול אשתקד'!A11,'הראל'!A:K,10,0)+VLOOKUP('תפוקה מצטברת מול אשתקד'!A11,'הפניקס'!A:K,10,0)+VLOOKUP('תפוקה מצטברת מול אשתקד'!A11,'כלל'!A:K,10,0)+VLOOKUP('תפוקה מצטברת מול אשתקד'!A11,'מור'!A:K,10,0)+VLOOKUP('תפוקה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אשתקד'!A11,'אינפניטי'!A:K,10,0)</f>
        <v>267478.2001</v>
      </c>
      <c r="O11" s="121">
        <f>VLOOKUP(A11,'הכשרה'!A:K,11,0)+VLOOKUP('תפוקה מצטברת מול אשתקד'!A11,'מגדל'!A:K,11,0)+VLOOKUP('תפוקה מצטברת מול אשתקד'!A11,'מנורה'!A:K,11,0)+VLOOKUP('תפוקה מצטברת מול אשתקד'!A11,'איילון'!A:K,11,0)+VLOOKUP('תפוקה מצטברת מול אשתקד'!A11,'הראל'!A:K,11,0)+VLOOKUP('תפוקה מצטברת מול אשתקד'!A11,'הפניקס'!A:K,11,0)+VLOOKUP('תפוקה מצטברת מול אשתקד'!A11,'כלל'!A:K,11,0)+VLOOKUP('תפוקה מצטברת מול אשתקד'!A11,'מור'!A:K,11,0)+VLOOKUP('תפוקה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אשתקד'!A11,'אינפניטי'!A:K,11,0)</f>
        <v>-449894.45</v>
      </c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ht="15.75" customHeight="1">
      <c r="A12" s="98" t="s">
        <v>71</v>
      </c>
      <c r="B12" s="98" t="s">
        <v>25</v>
      </c>
      <c r="C12" s="98" t="s">
        <v>69</v>
      </c>
      <c r="D12" s="88">
        <f t="shared" ref="D12:F12" si="15">IF(H12=0,0%,IF(L12=0,100%,H12/L12-1))</f>
        <v>1172.38363</v>
      </c>
      <c r="E12" s="88">
        <f t="shared" si="15"/>
        <v>36.9346844</v>
      </c>
      <c r="F12" s="88">
        <f t="shared" si="15"/>
        <v>1</v>
      </c>
      <c r="G12" s="88">
        <f t="shared" si="13"/>
        <v>-1.538636637</v>
      </c>
      <c r="H12" s="120">
        <f>VLOOKUP(A12,'הכשרה'!A:G,4,0)+VLOOKUP('תפוקה מצטברת מול אשתקד'!A12,'מגדל'!A:G,4,0)+VLOOKUP('תפוקה מצטברת מול אשתקד'!A12,'מנורה'!A:G,4,0)+VLOOKUP('תפוקה מצטברת מול אשתקד'!A12,'איילון'!A:G,4,0)+VLOOKUP('תפוקה מצטברת מול אשתקד'!A12,'הראל'!A:G,4,0)+VLOOKUP('תפוקה מצטברת מול אשתקד'!A12,'הפניקס'!A:G,4,0)+VLOOKUP('תפוקה מצטברת מול אשתקד'!A12,'כלל'!A:G,4,0)+VLOOKUP('תפוקה מצטברת מול אשתקד'!A12,'מור'!A:G,4,0)+VLOOKUP('תפוקה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אשתקד'!A12,'אינפניטי'!A:G,4,0)</f>
        <v>162290.6898</v>
      </c>
      <c r="I12" s="120">
        <f>VLOOKUP(A12,'הכשרה'!A:G,5,0)+VLOOKUP('תפוקה מצטברת מול אשתקד'!A12,'מגדל'!A:G,5,0)+VLOOKUP('תפוקה מצטברת מול אשתקד'!A12,'מנורה'!A:G,5,0)+VLOOKUP('תפוקה מצטברת מול אשתקד'!A12,'איילון'!A:G,5,0)+VLOOKUP('תפוקה מצטברת מול אשתקד'!A12,'הראל'!A:G,5,0)+VLOOKUP('תפוקה מצטברת מול אשתקד'!A12,'הפניקס'!A:G,5,0)+VLOOKUP('תפוקה מצטברת מול אשתקד'!A12,'כלל'!A:G,5,0)+VLOOKUP('תפוקה מצטברת מול אשתקד'!A12,'מור'!A:G,5,0)+VLOOKUP('תפוקה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אשתקד'!A12,'אינפניטי'!A:G,5,0)</f>
        <v>6576.356888</v>
      </c>
      <c r="J12" s="120">
        <f>VLOOKUP(A12,'הכשרה'!A:G,6,0)+VLOOKUP('תפוקה מצטברת מול אשתקד'!A12,'מגדל'!A:G,6,0)+VLOOKUP('תפוקה מצטברת מול אשתקד'!A12,'מנורה'!A:G,6,0)+VLOOKUP('תפוקה מצטברת מול אשתקד'!A12,'איילון'!A:G,6,0)+VLOOKUP(A12,'הראל'!A:G,6,0)+VLOOKUP('תפוקה מצטברת מול אשתקד'!A12,'הפניקס'!A:G,6,0)+VLOOKUP('תפוקה מצטברת מול אשתקד'!A12,'כלל'!A:G,6,0)+VLOOKUP('תפוקה מצטברת מול אשתקד'!A12,'מור'!A:G,6,0)+VLOOKUP('תפוקה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אשתקד'!A12,'אינפניטי'!A:G,6,0)</f>
        <v>621438.05</v>
      </c>
      <c r="K12" s="120">
        <f>VLOOKUP(A12,'הכשרה'!A:G,7,0)+VLOOKUP('תפוקה מצטברת מול אשתקד'!A12,'מגדל'!A:G,7,0)+VLOOKUP('תפוקה מצטברת מול אשתקד'!A12,'מנורה'!A:G,7,0)+VLOOKUP('תפוקה מצטברת מול אשתקד'!A12,'איילון'!A:G,7,0)+VLOOKUP('תפוקה מצטברת מול אשתקד'!A12,'הראל'!A:G,7,0)+VLOOKUP('תפוקה מצטברת מול אשתקד'!A12,'הפניקס'!A:G,7,0)+VLOOKUP('תפוקה מצטברת מול אשתקד'!A12,'כלל'!A:G,7,0)+VLOOKUP('תפוקה מצטברת מול אשתקד'!A12,'מור'!A:G,7,0)+VLOOKUP('תפוקה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אשתקד'!A12,'אינפניטי'!A:G,7,0)</f>
        <v>125854.19</v>
      </c>
      <c r="L12" s="121">
        <f>VLOOKUP(A12,'הכשרה'!A:K,8,0)+VLOOKUP('תפוקה מצטברת מול אשתקד'!A12,'מגדל'!A:K,8,0)+VLOOKUP('תפוקה מצטברת מול אשתקד'!A12,'מנורה'!A:K,8,0)+VLOOKUP('תפוקה מצטברת מול אשתקד'!A12,'איילון'!A:K,8,0)+VLOOKUP('תפוקה מצטברת מול אשתקד'!A12,'הראל'!A:K,8,0)+VLOOKUP('תפוקה מצטברת מול אשתקד'!A12,'הפניקס'!A:K,8,0)+VLOOKUP('תפוקה מצטברת מול אשתקד'!A12,'כלל'!A:K,8,0)+VLOOKUP('תפוקה מצטברת מול אשתקד'!A12,'מור'!A:K,8,0)+VLOOKUP('תפוקה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אשתקד'!A12,'אינפניטי'!A:K,8,0)</f>
        <v>138.31</v>
      </c>
      <c r="M12" s="121">
        <f>VLOOKUP(A12,'הכשרה'!A:K,9,0)+VLOOKUP('תפוקה מצטברת מול אשתקד'!A12,'מגדל'!A:K,9,0)+VLOOKUP('תפוקה מצטברת מול אשתקד'!A12,'מנורה'!A:K,9,0)+VLOOKUP('תפוקה מצטברת מול אשתקד'!A12,'איילון'!A:K,9,0)+VLOOKUP('תפוקה מצטברת מול אשתקד'!A12,'הראל'!A:K,9,0)+VLOOKUP('תפוקה מצטברת מול אשתקד'!A12,'הפניקס'!A:K,9,0)+VLOOKUP('תפוקה מצטברת מול אשתקד'!A12,'כלל'!A:K,9,0)+VLOOKUP('תפוקה מצטברת מול אשתקד'!A12,'מור'!A:K,9,0)+VLOOKUP('תפוקה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אשתקד'!A12,'אינפניטי'!A:K,9,0)</f>
        <v>173.36</v>
      </c>
      <c r="N12" s="121">
        <f>VLOOKUP(A12,'הכשרה'!A:K,10,0)+VLOOKUP('תפוקה מצטברת מול אשתקד'!A12,'מגדל'!A:K,10,0)+VLOOKUP('תפוקה מצטברת מול אשתקד'!A12,'מנורה'!A:K,10,0)+VLOOKUP('תפוקה מצטברת מול אשתקד'!A12,'איילון'!A:K,10,0)+VLOOKUP('תפוקה מצטברת מול אשתקד'!A12,'הראל'!A:K,10,0)+VLOOKUP('תפוקה מצטברת מול אשתקד'!A12,'הפניקס'!A:K,10,0)+VLOOKUP('תפוקה מצטברת מול אשתקד'!A12,'כלל'!A:K,10,0)+VLOOKUP('תפוקה מצטברת מול אשתקד'!A12,'מור'!A:K,10,0)+VLOOKUP('תפוקה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אשתקד'!A12,'אינפניטי'!A:K,10,0)</f>
        <v>0</v>
      </c>
      <c r="O12" s="121">
        <f>VLOOKUP(A12,'הכשרה'!A:K,11,0)+VLOOKUP('תפוקה מצטברת מול אשתקד'!A12,'מגדל'!A:K,11,0)+VLOOKUP('תפוקה מצטברת מול אשתקד'!A12,'מנורה'!A:K,11,0)+VLOOKUP('תפוקה מצטברת מול אשתקד'!A12,'איילון'!A:K,11,0)+VLOOKUP('תפוקה מצטברת מול אשתקד'!A12,'הראל'!A:K,11,0)+VLOOKUP('תפוקה מצטברת מול אשתקד'!A12,'הפניקס'!A:K,11,0)+VLOOKUP('תפוקה מצטברת מול אשתקד'!A12,'כלל'!A:K,11,0)+VLOOKUP('תפוקה מצטברת מול אשתקד'!A12,'מור'!A:K,11,0)+VLOOKUP('תפוקה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אשתקד'!A12,'אינפניטי'!A:K,11,0)</f>
        <v>-233653.23</v>
      </c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ht="15.75" customHeight="1">
      <c r="A13" s="98" t="s">
        <v>58</v>
      </c>
      <c r="B13" s="98" t="s">
        <v>25</v>
      </c>
      <c r="C13" s="98" t="s">
        <v>69</v>
      </c>
      <c r="D13" s="88">
        <f t="shared" ref="D13:F13" si="16">IF(H13=0,0%,IF(L13=0,100%,H13/L13-1))</f>
        <v>1</v>
      </c>
      <c r="E13" s="88">
        <f t="shared" si="16"/>
        <v>-0.3318261982</v>
      </c>
      <c r="F13" s="88">
        <f t="shared" si="16"/>
        <v>0</v>
      </c>
      <c r="G13" s="88">
        <f t="shared" si="13"/>
        <v>0</v>
      </c>
      <c r="H13" s="120">
        <f>VLOOKUP(A13,'הכשרה'!A:G,4,0)+VLOOKUP('תפוקה מצטברת מול אשתקד'!A13,'מגדל'!A:G,4,0)+VLOOKUP('תפוקה מצטברת מול אשתקד'!A13,'מנורה'!A:G,4,0)+VLOOKUP('תפוקה מצטברת מול אשתקד'!A13,'איילון'!A:G,4,0)+VLOOKUP('תפוקה מצטברת מול אשתקד'!A13,'הראל'!A:G,4,0)+VLOOKUP('תפוקה מצטברת מול אשתקד'!A13,'הפניקס'!A:G,4,0)+VLOOKUP('תפוקה מצטברת מול אשתקד'!A13,'כלל'!A:G,4,0)+VLOOKUP('תפוקה מצטברת מול אשתקד'!A13,'מור'!A:G,4,0)+VLOOKUP('תפוקה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אשתקד'!A13,'אינפניטי'!A:G,4,0)</f>
        <v>32425.80331</v>
      </c>
      <c r="I13" s="120">
        <f>VLOOKUP(A13,'הכשרה'!A:G,5,0)+VLOOKUP('תפוקה מצטברת מול אשתקד'!A13,'מגדל'!A:G,5,0)+VLOOKUP('תפוקה מצטברת מול אשתקד'!A13,'מנורה'!A:G,5,0)+VLOOKUP('תפוקה מצטברת מול אשתקד'!A13,'איילון'!A:G,5,0)+VLOOKUP('תפוקה מצטברת מול אשתקד'!A13,'הראל'!A:G,5,0)+VLOOKUP('תפוקה מצטברת מול אשתקד'!A13,'הפניקס'!A:G,5,0)+VLOOKUP('תפוקה מצטברת מול אשתקד'!A13,'כלל'!A:G,5,0)+VLOOKUP('תפוקה מצטברת מול אשתקד'!A13,'מור'!A:G,5,0)+VLOOKUP('תפוקה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אשתקד'!A13,'אינפניטי'!A:G,5,0)</f>
        <v>138893.5786</v>
      </c>
      <c r="J13" s="120">
        <f>VLOOKUP(A13,'הכשרה'!A:G,6,0)+VLOOKUP('תפוקה מצטברת מול אשתקד'!A13,'מגדל'!A:G,6,0)+VLOOKUP('תפוקה מצטברת מול אשתקד'!A13,'מנורה'!A:G,6,0)+VLOOKUP('תפוקה מצטברת מול אשתקד'!A13,'איילון'!A:G,6,0)+VLOOKUP(A13,'הראל'!A:G,6,0)+VLOOKUP('תפוקה מצטברת מול אשתקד'!A13,'הפניקס'!A:G,6,0)+VLOOKUP('תפוקה מצטברת מול אשתקד'!A13,'כלל'!A:G,6,0)+VLOOKUP('תפוקה מצטברת מול אשתקד'!A13,'מור'!A:G,6,0)+VLOOKUP('תפוקה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אשתקד'!A13,'אינפניטי'!A:G,6,0)</f>
        <v>0</v>
      </c>
      <c r="K13" s="120">
        <f>VLOOKUP(A13,'הכשרה'!A:G,7,0)+VLOOKUP('תפוקה מצטברת מול אשתקד'!A13,'מגדל'!A:G,7,0)+VLOOKUP('תפוקה מצטברת מול אשתקד'!A13,'מנורה'!A:G,7,0)+VLOOKUP('תפוקה מצטברת מול אשתקד'!A13,'איילון'!A:G,7,0)+VLOOKUP('תפוקה מצטברת מול אשתקד'!A13,'הראל'!A:G,7,0)+VLOOKUP('תפוקה מצטברת מול אשתקד'!A13,'הפניקס'!A:G,7,0)+VLOOKUP('תפוקה מצטברת מול אשתקד'!A13,'כלל'!A:G,7,0)+VLOOKUP('תפוקה מצטברת מול אשתקד'!A13,'מור'!A:G,7,0)+VLOOKUP('תפוקה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אשתקד'!A13,'אינפניטי'!A:G,7,0)</f>
        <v>0</v>
      </c>
      <c r="L13" s="121">
        <f>VLOOKUP(A13,'הכשרה'!A:K,8,0)+VLOOKUP('תפוקה מצטברת מול אשתקד'!A13,'מגדל'!A:K,8,0)+VLOOKUP('תפוקה מצטברת מול אשתקד'!A13,'מנורה'!A:K,8,0)+VLOOKUP('תפוקה מצטברת מול אשתקד'!A13,'איילון'!A:K,8,0)+VLOOKUP('תפוקה מצטברת מול אשתקד'!A13,'הראל'!A:K,8,0)+VLOOKUP('תפוקה מצטברת מול אשתקד'!A13,'הפניקס'!A:K,8,0)+VLOOKUP('תפוקה מצטברת מול אשתקד'!A13,'כלל'!A:K,8,0)+VLOOKUP('תפוקה מצטברת מול אשתקד'!A13,'מור'!A:K,8,0)+VLOOKUP('תפוקה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אשתקד'!A13,'אינפניטי'!A:K,8,0)</f>
        <v>0</v>
      </c>
      <c r="M13" s="121">
        <f>VLOOKUP(A13,'הכשרה'!A:K,9,0)+VLOOKUP('תפוקה מצטברת מול אשתקד'!A13,'מגדל'!A:K,9,0)+VLOOKUP('תפוקה מצטברת מול אשתקד'!A13,'מנורה'!A:K,9,0)+VLOOKUP('תפוקה מצטברת מול אשתקד'!A13,'איילון'!A:K,9,0)+VLOOKUP('תפוקה מצטברת מול אשתקד'!A13,'הראל'!A:K,9,0)+VLOOKUP('תפוקה מצטברת מול אשתקד'!A13,'הפניקס'!A:K,9,0)+VLOOKUP('תפוקה מצטברת מול אשתקד'!A13,'כלל'!A:K,9,0)+VLOOKUP('תפוקה מצטברת מול אשתקד'!A13,'מור'!A:K,9,0)+VLOOKUP('תפוקה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אשתקד'!A13,'אינפניטי'!A:K,9,0)</f>
        <v>207870.4347</v>
      </c>
      <c r="N13" s="121">
        <f>VLOOKUP(A13,'הכשרה'!A:K,10,0)+VLOOKUP('תפוקה מצטברת מול אשתקד'!A13,'מגדל'!A:K,10,0)+VLOOKUP('תפוקה מצטברת מול אשתקד'!A13,'מנורה'!A:K,10,0)+VLOOKUP('תפוקה מצטברת מול אשתקד'!A13,'איילון'!A:K,10,0)+VLOOKUP('תפוקה מצטברת מול אשתקד'!A13,'הראל'!A:K,10,0)+VLOOKUP('תפוקה מצטברת מול אשתקד'!A13,'הפניקס'!A:K,10,0)+VLOOKUP('תפוקה מצטברת מול אשתקד'!A13,'כלל'!A:K,10,0)+VLOOKUP('תפוקה מצטברת מול אשתקד'!A13,'מור'!A:K,10,0)+VLOOKUP('תפוקה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אשתקד'!A13,'אינפניטי'!A:K,10,0)</f>
        <v>1346995.28</v>
      </c>
      <c r="O13" s="121">
        <f>VLOOKUP(A13,'הכשרה'!A:K,11,0)+VLOOKUP('תפוקה מצטברת מול אשתקד'!A13,'מגדל'!A:K,11,0)+VLOOKUP('תפוקה מצטברת מול אשתקד'!A13,'מנורה'!A:K,11,0)+VLOOKUP('תפוקה מצטברת מול אשתקד'!A13,'איילון'!A:K,11,0)+VLOOKUP('תפוקה מצטברת מול אשתקד'!A13,'הראל'!A:K,11,0)+VLOOKUP('תפוקה מצטברת מול אשתקד'!A13,'הפניקס'!A:K,11,0)+VLOOKUP('תפוקה מצטברת מול אשתקד'!A13,'כלל'!A:K,11,0)+VLOOKUP('תפוקה מצטברת מול אשתקד'!A13,'מור'!A:K,11,0)+VLOOKUP('תפוקה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אשתקד'!A13,'אינפניטי'!A:K,11,0)</f>
        <v>163327.97</v>
      </c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ht="15.75" customHeight="1">
      <c r="A14" s="98" t="s">
        <v>72</v>
      </c>
      <c r="B14" s="98" t="s">
        <v>25</v>
      </c>
      <c r="C14" s="98" t="s">
        <v>69</v>
      </c>
      <c r="D14" s="88">
        <f t="shared" ref="D14:F14" si="17">IF(H14=0,0%,IF(L14=0,100%,H14/L14-1))</f>
        <v>-0.674899841</v>
      </c>
      <c r="E14" s="88">
        <f t="shared" si="17"/>
        <v>-0.07254261491</v>
      </c>
      <c r="F14" s="88">
        <f t="shared" si="17"/>
        <v>-0.1776475016</v>
      </c>
      <c r="G14" s="88">
        <f t="shared" si="13"/>
        <v>-0.8115064384</v>
      </c>
      <c r="H14" s="120">
        <f>VLOOKUP(A14,'הכשרה'!A:G,4,0)+VLOOKUP('תפוקה מצטברת מול אשתקד'!A14,'מגדל'!A:G,4,0)+VLOOKUP('תפוקה מצטברת מול אשתקד'!A14,'מנורה'!A:G,4,0)+VLOOKUP('תפוקה מצטברת מול אשתקד'!A14,'איילון'!A:G,4,0)+VLOOKUP('תפוקה מצטברת מול אשתקד'!A14,'הראל'!A:G,4,0)+VLOOKUP('תפוקה מצטברת מול אשתקד'!A14,'הפניקס'!A:G,4,0)+VLOOKUP('תפוקה מצטברת מול אשתקד'!A14,'כלל'!A:G,4,0)+VLOOKUP('תפוקה מצטברת מול אשתקד'!A14,'מור'!A:G,4,0)+VLOOKUP('תפוקה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אשתקד'!A14,'אינפניטי'!A:G,4,0)</f>
        <v>168257.3685</v>
      </c>
      <c r="I14" s="120">
        <f>VLOOKUP(A14,'הכשרה'!A:G,5,0)+VLOOKUP('תפוקה מצטברת מול אשתקד'!A14,'מגדל'!A:G,5,0)+VLOOKUP('תפוקה מצטברת מול אשתקד'!A14,'מנורה'!A:G,5,0)+VLOOKUP('תפוקה מצטברת מול אשתקד'!A14,'איילון'!A:G,5,0)+VLOOKUP('תפוקה מצטברת מול אשתקד'!A14,'הראל'!A:G,5,0)+VLOOKUP('תפוקה מצטברת מול אשתקד'!A14,'הפניקס'!A:G,5,0)+VLOOKUP('תפוקה מצטברת מול אשתקד'!A14,'כלל'!A:G,5,0)+VLOOKUP('תפוקה מצטברת מול אשתקד'!A14,'מור'!A:G,5,0)+VLOOKUP('תפוקה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אשתקד'!A14,'אינפניטי'!A:G,5,0)</f>
        <v>28652.254</v>
      </c>
      <c r="J14" s="120">
        <f>VLOOKUP(A14,'הכשרה'!A:G,6,0)+VLOOKUP('תפוקה מצטברת מול אשתקד'!A14,'מגדל'!A:G,6,0)+VLOOKUP('תפוקה מצטברת מול אשתקד'!A14,'מנורה'!A:G,6,0)+VLOOKUP('תפוקה מצטברת מול אשתקד'!A14,'איילון'!A:G,6,0)+VLOOKUP(A14,'הראל'!A:G,6,0)+VLOOKUP('תפוקה מצטברת מול אשתקד'!A14,'הפניקס'!A:G,6,0)+VLOOKUP('תפוקה מצטברת מול אשתקד'!A14,'כלל'!A:G,6,0)+VLOOKUP('תפוקה מצטברת מול אשתקד'!A14,'מור'!A:G,6,0)+VLOOKUP('תפוקה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אשתקד'!A14,'אינפניטי'!A:G,6,0)</f>
        <v>981090.91</v>
      </c>
      <c r="K14" s="120">
        <f>VLOOKUP(A14,'הכשרה'!A:G,7,0)+VLOOKUP('תפוקה מצטברת מול אשתקד'!A14,'מגדל'!A:G,7,0)+VLOOKUP('תפוקה מצטברת מול אשתקד'!A14,'מנורה'!A:G,7,0)+VLOOKUP('תפוקה מצטברת מול אשתקד'!A14,'איילון'!A:G,7,0)+VLOOKUP('תפוקה מצטברת מול אשתקד'!A14,'הראל'!A:G,7,0)+VLOOKUP('תפוקה מצטברת מול אשתקד'!A14,'הפניקס'!A:G,7,0)+VLOOKUP('תפוקה מצטברת מול אשתקד'!A14,'כלל'!A:G,7,0)+VLOOKUP('תפוקה מצטברת מול אשתקד'!A14,'מור'!A:G,7,0)+VLOOKUP('תפוקה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אשתקד'!A14,'אינפניטי'!A:G,7,0)</f>
        <v>867286.81</v>
      </c>
      <c r="L14" s="121">
        <f>VLOOKUP(A14,'הכשרה'!A:K,8,0)+VLOOKUP('תפוקה מצטברת מול אשתקד'!A14,'מגדל'!A:K,8,0)+VLOOKUP('תפוקה מצטברת מול אשתקד'!A14,'מנורה'!A:K,8,0)+VLOOKUP('תפוקה מצטברת מול אשתקד'!A14,'איילון'!A:K,8,0)+VLOOKUP('תפוקה מצטברת מול אשתקד'!A14,'הראל'!A:K,8,0)+VLOOKUP('תפוקה מצטברת מול אשתקד'!A14,'הפניקס'!A:K,8,0)+VLOOKUP('תפוקה מצטברת מול אשתקד'!A14,'כלל'!A:K,8,0)+VLOOKUP('תפוקה מצטברת מול אשתקד'!A14,'מור'!A:K,8,0)+VLOOKUP('תפוקה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אשתקד'!A14,'אינפניטי'!A:K,8,0)</f>
        <v>517555.479</v>
      </c>
      <c r="M14" s="121">
        <f>VLOOKUP(A14,'הכשרה'!A:K,9,0)+VLOOKUP('תפוקה מצטברת מול אשתקד'!A14,'מגדל'!A:K,9,0)+VLOOKUP('תפוקה מצטברת מול אשתקד'!A14,'מנורה'!A:K,9,0)+VLOOKUP('תפוקה מצטברת מול אשתקד'!A14,'איילון'!A:K,9,0)+VLOOKUP('תפוקה מצטברת מול אשתקד'!A14,'הראל'!A:K,9,0)+VLOOKUP('תפוקה מצטברת מול אשתקד'!A14,'הפניקס'!A:K,9,0)+VLOOKUP('תפוקה מצטברת מול אשתקד'!A14,'כלל'!A:K,9,0)+VLOOKUP('תפוקה מצטברת מול אשתקד'!A14,'מור'!A:K,9,0)+VLOOKUP('תפוקה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אשתקד'!A14,'אינפניטי'!A:K,9,0)</f>
        <v>30893.33748</v>
      </c>
      <c r="N14" s="121">
        <f>VLOOKUP(A14,'הכשרה'!A:K,10,0)+VLOOKUP('תפוקה מצטברת מול אשתקד'!A14,'מגדל'!A:K,10,0)+VLOOKUP('תפוקה מצטברת מול אשתקד'!A14,'מנורה'!A:K,10,0)+VLOOKUP('תפוקה מצטברת מול אשתקד'!A14,'איילון'!A:K,10,0)+VLOOKUP('תפוקה מצטברת מול אשתקד'!A14,'הראל'!A:K,10,0)+VLOOKUP('תפוקה מצטברת מול אשתקד'!A14,'הפניקס'!A:K,10,0)+VLOOKUP('תפוקה מצטברת מול אשתקד'!A14,'כלל'!A:K,10,0)+VLOOKUP('תפוקה מצטברת מול אשתקד'!A14,'מור'!A:K,10,0)+VLOOKUP('תפוקה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אשתקד'!A14,'אינפניטי'!A:K,10,0)</f>
        <v>1193029.646</v>
      </c>
      <c r="O14" s="121">
        <f>VLOOKUP(A14,'הכשרה'!A:K,11,0)+VLOOKUP('תפוקה מצטברת מול אשתקד'!A14,'מגדל'!A:K,11,0)+VLOOKUP('תפוקה מצטברת מול אשתקד'!A14,'מנורה'!A:K,11,0)+VLOOKUP('תפוקה מצטברת מול אשתקד'!A14,'איילון'!A:K,11,0)+VLOOKUP('תפוקה מצטברת מול אשתקד'!A14,'הראל'!A:K,11,0)+VLOOKUP('תפוקה מצטברת מול אשתקד'!A14,'הפניקס'!A:K,11,0)+VLOOKUP('תפוקה מצטברת מול אשתקד'!A14,'כלל'!A:K,11,0)+VLOOKUP('תפוקה מצטברת מול אשתקד'!A14,'מור'!A:K,11,0)+VLOOKUP('תפוקה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אשתקד'!A14,'אינפניטי'!A:K,11,0)</f>
        <v>4601148.19</v>
      </c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15.75" customHeight="1">
      <c r="A15" s="98" t="s">
        <v>73</v>
      </c>
      <c r="B15" s="98" t="s">
        <v>25</v>
      </c>
      <c r="C15" s="98" t="s">
        <v>69</v>
      </c>
      <c r="D15" s="88">
        <f t="shared" ref="D15:F15" si="18">IF(H15=0,0%,IF(L15=0,100%,H15/L15-1))</f>
        <v>2.429365318</v>
      </c>
      <c r="E15" s="88">
        <f t="shared" si="18"/>
        <v>0</v>
      </c>
      <c r="F15" s="88">
        <f t="shared" si="18"/>
        <v>1</v>
      </c>
      <c r="G15" s="88">
        <f t="shared" si="13"/>
        <v>98.2377081</v>
      </c>
      <c r="H15" s="120">
        <f>VLOOKUP(A15,'הכשרה'!A:G,4,0)+VLOOKUP('תפוקה מצטברת מול אשתקד'!A15,'מגדל'!A:G,4,0)+VLOOKUP('תפוקה מצטברת מול אשתקד'!A15,'מנורה'!A:G,4,0)+VLOOKUP('תפוקה מצטברת מול אשתקד'!A15,'איילון'!A:G,4,0)+VLOOKUP('תפוקה מצטברת מול אשתקד'!A15,'הראל'!A:G,4,0)+VLOOKUP('תפוקה מצטברת מול אשתקד'!A15,'הפניקס'!A:G,4,0)+VLOOKUP('תפוקה מצטברת מול אשתקד'!A15,'כלל'!A:G,4,0)+VLOOKUP('תפוקה מצטברת מול אשתקד'!A15,'מור'!A:G,4,0)+VLOOKUP('תפוקה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אשתקד'!A15,'אינפניטי'!A:G,4,0)</f>
        <v>130856.11</v>
      </c>
      <c r="I15" s="120">
        <f>VLOOKUP(A15,'הכשרה'!A:G,5,0)+VLOOKUP('תפוקה מצטברת מול אשתקד'!A15,'מגדל'!A:G,5,0)+VLOOKUP('תפוקה מצטברת מול אשתקד'!A15,'מנורה'!A:G,5,0)+VLOOKUP('תפוקה מצטברת מול אשתקד'!A15,'איילון'!A:G,5,0)+VLOOKUP('תפוקה מצטברת מול אשתקד'!A15,'הראל'!A:G,5,0)+VLOOKUP('תפוקה מצטברת מול אשתקד'!A15,'הפניקס'!A:G,5,0)+VLOOKUP('תפוקה מצטברת מול אשתקד'!A15,'כלל'!A:G,5,0)+VLOOKUP('תפוקה מצטברת מול אשתקד'!A15,'מור'!A:G,5,0)+VLOOKUP('תפוקה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אשתקד'!A15,'אינפניטי'!A:G,5,0)</f>
        <v>0</v>
      </c>
      <c r="J15" s="120">
        <f>VLOOKUP(A15,'הכשרה'!A:G,6,0)+VLOOKUP('תפוקה מצטברת מול אשתקד'!A15,'מגדל'!A:G,6,0)+VLOOKUP('תפוקה מצטברת מול אשתקד'!A15,'מנורה'!A:G,6,0)+VLOOKUP('תפוקה מצטברת מול אשתקד'!A15,'איילון'!A:G,6,0)+VLOOKUP(A15,'הראל'!A:G,6,0)+VLOOKUP('תפוקה מצטברת מול אשתקד'!A15,'הפניקס'!A:G,6,0)+VLOOKUP('תפוקה מצטברת מול אשתקד'!A15,'כלל'!A:G,6,0)+VLOOKUP('תפוקה מצטברת מול אשתקד'!A15,'מור'!A:G,6,0)+VLOOKUP('תפוקה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אשתקד'!A15,'אינפניטי'!A:G,6,0)</f>
        <v>272934.97</v>
      </c>
      <c r="K15" s="120">
        <f>VLOOKUP(A15,'הכשרה'!A:G,7,0)+VLOOKUP('תפוקה מצטברת מול אשתקד'!A15,'מגדל'!A:G,7,0)+VLOOKUP('תפוקה מצטברת מול אשתקד'!A15,'מנורה'!A:G,7,0)+VLOOKUP('תפוקה מצטברת מול אשתקד'!A15,'איילון'!A:G,7,0)+VLOOKUP('תפוקה מצטברת מול אשתקד'!A15,'הראל'!A:G,7,0)+VLOOKUP('תפוקה מצטברת מול אשתקד'!A15,'הפניקס'!A:G,7,0)+VLOOKUP('תפוקה מצטברת מול אשתקד'!A15,'כלל'!A:G,7,0)+VLOOKUP('תפוקה מצטברת מול אשתקד'!A15,'מור'!A:G,7,0)+VLOOKUP('תפוקה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אשתקד'!A15,'אינפניטי'!A:G,7,0)</f>
        <v>113643.55</v>
      </c>
      <c r="L15" s="121">
        <f>VLOOKUP(A15,'הכשרה'!A:K,8,0)+VLOOKUP('תפוקה מצטברת מול אשתקד'!A15,'מגדל'!A:K,8,0)+VLOOKUP('תפוקה מצטברת מול אשתקד'!A15,'מנורה'!A:K,8,0)+VLOOKUP('תפוקה מצטברת מול אשתקד'!A15,'איילון'!A:K,8,0)+VLOOKUP('תפוקה מצטברת מול אשתקד'!A15,'הראל'!A:K,8,0)+VLOOKUP('תפוקה מצטברת מול אשתקד'!A15,'הפניקס'!A:K,8,0)+VLOOKUP('תפוקה מצטברת מול אשתקד'!A15,'כלל'!A:K,8,0)+VLOOKUP('תפוקה מצטברת מול אשתקד'!A15,'מור'!A:K,8,0)+VLOOKUP('תפוקה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אשתקד'!A15,'אינפניטי'!A:K,8,0)</f>
        <v>38157.53</v>
      </c>
      <c r="M15" s="121">
        <f>VLOOKUP(A15,'הכשרה'!A:K,9,0)+VLOOKUP('תפוקה מצטברת מול אשתקד'!A15,'מגדל'!A:K,9,0)+VLOOKUP('תפוקה מצטברת מול אשתקד'!A15,'מנורה'!A:K,9,0)+VLOOKUP('תפוקה מצטברת מול אשתקד'!A15,'איילון'!A:K,9,0)+VLOOKUP('תפוקה מצטברת מול אשתקד'!A15,'הראל'!A:K,9,0)+VLOOKUP('תפוקה מצטברת מול אשתקד'!A15,'הפניקס'!A:K,9,0)+VLOOKUP('תפוקה מצטברת מול אשתקד'!A15,'כלל'!A:K,9,0)+VLOOKUP('תפוקה מצטברת מול אשתקד'!A15,'מור'!A:K,9,0)+VLOOKUP('תפוקה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אשתקד'!A15,'אינפניטי'!A:K,9,0)</f>
        <v>0</v>
      </c>
      <c r="N15" s="121">
        <f>VLOOKUP(A15,'הכשרה'!A:K,10,0)+VLOOKUP('תפוקה מצטברת מול אשתקד'!A15,'מגדל'!A:K,10,0)+VLOOKUP('תפוקה מצטברת מול אשתקד'!A15,'מנורה'!A:K,10,0)+VLOOKUP('תפוקה מצטברת מול אשתקד'!A15,'איילון'!A:K,10,0)+VLOOKUP('תפוקה מצטברת מול אשתקד'!A15,'הראל'!A:K,10,0)+VLOOKUP('תפוקה מצטברת מול אשתקד'!A15,'הפניקס'!A:K,10,0)+VLOOKUP('תפוקה מצטברת מול אשתקד'!A15,'כלל'!A:K,10,0)+VLOOKUP('תפוקה מצטברת מול אשתקד'!A15,'מור'!A:K,10,0)+VLOOKUP('תפוקה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אשתקד'!A15,'אינפניטי'!A:K,10,0)</f>
        <v>0</v>
      </c>
      <c r="O15" s="121">
        <f>VLOOKUP(A15,'הכשרה'!A:K,11,0)+VLOOKUP('תפוקה מצטברת מול אשתקד'!A15,'מגדל'!A:K,11,0)+VLOOKUP('תפוקה מצטברת מול אשתקד'!A15,'מנורה'!A:K,11,0)+VLOOKUP('תפוקה מצטברת מול אשתקד'!A15,'איילון'!A:K,11,0)+VLOOKUP('תפוקה מצטברת מול אשתקד'!A15,'הראל'!A:K,11,0)+VLOOKUP('תפוקה מצטברת מול אשתקד'!A15,'הפניקס'!A:K,11,0)+VLOOKUP('תפוקה מצטברת מול אשתקד'!A15,'כלל'!A:K,11,0)+VLOOKUP('תפוקה מצטברת מול אשתקד'!A15,'מור'!A:K,11,0)+VLOOKUP('תפוקה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אשתקד'!A15,'אינפניטי'!A:K,11,0)</f>
        <v>1145.165</v>
      </c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ht="15.75" customHeight="1">
      <c r="A16" s="98" t="s">
        <v>74</v>
      </c>
      <c r="B16" s="98" t="s">
        <v>25</v>
      </c>
      <c r="C16" s="98" t="s">
        <v>69</v>
      </c>
      <c r="D16" s="88">
        <f t="shared" ref="D16:F16" si="19">IF(H16=0,0%,IF(L16=0,100%,H16/L16-1))</f>
        <v>1.611386695</v>
      </c>
      <c r="E16" s="88">
        <f t="shared" si="19"/>
        <v>1.123012096</v>
      </c>
      <c r="F16" s="88">
        <f t="shared" si="19"/>
        <v>0.4996110254</v>
      </c>
      <c r="G16" s="88">
        <f t="shared" si="13"/>
        <v>14.46693344</v>
      </c>
      <c r="H16" s="120">
        <f>VLOOKUP(A16,'הכשרה'!A:G,4,0)+VLOOKUP('תפוקה מצטברת מול אשתקד'!A16,'מגדל'!A:G,4,0)+VLOOKUP('תפוקה מצטברת מול אשתקד'!A16,'מנורה'!A:G,4,0)+VLOOKUP('תפוקה מצטברת מול אשתקד'!A16,'איילון'!A:G,4,0)+VLOOKUP('תפוקה מצטברת מול אשתקד'!A16,'הראל'!A:G,4,0)+VLOOKUP('תפוקה מצטברת מול אשתקד'!A16,'הפניקס'!A:G,4,0)+VLOOKUP('תפוקה מצטברת מול אשתקד'!A16,'כלל'!A:G,4,0)+VLOOKUP('תפוקה מצטברת מול אשתקד'!A16,'מור'!A:G,4,0)+VLOOKUP('תפוקה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אשתקד'!A16,'אינפניטי'!A:G,4,0)</f>
        <v>114050.5176</v>
      </c>
      <c r="I16" s="120">
        <f>VLOOKUP(A16,'הכשרה'!A:G,5,0)+VLOOKUP('תפוקה מצטברת מול אשתקד'!A16,'מגדל'!A:G,5,0)+VLOOKUP('תפוקה מצטברת מול אשתקד'!A16,'מנורה'!A:G,5,0)+VLOOKUP('תפוקה מצטברת מול אשתקד'!A16,'איילון'!A:G,5,0)+VLOOKUP('תפוקה מצטברת מול אשתקד'!A16,'הראל'!A:G,5,0)+VLOOKUP('תפוקה מצטברת מול אשתקד'!A16,'הפניקס'!A:G,5,0)+VLOOKUP('תפוקה מצטברת מול אשתקד'!A16,'כלל'!A:G,5,0)+VLOOKUP('תפוקה מצטברת מול אשתקד'!A16,'מור'!A:G,5,0)+VLOOKUP('תפוקה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אשתקד'!A16,'אינפניטי'!A:G,5,0)</f>
        <v>37296.55</v>
      </c>
      <c r="J16" s="120">
        <f>VLOOKUP(A16,'הכשרה'!A:G,6,0)+VLOOKUP('תפוקה מצטברת מול אשתקד'!A16,'מגדל'!A:G,6,0)+VLOOKUP('תפוקה מצטברת מול אשתקד'!A16,'מנורה'!A:G,6,0)+VLOOKUP('תפוקה מצטברת מול אשתקד'!A16,'איילון'!A:G,6,0)+VLOOKUP(A16,'הראל'!A:G,6,0)+VLOOKUP('תפוקה מצטברת מול אשתקד'!A16,'הפניקס'!A:G,6,0)+VLOOKUP('תפוקה מצטברת מול אשתקד'!A16,'כלל'!A:G,6,0)+VLOOKUP('תפוקה מצטברת מול אשתקד'!A16,'מור'!A:G,6,0)+VLOOKUP('תפוקה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אשתקד'!A16,'אינפניטי'!A:G,6,0)</f>
        <v>6094</v>
      </c>
      <c r="K16" s="120">
        <f>VLOOKUP(A16,'הכשרה'!A:G,7,0)+VLOOKUP('תפוקה מצטברת מול אשתקד'!A16,'מגדל'!A:G,7,0)+VLOOKUP('תפוקה מצטברת מול אשתקד'!A16,'מנורה'!A:G,7,0)+VLOOKUP('תפוקה מצטברת מול אשתקד'!A16,'איילון'!A:G,7,0)+VLOOKUP('תפוקה מצטברת מול אשתקד'!A16,'הראל'!A:G,7,0)+VLOOKUP('תפוקה מצטברת מול אשתקד'!A16,'הפניקס'!A:G,7,0)+VLOOKUP('תפוקה מצטברת מול אשתקד'!A16,'כלל'!A:G,7,0)+VLOOKUP('תפוקה מצטברת מול אשתקד'!A16,'מור'!A:G,7,0)+VLOOKUP('תפוקה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אשתקד'!A16,'אינפניטי'!A:G,7,0)</f>
        <v>103330.33</v>
      </c>
      <c r="L16" s="121">
        <f>VLOOKUP(A16,'הכשרה'!A:K,8,0)+VLOOKUP('תפוקה מצטברת מול אשתקד'!A16,'מגדל'!A:K,8,0)+VLOOKUP('תפוקה מצטברת מול אשתקד'!A16,'מנורה'!A:K,8,0)+VLOOKUP('תפוקה מצטברת מול אשתקד'!A16,'איילון'!A:K,8,0)+VLOOKUP('תפוקה מצטברת מול אשתקד'!A16,'הראל'!A:K,8,0)+VLOOKUP('תפוקה מצטברת מול אשתקד'!A16,'הפניקס'!A:K,8,0)+VLOOKUP('תפוקה מצטברת מול אשתקד'!A16,'כלל'!A:K,8,0)+VLOOKUP('תפוקה מצטברת מול אשתקד'!A16,'מור'!A:K,8,0)+VLOOKUP('תפוקה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אשתקד'!A16,'אינפניטי'!A:K,8,0)</f>
        <v>43674.31212</v>
      </c>
      <c r="M16" s="121">
        <f>VLOOKUP(A16,'הכשרה'!A:K,9,0)+VLOOKUP('תפוקה מצטברת מול אשתקד'!A16,'מגדל'!A:K,9,0)+VLOOKUP('תפוקה מצטברת מול אשתקד'!A16,'מנורה'!A:K,9,0)+VLOOKUP('תפוקה מצטברת מול אשתקד'!A16,'איילון'!A:K,9,0)+VLOOKUP('תפוקה מצטברת מול אשתקד'!A16,'הראל'!A:K,9,0)+VLOOKUP('תפוקה מצטברת מול אשתקד'!A16,'הפניקס'!A:K,9,0)+VLOOKUP('תפוקה מצטברת מול אשתקד'!A16,'כלל'!A:K,9,0)+VLOOKUP('תפוקה מצטברת מול אשתקד'!A16,'מור'!A:K,9,0)+VLOOKUP('תפוקה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אשתקד'!A16,'אינפניטי'!A:K,9,0)</f>
        <v>17567.752</v>
      </c>
      <c r="N16" s="121">
        <f>VLOOKUP(A16,'הכשרה'!A:K,10,0)+VLOOKUP('תפוקה מצטברת מול אשתקד'!A16,'מגדל'!A:K,10,0)+VLOOKUP('תפוקה מצטברת מול אשתקד'!A16,'מנורה'!A:K,10,0)+VLOOKUP('תפוקה מצטברת מול אשתקד'!A16,'איילון'!A:K,10,0)+VLOOKUP('תפוקה מצטברת מול אשתקד'!A16,'הראל'!A:K,10,0)+VLOOKUP('תפוקה מצטברת מול אשתקד'!A16,'הפניקס'!A:K,10,0)+VLOOKUP('תפוקה מצטברת מול אשתקד'!A16,'כלל'!A:K,10,0)+VLOOKUP('תפוקה מצטברת מול אשתקד'!A16,'מור'!A:K,10,0)+VLOOKUP('תפוקה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אשתקד'!A16,'אינפניטי'!A:K,10,0)</f>
        <v>4063.720456</v>
      </c>
      <c r="O16" s="121">
        <f>VLOOKUP(A16,'הכשרה'!A:K,11,0)+VLOOKUP('תפוקה מצטברת מול אשתקד'!A16,'מגדל'!A:K,11,0)+VLOOKUP('תפוקה מצטברת מול אשתקד'!A16,'מנורה'!A:K,11,0)+VLOOKUP('תפוקה מצטברת מול אשתקד'!A16,'איילון'!A:K,11,0)+VLOOKUP('תפוקה מצטברת מול אשתקד'!A16,'הראל'!A:K,11,0)+VLOOKUP('תפוקה מצטברת מול אשתקד'!A16,'הפניקס'!A:K,11,0)+VLOOKUP('תפוקה מצטברת מול אשתקד'!A16,'כלל'!A:K,11,0)+VLOOKUP('תפוקה מצטברת מול אשתקד'!A16,'מור'!A:K,11,0)+VLOOKUP('תפוקה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אשתקד'!A16,'אינפניטי'!A:K,11,0)</f>
        <v>6680.725072</v>
      </c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15.75" customHeight="1">
      <c r="A17" s="98" t="s">
        <v>33</v>
      </c>
      <c r="B17" s="98" t="s">
        <v>25</v>
      </c>
      <c r="C17" s="98" t="s">
        <v>69</v>
      </c>
      <c r="D17" s="88">
        <f t="shared" ref="D17:F17" si="20">IF(H17=0,0%,IF(L17=0,100%,H17/L17-1))</f>
        <v>0.04912529477</v>
      </c>
      <c r="E17" s="88">
        <f t="shared" si="20"/>
        <v>0.505778063</v>
      </c>
      <c r="F17" s="88">
        <f t="shared" si="20"/>
        <v>-0.4397825783</v>
      </c>
      <c r="G17" s="88">
        <f t="shared" si="13"/>
        <v>-0.5396474437</v>
      </c>
      <c r="H17" s="120">
        <f>VLOOKUP(A17,'הכשרה'!A:G,4,0)+VLOOKUP('תפוקה מצטברת מול אשתקד'!A17,'מגדל'!A:G,4,0)+VLOOKUP('תפוקה מצטברת מול אשתקד'!A17,'מנורה'!A:G,4,0)+VLOOKUP('תפוקה מצטברת מול אשתקד'!A17,'איילון'!A:G,4,0)+VLOOKUP('תפוקה מצטברת מול אשתקד'!A17,'הראל'!A:G,4,0)+VLOOKUP('תפוקה מצטברת מול אשתקד'!A17,'הפניקס'!A:G,4,0)+VLOOKUP('תפוקה מצטברת מול אשתקד'!A17,'כלל'!A:G,4,0)+VLOOKUP('תפוקה מצטברת מול אשתקד'!A17,'מור'!A:G,4,0)+VLOOKUP('תפוקה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אשתקד'!A17,'אינפניטי'!A:G,4,0)</f>
        <v>439062.6363</v>
      </c>
      <c r="I17" s="120">
        <f>VLOOKUP(A17,'הכשרה'!A:G,5,0)+VLOOKUP('תפוקה מצטברת מול אשתקד'!A17,'מגדל'!A:G,5,0)+VLOOKUP('תפוקה מצטברת מול אשתקד'!A17,'מנורה'!A:G,5,0)+VLOOKUP('תפוקה מצטברת מול אשתקד'!A17,'איילון'!A:G,5,0)+VLOOKUP('תפוקה מצטברת מול אשתקד'!A17,'הראל'!A:G,5,0)+VLOOKUP('תפוקה מצטברת מול אשתקד'!A17,'הפניקס'!A:G,5,0)+VLOOKUP('תפוקה מצטברת מול אשתקד'!A17,'כלל'!A:G,5,0)+VLOOKUP('תפוקה מצטברת מול אשתקד'!A17,'מור'!A:G,5,0)+VLOOKUP('תפוקה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אשתקד'!A17,'אינפניטי'!A:G,5,0)</f>
        <v>215792.4538</v>
      </c>
      <c r="J17" s="120">
        <f>VLOOKUP(A17,'הכשרה'!A:G,6,0)+VLOOKUP('תפוקה מצטברת מול אשתקד'!A17,'מגדל'!A:G,6,0)+VLOOKUP('תפוקה מצטברת מול אשתקד'!A17,'מנורה'!A:G,6,0)+VLOOKUP('תפוקה מצטברת מול אשתקד'!A17,'איילון'!A:G,6,0)+VLOOKUP(A17,'הראל'!A:G,6,0)+VLOOKUP('תפוקה מצטברת מול אשתקד'!A17,'הפניקס'!A:G,6,0)+VLOOKUP('תפוקה מצטברת מול אשתקד'!A17,'כלל'!A:G,6,0)+VLOOKUP('תפוקה מצטברת מול אשתקד'!A17,'מור'!A:G,6,0)+VLOOKUP('תפוקה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אשתקד'!A17,'אינפניטי'!A:G,6,0)</f>
        <v>2960340.567</v>
      </c>
      <c r="K17" s="120">
        <f>VLOOKUP(A17,'הכשרה'!A:G,7,0)+VLOOKUP('תפוקה מצטברת מול אשתקד'!A17,'מגדל'!A:G,7,0)+VLOOKUP('תפוקה מצטברת מול אשתקד'!A17,'מנורה'!A:G,7,0)+VLOOKUP('תפוקה מצטברת מול אשתקד'!A17,'איילון'!A:G,7,0)+VLOOKUP('תפוקה מצטברת מול אשתקד'!A17,'הראל'!A:G,7,0)+VLOOKUP('תפוקה מצטברת מול אשתקד'!A17,'הפניקס'!A:G,7,0)+VLOOKUP('תפוקה מצטברת מול אשתקד'!A17,'כלל'!A:G,7,0)+VLOOKUP('תפוקה מצטברת מול אשתקד'!A17,'מור'!A:G,7,0)+VLOOKUP('תפוקה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אשתקד'!A17,'אינפניטי'!A:G,7,0)</f>
        <v>1104728.05</v>
      </c>
      <c r="L17" s="121">
        <f>VLOOKUP(A17,'הכשרה'!A:K,8,0)+VLOOKUP('תפוקה מצטברת מול אשתקד'!A17,'מגדל'!A:K,8,0)+VLOOKUP('תפוקה מצטברת מול אשתקד'!A17,'מנורה'!A:K,8,0)+VLOOKUP('תפוקה מצטברת מול אשתקד'!A17,'איילון'!A:K,8,0)+VLOOKUP('תפוקה מצטברת מול אשתקד'!A17,'הראל'!A:K,8,0)+VLOOKUP('תפוקה מצטברת מול אשתקד'!A17,'הפניקס'!A:K,8,0)+VLOOKUP('תפוקה מצטברת מול אשתקד'!A17,'כלל'!A:K,8,0)+VLOOKUP('תפוקה מצטברת מול אשתקד'!A17,'מור'!A:K,8,0)+VLOOKUP('תפוקה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אשתקד'!A17,'אינפניטי'!A:K,8,0)</f>
        <v>418503.5272</v>
      </c>
      <c r="M17" s="121">
        <f>VLOOKUP(A17,'הכשרה'!A:K,9,0)+VLOOKUP('תפוקה מצטברת מול אשתקד'!A17,'מגדל'!A:K,9,0)+VLOOKUP('תפוקה מצטברת מול אשתקד'!A17,'מנורה'!A:K,9,0)+VLOOKUP('תפוקה מצטברת מול אשתקד'!A17,'איילון'!A:K,9,0)+VLOOKUP('תפוקה מצטברת מול אשתקד'!A17,'הראל'!A:K,9,0)+VLOOKUP('תפוקה מצטברת מול אשתקד'!A17,'הפניקס'!A:K,9,0)+VLOOKUP('תפוקה מצטברת מול אשתקד'!A17,'כלל'!A:K,9,0)+VLOOKUP('תפוקה מצטברת מול אשתקד'!A17,'מור'!A:K,9,0)+VLOOKUP('תפוקה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אשתקד'!A17,'אינפניטי'!A:K,9,0)</f>
        <v>143309.6013</v>
      </c>
      <c r="N17" s="121">
        <f>VLOOKUP(A17,'הכשרה'!A:K,10,0)+VLOOKUP('תפוקה מצטברת מול אשתקד'!A17,'מגדל'!A:K,10,0)+VLOOKUP('תפוקה מצטברת מול אשתקד'!A17,'מנורה'!A:K,10,0)+VLOOKUP('תפוקה מצטברת מול אשתקד'!A17,'איילון'!A:K,10,0)+VLOOKUP('תפוקה מצטברת מול אשתקד'!A17,'הראל'!A:K,10,0)+VLOOKUP('תפוקה מצטברת מול אשתקד'!A17,'הפניקס'!A:K,10,0)+VLOOKUP('תפוקה מצטברת מול אשתקד'!A17,'כלל'!A:K,10,0)+VLOOKUP('תפוקה מצטברת מול אשתקד'!A17,'מור'!A:K,10,0)+VLOOKUP('תפוקה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אשתקד'!A17,'אינפניטי'!A:K,10,0)</f>
        <v>5284270.808</v>
      </c>
      <c r="O17" s="121">
        <f>VLOOKUP(A17,'הכשרה'!A:K,11,0)+VLOOKUP('תפוקה מצטברת מול אשתקד'!A17,'מגדל'!A:K,11,0)+VLOOKUP('תפוקה מצטברת מול אשתקד'!A17,'מנורה'!A:K,11,0)+VLOOKUP('תפוקה מצטברת מול אשתקד'!A17,'איילון'!A:K,11,0)+VLOOKUP('תפוקה מצטברת מול אשתקד'!A17,'הראל'!A:K,11,0)+VLOOKUP('תפוקה מצטברת מול אשתקד'!A17,'הפניקס'!A:K,11,0)+VLOOKUP('תפוקה מצטברת מול אשתקד'!A17,'כלל'!A:K,11,0)+VLOOKUP('תפוקה מצטברת מול אשתקד'!A17,'מור'!A:K,11,0)+VLOOKUP('תפוקה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אשתקד'!A17,'אינפניטי'!A:K,11,0)</f>
        <v>2399743.49</v>
      </c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ht="15.75" customHeight="1">
      <c r="A18" s="98" t="s">
        <v>75</v>
      </c>
      <c r="B18" s="98" t="s">
        <v>25</v>
      </c>
      <c r="C18" s="98" t="s">
        <v>69</v>
      </c>
      <c r="D18" s="88">
        <f t="shared" ref="D18:F18" si="21">IF(H18=0,0%,IF(L18=0,100%,H18/L18-1))</f>
        <v>0.1934801095</v>
      </c>
      <c r="E18" s="88">
        <f t="shared" si="21"/>
        <v>0.1640440326</v>
      </c>
      <c r="F18" s="88">
        <f t="shared" si="21"/>
        <v>-0.2519548675</v>
      </c>
      <c r="G18" s="88">
        <f t="shared" si="13"/>
        <v>-0.5807341811</v>
      </c>
      <c r="H18" s="120">
        <f>VLOOKUP(A18,'הכשרה'!A:G,4,0)+VLOOKUP('תפוקה מצטברת מול אשתקד'!A18,'מגדל'!A:G,4,0)+VLOOKUP('תפוקה מצטברת מול אשתקד'!A18,'מנורה'!A:G,4,0)+VLOOKUP('תפוקה מצטברת מול אשתקד'!A18,'איילון'!A:G,4,0)+VLOOKUP('תפוקה מצטברת מול אשתקד'!A18,'הראל'!A:G,4,0)+VLOOKUP('תפוקה מצטברת מול אשתקד'!A18,'הפניקס'!A:G,4,0)+VLOOKUP('תפוקה מצטברת מול אשתקד'!A18,'כלל'!A:G,4,0)+VLOOKUP('תפוקה מצטברת מול אשתקד'!A18,'מור'!A:G,4,0)+VLOOKUP('תפוקה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אשתקד'!A18,'אינפניטי'!A:G,4,0)</f>
        <v>750975.746</v>
      </c>
      <c r="I18" s="120">
        <f>VLOOKUP(A18,'הכשרה'!A:G,5,0)+VLOOKUP('תפוקה מצטברת מול אשתקד'!A18,'מגדל'!A:G,5,0)+VLOOKUP('תפוקה מצטברת מול אשתקד'!A18,'מנורה'!A:G,5,0)+VLOOKUP('תפוקה מצטברת מול אשתקד'!A18,'איילון'!A:G,5,0)+VLOOKUP('תפוקה מצטברת מול אשתקד'!A18,'הראל'!A:G,5,0)+VLOOKUP('תפוקה מצטברת מול אשתקד'!A18,'הפניקס'!A:G,5,0)+VLOOKUP('תפוקה מצטברת מול אשתקד'!A18,'כלל'!A:G,5,0)+VLOOKUP('תפוקה מצטברת מול אשתקד'!A18,'מור'!A:G,5,0)+VLOOKUP('תפוקה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אשתקד'!A18,'אינפניטי'!A:G,5,0)</f>
        <v>122769.483</v>
      </c>
      <c r="J18" s="120">
        <f>VLOOKUP(A18,'הכשרה'!A:G,6,0)+VLOOKUP('תפוקה מצטברת מול אשתקד'!A18,'מגדל'!A:G,6,0)+VLOOKUP('תפוקה מצטברת מול אשתקד'!A18,'מנורה'!A:G,6,0)+VLOOKUP('תפוקה מצטברת מול אשתקד'!A18,'איילון'!A:G,6,0)+VLOOKUP(A18,'הראל'!A:G,6,0)+VLOOKUP('תפוקה מצטברת מול אשתקד'!A18,'הפניקס'!A:G,6,0)+VLOOKUP('תפוקה מצטברת מול אשתקד'!A18,'כלל'!A:G,6,0)+VLOOKUP('תפוקה מצטברת מול אשתקד'!A18,'מור'!A:G,6,0)+VLOOKUP('תפוקה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אשתקד'!A18,'אינפניטי'!A:G,6,0)</f>
        <v>6924348.935</v>
      </c>
      <c r="K18" s="120">
        <f>VLOOKUP(A18,'הכשרה'!A:G,7,0)+VLOOKUP('תפוקה מצטברת מול אשתקד'!A18,'מגדל'!A:G,7,0)+VLOOKUP('תפוקה מצטברת מול אשתקד'!A18,'מנורה'!A:G,7,0)+VLOOKUP('תפוקה מצטברת מול אשתקד'!A18,'איילון'!A:G,7,0)+VLOOKUP('תפוקה מצטברת מול אשתקד'!A18,'הראל'!A:G,7,0)+VLOOKUP('תפוקה מצטברת מול אשתקד'!A18,'הפניקס'!A:G,7,0)+VLOOKUP('תפוקה מצטברת מול אשתקד'!A18,'כלל'!A:G,7,0)+VLOOKUP('תפוקה מצטברת מול אשתקד'!A18,'מור'!A:G,7,0)+VLOOKUP('תפוקה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אשתקד'!A18,'אינפניטי'!A:G,7,0)</f>
        <v>2796838.655</v>
      </c>
      <c r="L18" s="121">
        <f>VLOOKUP(A18,'הכשרה'!A:K,8,0)+VLOOKUP('תפוקה מצטברת מול אשתקד'!A18,'מגדל'!A:K,8,0)+VLOOKUP('תפוקה מצטברת מול אשתקד'!A18,'מנורה'!A:K,8,0)+VLOOKUP('תפוקה מצטברת מול אשתקד'!A18,'איילון'!A:K,8,0)+VLOOKUP('תפוקה מצטברת מול אשתקד'!A18,'הראל'!A:K,8,0)+VLOOKUP('תפוקה מצטברת מול אשתקד'!A18,'הפניקס'!A:K,8,0)+VLOOKUP('תפוקה מצטברת מול אשתקד'!A18,'כלל'!A:K,8,0)+VLOOKUP('תפוקה מצטברת מול אשתקד'!A18,'מור'!A:K,8,0)+VLOOKUP('תפוקה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אשתקד'!A18,'אינפניטי'!A:K,8,0)</f>
        <v>629231.8908</v>
      </c>
      <c r="M18" s="121">
        <f>VLOOKUP(A18,'הכשרה'!A:K,9,0)+VLOOKUP('תפוקה מצטברת מול אשתקד'!A18,'מגדל'!A:K,9,0)+VLOOKUP('תפוקה מצטברת מול אשתקד'!A18,'מנורה'!A:K,9,0)+VLOOKUP('תפוקה מצטברת מול אשתקד'!A18,'איילון'!A:K,9,0)+VLOOKUP('תפוקה מצטברת מול אשתקד'!A18,'הראל'!A:K,9,0)+VLOOKUP('תפוקה מצטברת מול אשתקד'!A18,'הפניקס'!A:K,9,0)+VLOOKUP('תפוקה מצטברת מול אשתקד'!A18,'כלל'!A:K,9,0)+VLOOKUP('תפוקה מצטברת מול אשתקד'!A18,'מור'!A:K,9,0)+VLOOKUP('תפוקה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אשתקד'!A18,'אינפניטי'!A:K,9,0)</f>
        <v>105468.0748</v>
      </c>
      <c r="N18" s="121">
        <f>VLOOKUP(A18,'הכשרה'!A:K,10,0)+VLOOKUP('תפוקה מצטברת מול אשתקד'!A18,'מגדל'!A:K,10,0)+VLOOKUP('תפוקה מצטברת מול אשתקד'!A18,'מנורה'!A:K,10,0)+VLOOKUP('תפוקה מצטברת מול אשתקד'!A18,'איילון'!A:K,10,0)+VLOOKUP('תפוקה מצטברת מול אשתקד'!A18,'הראל'!A:K,10,0)+VLOOKUP('תפוקה מצטברת מול אשתקד'!A18,'הפניקס'!A:K,10,0)+VLOOKUP('תפוקה מצטברת מול אשתקד'!A18,'כלל'!A:K,10,0)+VLOOKUP('תפוקה מצטברת מול אשתקד'!A18,'מור'!A:K,10,0)+VLOOKUP('תפוקה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אשתקד'!A18,'אינפניטי'!A:K,10,0)</f>
        <v>9256592.462</v>
      </c>
      <c r="O18" s="121">
        <f>VLOOKUP(A18,'הכשרה'!A:K,11,0)+VLOOKUP('תפוקה מצטברת מול אשתקד'!A18,'מגדל'!A:K,11,0)+VLOOKUP('תפוקה מצטברת מול אשתקד'!A18,'מנורה'!A:K,11,0)+VLOOKUP('תפוקה מצטברת מול אשתקד'!A18,'איילון'!A:K,11,0)+VLOOKUP('תפוקה מצטברת מול אשתקד'!A18,'הראל'!A:K,11,0)+VLOOKUP('תפוקה מצטברת מול אשתקד'!A18,'הפניקס'!A:K,11,0)+VLOOKUP('תפוקה מצטברת מול אשתקד'!A18,'כלל'!A:K,11,0)+VLOOKUP('תפוקה מצטברת מול אשתקד'!A18,'מור'!A:K,11,0)+VLOOKUP('תפוקה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אשתקד'!A18,'אינפניטי'!A:K,11,0)</f>
        <v>6670800.55</v>
      </c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t="15.75" customHeight="1">
      <c r="A19" s="98" t="s">
        <v>41</v>
      </c>
      <c r="B19" s="98" t="s">
        <v>25</v>
      </c>
      <c r="C19" s="98" t="s">
        <v>69</v>
      </c>
      <c r="D19" s="88">
        <f t="shared" ref="D19:F19" si="22">IF(H19=0,0%,IF(L19=0,100%,H19/L19-1))</f>
        <v>945.7119337</v>
      </c>
      <c r="E19" s="88">
        <f t="shared" si="22"/>
        <v>6.325276338</v>
      </c>
      <c r="F19" s="88">
        <f t="shared" si="22"/>
        <v>0</v>
      </c>
      <c r="G19" s="88">
        <f t="shared" si="13"/>
        <v>-6.333684604</v>
      </c>
      <c r="H19" s="120">
        <f>VLOOKUP(A19,'הכשרה'!A:G,4,0)+VLOOKUP('תפוקה מצטברת מול אשתקד'!A19,'מגדל'!A:G,4,0)+VLOOKUP('תפוקה מצטברת מול אשתקד'!A19,'מנורה'!A:G,4,0)+VLOOKUP('תפוקה מצטברת מול אשתקד'!A19,'איילון'!A:G,4,0)+VLOOKUP('תפוקה מצטברת מול אשתקד'!A19,'הראל'!A:G,4,0)+VLOOKUP('תפוקה מצטברת מול אשתקד'!A19,'הפניקס'!A:G,4,0)+VLOOKUP('תפוקה מצטברת מול אשתקד'!A19,'כלל'!A:G,4,0)+VLOOKUP('תפוקה מצטברת מול אשתקד'!A19,'מור'!A:G,4,0)+VLOOKUP('תפוקה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אשתקד'!A19,'אינפניטי'!A:G,4,0)</f>
        <v>1207136.38</v>
      </c>
      <c r="I19" s="120">
        <f>VLOOKUP(A19,'הכשרה'!A:G,5,0)+VLOOKUP('תפוקה מצטברת מול אשתקד'!A19,'מגדל'!A:G,5,0)+VLOOKUP('תפוקה מצטברת מול אשתקד'!A19,'מנורה'!A:G,5,0)+VLOOKUP('תפוקה מצטברת מול אשתקד'!A19,'איילון'!A:G,5,0)+VLOOKUP('תפוקה מצטברת מול אשתקד'!A19,'הראל'!A:G,5,0)+VLOOKUP('תפוקה מצטברת מול אשתקד'!A19,'הפניקס'!A:G,5,0)+VLOOKUP('תפוקה מצטברת מול אשתקד'!A19,'כלל'!A:G,5,0)+VLOOKUP('תפוקה מצטברת מול אשתקד'!A19,'מור'!A:G,5,0)+VLOOKUP('תפוקה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אשתקד'!A19,'אינפניטי'!A:G,5,0)</f>
        <v>61195.246</v>
      </c>
      <c r="J19" s="120">
        <f>VLOOKUP(A19,'הכשרה'!A:G,6,0)+VLOOKUP('תפוקה מצטברת מול אשתקד'!A19,'מגדל'!A:G,6,0)+VLOOKUP('תפוקה מצטברת מול אשתקד'!A19,'מנורה'!A:G,6,0)+VLOOKUP('תפוקה מצטברת מול אשתקד'!A19,'איילון'!A:G,6,0)+VLOOKUP(A19,'הראל'!A:G,6,0)+VLOOKUP('תפוקה מצטברת מול אשתקד'!A19,'הפניקס'!A:G,6,0)+VLOOKUP('תפוקה מצטברת מול אשתקד'!A19,'כלל'!A:G,6,0)+VLOOKUP('תפוקה מצטברת מול אשתקד'!A19,'מור'!A:G,6,0)+VLOOKUP('תפוקה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אשתקד'!A19,'אינפניטי'!A:G,6,0)</f>
        <v>0</v>
      </c>
      <c r="K19" s="120">
        <f>VLOOKUP(A19,'הכשרה'!A:G,7,0)+VLOOKUP('תפוקה מצטברת מול אשתקד'!A19,'מגדל'!A:G,7,0)+VLOOKUP('תפוקה מצטברת מול אשתקד'!A19,'מנורה'!A:G,7,0)+VLOOKUP('תפוקה מצטברת מול אשתקד'!A19,'איילון'!A:G,7,0)+VLOOKUP('תפוקה מצטברת מול אשתקד'!A19,'הראל'!A:G,7,0)+VLOOKUP('תפוקה מצטברת מול אשתקד'!A19,'הפניקס'!A:G,7,0)+VLOOKUP('תפוקה מצטברת מול אשתקד'!A19,'כלל'!A:G,7,0)+VLOOKUP('תפוקה מצטברת מול אשתקד'!A19,'מור'!A:G,7,0)+VLOOKUP('תפוקה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אשתקד'!A19,'אינפניטי'!A:G,7,0)</f>
        <v>-204933.07</v>
      </c>
      <c r="L19" s="121">
        <f>VLOOKUP(A19,'הכשרה'!A:K,8,0)+VLOOKUP('תפוקה מצטברת מול אשתקד'!A19,'מגדל'!A:K,8,0)+VLOOKUP('תפוקה מצטברת מול אשתקד'!A19,'מנורה'!A:K,8,0)+VLOOKUP('תפוקה מצטברת מול אשתקד'!A19,'איילון'!A:K,8,0)+VLOOKUP('תפוקה מצטברת מול אשתקד'!A19,'הראל'!A:K,8,0)+VLOOKUP('תפוקה מצטברת מול אשתקד'!A19,'הפניקס'!A:K,8,0)+VLOOKUP('תפוקה מצטברת מול אשתקד'!A19,'כלל'!A:K,8,0)+VLOOKUP('תפוקה מצטברת מול אשתקד'!A19,'מור'!A:K,8,0)+VLOOKUP('תפוקה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אשתקד'!A19,'אינפניטי'!A:K,8,0)</f>
        <v>1275.083092</v>
      </c>
      <c r="M19" s="121">
        <f>VLOOKUP(A19,'הכשרה'!A:K,9,0)+VLOOKUP('תפוקה מצטברת מול אשתקד'!A19,'מגדל'!A:K,9,0)+VLOOKUP('תפוקה מצטברת מול אשתקד'!A19,'מנורה'!A:K,9,0)+VLOOKUP('תפוקה מצטברת מול אשתקד'!A19,'איילון'!A:K,9,0)+VLOOKUP('תפוקה מצטברת מול אשתקד'!A19,'הראל'!A:K,9,0)+VLOOKUP('תפוקה מצטברת מול אשתקד'!A19,'הפניקס'!A:K,9,0)+VLOOKUP('תפוקה מצטברת מול אשתקד'!A19,'כלל'!A:K,9,0)+VLOOKUP('תפוקה מצטברת מול אשתקד'!A19,'מור'!A:K,9,0)+VLOOKUP('תפוקה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אשתקד'!A19,'אינפניטי'!A:K,9,0)</f>
        <v>8353.984639</v>
      </c>
      <c r="N19" s="121">
        <f>VLOOKUP(A19,'הכשרה'!A:K,10,0)+VLOOKUP('תפוקה מצטברת מול אשתקד'!A19,'מגדל'!A:K,10,0)+VLOOKUP('תפוקה מצטברת מול אשתקד'!A19,'מנורה'!A:K,10,0)+VLOOKUP('תפוקה מצטברת מול אשתקד'!A19,'איילון'!A:K,10,0)+VLOOKUP('תפוקה מצטברת מול אשתקד'!A19,'הראל'!A:K,10,0)+VLOOKUP('תפוקה מצטברת מול אשתקד'!A19,'הפניקס'!A:K,10,0)+VLOOKUP('תפוקה מצטברת מול אשתקד'!A19,'כלל'!A:K,10,0)+VLOOKUP('תפוקה מצטברת מול אשתקד'!A19,'מור'!A:K,10,0)+VLOOKUP('תפוקה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אשתקד'!A19,'אינפניטי'!A:K,10,0)</f>
        <v>12962.7945</v>
      </c>
      <c r="O19" s="121">
        <f>VLOOKUP(A19,'הכשרה'!A:K,11,0)+VLOOKUP('תפוקה מצטברת מול אשתקד'!A19,'מגדל'!A:K,11,0)+VLOOKUP('תפוקה מצטברת מול אשתקד'!A19,'מנורה'!A:K,11,0)+VLOOKUP('תפוקה מצטברת מול אשתקד'!A19,'איילון'!A:K,11,0)+VLOOKUP('תפוקה מצטברת מול אשתקד'!A19,'הראל'!A:K,11,0)+VLOOKUP('תפוקה מצטברת מול אשתקד'!A19,'הפניקס'!A:K,11,0)+VLOOKUP('תפוקה מצטברת מול אשתקד'!A19,'כלל'!A:K,11,0)+VLOOKUP('תפוקה מצטברת מול אשתקד'!A19,'מור'!A:K,11,0)+VLOOKUP('תפוקה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אשתקד'!A19,'אינפניטי'!A:K,11,0)</f>
        <v>38422.42</v>
      </c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ht="15.75" customHeight="1">
      <c r="A20" s="123" t="s">
        <v>76</v>
      </c>
      <c r="B20" s="98" t="s">
        <v>25</v>
      </c>
      <c r="C20" s="98" t="s">
        <v>69</v>
      </c>
      <c r="D20" s="88">
        <f t="shared" ref="D20:F20" si="23">IF(H20=0,0%,IF(L20=0,100%,H20/L20-1))</f>
        <v>1</v>
      </c>
      <c r="E20" s="88">
        <f t="shared" si="23"/>
        <v>0</v>
      </c>
      <c r="F20" s="88">
        <f t="shared" si="23"/>
        <v>0</v>
      </c>
      <c r="G20" s="88">
        <f t="shared" si="13"/>
        <v>0</v>
      </c>
      <c r="H20" s="120">
        <f>VLOOKUP(A20,'הכשרה'!A:G,4,0)+VLOOKUP('תפוקה מצטברת מול אשתקד'!A20,'מגדל'!A:G,4,0)+VLOOKUP('תפוקה מצטברת מול אשתקד'!A20,'מנורה'!A:G,4,0)+VLOOKUP('תפוקה מצטברת מול אשתקד'!A20,'איילון'!A:G,4,0)+VLOOKUP('תפוקה מצטברת מול אשתקד'!A20,'הראל'!A:G,4,0)+VLOOKUP('תפוקה מצטברת מול אשתקד'!A20,'הפניקס'!A:G,4,0)+VLOOKUP('תפוקה מצטברת מול אשתקד'!A20,'כלל'!A:G,4,0)+VLOOKUP('תפוקה מצטברת מול אשתקד'!A20,'מור'!A:G,4,0)+VLOOKUP('תפוקה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אשתקד'!A20,'אינפניטי'!A:G,4,0)</f>
        <v>29490.32408</v>
      </c>
      <c r="I20" s="120">
        <f>VLOOKUP(A20,'הכשרה'!A:G,5,0)+VLOOKUP('תפוקה מצטברת מול אשתקד'!A20,'מגדל'!A:G,5,0)+VLOOKUP('תפוקה מצטברת מול אשתקד'!A20,'מנורה'!A:G,5,0)+VLOOKUP('תפוקה מצטברת מול אשתקד'!A20,'איילון'!A:G,5,0)+VLOOKUP('תפוקה מצטברת מול אשתקד'!A20,'הראל'!A:G,5,0)+VLOOKUP('תפוקה מצטברת מול אשתקד'!A20,'הפניקס'!A:G,5,0)+VLOOKUP('תפוקה מצטברת מול אשתקד'!A20,'כלל'!A:G,5,0)+VLOOKUP('תפוקה מצטברת מול אשתקד'!A20,'מור'!A:G,5,0)+VLOOKUP('תפוקה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אשתקד'!A20,'אינפניטי'!A:G,5,0)</f>
        <v>0</v>
      </c>
      <c r="J20" s="120">
        <f>VLOOKUP(A20,'הכשרה'!A:G,6,0)+VLOOKUP('תפוקה מצטברת מול אשתקד'!A20,'מגדל'!A:G,6,0)+VLOOKUP('תפוקה מצטברת מול אשתקד'!A20,'מנורה'!A:G,6,0)+VLOOKUP('תפוקה מצטברת מול אשתקד'!A20,'איילון'!A:G,6,0)+VLOOKUP(A20,'הראל'!A:G,6,0)+VLOOKUP('תפוקה מצטברת מול אשתקד'!A20,'הפניקס'!A:G,6,0)+VLOOKUP('תפוקה מצטברת מול אשתקד'!A20,'כלל'!A:G,6,0)+VLOOKUP('תפוקה מצטברת מול אשתקד'!A20,'מור'!A:G,6,0)+VLOOKUP('תפוקה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אשתקד'!A20,'אינפניטי'!A:G,6,0)</f>
        <v>0</v>
      </c>
      <c r="K20" s="120">
        <f>VLOOKUP(A20,'הכשרה'!A:G,7,0)+VLOOKUP('תפוקה מצטברת מול אשתקד'!A20,'מגדל'!A:G,7,0)+VLOOKUP('תפוקה מצטברת מול אשתקד'!A20,'מנורה'!A:G,7,0)+VLOOKUP('תפוקה מצטברת מול אשתקד'!A20,'איילון'!A:G,7,0)+VLOOKUP('תפוקה מצטברת מול אשתקד'!A20,'הראל'!A:G,7,0)+VLOOKUP('תפוקה מצטברת מול אשתקד'!A20,'הפניקס'!A:G,7,0)+VLOOKUP('תפוקה מצטברת מול אשתקד'!A20,'כלל'!A:G,7,0)+VLOOKUP('תפוקה מצטברת מול אשתקד'!A20,'מור'!A:G,7,0)+VLOOKUP('תפוקה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אשתקד'!A20,'אינפניטי'!A:G,7,0)</f>
        <v>0</v>
      </c>
      <c r="L20" s="121">
        <f>VLOOKUP(A20,'הכשרה'!A:K,8,0)+VLOOKUP('תפוקה מצטברת מול אשתקד'!A20,'מגדל'!A:K,8,0)+VLOOKUP('תפוקה מצטברת מול אשתקד'!A20,'מנורה'!A:K,8,0)+VLOOKUP('תפוקה מצטברת מול אשתקד'!A20,'איילון'!A:K,8,0)+VLOOKUP('תפוקה מצטברת מול אשתקד'!A20,'הראל'!A:K,8,0)+VLOOKUP('תפוקה מצטברת מול אשתקד'!A20,'הפניקס'!A:K,8,0)+VLOOKUP('תפוקה מצטברת מול אשתקד'!A20,'כלל'!A:K,8,0)+VLOOKUP('תפוקה מצטברת מול אשתקד'!A20,'מור'!A:K,8,0)+VLOOKUP('תפוקה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אשתקד'!A20,'אינפניטי'!A:K,8,0)</f>
        <v>0</v>
      </c>
      <c r="M20" s="121">
        <f>VLOOKUP(A20,'הכשרה'!A:K,9,0)+VLOOKUP('תפוקה מצטברת מול אשתקד'!A20,'מגדל'!A:K,9,0)+VLOOKUP('תפוקה מצטברת מול אשתקד'!A20,'מנורה'!A:K,9,0)+VLOOKUP('תפוקה מצטברת מול אשתקד'!A20,'איילון'!A:K,9,0)+VLOOKUP('תפוקה מצטברת מול אשתקד'!A20,'הראל'!A:K,9,0)+VLOOKUP('תפוקה מצטברת מול אשתקד'!A20,'הפניקס'!A:K,9,0)+VLOOKUP('תפוקה מצטברת מול אשתקד'!A20,'כלל'!A:K,9,0)+VLOOKUP('תפוקה מצטברת מול אשתקד'!A20,'מור'!A:K,9,0)+VLOOKUP('תפוקה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אשתקד'!A20,'אינפניטי'!A:K,9,0)</f>
        <v>0</v>
      </c>
      <c r="N20" s="121">
        <f>VLOOKUP(A20,'הכשרה'!A:K,10,0)+VLOOKUP('תפוקה מצטברת מול אשתקד'!A20,'מגדל'!A:K,10,0)+VLOOKUP('תפוקה מצטברת מול אשתקד'!A20,'מנורה'!A:K,10,0)+VLOOKUP('תפוקה מצטברת מול אשתקד'!A20,'איילון'!A:K,10,0)+VLOOKUP('תפוקה מצטברת מול אשתקד'!A20,'הראל'!A:K,10,0)+VLOOKUP('תפוקה מצטברת מול אשתקד'!A20,'הפניקס'!A:K,10,0)+VLOOKUP('תפוקה מצטברת מול אשתקד'!A20,'כלל'!A:K,10,0)+VLOOKUP('תפוקה מצטברת מול אשתקד'!A20,'מור'!A:K,10,0)+VLOOKUP('תפוקה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אשתקד'!A20,'אינפניטי'!A:K,10,0)</f>
        <v>0</v>
      </c>
      <c r="O20" s="121">
        <f>VLOOKUP(A20,'הכשרה'!A:K,11,0)+VLOOKUP('תפוקה מצטברת מול אשתקד'!A20,'מגדל'!A:K,11,0)+VLOOKUP('תפוקה מצטברת מול אשתקד'!A20,'מנורה'!A:K,11,0)+VLOOKUP('תפוקה מצטברת מול אשתקד'!A20,'איילון'!A:K,11,0)+VLOOKUP('תפוקה מצטברת מול אשתקד'!A20,'הראל'!A:K,11,0)+VLOOKUP('תפוקה מצטברת מול אשתקד'!A20,'הפניקס'!A:K,11,0)+VLOOKUP('תפוקה מצטברת מול אשתקד'!A20,'כלל'!A:K,11,0)+VLOOKUP('תפוקה מצטברת מול אשתקד'!A20,'מור'!A:K,11,0)+VLOOKUP('תפוקה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אשתקד'!A20,'אינפניטי'!A:K,11,0)</f>
        <v>0</v>
      </c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t="15.75" customHeight="1">
      <c r="A21" s="123" t="s">
        <v>77</v>
      </c>
      <c r="B21" s="98" t="s">
        <v>25</v>
      </c>
      <c r="C21" s="123" t="s">
        <v>69</v>
      </c>
      <c r="D21" s="124">
        <f t="shared" ref="D21:F21" si="24">IF(H21=0,0%,IF(L21=0,100%,H21/L21-1))</f>
        <v>0</v>
      </c>
      <c r="E21" s="124">
        <f t="shared" si="24"/>
        <v>0</v>
      </c>
      <c r="F21" s="124">
        <f t="shared" si="24"/>
        <v>0</v>
      </c>
      <c r="G21" s="88">
        <f t="shared" ref="G21:G30" si="26">IF(K21=0,0%,IF(O21=H44,100%,K21/O21-1))</f>
        <v>0</v>
      </c>
      <c r="H21" s="120">
        <f>VLOOKUP(A21,'הכשרה'!A:G,4,0)+VLOOKUP('תפוקה מצטברת מול אשתקד'!A21,'מגדל'!A:G,4,0)+VLOOKUP('תפוקה מצטברת מול אשתקד'!A21,'מנורה'!A:G,4,0)+VLOOKUP('תפוקה מצטברת מול אשתקד'!A21,'איילון'!A:G,4,0)+VLOOKUP('תפוקה מצטברת מול אשתקד'!A21,'הראל'!A:G,4,0)+VLOOKUP('תפוקה מצטברת מול אשתקד'!A21,'הפניקס'!A:G,4,0)+VLOOKUP('תפוקה מצטברת מול אשתקד'!A21,'כלל'!A:G,4,0)+VLOOKUP('תפוקה מצטברת מול אשתקד'!A21,'מור'!A:G,4,0)+VLOOKUP('תפוקה מצטברת מול אשתקד'!A21,'אלטשולר שחם'!A:G,4,0)+VLOOKUP('תפוקה מצטברת מול אשתקד'!A21,'מדיהו '!A:G,4,0)+VLOOKUP('תפוקה מצטברת מול אשתקד'!A21,'אנליסט '!A:G,4,0)+VLOOKUP('תפוקה מצטברת מול אשתקד'!A21,'מיטב דש'!A:G,4,0)+VLOOKUP('תפוקה מצטברת מול אשתקד'!A21,'אינפניטי'!A:G,4,0)</f>
        <v>0</v>
      </c>
      <c r="I21" s="120">
        <f>VLOOKUP(A21,'הכשרה'!A:G,5,0)+VLOOKUP('תפוקה מצטברת מול אשתקד'!A21,'מגדל'!A:G,5,0)+VLOOKUP('תפוקה מצטברת מול אשתקד'!A21,'מנורה'!A:G,5,0)+VLOOKUP('תפוקה מצטברת מול אשתקד'!A21,'איילון'!A:G,5,0)+VLOOKUP('תפוקה מצטברת מול אשתקד'!A21,'הראל'!A:G,5,0)+VLOOKUP('תפוקה מצטברת מול אשתקד'!A21,'הפניקס'!A:G,5,0)+VLOOKUP('תפוקה מצטברת מול אשתקד'!A21,'כלל'!A:G,5,0)+VLOOKUP('תפוקה מצטברת מול אשתקד'!A21,'מור'!A:G,5,0)+VLOOKUP('תפוקה מצטברת מול אשתקד'!A21,'אלטשולר שחם'!A:G,5,0)+VLOOKUP('תפוקה מצטברת מול אשתקד'!A21,'מדיהו '!A:G,5,0)+VLOOKUP('תפוקה מצטברת מול אשתקד'!A21,'אנליסט '!A:G,5,0)+VLOOKUP('תפוקה מצטברת מול אשתקד'!A21,'מיטב דש'!A:G,5,0)+VLOOKUP('תפוקה מצטברת מול אשתקד'!A21,'אינפניטי'!A:G,5,0)</f>
        <v>0</v>
      </c>
      <c r="J21" s="120">
        <f>VLOOKUP(A21,'הכשרה'!A:G,6,0)+VLOOKUP('תפוקה מצטברת מול אשתקד'!A21,'מגדל'!A:G,6,0)+VLOOKUP('תפוקה מצטברת מול אשתקד'!A21,'מנורה'!A:G,6,0)+VLOOKUP('תפוקה מצטברת מול אשתקד'!A21,'איילון'!A:G,6,0)+VLOOKUP(A21,'הראל'!A:G,6,0)+VLOOKUP('תפוקה מצטברת מול אשתקד'!A21,'הפניקס'!A:G,6,0)+VLOOKUP('תפוקה מצטברת מול אשתקד'!A21,'כלל'!A:G,6,0)+VLOOKUP('תפוקה מצטברת מול אשתקד'!A21,'מור'!A:G,6,0)+VLOOKUP('תפוקה מצטברת מול אשתקד'!A21,'אלטשולר שחם'!A:G,6,0)+VLOOKUP('תפוקה מצטברת מול אשתקד'!A21,'מדיהו '!A:G,6,0)+VLOOKUP('תפוקה מצטברת מול אשתקד'!A21,'אנליסט '!A:G,6,0)+VLOOKUP('תפוקה מצטברת מול אשתקד'!A21,'מיטב דש'!A:G,6,0)+VLOOKUP('תפוקה מצטברת מול אשתקד'!A21,'אינפניטי'!A:G,6,0)</f>
        <v>0</v>
      </c>
      <c r="K21" s="120">
        <f>VLOOKUP(A21,'הכשרה'!A:G,7,0)+VLOOKUP('תפוקה מצטברת מול אשתקד'!A21,'מגדל'!A:G,7,0)+VLOOKUP('תפוקה מצטברת מול אשתקד'!A21,'מנורה'!A:G,7,0)+VLOOKUP('תפוקה מצטברת מול אשתקד'!A21,'איילון'!A:G,7,0)+VLOOKUP('תפוקה מצטברת מול אשתקד'!A21,'הראל'!A:G,7,0)+VLOOKUP('תפוקה מצטברת מול אשתקד'!A21,'הפניקס'!A:G,7,0)+VLOOKUP('תפוקה מצטברת מול אשתקד'!A21,'כלל'!A:G,7,0)+VLOOKUP('תפוקה מצטברת מול אשתקד'!A21,'מור'!A:G,7,0)+VLOOKUP('תפוקה מצטברת מול אשתקד'!A21,'אלטשולר שחם'!A:G,7,0)+VLOOKUP('תפוקה מצטברת מול אשתקד'!A21,'מדיהו '!A:K,7,0)+VLOOKUP(A21,'אנליסט '!A:G,7,0)+VLOOKUP('תפוקה מצטברת מול אשתקד'!A21,'מיטב דש'!A:G,7,0)+VLOOKUP('תפוקה מצטברת מול אשתקד'!A21,'אינפניטי'!A:G,7,0)</f>
        <v>0</v>
      </c>
      <c r="L21" s="121">
        <f>VLOOKUP(A21,'הכשרה'!A:K,8,0)+VLOOKUP('תפוקה מצטברת מול אשתקד'!A21,'מגדל'!A:K,8,0)+VLOOKUP('תפוקה מצטברת מול אשתקד'!A21,'מנורה'!A:K,8,0)+VLOOKUP('תפוקה מצטברת מול אשתקד'!A21,'איילון'!A:K,8,0)+VLOOKUP('תפוקה מצטברת מול אשתקד'!A21,'הראל'!A:K,8,0)+VLOOKUP('תפוקה מצטברת מול אשתקד'!A21,'הפניקס'!A:K,8,0)+VLOOKUP('תפוקה מצטברת מול אשתקד'!A21,'כלל'!A:K,8,0)+VLOOKUP('תפוקה מצטברת מול אשתקד'!A21,'מור'!A:K,8,0)+VLOOKUP('תפוקה מצטברת מול אשתקד'!A21,'אלטשולר שחם'!A:K,8,0)+VLOOKUP('תפוקה מצטברת מול אשתקד'!A21,'מדיהו '!A:K,8,0)+VLOOKUP('תפוקה מצטברת מול אשתקד'!A21,'אנליסט '!A:K,8,0)+VLOOKUP('תפוקה מצטברת מול אשתקד'!A21,'מיטב דש'!A:K,8,0)+VLOOKUP('תפוקה מצטברת מול אשתקד'!A21,'אינפניטי'!A:K,8,0)</f>
        <v>0</v>
      </c>
      <c r="M21" s="121">
        <f>VLOOKUP(A21,'הכשרה'!A:K,9,0)+VLOOKUP('תפוקה מצטברת מול אשתקד'!A21,'מגדל'!A:K,9,0)+VLOOKUP('תפוקה מצטברת מול אשתקד'!A21,'מנורה'!A:K,9,0)+VLOOKUP('תפוקה מצטברת מול אשתקד'!A21,'איילון'!A:K,9,0)+VLOOKUP('תפוקה מצטברת מול אשתקד'!A21,'הראל'!A:K,9,0)+VLOOKUP('תפוקה מצטברת מול אשתקד'!A21,'הפניקס'!A:K,9,0)+VLOOKUP('תפוקה מצטברת מול אשתקד'!A21,'כלל'!A:K,9,0)+VLOOKUP('תפוקה מצטברת מול אשתקד'!A21,'מור'!A:K,9,0)+VLOOKUP('תפוקה מצטברת מול אשתקד'!A21,'אלטשולר שחם'!A:K,9,0)+VLOOKUP('תפוקה מצטברת מול אשתקד'!A21,'מדיהו '!A:K,9,0)+VLOOKUP('תפוקה מצטברת מול אשתקד'!A21,'אנליסט '!A:K,9,0)+VLOOKUP('תפוקה מצטברת מול אשתקד'!A21,'מיטב דש'!A:K,9,0)+VLOOKUP('תפוקה מצטברת מול אשתקד'!A21,'אינפניטי'!A:K,9,0)</f>
        <v>3527.391374</v>
      </c>
      <c r="N21" s="121">
        <f>VLOOKUP(A21,'הכשרה'!A:K,10,0)+VLOOKUP('תפוקה מצטברת מול אשתקד'!A21,'מגדל'!A:K,10,0)+VLOOKUP('תפוקה מצטברת מול אשתקד'!A21,'מנורה'!A:K,10,0)+VLOOKUP('תפוקה מצטברת מול אשתקד'!A21,'איילון'!A:K,10,0)+VLOOKUP('תפוקה מצטברת מול אשתקד'!A21,'הראל'!A:K,10,0)+VLOOKUP('תפוקה מצטברת מול אשתקד'!A21,'הפניקס'!A:K,10,0)+VLOOKUP('תפוקה מצטברת מול אשתקד'!A21,'כלל'!A:K,10,0)+VLOOKUP('תפוקה מצטברת מול אשתקד'!A21,'מור'!A:K,10,0)+VLOOKUP('תפוקה מצטברת מול אשתקד'!A21,'אלטשולר שחם'!A:K,10,0)+VLOOKUP('תפוקה מצטברת מול אשתקד'!A21,'מדיהו '!A:K,10,0)+VLOOKUP('תפוקה מצטברת מול אשתקד'!A21,'אנליסט '!A:K,10,0)+VLOOKUP('תפוקה מצטברת מול אשתקד'!A21,'מיטב דש'!A:K,10,0)+VLOOKUP('תפוקה מצטברת מול אשתקד'!A21,'אינפניטי'!A:K,10,0)</f>
        <v>128164.59</v>
      </c>
      <c r="O21" s="121">
        <f>VLOOKUP(A21,'הכשרה'!A:K,11,0)+VLOOKUP('תפוקה מצטברת מול אשתקד'!A21,'מגדל'!A:K,11,0)+VLOOKUP('תפוקה מצטברת מול אשתקד'!A21,'מנורה'!A:K,11,0)+VLOOKUP('תפוקה מצטברת מול אשתקד'!A21,'איילון'!A:K,11,0)+VLOOKUP('תפוקה מצטברת מול אשתקד'!A21,'הראל'!A:K,11,0)+VLOOKUP('תפוקה מצטברת מול אשתקד'!A21,'הפניקס'!A:K,11,0)+VLOOKUP('תפוקה מצטברת מול אשתקד'!A21,'כלל'!A:K,11,0)+VLOOKUP('תפוקה מצטברת מול אשתקד'!A21,'מור'!A:K,11,0)+VLOOKUP('תפוקה מצטברת מול אשתקד'!A21,'אלטשולר שחם'!A:K,11,0)+VLOOKUP('תפוקה מצטברת מול אשתקד'!A21,'מדיהו '!A:K,11,0)+VLOOKUP('תפוקה מצטברת מול אשתקד'!A21,'אנליסט '!A:K,11,0)+VLOOKUP('תפוקה מצטברת מול אשתקד'!A21,'מיטב דש'!A:K,11,0)+VLOOKUP('תפוקה מצטברת מול אשתקד'!A21,'אינפניטי'!A:K,11,0)</f>
        <v>0</v>
      </c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t="18.0" customHeight="1">
      <c r="A22" s="126" t="s">
        <v>78</v>
      </c>
      <c r="B22" s="127"/>
      <c r="C22" s="127"/>
      <c r="D22" s="128">
        <f t="shared" ref="D22:F22" si="25">IF(H22=0,0%,IF(L22=0,100%,H22/L22-1))</f>
        <v>0.4509501423</v>
      </c>
      <c r="E22" s="128">
        <f t="shared" si="25"/>
        <v>0.3677994488</v>
      </c>
      <c r="F22" s="128">
        <f t="shared" si="25"/>
        <v>-0.2773074421</v>
      </c>
      <c r="G22" s="88">
        <f t="shared" si="26"/>
        <v>-0.5565872893</v>
      </c>
      <c r="H22" s="129">
        <f t="shared" ref="H22:O22" si="27">SUM(H9:H21)</f>
        <v>3888390.332</v>
      </c>
      <c r="I22" s="129">
        <f t="shared" si="27"/>
        <v>1454969.682</v>
      </c>
      <c r="J22" s="129">
        <f t="shared" si="27"/>
        <v>12759738.3</v>
      </c>
      <c r="K22" s="129">
        <f t="shared" si="27"/>
        <v>5828149.395</v>
      </c>
      <c r="L22" s="129">
        <f t="shared" si="27"/>
        <v>2679892.45</v>
      </c>
      <c r="M22" s="129">
        <f t="shared" si="27"/>
        <v>1063730.274</v>
      </c>
      <c r="N22" s="129">
        <f t="shared" si="27"/>
        <v>17655831.87</v>
      </c>
      <c r="O22" s="129">
        <f t="shared" si="27"/>
        <v>13143848.28</v>
      </c>
      <c r="P22" s="131"/>
      <c r="Q22" s="131"/>
      <c r="R22" s="131"/>
      <c r="S22" s="113"/>
      <c r="T22" s="113"/>
      <c r="U22" s="113"/>
      <c r="V22" s="113"/>
      <c r="W22" s="113"/>
      <c r="X22" s="113"/>
      <c r="Y22" s="113"/>
      <c r="Z22" s="113"/>
    </row>
    <row r="23" ht="15.75" customHeight="1">
      <c r="A23" s="125" t="s">
        <v>79</v>
      </c>
      <c r="B23" s="125" t="s">
        <v>23</v>
      </c>
      <c r="C23" s="125" t="s">
        <v>80</v>
      </c>
      <c r="D23" s="130">
        <f t="shared" ref="D23:F23" si="28">IF(H23=0,0%,IF(L23=0,100%,H23/L23-1))</f>
        <v>-0.3047675734</v>
      </c>
      <c r="E23" s="130">
        <f t="shared" si="28"/>
        <v>-0.5999926042</v>
      </c>
      <c r="F23" s="130">
        <f t="shared" si="28"/>
        <v>-0.7297603155</v>
      </c>
      <c r="G23" s="88">
        <f t="shared" si="26"/>
        <v>-0.1630393377</v>
      </c>
      <c r="H23" s="120">
        <f>VLOOKUP(A23,'הכשרה'!A:G,4,0)+VLOOKUP('תפוקה מצטברת מול אשתקד'!A23,'מגדל'!A:G,4,0)+VLOOKUP('תפוקה מצטברת מול אשתקד'!A23,'מנורה'!A:G,4,0)+VLOOKUP('תפוקה מצטברת מול אשתקד'!A23,'איילון'!A:G,4,0)+VLOOKUP('תפוקה מצטברת מול אשתקד'!A23,'הראל'!A:G,4,0)+VLOOKUP('תפוקה מצטברת מול אשתקד'!A23,'הפניקס'!A:G,4,0)+VLOOKUP('תפוקה מצטברת מול אשתקד'!A23,'כלל'!A:G,4,0)+VLOOKUP('תפוקה מצטברת מול אשתקד'!A23,'מור'!A:G,4,0)+VLOOKUP('תפוקה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אשתקד'!A23,'אינפניטי'!A:G,4,0)</f>
        <v>569714.4222</v>
      </c>
      <c r="I23" s="120">
        <f>VLOOKUP(A23,'הכשרה'!A:G,5,0)+VLOOKUP('תפוקה מצטברת מול אשתקד'!A23,'מגדל'!A:G,5,0)+VLOOKUP('תפוקה מצטברת מול אשתקד'!A23,'מנורה'!A:G,5,0)+VLOOKUP('תפוקה מצטברת מול אשתקד'!A23,'איילון'!A:G,5,0)+VLOOKUP('תפוקה מצטברת מול אשתקד'!A23,'הראל'!A:G,5,0)+VLOOKUP('תפוקה מצטברת מול אשתקד'!A23,'הפניקס'!A:G,5,0)+VLOOKUP('תפוקה מצטברת מול אשתקד'!A23,'כלל'!A:G,5,0)+VLOOKUP('תפוקה מצטברת מול אשתקד'!A23,'מור'!A:G,5,0)+VLOOKUP('תפוקה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אשתקד'!A23,'אינפניטי'!A:G,5,0)</f>
        <v>41556.39</v>
      </c>
      <c r="J23" s="120">
        <f>VLOOKUP(A23,'הכשרה'!A:G,6,0)+VLOOKUP('תפוקה מצטברת מול אשתקד'!A23,'מגדל'!A:G,6,0)+VLOOKUP('תפוקה מצטברת מול אשתקד'!A23,'מנורה'!A:G,6,0)+VLOOKUP('תפוקה מצטברת מול אשתקד'!A23,'איילון'!A:G,6,0)+VLOOKUP(A23,'הראל'!A:G,6,0)+VLOOKUP('תפוקה מצטברת מול אשתקד'!A23,'הפניקס'!A:G,6,0)+VLOOKUP('תפוקה מצטברת מול אשתקד'!A23,'כלל'!A:G,6,0)+VLOOKUP('תפוקה מצטברת מול אשתקד'!A23,'מור'!A:G,6,0)+VLOOKUP('תפוקה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אשתקד'!A23,'אינפניטי'!A:G,6,0)</f>
        <v>333369.84</v>
      </c>
      <c r="K23" s="120">
        <f>VLOOKUP(A23,'הכשרה'!A:G,7,0)+VLOOKUP('תפוקה מצטברת מול אשתקד'!A23,'מגדל'!A:G,7,0)+VLOOKUP('תפוקה מצטברת מול אשתקד'!A23,'מנורה'!A:G,7,0)+VLOOKUP('תפוקה מצטברת מול אשתקד'!A23,'איילון'!A:G,7,0)+VLOOKUP('תפוקה מצטברת מול אשתקד'!A23,'הראל'!A:G,7,0)+VLOOKUP('תפוקה מצטברת מול אשתקד'!A23,'הפניקס'!A:G,7,0)+VLOOKUP('תפוקה מצטברת מול אשתקד'!A23,'כלל'!A:G,7,0)+VLOOKUP('תפוקה מצטברת מול אשתקד'!A23,'מור'!A:G,7,0)+VLOOKUP('תפוקה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אשתקד'!A23,'אינפניטי'!A:G,7,0)</f>
        <v>2607548.93</v>
      </c>
      <c r="L23" s="121">
        <f>VLOOKUP(A23,'הכשרה'!A:K,8,0)+VLOOKUP('תפוקה מצטברת מול אשתקד'!A23,'מגדל'!A:K,8,0)+VLOOKUP('תפוקה מצטברת מול אשתקד'!A23,'מנורה'!A:K,8,0)+VLOOKUP('תפוקה מצטברת מול אשתקד'!A23,'איילון'!A:K,8,0)+VLOOKUP('תפוקה מצטברת מול אשתקד'!A23,'הראל'!A:K,8,0)+VLOOKUP('תפוקה מצטברת מול אשתקד'!A23,'הפניקס'!A:K,8,0)+VLOOKUP('תפוקה מצטברת מול אשתקד'!A23,'כלל'!A:K,8,0)+VLOOKUP('תפוקה מצטברת מול אשתקד'!A23,'מור'!A:K,8,0)+VLOOKUP('תפוקה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אשתקד'!A23,'אינפניטי'!A:K,8,0)</f>
        <v>819458.9326</v>
      </c>
      <c r="M23" s="121">
        <f>VLOOKUP(A23,'הכשרה'!A:K,9,0)+VLOOKUP('תפוקה מצטברת מול אשתקד'!A23,'מגדל'!A:K,9,0)+VLOOKUP('תפוקה מצטברת מול אשתקד'!A23,'מנורה'!A:K,9,0)+VLOOKUP('תפוקה מצטברת מול אשתקד'!A23,'איילון'!A:K,9,0)+VLOOKUP('תפוקה מצטברת מול אשתקד'!A23,'הראל'!A:K,9,0)+VLOOKUP('תפוקה מצטברת מול אשתקד'!A23,'הפניקס'!A:K,9,0)+VLOOKUP('תפוקה מצטברת מול אשתקד'!A23,'כלל'!A:K,9,0)+VLOOKUP('תפוקה מצטברת מול אשתקד'!A23,'מור'!A:K,9,0)+VLOOKUP('תפוקה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אשתקד'!A23,'אינפניטי'!A:K,9,0)</f>
        <v>103889.0541</v>
      </c>
      <c r="N23" s="121">
        <f>VLOOKUP(A23,'הכשרה'!A:K,10,0)+VLOOKUP('תפוקה מצטברת מול אשתקד'!A23,'מגדל'!A:K,10,0)+VLOOKUP('תפוקה מצטברת מול אשתקד'!A23,'מנורה'!A:K,10,0)+VLOOKUP('תפוקה מצטברת מול אשתקד'!A23,'איילון'!A:K,10,0)+VLOOKUP('תפוקה מצטברת מול אשתקד'!A23,'הראל'!A:K,10,0)+VLOOKUP('תפוקה מצטברת מול אשתקד'!A23,'הפניקס'!A:K,10,0)+VLOOKUP('תפוקה מצטברת מול אשתקד'!A23,'כלל'!A:K,10,0)+VLOOKUP('תפוקה מצטברת מול אשתקד'!A23,'מור'!A:K,10,0)+VLOOKUP('תפוקה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אשתקד'!A23,'אינפניטי'!A:K,10,0)</f>
        <v>1233608.012</v>
      </c>
      <c r="O23" s="121">
        <f>VLOOKUP(A23,'הכשרה'!A:K,11,0)+VLOOKUP('תפוקה מצטברת מול אשתקד'!A23,'מגדל'!A:K,11,0)+VLOOKUP('תפוקה מצטברת מול אשתקד'!A23,'מנורה'!A:K,11,0)+VLOOKUP('תפוקה מצטברת מול אשתקד'!A23,'איילון'!A:K,11,0)+VLOOKUP('תפוקה מצטברת מול אשתקד'!A23,'הראל'!A:K,11,0)+VLOOKUP('תפוקה מצטברת מול אשתקד'!A23,'הפניקס'!A:K,11,0)+VLOOKUP('תפוקה מצטברת מול אשתקד'!A23,'כלל'!A:K,11,0)+VLOOKUP('תפוקה מצטברת מול אשתקד'!A23,'מור'!A:K,11,0)+VLOOKUP('תפוקה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אשתקד'!A23,'אינפניטי'!A:K,11,0)</f>
        <v>3115497.594</v>
      </c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15.75" customHeight="1">
      <c r="A24" s="99" t="s">
        <v>81</v>
      </c>
      <c r="B24" s="98" t="s">
        <v>23</v>
      </c>
      <c r="C24" s="125" t="s">
        <v>80</v>
      </c>
      <c r="D24" s="88">
        <f t="shared" ref="D24:F24" si="29">IF(H24=0,0%,IF(L24=0,100%,H24/L24-1))</f>
        <v>0</v>
      </c>
      <c r="E24" s="88">
        <f t="shared" si="29"/>
        <v>1</v>
      </c>
      <c r="F24" s="88">
        <f t="shared" si="29"/>
        <v>0</v>
      </c>
      <c r="G24" s="88">
        <f t="shared" si="26"/>
        <v>-0.9843328651</v>
      </c>
      <c r="H24" s="120">
        <f>VLOOKUP(A24,'הכשרה'!A:G,4,0)+VLOOKUP('תפוקה מצטברת מול אשתקד'!A24,'מגדל'!A:G,4,0)+VLOOKUP('תפוקה מצטברת מול אשתקד'!A24,'מנורה'!A:G,4,0)+VLOOKUP('תפוקה מצטברת מול אשתקד'!A24,'איילון'!A:G,4,0)+VLOOKUP('תפוקה מצטברת מול אשתקד'!A24,'הראל'!A:G,4,0)+VLOOKUP('תפוקה מצטברת מול אשתקד'!A24,'הפניקס'!A:G,4,0)+VLOOKUP('תפוקה מצטברת מול אשתקד'!A24,'כלל'!A:G,4,0)+VLOOKUP('תפוקה מצטברת מול אשתקד'!A24,'מור'!A:G,4,0)+VLOOKUP('תפוקה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אשתקד'!A24,'אינפניטי'!A:G,4,0)</f>
        <v>0</v>
      </c>
      <c r="I24" s="120">
        <f>VLOOKUP(A24,'הכשרה'!A:G,5,0)+VLOOKUP('תפוקה מצטברת מול אשתקד'!A24,'מגדל'!A:G,5,0)+VLOOKUP('תפוקה מצטברת מול אשתקד'!A24,'מנורה'!A:G,5,0)+VLOOKUP('תפוקה מצטברת מול אשתקד'!A24,'איילון'!A:G,5,0)+VLOOKUP('תפוקה מצטברת מול אשתקד'!A24,'הראל'!A:G,5,0)+VLOOKUP('תפוקה מצטברת מול אשתקד'!A24,'הפניקס'!A:G,5,0)+VLOOKUP('תפוקה מצטברת מול אשתקד'!A24,'כלל'!A:G,5,0)+VLOOKUP('תפוקה מצטברת מול אשתקד'!A24,'מור'!A:G,5,0)+VLOOKUP('תפוקה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אשתקד'!A24,'אינפניטי'!A:G,5,0)</f>
        <v>3071.944288</v>
      </c>
      <c r="J24" s="120">
        <f>VLOOKUP(A24,'הכשרה'!A:G,6,0)+VLOOKUP('תפוקה מצטברת מול אשתקד'!A24,'מגדל'!A:G,6,0)+VLOOKUP('תפוקה מצטברת מול אשתקד'!A24,'מנורה'!A:G,6,0)+VLOOKUP('תפוקה מצטברת מול אשתקד'!A24,'איילון'!A:G,6,0)+VLOOKUP(A24,'הראל'!A:G,6,0)+VLOOKUP('תפוקה מצטברת מול אשתקד'!A24,'הפניקס'!A:G,6,0)+VLOOKUP('תפוקה מצטברת מול אשתקד'!A24,'כלל'!A:G,6,0)+VLOOKUP('תפוקה מצטברת מול אשתקד'!A24,'מור'!A:G,6,0)+VLOOKUP('תפוקה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אשתקד'!A24,'אינפניטי'!A:G,6,0)</f>
        <v>0</v>
      </c>
      <c r="K24" s="120">
        <f>VLOOKUP(A24,'הכשרה'!A:G,7,0)+VLOOKUP('תפוקה מצטברת מול אשתקד'!A24,'מגדל'!A:G,7,0)+VLOOKUP('תפוקה מצטברת מול אשתקד'!A24,'מנורה'!A:G,7,0)+VLOOKUP('תפוקה מצטברת מול אשתקד'!A24,'איילון'!A:G,7,0)+VLOOKUP('תפוקה מצטברת מול אשתקד'!A24,'הראל'!A:G,7,0)+VLOOKUP('תפוקה מצטברת מול אשתקד'!A24,'הפניקס'!A:G,7,0)+VLOOKUP('תפוקה מצטברת מול אשתקד'!A24,'כלל'!A:G,7,0)+VLOOKUP('תפוקה מצטברת מול אשתקד'!A24,'מור'!A:G,7,0)+VLOOKUP('תפוקה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אשתקד'!A24,'אינפניטי'!A:G,7,0)</f>
        <v>-11711.17</v>
      </c>
      <c r="L24" s="121">
        <f>VLOOKUP(A24,'הכשרה'!A:K,8,0)+VLOOKUP('תפוקה מצטברת מול אשתקד'!A24,'מגדל'!A:K,8,0)+VLOOKUP('תפוקה מצטברת מול אשתקד'!A24,'מנורה'!A:K,8,0)+VLOOKUP('תפוקה מצטברת מול אשתקד'!A24,'איילון'!A:K,8,0)+VLOOKUP('תפוקה מצטברת מול אשתקד'!A24,'הראל'!A:K,8,0)+VLOOKUP('תפוקה מצטברת מול אשתקד'!A24,'הפניקס'!A:K,8,0)+VLOOKUP('תפוקה מצטברת מול אשתקד'!A24,'כלל'!A:K,8,0)+VLOOKUP('תפוקה מצטברת מול אשתקד'!A24,'מור'!A:K,8,0)+VLOOKUP('תפוקה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אשתקד'!A24,'אינפניטי'!A:K,8,0)</f>
        <v>-1752.23754</v>
      </c>
      <c r="M24" s="121">
        <f>VLOOKUP(A24,'הכשרה'!A:K,9,0)+VLOOKUP('תפוקה מצטברת מול אשתקד'!A24,'מגדל'!A:K,9,0)+VLOOKUP('תפוקה מצטברת מול אשתקד'!A24,'מנורה'!A:K,9,0)+VLOOKUP('תפוקה מצטברת מול אשתקד'!A24,'איילון'!A:K,9,0)+VLOOKUP('תפוקה מצטברת מול אשתקד'!A24,'הראל'!A:K,9,0)+VLOOKUP('תפוקה מצטברת מול אשתקד'!A24,'הפניקס'!A:K,9,0)+VLOOKUP('תפוקה מצטברת מול אשתקד'!A24,'כלל'!A:K,9,0)+VLOOKUP('תפוקה מצטברת מול אשתקד'!A24,'מור'!A:K,9,0)+VLOOKUP('תפוקה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אשתקד'!A24,'אינפניטי'!A:K,9,0)</f>
        <v>0</v>
      </c>
      <c r="N24" s="121">
        <f>VLOOKUP(A24,'הכשרה'!A:K,10,0)+VLOOKUP('תפוקה מצטברת מול אשתקד'!A24,'מגדל'!A:K,10,0)+VLOOKUP('תפוקה מצטברת מול אשתקד'!A24,'מנורה'!A:K,10,0)+VLOOKUP('תפוקה מצטברת מול אשתקד'!A24,'איילון'!A:K,10,0)+VLOOKUP('תפוקה מצטברת מול אשתקד'!A24,'הראל'!A:K,10,0)+VLOOKUP('תפוקה מצטברת מול אשתקד'!A24,'הפניקס'!A:K,10,0)+VLOOKUP('תפוקה מצטברת מול אשתקד'!A24,'כלל'!A:K,10,0)+VLOOKUP('תפוקה מצטברת מול אשתקד'!A24,'מור'!A:K,10,0)+VLOOKUP('תפוקה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אשתקד'!A24,'אינפניטי'!A:K,10,0)</f>
        <v>6300</v>
      </c>
      <c r="O24" s="121">
        <f>VLOOKUP(A24,'הכשרה'!A:K,11,0)+VLOOKUP('תפוקה מצטברת מול אשתקד'!A24,'מגדל'!A:K,11,0)+VLOOKUP('תפוקה מצטברת מול אשתקד'!A24,'מנורה'!A:K,11,0)+VLOOKUP('תפוקה מצטברת מול אשתקד'!A24,'איילון'!A:K,11,0)+VLOOKUP('תפוקה מצטברת מול אשתקד'!A24,'הראל'!A:K,11,0)+VLOOKUP('תפוקה מצטברת מול אשתקד'!A24,'הפניקס'!A:K,11,0)+VLOOKUP('תפוקה מצטברת מול אשתקד'!A24,'כלל'!A:K,11,0)+VLOOKUP('תפוקה מצטברת מול אשתקד'!A24,'מור'!A:K,11,0)+VLOOKUP('תפוקה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אשתקד'!A24,'אינפניטי'!A:K,11,0)</f>
        <v>-747499.15</v>
      </c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15.75" customHeight="1">
      <c r="A25" s="99" t="s">
        <v>82</v>
      </c>
      <c r="B25" s="98" t="s">
        <v>23</v>
      </c>
      <c r="C25" s="125" t="s">
        <v>80</v>
      </c>
      <c r="D25" s="88">
        <f t="shared" ref="D25:F25" si="30">IF(H25=0,0%,IF(L25=0,100%,H25/L25-1))</f>
        <v>-0.632818415</v>
      </c>
      <c r="E25" s="88">
        <f t="shared" si="30"/>
        <v>-0.47418267</v>
      </c>
      <c r="F25" s="88">
        <f t="shared" si="30"/>
        <v>-0.8923925024</v>
      </c>
      <c r="G25" s="88">
        <f t="shared" si="26"/>
        <v>0</v>
      </c>
      <c r="H25" s="120">
        <f>VLOOKUP(A25,'הכשרה'!A:G,4,0)+VLOOKUP('תפוקה מצטברת מול אשתקד'!A25,'מגדל'!A:G,4,0)+VLOOKUP('תפוקה מצטברת מול אשתקד'!A25,'מנורה'!A:G,4,0)+VLOOKUP('תפוקה מצטברת מול אשתקד'!A25,'איילון'!A:G,4,0)+VLOOKUP('תפוקה מצטברת מול אשתקד'!A25,'הראל'!A:G,4,0)+VLOOKUP('תפוקה מצטברת מול אשתקד'!A25,'הפניקס'!A:G,4,0)+VLOOKUP('תפוקה מצטברת מול אשתקד'!A25,'כלל'!A:G,4,0)+VLOOKUP('תפוקה מצטברת מול אשתקד'!A25,'מור'!A:G,4,0)+VLOOKUP('תפוקה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אשתקד'!A25,'אינפניטי'!A:G,4,0)</f>
        <v>13040.00986</v>
      </c>
      <c r="I25" s="120">
        <f>VLOOKUP(A25,'הכשרה'!A:G,5,0)+VLOOKUP('תפוקה מצטברת מול אשתקד'!A25,'מגדל'!A:G,5,0)+VLOOKUP('תפוקה מצטברת מול אשתקד'!A25,'מנורה'!A:G,5,0)+VLOOKUP('תפוקה מצטברת מול אשתקד'!A25,'איילון'!A:G,5,0)+VLOOKUP('תפוקה מצטברת מול אשתקד'!A25,'הראל'!A:G,5,0)+VLOOKUP('תפוקה מצטברת מול אשתקד'!A25,'הפניקס'!A:G,5,0)+VLOOKUP('תפוקה מצטברת מול אשתקד'!A25,'כלל'!A:G,5,0)+VLOOKUP('תפוקה מצטברת מול אשתקד'!A25,'מור'!A:G,5,0)+VLOOKUP('תפוקה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אשתקד'!A25,'אינפניטי'!A:G,5,0)</f>
        <v>11825</v>
      </c>
      <c r="J25" s="120">
        <f>VLOOKUP(A25,'הכשרה'!A:G,6,0)+VLOOKUP('תפוקה מצטברת מול אשתקד'!A25,'מגדל'!A:G,6,0)+VLOOKUP('תפוקה מצטברת מול אשתקד'!A25,'מנורה'!A:G,6,0)+VLOOKUP('תפוקה מצטברת מול אשתקד'!A25,'איילון'!A:G,6,0)+VLOOKUP(A25,'הראל'!A:G,6,0)+VLOOKUP('תפוקה מצטברת מול אשתקד'!A25,'הפניקס'!A:G,6,0)+VLOOKUP('תפוקה מצטברת מול אשתקד'!A25,'כלל'!A:G,6,0)+VLOOKUP('תפוקה מצטברת מול אשתקד'!A25,'מור'!A:G,6,0)+VLOOKUP('תפוקה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אשתקד'!A25,'אינפניטי'!A:G,6,0)</f>
        <v>3961.350288</v>
      </c>
      <c r="K25" s="120">
        <f>VLOOKUP(A25,'הכשרה'!A:G,7,0)+VLOOKUP('תפוקה מצטברת מול אשתקד'!A25,'מגדל'!A:G,7,0)+VLOOKUP('תפוקה מצטברת מול אשתקד'!A25,'מנורה'!A:G,7,0)+VLOOKUP('תפוקה מצטברת מול אשתקד'!A25,'איילון'!A:G,7,0)+VLOOKUP('תפוקה מצטברת מול אשתקד'!A25,'הראל'!A:G,7,0)+VLOOKUP('תפוקה מצטברת מול אשתקד'!A25,'הפניקס'!A:G,7,0)+VLOOKUP('תפוקה מצטברת מול אשתקד'!A25,'כלל'!A:G,7,0)+VLOOKUP('תפוקה מצטברת מול אשתקד'!A25,'מור'!A:G,7,0)+VLOOKUP('תפוקה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אשתקד'!A25,'אינפניטי'!A:G,7,0)</f>
        <v>0</v>
      </c>
      <c r="L25" s="121">
        <f>VLOOKUP(A25,'הכשרה'!A:K,8,0)+VLOOKUP('תפוקה מצטברת מול אשתקד'!A25,'מגדל'!A:K,8,0)+VLOOKUP('תפוקה מצטברת מול אשתקד'!A25,'מנורה'!A:K,8,0)+VLOOKUP('תפוקה מצטברת מול אשתקד'!A25,'איילון'!A:K,8,0)+VLOOKUP('תפוקה מצטברת מול אשתקד'!A25,'הראל'!A:K,8,0)+VLOOKUP('תפוקה מצטברת מול אשתקד'!A25,'הפניקס'!A:K,8,0)+VLOOKUP('תפוקה מצטברת מול אשתקד'!A25,'כלל'!A:K,8,0)+VLOOKUP('תפוקה מצטברת מול אשתקד'!A25,'מור'!A:K,8,0)+VLOOKUP('תפוקה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אשתקד'!A25,'אינפניטי'!A:K,8,0)</f>
        <v>35513.79044</v>
      </c>
      <c r="M25" s="121">
        <f>VLOOKUP(A25,'הכשרה'!A:K,9,0)+VLOOKUP('תפוקה מצטברת מול אשתקד'!A25,'מגדל'!A:K,9,0)+VLOOKUP('תפוקה מצטברת מול אשתקד'!A25,'מנורה'!A:K,9,0)+VLOOKUP('תפוקה מצטברת מול אשתקד'!A25,'איילון'!A:K,9,0)+VLOOKUP('תפוקה מצטברת מול אשתקד'!A25,'הראל'!A:K,9,0)+VLOOKUP('תפוקה מצטברת מול אשתקד'!A25,'הפניקס'!A:K,9,0)+VLOOKUP('תפוקה מצטברת מול אשתקד'!A25,'כלל'!A:K,9,0)+VLOOKUP('תפוקה מצטברת מול אשתקד'!A25,'מור'!A:K,9,0)+VLOOKUP('תפוקה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אשתקד'!A25,'אינפניטי'!A:K,9,0)</f>
        <v>22488.79854</v>
      </c>
      <c r="N25" s="121">
        <f>VLOOKUP(A25,'הכשרה'!A:K,10,0)+VLOOKUP('תפוקה מצטברת מול אשתקד'!A25,'מגדל'!A:K,10,0)+VLOOKUP('תפוקה מצטברת מול אשתקד'!A25,'מנורה'!A:K,10,0)+VLOOKUP('תפוקה מצטברת מול אשתקד'!A25,'איילון'!A:K,10,0)+VLOOKUP('תפוקה מצטברת מול אשתקד'!A25,'הראל'!A:K,10,0)+VLOOKUP('תפוקה מצטברת מול אשתקד'!A25,'הפניקס'!A:K,10,0)+VLOOKUP('תפוקה מצטברת מול אשתקד'!A25,'כלל'!A:K,10,0)+VLOOKUP('תפוקה מצטברת מול אשתקד'!A25,'מור'!A:K,10,0)+VLOOKUP('תפוקה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אשתקד'!A25,'אינפניטי'!A:K,10,0)</f>
        <v>36812.958</v>
      </c>
      <c r="O25" s="121">
        <f>VLOOKUP(A25,'הכשרה'!A:K,11,0)+VLOOKUP('תפוקה מצטברת מול אשתקד'!A25,'מגדל'!A:K,11,0)+VLOOKUP('תפוקה מצטברת מול אשתקד'!A25,'מנורה'!A:K,11,0)+VLOOKUP('תפוקה מצטברת מול אשתקד'!A25,'איילון'!A:K,11,0)+VLOOKUP('תפוקה מצטברת מול אשתקד'!A25,'הראל'!A:K,11,0)+VLOOKUP('תפוקה מצטברת מול אשתקד'!A25,'הפניקס'!A:K,11,0)+VLOOKUP('תפוקה מצטברת מול אשתקד'!A25,'כלל'!A:K,11,0)+VLOOKUP('תפוקה מצטברת מול אשתקד'!A25,'מור'!A:K,11,0)+VLOOKUP('תפוקה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אשתקד'!A25,'אינפניטי'!A:K,11,0)</f>
        <v>-2249.41</v>
      </c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ht="15.75" customHeight="1">
      <c r="A26" s="99" t="s">
        <v>83</v>
      </c>
      <c r="B26" s="98" t="s">
        <v>23</v>
      </c>
      <c r="C26" s="125" t="s">
        <v>80</v>
      </c>
      <c r="D26" s="88">
        <f t="shared" ref="D26:F26" si="31">IF(H26=0,0%,IF(L26=0,100%,H26/L26-1))</f>
        <v>0.4396412263</v>
      </c>
      <c r="E26" s="88">
        <f t="shared" si="31"/>
        <v>-0.02265493445</v>
      </c>
      <c r="F26" s="88">
        <f t="shared" si="31"/>
        <v>0.06727438509</v>
      </c>
      <c r="G26" s="88">
        <f t="shared" si="26"/>
        <v>2.16002431</v>
      </c>
      <c r="H26" s="120">
        <f>VLOOKUP(A26,'הכשרה'!A:G,4,0)+VLOOKUP('תפוקה מצטברת מול אשתקד'!A26,'מגדל'!A:G,4,0)+VLOOKUP('תפוקה מצטברת מול אשתקד'!A26,'מנורה'!A:G,4,0)+VLOOKUP('תפוקה מצטברת מול אשתקד'!A26,'איילון'!A:G,4,0)+VLOOKUP('תפוקה מצטברת מול אשתקד'!A26,'הראל'!A:G,4,0)+VLOOKUP('תפוקה מצטברת מול אשתקד'!A26,'הפניקס'!A:G,4,0)+VLOOKUP('תפוקה מצטברת מול אשתקד'!A26,'כלל'!A:G,4,0)+VLOOKUP('תפוקה מצטברת מול אשתקד'!A26,'מור'!A:G,4,0)+VLOOKUP('תפוקה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אשתקד'!A26,'אינפניטי'!A:G,4,0)</f>
        <v>878891.9225</v>
      </c>
      <c r="I26" s="120">
        <f>VLOOKUP(A26,'הכשרה'!A:G,5,0)+VLOOKUP('תפוקה מצטברת מול אשתקד'!A26,'מגדל'!A:G,5,0)+VLOOKUP('תפוקה מצטברת מול אשתקד'!A26,'מנורה'!A:G,5,0)+VLOOKUP('תפוקה מצטברת מול אשתקד'!A26,'איילון'!A:G,5,0)+VLOOKUP('תפוקה מצטברת מול אשתקד'!A26,'הראל'!A:G,5,0)+VLOOKUP('תפוקה מצטברת מול אשתקד'!A26,'הפניקס'!A:G,5,0)+VLOOKUP('תפוקה מצטברת מול אשתקד'!A26,'כלל'!A:G,5,0)+VLOOKUP('תפוקה מצטברת מול אשתקד'!A26,'מור'!A:G,5,0)+VLOOKUP('תפוקה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אשתקד'!A26,'אינפניטי'!A:G,5,0)</f>
        <v>85777.39443</v>
      </c>
      <c r="J26" s="120">
        <f>VLOOKUP(A26,'הכשרה'!A:G,6,0)+VLOOKUP('תפוקה מצטברת מול אשתקד'!A26,'מגדל'!A:G,6,0)+VLOOKUP('תפוקה מצטברת מול אשתקד'!A26,'מנורה'!A:G,6,0)+VLOOKUP('תפוקה מצטברת מול אשתקד'!A26,'איילון'!A:G,6,0)+VLOOKUP(A26,'הראל'!A:G,6,0)+VLOOKUP('תפוקה מצטברת מול אשתקד'!A26,'הפניקס'!A:G,6,0)+VLOOKUP('תפוקה מצטברת מול אשתקד'!A26,'כלל'!A:G,6,0)+VLOOKUP('תפוקה מצטברת מול אשתקד'!A26,'מור'!A:G,6,0)+VLOOKUP('תפוקה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אשתקד'!A26,'אינפניטי'!A:G,6,0)</f>
        <v>611804.1764</v>
      </c>
      <c r="K26" s="120">
        <f>VLOOKUP(A26,'הכשרה'!A:G,7,0)+VLOOKUP('תפוקה מצטברת מול אשתקד'!A26,'מגדל'!A:G,7,0)+VLOOKUP('תפוקה מצטברת מול אשתקד'!A26,'מנורה'!A:G,7,0)+VLOOKUP('תפוקה מצטברת מול אשתקד'!A26,'איילון'!A:G,7,0)+VLOOKUP('תפוקה מצטברת מול אשתקד'!A26,'הראל'!A:G,7,0)+VLOOKUP('תפוקה מצטברת מול אשתקד'!A26,'הפניקס'!A:G,7,0)+VLOOKUP('תפוקה מצטברת מול אשתקד'!A26,'כלל'!A:G,7,0)+VLOOKUP('תפוקה מצטברת מול אשתקד'!A26,'מור'!A:G,7,0)+VLOOKUP('תפוקה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אשתקד'!A26,'אינפניטי'!A:G,7,0)</f>
        <v>1524521.97</v>
      </c>
      <c r="L26" s="121">
        <f>VLOOKUP(A26,'הכשרה'!A:K,8,0)+VLOOKUP('תפוקה מצטברת מול אשתקד'!A26,'מגדל'!A:K,8,0)+VLOOKUP('תפוקה מצטברת מול אשתקד'!A26,'מנורה'!A:K,8,0)+VLOOKUP('תפוקה מצטברת מול אשתקד'!A26,'איילון'!A:K,8,0)+VLOOKUP('תפוקה מצטברת מול אשתקד'!A26,'הראל'!A:K,8,0)+VLOOKUP('תפוקה מצטברת מול אשתקד'!A26,'הפניקס'!A:K,8,0)+VLOOKUP('תפוקה מצטברת מול אשתקד'!A26,'כלל'!A:K,8,0)+VLOOKUP('תפוקה מצטברת מול אשתקד'!A26,'מור'!A:K,8,0)+VLOOKUP('תפוקה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אשתקד'!A26,'אינפניטי'!A:K,8,0)</f>
        <v>610493.7164</v>
      </c>
      <c r="M26" s="121">
        <f>VLOOKUP(A26,'הכשרה'!A:K,9,0)+VLOOKUP('תפוקה מצטברת מול אשתקד'!A26,'מגדל'!A:K,9,0)+VLOOKUP('תפוקה מצטברת מול אשתקד'!A26,'מנורה'!A:K,9,0)+VLOOKUP('תפוקה מצטברת מול אשתקד'!A26,'איילון'!A:K,9,0)+VLOOKUP('תפוקה מצטברת מול אשתקד'!A26,'הראל'!A:K,9,0)+VLOOKUP('תפוקה מצטברת מול אשתקד'!A26,'הפניקס'!A:K,9,0)+VLOOKUP('תפוקה מצטברת מול אשתקד'!A26,'כלל'!A:K,9,0)+VLOOKUP('תפוקה מצטברת מול אשתקד'!A26,'מור'!A:K,9,0)+VLOOKUP('תפוקה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אשתקד'!A26,'אינפניטי'!A:K,9,0)</f>
        <v>87765.72109</v>
      </c>
      <c r="N26" s="121">
        <f>VLOOKUP(A26,'הכשרה'!A:K,10,0)+VLOOKUP('תפוקה מצטברת מול אשתקד'!A26,'מגדל'!A:K,10,0)+VLOOKUP('תפוקה מצטברת מול אשתקד'!A26,'מנורה'!A:K,10,0)+VLOOKUP('תפוקה מצטברת מול אשתקד'!A26,'איילון'!A:K,10,0)+VLOOKUP('תפוקה מצטברת מול אשתקד'!A26,'הראל'!A:K,10,0)+VLOOKUP('תפוקה מצטברת מול אשתקד'!A26,'הפניקס'!A:K,10,0)+VLOOKUP('תפוקה מצטברת מול אשתקד'!A26,'כלל'!A:K,10,0)+VLOOKUP('תפוקה מצטברת מול אשתקד'!A26,'מור'!A:K,10,0)+VLOOKUP('תפוקה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אשתקד'!A26,'אינפניטי'!A:K,10,0)</f>
        <v>573239.82</v>
      </c>
      <c r="O26" s="121">
        <f>VLOOKUP(A26,'הכשרה'!A:K,11,0)+VLOOKUP('תפוקה מצטברת מול אשתקד'!A26,'מגדל'!A:K,11,0)+VLOOKUP('תפוקה מצטברת מול אשתקד'!A26,'מנורה'!A:K,11,0)+VLOOKUP('תפוקה מצטברת מול אשתקד'!A26,'איילון'!A:K,11,0)+VLOOKUP('תפוקה מצטברת מול אשתקד'!A26,'הראל'!A:K,11,0)+VLOOKUP('תפוקה מצטברת מול אשתקד'!A26,'הפניקס'!A:K,11,0)+VLOOKUP('תפוקה מצטברת מול אשתקד'!A26,'כלל'!A:K,11,0)+VLOOKUP('תפוקה מצטברת מול אשתקד'!A26,'מור'!A:K,11,0)+VLOOKUP('תפוקה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אשתקד'!A26,'אינפניטי'!A:K,11,0)</f>
        <v>482439.95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ht="15.75" customHeight="1">
      <c r="A27" s="99" t="s">
        <v>84</v>
      </c>
      <c r="B27" s="98" t="s">
        <v>23</v>
      </c>
      <c r="C27" s="125" t="s">
        <v>80</v>
      </c>
      <c r="D27" s="88">
        <f t="shared" ref="D27:F27" si="32">IF(H27=0,0%,IF(L27=0,100%,H27/L27-1))</f>
        <v>-0.6291819474</v>
      </c>
      <c r="E27" s="88">
        <f t="shared" si="32"/>
        <v>0.2353001179</v>
      </c>
      <c r="F27" s="88">
        <f t="shared" si="32"/>
        <v>5.826432979</v>
      </c>
      <c r="G27" s="88">
        <f t="shared" si="26"/>
        <v>0.2930623826</v>
      </c>
      <c r="H27" s="120">
        <f>VLOOKUP(A27,'הכשרה'!A:G,4,0)+VLOOKUP('תפוקה מצטברת מול אשתקד'!A27,'מגדל'!A:G,4,0)+VLOOKUP('תפוקה מצטברת מול אשתקד'!A27,'מנורה'!A:G,4,0)+VLOOKUP('תפוקה מצטברת מול אשתקד'!A27,'איילון'!A:G,4,0)+VLOOKUP('תפוקה מצטברת מול אשתקד'!A27,'הראל'!A:G,4,0)+VLOOKUP('תפוקה מצטברת מול אשתקד'!A27,'הפניקס'!A:G,4,0)+VLOOKUP('תפוקה מצטברת מול אשתקד'!A27,'כלל'!A:G,4,0)+VLOOKUP('תפוקה מצטברת מול אשתקד'!A27,'מור'!A:G,4,0)+VLOOKUP('תפוקה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אשתקד'!A27,'אינפניטי'!A:G,4,0)</f>
        <v>66178.08575</v>
      </c>
      <c r="I27" s="120">
        <f>VLOOKUP(A27,'הכשרה'!A:G,5,0)+VLOOKUP('תפוקה מצטברת מול אשתקד'!A27,'מגדל'!A:G,5,0)+VLOOKUP('תפוקה מצטברת מול אשתקד'!A27,'מנורה'!A:G,5,0)+VLOOKUP('תפוקה מצטברת מול אשתקד'!A27,'איילון'!A:G,5,0)+VLOOKUP('תפוקה מצטברת מול אשתקד'!A27,'הראל'!A:G,5,0)+VLOOKUP('תפוקה מצטברת מול אשתקד'!A27,'הפניקס'!A:G,5,0)+VLOOKUP('תפוקה מצטברת מול אשתקד'!A27,'כלל'!A:G,5,0)+VLOOKUP('תפוקה מצטברת מול אשתקד'!A27,'מור'!A:G,5,0)+VLOOKUP('תפוקה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אשתקד'!A27,'אינפניטי'!A:G,5,0)</f>
        <v>58360.58182</v>
      </c>
      <c r="J27" s="120">
        <f>VLOOKUP(A27,'הכשרה'!A:G,6,0)+VLOOKUP('תפוקה מצטברת מול אשתקד'!A27,'מגדל'!A:G,6,0)+VLOOKUP('תפוקה מצטברת מול אשתקד'!A27,'מנורה'!A:G,6,0)+VLOOKUP('תפוקה מצטברת מול אשתקד'!A27,'איילון'!A:G,6,0)+VLOOKUP(A27,'הראל'!A:G,6,0)+VLOOKUP('תפוקה מצטברת מול אשתקד'!A27,'הפניקס'!A:G,6,0)+VLOOKUP('תפוקה מצטברת מול אשתקד'!A27,'כלל'!A:G,6,0)+VLOOKUP('תפוקה מצטברת מול אשתקד'!A27,'מור'!A:G,6,0)+VLOOKUP('תפוקה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אשתקד'!A27,'אינפניטי'!A:G,6,0)</f>
        <v>100590.0137</v>
      </c>
      <c r="K27" s="120">
        <f>VLOOKUP(A27,'הכשרה'!A:G,7,0)+VLOOKUP('תפוקה מצטברת מול אשתקד'!A27,'מגדל'!A:G,7,0)+VLOOKUP('תפוקה מצטברת מול אשתקד'!A27,'מנורה'!A:G,7,0)+VLOOKUP('תפוקה מצטברת מול אשתקד'!A27,'איילון'!A:G,7,0)+VLOOKUP('תפוקה מצטברת מול אשתקד'!A27,'הראל'!A:G,7,0)+VLOOKUP('תפוקה מצטברת מול אשתקד'!A27,'הפניקס'!A:G,7,0)+VLOOKUP('תפוקה מצטברת מול אשתקד'!A27,'כלל'!A:G,7,0)+VLOOKUP('תפוקה מצטברת מול אשתקד'!A27,'מור'!A:G,7,0)+VLOOKUP('תפוקה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אשתקד'!A27,'אינפניטי'!A:G,7,0)</f>
        <v>190903.65</v>
      </c>
      <c r="L27" s="121">
        <f>VLOOKUP(A27,'הכשרה'!A:K,8,0)+VLOOKUP('תפוקה מצטברת מול אשתקד'!A27,'מגדל'!A:K,8,0)+VLOOKUP('תפוקה מצטברת מול אשתקד'!A27,'מנורה'!A:K,8,0)+VLOOKUP('תפוקה מצטברת מול אשתקד'!A27,'איילון'!A:K,8,0)+VLOOKUP('תפוקה מצטברת מול אשתקד'!A27,'הראל'!A:K,8,0)+VLOOKUP('תפוקה מצטברת מול אשתקד'!A27,'הפניקס'!A:K,8,0)+VLOOKUP('תפוקה מצטברת מול אשתקד'!A27,'כלל'!A:K,8,0)+VLOOKUP('תפוקה מצטברת מול אשתקד'!A27,'מור'!A:K,8,0)+VLOOKUP('תפוקה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אשתקד'!A27,'אינפניטי'!A:K,8,0)</f>
        <v>178465.1133</v>
      </c>
      <c r="M27" s="121">
        <f>VLOOKUP(A27,'הכשרה'!A:K,9,0)+VLOOKUP('תפוקה מצטברת מול אשתקד'!A27,'מגדל'!A:K,9,0)+VLOOKUP('תפוקה מצטברת מול אשתקד'!A27,'מנורה'!A:K,9,0)+VLOOKUP('תפוקה מצטברת מול אשתקד'!A27,'איילון'!A:K,9,0)+VLOOKUP('תפוקה מצטברת מול אשתקד'!A27,'הראל'!A:K,9,0)+VLOOKUP('תפוקה מצטברת מול אשתקד'!A27,'הפניקס'!A:K,9,0)+VLOOKUP('תפוקה מצטברת מול אשתקד'!A27,'כלל'!A:K,9,0)+VLOOKUP('תפוקה מצטברת מול אשתקד'!A27,'מור'!A:K,9,0)+VLOOKUP('תפוקה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אשתקד'!A27,'אינפניטי'!A:K,9,0)</f>
        <v>47244.05104</v>
      </c>
      <c r="N27" s="121">
        <f>VLOOKUP(A27,'הכשרה'!A:K,10,0)+VLOOKUP('תפוקה מצטברת מול אשתקד'!A27,'מגדל'!A:K,10,0)+VLOOKUP('תפוקה מצטברת מול אשתקד'!A27,'מנורה'!A:K,10,0)+VLOOKUP('תפוקה מצטברת מול אשתקד'!A27,'איילון'!A:K,10,0)+VLOOKUP('תפוקה מצטברת מול אשתקד'!A27,'הראל'!A:K,10,0)+VLOOKUP('תפוקה מצטברת מול אשתקד'!A27,'הפניקס'!A:K,10,0)+VLOOKUP('תפוקה מצטברת מול אשתקד'!A27,'כלל'!A:K,10,0)+VLOOKUP('תפוקה מצטברת מול אשתקד'!A27,'מור'!A:K,10,0)+VLOOKUP('תפוקה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אשתקד'!A27,'אינפניטי'!A:K,10,0)</f>
        <v>14735.3697</v>
      </c>
      <c r="O27" s="121">
        <f>VLOOKUP(A27,'הכשרה'!A:K,11,0)+VLOOKUP('תפוקה מצטברת מול אשתקד'!A27,'מגדל'!A:K,11,0)+VLOOKUP('תפוקה מצטברת מול אשתקד'!A27,'מנורה'!A:K,11,0)+VLOOKUP('תפוקה מצטברת מול אשתקד'!A27,'איילון'!A:K,11,0)+VLOOKUP('תפוקה מצטברת מול אשתקד'!A27,'הראל'!A:K,11,0)+VLOOKUP('תפוקה מצטברת מול אשתקד'!A27,'הפניקס'!A:K,11,0)+VLOOKUP('תפוקה מצטברת מול אשתקד'!A27,'כלל'!A:K,11,0)+VLOOKUP('תפוקה מצטברת מול אשתקד'!A27,'מור'!A:K,11,0)+VLOOKUP('תפוקה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אשתקד'!A27,'אינפניטי'!A:K,11,0)</f>
        <v>147636.8446</v>
      </c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ht="15.75" customHeight="1">
      <c r="A28" s="99" t="s">
        <v>85</v>
      </c>
      <c r="B28" s="98" t="s">
        <v>23</v>
      </c>
      <c r="C28" s="125" t="s">
        <v>80</v>
      </c>
      <c r="D28" s="88">
        <f t="shared" ref="D28:F28" si="33">IF(H28=0,0%,IF(L28=0,100%,H28/L28-1))</f>
        <v>-0.7548853706</v>
      </c>
      <c r="E28" s="88">
        <f t="shared" si="33"/>
        <v>0.2876535065</v>
      </c>
      <c r="F28" s="88">
        <f t="shared" si="33"/>
        <v>0.474019917</v>
      </c>
      <c r="G28" s="88">
        <f t="shared" si="26"/>
        <v>-0.7768003251</v>
      </c>
      <c r="H28" s="120">
        <f>VLOOKUP(A28,'הכשרה'!A:G,4,0)+VLOOKUP('תפוקה מצטברת מול אשתקד'!A28,'מגדל'!A:G,4,0)+VLOOKUP('תפוקה מצטברת מול אשתקד'!A28,'מנורה'!A:G,4,0)+VLOOKUP('תפוקה מצטברת מול אשתקד'!A28,'איילון'!A:G,4,0)+VLOOKUP('תפוקה מצטברת מול אשתקד'!A28,'הראל'!A:G,4,0)+VLOOKUP('תפוקה מצטברת מול אשתקד'!A28,'הפניקס'!A:G,4,0)+VLOOKUP('תפוקה מצטברת מול אשתקד'!A28,'כלל'!A:G,4,0)+VLOOKUP('תפוקה מצטברת מול אשתקד'!A28,'מור'!A:G,4,0)+VLOOKUP('תפוקה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אשתקד'!A28,'אינפניטי'!A:G,4,0)</f>
        <v>26923.31</v>
      </c>
      <c r="I28" s="120">
        <f>VLOOKUP(A28,'הכשרה'!A:G,5,0)+VLOOKUP('תפוקה מצטברת מול אשתקד'!A28,'מגדל'!A:G,5,0)+VLOOKUP('תפוקה מצטברת מול אשתקד'!A28,'מנורה'!A:G,5,0)+VLOOKUP('תפוקה מצטברת מול אשתקד'!A28,'איילון'!A:G,5,0)+VLOOKUP('תפוקה מצטברת מול אשתקד'!A28,'הראל'!A:G,5,0)+VLOOKUP('תפוקה מצטברת מול אשתקד'!A28,'הפניקס'!A:G,5,0)+VLOOKUP('תפוקה מצטברת מול אשתקד'!A28,'כלל'!A:G,5,0)+VLOOKUP('תפוקה מצטברת מול אשתקד'!A28,'מור'!A:G,5,0)+VLOOKUP('תפוקה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אשתקד'!A28,'אינפניטי'!A:G,5,0)</f>
        <v>52483.18234</v>
      </c>
      <c r="J28" s="120">
        <f>VLOOKUP(A28,'הכשרה'!A:G,6,0)+VLOOKUP('תפוקה מצטברת מול אשתקד'!A28,'מגדל'!A:G,6,0)+VLOOKUP('תפוקה מצטברת מול אשתקד'!A28,'מנורה'!A:G,6,0)+VLOOKUP('תפוקה מצטברת מול אשתקד'!A28,'איילון'!A:G,6,0)+VLOOKUP(A28,'הראל'!A:G,6,0)+VLOOKUP('תפוקה מצטברת מול אשתקד'!A28,'הפניקס'!A:G,6,0)+VLOOKUP('תפוקה מצטברת מול אשתקד'!A28,'כלל'!A:G,6,0)+VLOOKUP('תפוקה מצטברת מול אשתקד'!A28,'מור'!A:G,6,0)+VLOOKUP('תפוקה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אשתקד'!A28,'אינפניטי'!A:G,6,0)</f>
        <v>174156.92</v>
      </c>
      <c r="K28" s="120">
        <f>VLOOKUP(A28,'הכשרה'!A:G,7,0)+VLOOKUP('תפוקה מצטברת מול אשתקד'!A28,'מגדל'!A:G,7,0)+VLOOKUP('תפוקה מצטברת מול אשתקד'!A28,'מנורה'!A:G,7,0)+VLOOKUP('תפוקה מצטברת מול אשתקד'!A28,'איילון'!A:G,7,0)+VLOOKUP('תפוקה מצטברת מול אשתקד'!A28,'הראל'!A:G,7,0)+VLOOKUP('תפוקה מצטברת מול אשתקד'!A28,'הפניקס'!A:G,7,0)+VLOOKUP('תפוקה מצטברת מול אשתקד'!A28,'כלל'!A:G,7,0)+VLOOKUP('תפוקה מצטברת מול אשתקד'!A28,'מור'!A:G,7,0)+VLOOKUP('תפוקה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אשתקד'!A28,'אינפניטי'!A:G,7,0)</f>
        <v>58928.33</v>
      </c>
      <c r="L28" s="121">
        <f>VLOOKUP(A28,'הכשרה'!A:K,8,0)+VLOOKUP('תפוקה מצטברת מול אשתקד'!A28,'מגדל'!A:K,8,0)+VLOOKUP('תפוקה מצטברת מול אשתקד'!A28,'מנורה'!A:K,8,0)+VLOOKUP('תפוקה מצטברת מול אשתקד'!A28,'איילון'!A:K,8,0)+VLOOKUP('תפוקה מצטברת מול אשתקד'!A28,'הראל'!A:K,8,0)+VLOOKUP('תפוקה מצטברת מול אשתקד'!A28,'הפניקס'!A:K,8,0)+VLOOKUP('תפוקה מצטברת מול אשתקד'!A28,'כלל'!A:K,8,0)+VLOOKUP('תפוקה מצטברת מול אשתקד'!A28,'מור'!A:K,8,0)+VLOOKUP('תפוקה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אשתקד'!A28,'אינפניטי'!A:K,8,0)</f>
        <v>109839.67</v>
      </c>
      <c r="M28" s="121">
        <f>VLOOKUP(A28,'הכשרה'!A:K,9,0)+VLOOKUP('תפוקה מצטברת מול אשתקד'!A28,'מגדל'!A:K,9,0)+VLOOKUP('תפוקה מצטברת מול אשתקד'!A28,'מנורה'!A:K,9,0)+VLOOKUP('תפוקה מצטברת מול אשתקד'!A28,'איילון'!A:K,9,0)+VLOOKUP('תפוקה מצטברת מול אשתקד'!A28,'הראל'!A:K,9,0)+VLOOKUP('תפוקה מצטברת מול אשתקד'!A28,'הפניקס'!A:K,9,0)+VLOOKUP('תפוקה מצטברת מול אשתקד'!A28,'כלל'!A:K,9,0)+VLOOKUP('תפוקה מצטברת מול אשתקד'!A28,'מור'!A:K,9,0)+VLOOKUP('תפוקה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אשתקד'!A28,'אינפניטי'!A:K,9,0)</f>
        <v>40758.77717</v>
      </c>
      <c r="N28" s="121">
        <f>VLOOKUP(A28,'הכשרה'!A:K,10,0)+VLOOKUP('תפוקה מצטברת מול אשתקד'!A28,'מגדל'!A:K,10,0)+VLOOKUP('תפוקה מצטברת מול אשתקד'!A28,'מנורה'!A:K,10,0)+VLOOKUP('תפוקה מצטברת מול אשתקד'!A28,'איילון'!A:K,10,0)+VLOOKUP('תפוקה מצטברת מול אשתקד'!A28,'הראל'!A:K,10,0)+VLOOKUP('תפוקה מצטברת מול אשתקד'!A28,'הפניקס'!A:K,10,0)+VLOOKUP('תפוקה מצטברת מול אשתקד'!A28,'כלל'!A:K,10,0)+VLOOKUP('תפוקה מצטברת מול אשתקד'!A28,'מור'!A:K,10,0)+VLOOKUP('תפוקה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אשתקד'!A28,'אינפניטי'!A:K,10,0)</f>
        <v>118150.9951</v>
      </c>
      <c r="O28" s="121">
        <f>VLOOKUP(A28,'הכשרה'!A:K,11,0)+VLOOKUP('תפוקה מצטברת מול אשתקד'!A28,'מגדל'!A:K,11,0)+VLOOKUP('תפוקה מצטברת מול אשתקד'!A28,'מנורה'!A:K,11,0)+VLOOKUP('תפוקה מצטברת מול אשתקד'!A28,'איילון'!A:K,11,0)+VLOOKUP('תפוקה מצטברת מול אשתקד'!A28,'הראל'!A:K,11,0)+VLOOKUP('תפוקה מצטברת מול אשתקד'!A28,'הפניקס'!A:K,11,0)+VLOOKUP('תפוקה מצטברת מול אשתקד'!A28,'כלל'!A:K,11,0)+VLOOKUP('תפוקה מצטברת מול אשתקד'!A28,'מור'!A:K,11,0)+VLOOKUP('תפוקה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אשתקד'!A28,'אינפניטי'!A:K,11,0)</f>
        <v>264016.2</v>
      </c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ht="15.75" customHeight="1">
      <c r="A29" s="98" t="s">
        <v>86</v>
      </c>
      <c r="B29" s="98" t="s">
        <v>23</v>
      </c>
      <c r="C29" s="125" t="s">
        <v>80</v>
      </c>
      <c r="D29" s="88">
        <f t="shared" ref="D29:F29" si="34">IF(H29=0,0%,IF(L29=0,100%,H29/L29-1))</f>
        <v>-0.5845555995</v>
      </c>
      <c r="E29" s="88">
        <f t="shared" si="34"/>
        <v>-0.2371030688</v>
      </c>
      <c r="F29" s="88">
        <f t="shared" si="34"/>
        <v>0.2942515543</v>
      </c>
      <c r="G29" s="88">
        <f t="shared" si="26"/>
        <v>-0.7140710317</v>
      </c>
      <c r="H29" s="120">
        <f>VLOOKUP(A29,'הכשרה'!A:G,4,0)+VLOOKUP('תפוקה מצטברת מול אשתקד'!A29,'מגדל'!A:G,4,0)+VLOOKUP('תפוקה מצטברת מול אשתקד'!A29,'מנורה'!A:G,4,0)+VLOOKUP('תפוקה מצטברת מול אשתקד'!A29,'איילון'!A:G,4,0)+VLOOKUP('תפוקה מצטברת מול אשתקד'!A29,'הראל'!A:G,4,0)+VLOOKUP('תפוקה מצטברת מול אשתקד'!A29,'הפניקס'!A:G,4,0)+VLOOKUP('תפוקה מצטברת מול אשתקד'!A29,'כלל'!A:G,4,0)+VLOOKUP('תפוקה מצטברת מול אשתקד'!A29,'מור'!A:G,4,0)+VLOOKUP('תפוקה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אשתקד'!A29,'אינפניטי'!A:G,4,0)</f>
        <v>444458.6995</v>
      </c>
      <c r="I29" s="120">
        <f>VLOOKUP(A29,'הכשרה'!A:G,5,0)+VLOOKUP('תפוקה מצטברת מול אשתקד'!A29,'מגדל'!A:G,5,0)+VLOOKUP('תפוקה מצטברת מול אשתקד'!A29,'מנורה'!A:G,5,0)+VLOOKUP('תפוקה מצטברת מול אשתקד'!A29,'איילון'!A:G,5,0)+VLOOKUP('תפוקה מצטברת מול אשתקד'!A29,'הראל'!A:G,5,0)+VLOOKUP('תפוקה מצטברת מול אשתקד'!A29,'הפניקס'!A:G,5,0)+VLOOKUP('תפוקה מצטברת מול אשתקד'!A29,'כלל'!A:G,5,0)+VLOOKUP('תפוקה מצטברת מול אשתקד'!A29,'מור'!A:G,5,0)+VLOOKUP('תפוקה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אשתקד'!A29,'אינפניטי'!A:G,5,0)</f>
        <v>61714.45</v>
      </c>
      <c r="J29" s="120">
        <f>VLOOKUP(A29,'הכשרה'!A:G,6,0)+VLOOKUP('תפוקה מצטברת מול אשתקד'!A29,'מגדל'!A:G,6,0)+VLOOKUP('תפוקה מצטברת מול אשתקד'!A29,'מנורה'!A:G,6,0)+VLOOKUP('תפוקה מצטברת מול אשתקד'!A29,'איילון'!A:G,6,0)+VLOOKUP(A29,'הראל'!A:G,6,0)+VLOOKUP('תפוקה מצטברת מול אשתקד'!A29,'הפניקס'!A:G,6,0)+VLOOKUP('תפוקה מצטברת מול אשתקד'!A29,'כלל'!A:G,6,0)+VLOOKUP('תפוקה מצטברת מול אשתקד'!A29,'מור'!A:G,6,0)+VLOOKUP('תפוקה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אשתקד'!A29,'אינפניטי'!A:G,6,0)</f>
        <v>803958.56</v>
      </c>
      <c r="K29" s="120">
        <f>VLOOKUP(A29,'הכשרה'!A:G,7,0)+VLOOKUP('תפוקה מצטברת מול אשתקד'!A29,'מגדל'!A:G,7,0)+VLOOKUP('תפוקה מצטברת מול אשתקד'!A29,'מנורה'!A:G,7,0)+VLOOKUP('תפוקה מצטברת מול אשתקד'!A29,'איילון'!A:G,7,0)+VLOOKUP('תפוקה מצטברת מול אשתקד'!A29,'הראל'!A:G,7,0)+VLOOKUP('תפוקה מצטברת מול אשתקד'!A29,'הפניקס'!A:G,7,0)+VLOOKUP('תפוקה מצטברת מול אשתקד'!A29,'כלל'!A:G,7,0)+VLOOKUP('תפוקה מצטברת מול אשתקד'!A29,'מור'!A:G,7,0)+VLOOKUP('תפוקה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אשתקד'!A29,'אינפניטי'!A:G,7,0)</f>
        <v>1080443.93</v>
      </c>
      <c r="L29" s="121">
        <f>VLOOKUP(A29,'הכשרה'!A:K,8,0)+VLOOKUP('תפוקה מצטברת מול אשתקד'!A29,'מגדל'!A:K,8,0)+VLOOKUP('תפוקה מצטברת מול אשתקד'!A29,'מנורה'!A:K,8,0)+VLOOKUP('תפוקה מצטברת מול אשתקד'!A29,'איילון'!A:K,8,0)+VLOOKUP('תפוקה מצטברת מול אשתקד'!A29,'הראל'!A:K,8,0)+VLOOKUP('תפוקה מצטברת מול אשתקד'!A29,'הפניקס'!A:K,8,0)+VLOOKUP('תפוקה מצטברת מול אשתקד'!A29,'כלל'!A:K,8,0)+VLOOKUP('תפוקה מצטברת מול אשתקד'!A29,'מור'!A:K,8,0)+VLOOKUP('תפוקה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אשתקד'!A29,'אינפניטי'!A:K,8,0)</f>
        <v>1069839.187</v>
      </c>
      <c r="M29" s="121">
        <f>VLOOKUP(A29,'הכשרה'!A:K,9,0)+VLOOKUP('תפוקה מצטברת מול אשתקד'!A29,'מגדל'!A:K,9,0)+VLOOKUP('תפוקה מצטברת מול אשתקד'!A29,'מנורה'!A:K,9,0)+VLOOKUP('תפוקה מצטברת מול אשתקד'!A29,'איילון'!A:K,9,0)+VLOOKUP('תפוקה מצטברת מול אשתקד'!A29,'הראל'!A:K,9,0)+VLOOKUP('תפוקה מצטברת מול אשתקד'!A29,'הפניקס'!A:K,9,0)+VLOOKUP('תפוקה מצטברת מול אשתקד'!A29,'כלל'!A:K,9,0)+VLOOKUP('תפוקה מצטברת מול אשתקד'!A29,'מור'!A:K,9,0)+VLOOKUP('תפוקה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אשתקד'!A29,'אינפניטי'!A:K,9,0)</f>
        <v>80894.87253</v>
      </c>
      <c r="N29" s="121">
        <f>VLOOKUP(A29,'הכשרה'!A:K,10,0)+VLOOKUP('תפוקה מצטברת מול אשתקד'!A29,'מגדל'!A:K,10,0)+VLOOKUP('תפוקה מצטברת מול אשתקד'!A29,'מנורה'!A:K,10,0)+VLOOKUP('תפוקה מצטברת מול אשתקד'!A29,'איילון'!A:K,10,0)+VLOOKUP('תפוקה מצטברת מול אשתקד'!A29,'הראל'!A:K,10,0)+VLOOKUP('תפוקה מצטברת מול אשתקד'!A29,'הפניקס'!A:K,10,0)+VLOOKUP('תפוקה מצטברת מול אשתקד'!A29,'כלל'!A:K,10,0)+VLOOKUP('תפוקה מצטברת מול אשתקד'!A29,'מור'!A:K,10,0)+VLOOKUP('תפוקה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אשתקד'!A29,'אינפניטי'!A:K,10,0)</f>
        <v>621176.43</v>
      </c>
      <c r="O29" s="121">
        <f>VLOOKUP(A29,'הכשרה'!A:K,11,0)+VLOOKUP('תפוקה מצטברת מול אשתקד'!A29,'מגדל'!A:K,11,0)+VLOOKUP('תפוקה מצטברת מול אשתקד'!A29,'מנורה'!A:K,11,0)+VLOOKUP('תפוקה מצטברת מול אשתקד'!A29,'איילון'!A:K,11,0)+VLOOKUP('תפוקה מצטברת מול אשתקד'!A29,'הראל'!A:K,11,0)+VLOOKUP('תפוקה מצטברת מול אשתקד'!A29,'הפניקס'!A:K,11,0)+VLOOKUP('תפוקה מצטברת מול אשתקד'!A29,'כלל'!A:K,11,0)+VLOOKUP('תפוקה מצטברת מול אשתקד'!A29,'מור'!A:K,11,0)+VLOOKUP('תפוקה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אשתקד'!A29,'אינפניטי'!A:K,11,0)</f>
        <v>3778714.47</v>
      </c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ht="15.75" customHeight="1">
      <c r="A30" s="98" t="s">
        <v>87</v>
      </c>
      <c r="B30" s="98" t="s">
        <v>23</v>
      </c>
      <c r="C30" s="125" t="s">
        <v>80</v>
      </c>
      <c r="D30" s="88">
        <f t="shared" ref="D30:F30" si="35">IF(H30=0,0%,IF(L30=0,100%,H30/L30-1))</f>
        <v>-0.0002126980406</v>
      </c>
      <c r="E30" s="88">
        <f t="shared" si="35"/>
        <v>0.0569101402</v>
      </c>
      <c r="F30" s="88">
        <f t="shared" si="35"/>
        <v>0.05945190775</v>
      </c>
      <c r="G30" s="88">
        <f t="shared" si="26"/>
        <v>-0.5871965477</v>
      </c>
      <c r="H30" s="120">
        <f>VLOOKUP(A30,'הכשרה'!A:G,4,0)+VLOOKUP('תפוקה מצטברת מול אשתקד'!A30,'מגדל'!A:G,4,0)+VLOOKUP('תפוקה מצטברת מול אשתקד'!A30,'מנורה'!A:G,4,0)+VLOOKUP('תפוקה מצטברת מול אשתקד'!A30,'איילון'!A:G,4,0)+VLOOKUP('תפוקה מצטברת מול אשתקד'!A30,'הראל'!A:G,4,0)+VLOOKUP('תפוקה מצטברת מול אשתקד'!A30,'הפניקס'!A:G,4,0)+VLOOKUP('תפוקה מצטברת מול אשתקד'!A30,'כלל'!A:G,4,0)+VLOOKUP('תפוקה מצטברת מול אשתקד'!A30,'מור'!A:G,4,0)+VLOOKUP('תפוקה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אשתקד'!A30,'אינפניטי'!A:G,4,0)</f>
        <v>782400.07</v>
      </c>
      <c r="I30" s="120">
        <f>VLOOKUP(A30,'הכשרה'!A:G,5,0)+VLOOKUP('תפוקה מצטברת מול אשתקד'!A30,'מגדל'!A:G,5,0)+VLOOKUP('תפוקה מצטברת מול אשתקד'!A30,'מנורה'!A:G,5,0)+VLOOKUP('תפוקה מצטברת מול אשתקד'!A30,'איילון'!A:G,5,0)+VLOOKUP('תפוקה מצטברת מול אשתקד'!A30,'הראל'!A:G,5,0)+VLOOKUP('תפוקה מצטברת מול אשתקד'!A30,'הפניקס'!A:G,5,0)+VLOOKUP('תפוקה מצטברת מול אשתקד'!A30,'כלל'!A:G,5,0)+VLOOKUP('תפוקה מצטברת מול אשתקד'!A30,'מור'!A:G,5,0)+VLOOKUP('תפוקה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אשתקד'!A30,'אינפניטי'!A:G,5,0)</f>
        <v>88150.44257</v>
      </c>
      <c r="J30" s="120">
        <f>VLOOKUP(A30,'הכשרה'!A:G,6,0)+VLOOKUP('תפוקה מצטברת מול אשתקד'!A30,'מגדל'!A:G,6,0)+VLOOKUP('תפוקה מצטברת מול אשתקד'!A30,'מנורה'!A:G,6,0)+VLOOKUP('תפוקה מצטברת מול אשתקד'!A30,'איילון'!A:G,6,0)+VLOOKUP(A30,'הראל'!A:G,6,0)+VLOOKUP('תפוקה מצטברת מול אשתקד'!A30,'הפניקס'!A:G,6,0)+VLOOKUP('תפוקה מצטברת מול אשתקד'!A30,'כלל'!A:G,6,0)+VLOOKUP('תפוקה מצטברת מול אשתקד'!A30,'מור'!A:G,6,0)+VLOOKUP('תפוקה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אשתקד'!A30,'אינפניטי'!A:G,6,0)</f>
        <v>2303815.03</v>
      </c>
      <c r="K30" s="120">
        <f>VLOOKUP(A30,'הכשרה'!A:G,7,0)+VLOOKUP('תפוקה מצטברת מול אשתקד'!A30,'מגדל'!A:G,7,0)+VLOOKUP('תפוקה מצטברת מול אשתקד'!A30,'מנורה'!A:G,7,0)+VLOOKUP('תפוקה מצטברת מול אשתקד'!A30,'איילון'!A:G,7,0)+VLOOKUP('תפוקה מצטברת מול אשתקד'!A30,'הראל'!A:G,7,0)+VLOOKUP('תפוקה מצטברת מול אשתקד'!A30,'הפניקס'!A:G,7,0)+VLOOKUP('תפוקה מצטברת מול אשתקד'!A30,'כלל'!A:G,7,0)+VLOOKUP('תפוקה מצטברת מול אשתקד'!A30,'מור'!A:G,7,0)+VLOOKUP('תפוקה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אשתקד'!A30,'אינפניטי'!A:G,7,0)</f>
        <v>1580825.84</v>
      </c>
      <c r="L30" s="121">
        <f>VLOOKUP(A30,'הכשרה'!A:K,8,0)+VLOOKUP('תפוקה מצטברת מול אשתקד'!A30,'מגדל'!A:K,8,0)+VLOOKUP('תפוקה מצטברת מול אשתקד'!A30,'מנורה'!A:K,8,0)+VLOOKUP('תפוקה מצטברת מול אשתקד'!A30,'איילון'!A:K,8,0)+VLOOKUP('תפוקה מצטברת מול אשתקד'!A30,'הראל'!A:K,8,0)+VLOOKUP('תפוקה מצטברת מול אשתקד'!A30,'הפניקס'!A:K,8,0)+VLOOKUP('תפוקה מצטברת מול אשתקד'!A30,'כלל'!A:K,8,0)+VLOOKUP('תפוקה מצטברת מול אשתקד'!A30,'מור'!A:K,8,0)+VLOOKUP('תפוקה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אשתקד'!A30,'אינפניטי'!A:K,8,0)</f>
        <v>782566.5204</v>
      </c>
      <c r="M30" s="121">
        <f>VLOOKUP(A30,'הכשרה'!A:K,9,0)+VLOOKUP('תפוקה מצטברת מול אשתקד'!A30,'מגדל'!A:K,9,0)+VLOOKUP('תפוקה מצטברת מול אשתקד'!A30,'מנורה'!A:K,9,0)+VLOOKUP('תפוקה מצטברת מול אשתקד'!A30,'איילון'!A:K,9,0)+VLOOKUP('תפוקה מצטברת מול אשתקד'!A30,'הראל'!A:K,9,0)+VLOOKUP('תפוקה מצטברת מול אשתקד'!A30,'הפניקס'!A:K,9,0)+VLOOKUP('תפוקה מצטברת מול אשתקד'!A30,'כלל'!A:K,9,0)+VLOOKUP('תפוקה מצטברת מול אשתקד'!A30,'מור'!A:K,9,0)+VLOOKUP('תפוקה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אשתקד'!A30,'אינפניטי'!A:K,9,0)</f>
        <v>83403.91413</v>
      </c>
      <c r="N30" s="121">
        <f>VLOOKUP(A30,'הכשרה'!A:K,10,0)+VLOOKUP('תפוקה מצטברת מול אשתקד'!A30,'מגדל'!A:K,10,0)+VLOOKUP('תפוקה מצטברת מול אשתקד'!A30,'מנורה'!A:K,10,0)+VLOOKUP('תפוקה מצטברת מול אשתקד'!A30,'איילון'!A:K,10,0)+VLOOKUP('תפוקה מצטברת מול אשתקד'!A30,'הראל'!A:K,10,0)+VLOOKUP('תפוקה מצטברת מול אשתקד'!A30,'הפניקס'!A:K,10,0)+VLOOKUP('תפוקה מצטברת מול אשתקד'!A30,'כלל'!A:K,10,0)+VLOOKUP('תפוקה מצטברת מול אשתקד'!A30,'מור'!A:K,10,0)+VLOOKUP('תפוקה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אשתקד'!A30,'אינפניטי'!A:K,10,0)</f>
        <v>2174534.788</v>
      </c>
      <c r="O30" s="121">
        <f>VLOOKUP(A30,'הכשרה'!A:K,11,0)+VLOOKUP('תפוקה מצטברת מול אשתקד'!A30,'מגדל'!A:K,11,0)+VLOOKUP('תפוקה מצטברת מול אשתקד'!A30,'מנורה'!A:K,11,0)+VLOOKUP('תפוקה מצטברת מול אשתקד'!A30,'איילון'!A:K,11,0)+VLOOKUP('תפוקה מצטברת מול אשתקד'!A30,'הראל'!A:K,11,0)+VLOOKUP('תפוקה מצטברת מול אשתקד'!A30,'הפניקס'!A:K,11,0)+VLOOKUP('תפוקה מצטברת מול אשתקד'!A30,'כלל'!A:K,11,0)+VLOOKUP('תפוקה מצטברת מול אשתקד'!A30,'מור'!A:K,11,0)+VLOOKUP('תפוקה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אשתקד'!A30,'אינפניטי'!A:K,11,0)</f>
        <v>3829487.935</v>
      </c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ht="15.75" customHeight="1">
      <c r="A31" s="98" t="s">
        <v>88</v>
      </c>
      <c r="B31" s="98" t="s">
        <v>23</v>
      </c>
      <c r="C31" s="125" t="s">
        <v>80</v>
      </c>
      <c r="D31" s="88">
        <f t="shared" ref="D31:F31" si="36">IF(H31=0,0%,IF(L31=0,100%,H31/L31-1))</f>
        <v>0</v>
      </c>
      <c r="E31" s="88">
        <f t="shared" si="36"/>
        <v>-0.9944245877</v>
      </c>
      <c r="F31" s="88">
        <f t="shared" si="36"/>
        <v>0</v>
      </c>
      <c r="G31" s="88">
        <f t="shared" ref="G31:G38" si="38">IF(K31=0,0%,IF(O31=H55,100%,K31/O31-1))</f>
        <v>0</v>
      </c>
      <c r="H31" s="120">
        <f>VLOOKUP(A31,'הכשרה'!A:G,4,0)+VLOOKUP('תפוקה מצטברת מול אשתקד'!A31,'מגדל'!A:G,4,0)+VLOOKUP('תפוקה מצטברת מול אשתקד'!A31,'מנורה'!A:G,4,0)+VLOOKUP('תפוקה מצטברת מול אשתקד'!A31,'איילון'!A:G,4,0)+VLOOKUP('תפוקה מצטברת מול אשתקד'!A31,'הראל'!A:G,4,0)+VLOOKUP('תפוקה מצטברת מול אשתקד'!A31,'הפניקס'!A:G,4,0)+VLOOKUP('תפוקה מצטברת מול אשתקד'!A31,'כלל'!A:G,4,0)+VLOOKUP('תפוקה מצטברת מול אשתקד'!A31,'מור'!A:G,4,0)+VLOOKUP('תפוקה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אשתקד'!A31,'אינפניטי'!A:G,4,0)</f>
        <v>0</v>
      </c>
      <c r="I31" s="120">
        <f>VLOOKUP(A31,'הכשרה'!A:G,5,0)+VLOOKUP('תפוקה מצטברת מול אשתקד'!A31,'מגדל'!A:G,5,0)+VLOOKUP('תפוקה מצטברת מול אשתקד'!A31,'מנורה'!A:G,5,0)+VLOOKUP('תפוקה מצטברת מול אשתקד'!A31,'איילון'!A:G,5,0)+VLOOKUP('תפוקה מצטברת מול אשתקד'!A31,'הראל'!A:G,5,0)+VLOOKUP('תפוקה מצטברת מול אשתקד'!A31,'הפניקס'!A:G,5,0)+VLOOKUP('תפוקה מצטברת מול אשתקד'!A31,'כלל'!A:G,5,0)+VLOOKUP('תפוקה מצטברת מול אשתקד'!A31,'מור'!A:G,5,0)+VLOOKUP('תפוקה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אשתקד'!A31,'אינפניטי'!A:G,5,0)</f>
        <v>9.74</v>
      </c>
      <c r="J31" s="120">
        <f>VLOOKUP(A31,'הכשרה'!A:G,6,0)+VLOOKUP('תפוקה מצטברת מול אשתקד'!A31,'מגדל'!A:G,6,0)+VLOOKUP('תפוקה מצטברת מול אשתקד'!A31,'מנורה'!A:G,6,0)+VLOOKUP('תפוקה מצטברת מול אשתקד'!A31,'איילון'!A:G,6,0)+VLOOKUP(A31,'הראל'!A:G,6,0)+VLOOKUP('תפוקה מצטברת מול אשתקד'!A31,'הפניקס'!A:G,6,0)+VLOOKUP('תפוקה מצטברת מול אשתקד'!A31,'כלל'!A:G,6,0)+VLOOKUP('תפוקה מצטברת מול אשתקד'!A31,'מור'!A:G,6,0)+VLOOKUP('תפוקה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אשתקד'!A31,'אינפניטי'!A:G,6,0)</f>
        <v>0</v>
      </c>
      <c r="K31" s="120">
        <f>VLOOKUP(A31,'הכשרה'!A:G,7,0)+VLOOKUP('תפוקה מצטברת מול אשתקד'!A31,'מגדל'!A:G,7,0)+VLOOKUP('תפוקה מצטברת מול אשתקד'!A31,'מנורה'!A:G,7,0)+VLOOKUP('תפוקה מצטברת מול אשתקד'!A31,'איילון'!A:G,7,0)+VLOOKUP('תפוקה מצטברת מול אשתקד'!A31,'הראל'!A:G,7,0)+VLOOKUP('תפוקה מצטברת מול אשתקד'!A31,'הפניקס'!A:G,7,0)+VLOOKUP('תפוקה מצטברת מול אשתקד'!A31,'כלל'!A:G,7,0)+VLOOKUP('תפוקה מצטברת מול אשתקד'!A31,'מור'!A:G,7,0)+VLOOKUP('תפוקה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אשתקד'!A31,'אינפניטי'!A:G,7,0)</f>
        <v>0</v>
      </c>
      <c r="L31" s="121">
        <f>VLOOKUP(A31,'הכשרה'!A:K,8,0)+VLOOKUP('תפוקה מצטברת מול אשתקד'!A31,'מגדל'!A:K,8,0)+VLOOKUP('תפוקה מצטברת מול אשתקד'!A31,'מנורה'!A:K,8,0)+VLOOKUP('תפוקה מצטברת מול אשתקד'!A31,'איילון'!A:K,8,0)+VLOOKUP('תפוקה מצטברת מול אשתקד'!A31,'הראל'!A:K,8,0)+VLOOKUP('תפוקה מצטברת מול אשתקד'!A31,'הפניקס'!A:K,8,0)+VLOOKUP('תפוקה מצטברת מול אשתקד'!A31,'כלל'!A:K,8,0)+VLOOKUP('תפוקה מצטברת מול אשתקד'!A31,'מור'!A:K,8,0)+VLOOKUP('תפוקה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אשתקד'!A31,'אינפניטי'!A:K,8,0)</f>
        <v>0</v>
      </c>
      <c r="M31" s="121">
        <f>VLOOKUP(A31,'הכשרה'!A:K,9,0)+VLOOKUP('תפוקה מצטברת מול אשתקד'!A31,'מגדל'!A:K,9,0)+VLOOKUP('תפוקה מצטברת מול אשתקד'!A31,'מנורה'!A:K,9,0)+VLOOKUP('תפוקה מצטברת מול אשתקד'!A31,'איילון'!A:K,9,0)+VLOOKUP('תפוקה מצטברת מול אשתקד'!A31,'הראל'!A:K,9,0)+VLOOKUP('תפוקה מצטברת מול אשתקד'!A31,'הפניקס'!A:K,9,0)+VLOOKUP('תפוקה מצטברת מול אשתקד'!A31,'כלל'!A:K,9,0)+VLOOKUP('תפוקה מצטברת מול אשתקד'!A31,'מור'!A:K,9,0)+VLOOKUP('תפוקה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אשתקד'!A31,'אינפניטי'!A:K,9,0)</f>
        <v>1746.956</v>
      </c>
      <c r="N31" s="121">
        <f>VLOOKUP(A31,'הכשרה'!A:K,10,0)+VLOOKUP('תפוקה מצטברת מול אשתקד'!A31,'מגדל'!A:K,10,0)+VLOOKUP('תפוקה מצטברת מול אשתקד'!A31,'מנורה'!A:K,10,0)+VLOOKUP('תפוקה מצטברת מול אשתקד'!A31,'איילון'!A:K,10,0)+VLOOKUP('תפוקה מצטברת מול אשתקד'!A31,'הראל'!A:K,10,0)+VLOOKUP('תפוקה מצטברת מול אשתקד'!A31,'הפניקס'!A:K,10,0)+VLOOKUP('תפוקה מצטברת מול אשתקד'!A31,'כלל'!A:K,10,0)+VLOOKUP('תפוקה מצטברת מול אשתקד'!A31,'מור'!A:K,10,0)+VLOOKUP('תפוקה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אשתקד'!A31,'אינפניטי'!A:K,10,0)</f>
        <v>0</v>
      </c>
      <c r="O31" s="121">
        <f>VLOOKUP(A31,'הכשרה'!A:K,11,0)+VLOOKUP('תפוקה מצטברת מול אשתקד'!A31,'מגדל'!A:K,11,0)+VLOOKUP('תפוקה מצטברת מול אשתקד'!A31,'מנורה'!A:K,11,0)+VLOOKUP('תפוקה מצטברת מול אשתקד'!A31,'איילון'!A:K,11,0)+VLOOKUP('תפוקה מצטברת מול אשתקד'!A31,'הראל'!A:K,11,0)+VLOOKUP('תפוקה מצטברת מול אשתקד'!A31,'הפניקס'!A:K,11,0)+VLOOKUP('תפוקה מצטברת מול אשתקד'!A31,'כלל'!A:K,11,0)+VLOOKUP('תפוקה מצטברת מול אשתקד'!A31,'מור'!A:K,11,0)+VLOOKUP('תפוקה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אשתקד'!A31,'אינפניטי'!A:K,11,0)</f>
        <v>0</v>
      </c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ht="15.75" customHeight="1">
      <c r="A32" s="98" t="s">
        <v>89</v>
      </c>
      <c r="B32" s="98" t="s">
        <v>23</v>
      </c>
      <c r="C32" s="125" t="s">
        <v>80</v>
      </c>
      <c r="D32" s="88">
        <f t="shared" ref="D32:F32" si="37">IF(H32=0,0%,IF(L32=0,100%,H32/L32-1))</f>
        <v>-1.87677205</v>
      </c>
      <c r="E32" s="88">
        <f t="shared" si="37"/>
        <v>0.1618949011</v>
      </c>
      <c r="F32" s="88">
        <f t="shared" si="37"/>
        <v>0.9407615334</v>
      </c>
      <c r="G32" s="88">
        <f t="shared" si="38"/>
        <v>0</v>
      </c>
      <c r="H32" s="120">
        <f>VLOOKUP(A32,'הכשרה'!A:G,4,0)+VLOOKUP('תפוקה מצטברת מול אשתקד'!A32,'מגדל'!A:G,4,0)+VLOOKUP('תפוקה מצטברת מול אשתקד'!A32,'מנורה'!A:G,4,0)+VLOOKUP('תפוקה מצטברת מול אשתקד'!A32,'איילון'!A:G,4,0)+VLOOKUP('תפוקה מצטברת מול אשתקד'!A32,'הראל'!A:G,4,0)+VLOOKUP('תפוקה מצטברת מול אשתקד'!A32,'הפניקס'!A:G,4,0)+VLOOKUP('תפוקה מצטברת מול אשתקד'!A32,'כלל'!A:G,4,0)+VLOOKUP('תפוקה מצטברת מול אשתקד'!A32,'מור'!A:G,4,0)+VLOOKUP('תפוקה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אשתקד'!A32,'אינפניטי'!A:G,4,0)</f>
        <v>40386.72643</v>
      </c>
      <c r="I32" s="120">
        <f>VLOOKUP(A32,'הכשרה'!A:G,5,0)+VLOOKUP('תפוקה מצטברת מול אשתקד'!A32,'מגדל'!A:G,5,0)+VLOOKUP('תפוקה מצטברת מול אשתקד'!A32,'מנורה'!A:G,5,0)+VLOOKUP('תפוקה מצטברת מול אשתקד'!A32,'איילון'!A:G,5,0)+VLOOKUP('תפוקה מצטברת מול אשתקד'!A32,'הראל'!A:G,5,0)+VLOOKUP('תפוקה מצטברת מול אשתקד'!A32,'הפניקס'!A:G,5,0)+VLOOKUP('תפוקה מצטברת מול אשתקד'!A32,'כלל'!A:G,5,0)+VLOOKUP('תפוקה מצטברת מול אשתקד'!A32,'מור'!A:G,5,0)+VLOOKUP('תפוקה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אשתקד'!A32,'אינפניטי'!A:G,5,0)</f>
        <v>4862.865542</v>
      </c>
      <c r="J32" s="120">
        <f>VLOOKUP(A32,'הכשרה'!A:G,6,0)+VLOOKUP('תפוקה מצטברת מול אשתקד'!A32,'מגדל'!A:G,6,0)+VLOOKUP('תפוקה מצטברת מול אשתקד'!A32,'מנורה'!A:G,6,0)+VLOOKUP('תפוקה מצטברת מול אשתקד'!A32,'איילון'!A:G,6,0)+VLOOKUP(A32,'הראל'!A:G,6,0)+VLOOKUP('תפוקה מצטברת מול אשתקד'!A32,'הפניקס'!A:G,6,0)+VLOOKUP('תפוקה מצטברת מול אשתקד'!A32,'כלל'!A:G,6,0)+VLOOKUP('תפוקה מצטברת מול אשתקד'!A32,'מור'!A:G,6,0)+VLOOKUP('תפוקה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אשתקד'!A32,'אינפניטי'!A:G,6,0)</f>
        <v>47440.18635</v>
      </c>
      <c r="K32" s="120">
        <f>VLOOKUP(A32,'הכשרה'!A:G,7,0)+VLOOKUP('תפוקה מצטברת מול אשתקד'!A32,'מגדל'!A:G,7,0)+VLOOKUP('תפוקה מצטברת מול אשתקד'!A32,'מנורה'!A:G,7,0)+VLOOKUP('תפוקה מצטברת מול אשתקד'!A32,'איילון'!A:G,7,0)+VLOOKUP('תפוקה מצטברת מול אשתקד'!A32,'הראל'!A:G,7,0)+VLOOKUP('תפוקה מצטברת מול אשתקד'!A32,'הפניקס'!A:G,7,0)+VLOOKUP('תפוקה מצטברת מול אשתקד'!A32,'כלל'!A:G,7,0)+VLOOKUP('תפוקה מצטברת מול אשתקד'!A32,'מור'!A:G,7,0)+VLOOKUP('תפוקה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אשתקד'!A32,'אינפניטי'!A:G,7,0)</f>
        <v>0</v>
      </c>
      <c r="L32" s="121">
        <f>VLOOKUP(A32,'הכשרה'!A:K,8,0)+VLOOKUP('תפוקה מצטברת מול אשתקד'!A32,'מגדל'!A:K,8,0)+VLOOKUP('תפוקה מצטברת מול אשתקד'!A32,'מנורה'!A:K,8,0)+VLOOKUP('תפוקה מצטברת מול אשתקד'!A32,'איילון'!A:K,8,0)+VLOOKUP('תפוקה מצטברת מול אשתקד'!A32,'הראל'!A:K,8,0)+VLOOKUP('תפוקה מצטברת מול אשתקד'!A32,'הפניקס'!A:K,8,0)+VLOOKUP('תפוקה מצטברת מול אשתקד'!A32,'כלל'!A:K,8,0)+VLOOKUP('תפוקה מצטברת מול אשתקד'!A32,'מור'!A:K,8,0)+VLOOKUP('תפוקה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אשתקד'!A32,'אינפניטי'!A:K,8,0)</f>
        <v>-46062.97207</v>
      </c>
      <c r="M32" s="121">
        <f>VLOOKUP(A32,'הכשרה'!A:K,9,0)+VLOOKUP('תפוקה מצטברת מול אשתקד'!A32,'מגדל'!A:K,9,0)+VLOOKUP('תפוקה מצטברת מול אשתקד'!A32,'מנורה'!A:K,9,0)+VLOOKUP('תפוקה מצטברת מול אשתקד'!A32,'איילון'!A:K,9,0)+VLOOKUP('תפוקה מצטברת מול אשתקד'!A32,'הראל'!A:K,9,0)+VLOOKUP('תפוקה מצטברת מול אשתקד'!A32,'הפניקס'!A:K,9,0)+VLOOKUP('תפוקה מצטברת מול אשתקד'!A32,'כלל'!A:K,9,0)+VLOOKUP('תפוקה מצטברת מול אשתקד'!A32,'מור'!A:K,9,0)+VLOOKUP('תפוקה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אשתקד'!A32,'אינפניטי'!A:K,9,0)</f>
        <v>4185.28865</v>
      </c>
      <c r="N32" s="121">
        <f>VLOOKUP(A32,'הכשרה'!A:K,10,0)+VLOOKUP('תפוקה מצטברת מול אשתקד'!A32,'מגדל'!A:K,10,0)+VLOOKUP('תפוקה מצטברת מול אשתקד'!A32,'מנורה'!A:K,10,0)+VLOOKUP('תפוקה מצטברת מול אשתקד'!A32,'איילון'!A:K,10,0)+VLOOKUP('תפוקה מצטברת מול אשתקד'!A32,'הראל'!A:K,10,0)+VLOOKUP('תפוקה מצטברת מול אשתקד'!A32,'הפניקס'!A:K,10,0)+VLOOKUP('תפוקה מצטברת מול אשתקד'!A32,'כלל'!A:K,10,0)+VLOOKUP('תפוקה מצטברת מול אשתקד'!A32,'מור'!A:K,10,0)+VLOOKUP('תפוקה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אשתקד'!A32,'אינפניטי'!A:K,10,0)</f>
        <v>24444.10894</v>
      </c>
      <c r="O32" s="121">
        <f>VLOOKUP(A32,'הכשרה'!A:K,11,0)+VLOOKUP('תפוקה מצטברת מול אשתקד'!A32,'מגדל'!A:K,11,0)+VLOOKUP('תפוקה מצטברת מול אשתקד'!A32,'מנורה'!A:K,11,0)+VLOOKUP('תפוקה מצטברת מול אשתקד'!A32,'איילון'!A:K,11,0)+VLOOKUP('תפוקה מצטברת מול אשתקד'!A32,'הראל'!A:K,11,0)+VLOOKUP('תפוקה מצטברת מול אשתקד'!A32,'הפניקס'!A:K,11,0)+VLOOKUP('תפוקה מצטברת מול אשתקד'!A32,'כלל'!A:K,11,0)+VLOOKUP('תפוקה מצטברת מול אשתקד'!A32,'מור'!A:K,11,0)+VLOOKUP('תפוקה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אשתקד'!A32,'אינפניטי'!A:K,11,0)</f>
        <v>0</v>
      </c>
      <c r="P32" s="119"/>
      <c r="Q32" s="132"/>
      <c r="R32" s="113"/>
      <c r="S32" s="113"/>
      <c r="T32" s="113"/>
      <c r="U32" s="113"/>
      <c r="V32" s="113"/>
      <c r="W32" s="113"/>
      <c r="X32" s="113"/>
      <c r="Y32" s="113"/>
      <c r="Z32" s="113"/>
    </row>
    <row r="33" ht="15.75" customHeight="1">
      <c r="A33" s="98" t="s">
        <v>90</v>
      </c>
      <c r="B33" s="98" t="s">
        <v>23</v>
      </c>
      <c r="C33" s="125" t="s">
        <v>80</v>
      </c>
      <c r="D33" s="88">
        <f t="shared" ref="D33:F33" si="39">IF(H33=0,0%,IF(L33=0,100%,H33/L33-1))</f>
        <v>0</v>
      </c>
      <c r="E33" s="88">
        <f t="shared" si="39"/>
        <v>0</v>
      </c>
      <c r="F33" s="88">
        <f t="shared" si="39"/>
        <v>0</v>
      </c>
      <c r="G33" s="88">
        <f t="shared" si="38"/>
        <v>0</v>
      </c>
      <c r="H33" s="120">
        <f>VLOOKUP(A33,'הכשרה'!A:G,4,0)+VLOOKUP('תפוקה מצטברת מול אשתקד'!A33,'מגדל'!A:G,4,0)+VLOOKUP('תפוקה מצטברת מול אשתקד'!A33,'מנורה'!A:G,4,0)+VLOOKUP('תפוקה מצטברת מול אשתקד'!A33,'איילון'!A:G,4,0)+VLOOKUP('תפוקה מצטברת מול אשתקד'!A33,'הראל'!A:G,4,0)+VLOOKUP('תפוקה מצטברת מול אשתקד'!A33,'הפניקס'!A:G,4,0)+VLOOKUP('תפוקה מצטברת מול אשתקד'!A33,'כלל'!A:G,4,0)+VLOOKUP('תפוקה מצטברת מול אשתקד'!A33,'מור'!A:G,4,0)+VLOOKUP('תפוקה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אשתקד'!A33,'אינפניטי'!A:G,4,0)</f>
        <v>0</v>
      </c>
      <c r="I33" s="120">
        <f>VLOOKUP(A33,'הכשרה'!A:G,5,0)+VLOOKUP('תפוקה מצטברת מול אשתקד'!A33,'מגדל'!A:G,5,0)+VLOOKUP('תפוקה מצטברת מול אשתקד'!A33,'מנורה'!A:G,5,0)+VLOOKUP('תפוקה מצטברת מול אשתקד'!A33,'איילון'!A:G,5,0)+VLOOKUP('תפוקה מצטברת מול אשתקד'!A33,'הראל'!A:G,5,0)+VLOOKUP('תפוקה מצטברת מול אשתקד'!A33,'הפניקס'!A:G,5,0)+VLOOKUP('תפוקה מצטברת מול אשתקד'!A33,'כלל'!A:G,5,0)+VLOOKUP('תפוקה מצטברת מול אשתקד'!A33,'מור'!A:G,5,0)+VLOOKUP('תפוקה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אשתקד'!A33,'אינפניטי'!A:G,5,0)</f>
        <v>0</v>
      </c>
      <c r="J33" s="120">
        <f>VLOOKUP(A33,'הכשרה'!A:G,6,0)+VLOOKUP('תפוקה מצטברת מול אשתקד'!A33,'מגדל'!A:G,6,0)+VLOOKUP('תפוקה מצטברת מול אשתקד'!A33,'מנורה'!A:G,6,0)+VLOOKUP('תפוקה מצטברת מול אשתקד'!A33,'איילון'!A:G,6,0)+VLOOKUP(A33,'הראל'!A:G,6,0)+VLOOKUP('תפוקה מצטברת מול אשתקד'!A33,'הפניקס'!A:G,6,0)+VLOOKUP('תפוקה מצטברת מול אשתקד'!A33,'כלל'!A:G,6,0)+VLOOKUP('תפוקה מצטברת מול אשתקד'!A33,'מור'!A:G,6,0)+VLOOKUP('תפוקה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אשתקד'!A33,'אינפניטי'!A:G,6,0)</f>
        <v>0</v>
      </c>
      <c r="K33" s="120">
        <f>VLOOKUP(A33,'הכשרה'!A:G,7,0)+VLOOKUP('תפוקה מצטברת מול אשתקד'!A33,'מגדל'!A:G,7,0)+VLOOKUP('תפוקה מצטברת מול אשתקד'!A33,'מנורה'!A:G,7,0)+VLOOKUP('תפוקה מצטברת מול אשתקד'!A33,'איילון'!A:G,7,0)+VLOOKUP('תפוקה מצטברת מול אשתקד'!A33,'הראל'!A:G,7,0)+VLOOKUP('תפוקה מצטברת מול אשתקד'!A33,'הפניקס'!A:G,7,0)+VLOOKUP('תפוקה מצטברת מול אשתקד'!A33,'כלל'!A:G,7,0)+VLOOKUP('תפוקה מצטברת מול אשתקד'!A33,'מור'!A:G,7,0)+VLOOKUP('תפוקה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אשתקד'!A33,'אינפניטי'!A:G,7,0)</f>
        <v>0</v>
      </c>
      <c r="L33" s="121">
        <f>VLOOKUP(A33,'הכשרה'!A:K,8,0)+VLOOKUP('תפוקה מצטברת מול אשתקד'!A33,'מגדל'!A:K,8,0)+VLOOKUP('תפוקה מצטברת מול אשתקד'!A33,'מנורה'!A:K,8,0)+VLOOKUP('תפוקה מצטברת מול אשתקד'!A33,'איילון'!A:K,8,0)+VLOOKUP('תפוקה מצטברת מול אשתקד'!A33,'הראל'!A:K,8,0)+VLOOKUP('תפוקה מצטברת מול אשתקד'!A33,'הפניקס'!A:K,8,0)+VLOOKUP('תפוקה מצטברת מול אשתקד'!A33,'כלל'!A:K,8,0)+VLOOKUP('תפוקה מצטברת מול אשתקד'!A33,'מור'!A:K,8,0)+VLOOKUP('תפוקה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אשתקד'!A33,'אינפניטי'!A:K,8,0)</f>
        <v>0</v>
      </c>
      <c r="M33" s="121">
        <f>VLOOKUP(A33,'הכשרה'!A:K,9,0)+VLOOKUP('תפוקה מצטברת מול אשתקד'!A33,'מגדל'!A:K,9,0)+VLOOKUP('תפוקה מצטברת מול אשתקד'!A33,'מנורה'!A:K,9,0)+VLOOKUP('תפוקה מצטברת מול אשתקד'!A33,'איילון'!A:K,9,0)+VLOOKUP('תפוקה מצטברת מול אשתקד'!A33,'הראל'!A:K,9,0)+VLOOKUP('תפוקה מצטברת מול אשתקד'!A33,'הפניקס'!A:K,9,0)+VLOOKUP('תפוקה מצטברת מול אשתקד'!A33,'כלל'!A:K,9,0)+VLOOKUP('תפוקה מצטברת מול אשתקד'!A33,'מור'!A:K,9,0)+VLOOKUP('תפוקה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אשתקד'!A33,'אינפניטי'!A:K,9,0)</f>
        <v>7.45</v>
      </c>
      <c r="N33" s="121">
        <f>VLOOKUP(A33,'הכשרה'!A:K,10,0)+VLOOKUP('תפוקה מצטברת מול אשתקד'!A33,'מגדל'!A:K,10,0)+VLOOKUP('תפוקה מצטברת מול אשתקד'!A33,'מנורה'!A:K,10,0)+VLOOKUP('תפוקה מצטברת מול אשתקד'!A33,'איילון'!A:K,10,0)+VLOOKUP('תפוקה מצטברת מול אשתקד'!A33,'הראל'!A:K,10,0)+VLOOKUP('תפוקה מצטברת מול אשתקד'!A33,'הפניקס'!A:K,10,0)+VLOOKUP('תפוקה מצטברת מול אשתקד'!A33,'כלל'!A:K,10,0)+VLOOKUP('תפוקה מצטברת מול אשתקד'!A33,'מור'!A:K,10,0)+VLOOKUP('תפוקה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אשתקד'!A33,'אינפניטי'!A:K,10,0)</f>
        <v>0</v>
      </c>
      <c r="O33" s="121">
        <f>VLOOKUP(A33,'הכשרה'!A:K,11,0)+VLOOKUP('תפוקה מצטברת מול אשתקד'!A33,'מגדל'!A:K,11,0)+VLOOKUP('תפוקה מצטברת מול אשתקד'!A33,'מנורה'!A:K,11,0)+VLOOKUP('תפוקה מצטברת מול אשתקד'!A33,'איילון'!A:K,11,0)+VLOOKUP('תפוקה מצטברת מול אשתקד'!A33,'הראל'!A:K,11,0)+VLOOKUP('תפוקה מצטברת מול אשתקד'!A33,'הפניקס'!A:K,11,0)+VLOOKUP('תפוקה מצטברת מול אשתקד'!A33,'כלל'!A:K,11,0)+VLOOKUP('תפוקה מצטברת מול אשתקד'!A33,'מור'!A:K,11,0)+VLOOKUP('תפוקה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אשתקד'!A33,'אינפניטי'!A:K,11,0)</f>
        <v>0</v>
      </c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ht="15.75" customHeight="1">
      <c r="A34" s="98" t="s">
        <v>91</v>
      </c>
      <c r="B34" s="98" t="s">
        <v>23</v>
      </c>
      <c r="C34" s="125" t="s">
        <v>80</v>
      </c>
      <c r="D34" s="88">
        <f t="shared" ref="D34:F34" si="40">IF(H34=0,0%,IF(L34=0,100%,H34/L34-1))</f>
        <v>0</v>
      </c>
      <c r="E34" s="88">
        <f t="shared" si="40"/>
        <v>-14.05326758</v>
      </c>
      <c r="F34" s="88">
        <f t="shared" si="40"/>
        <v>0</v>
      </c>
      <c r="G34" s="88">
        <f t="shared" si="38"/>
        <v>0</v>
      </c>
      <c r="H34" s="120">
        <f>VLOOKUP(A34,'הכשרה'!A:G,4,0)+VLOOKUP('תפוקה מצטברת מול אשתקד'!A34,'מגדל'!A:G,4,0)+VLOOKUP('תפוקה מצטברת מול אשתקד'!A34,'מנורה'!A:G,4,0)+VLOOKUP('תפוקה מצטברת מול אשתקד'!A34,'איילון'!A:G,4,0)+VLOOKUP('תפוקה מצטברת מול אשתקד'!A34,'הראל'!A:G,4,0)+VLOOKUP('תפוקה מצטברת מול אשתקד'!A34,'הפניקס'!A:G,4,0)+VLOOKUP('תפוקה מצטברת מול אשתקד'!A34,'כלל'!A:G,4,0)+VLOOKUP('תפוקה מצטברת מול אשתקד'!A34,'מור'!A:G,4,0)+VLOOKUP('תפוקה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אשתקד'!A34,'אינפניטי'!A:G,4,0)</f>
        <v>0</v>
      </c>
      <c r="I34" s="120">
        <f>VLOOKUP(A34,'הכשרה'!A:G,5,0)+VLOOKUP('תפוקה מצטברת מול אשתקד'!A34,'מגדל'!A:G,5,0)+VLOOKUP('תפוקה מצטברת מול אשתקד'!A34,'מנורה'!A:G,5,0)+VLOOKUP('תפוקה מצטברת מול אשתקד'!A34,'איילון'!A:G,5,0)+VLOOKUP('תפוקה מצטברת מול אשתקד'!A34,'הראל'!A:G,5,0)+VLOOKUP('תפוקה מצטברת מול אשתקד'!A34,'הפניקס'!A:G,5,0)+VLOOKUP('תפוקה מצטברת מול אשתקד'!A34,'כלל'!A:G,5,0)+VLOOKUP('תפוקה מצטברת מול אשתקד'!A34,'מור'!A:G,5,0)+VLOOKUP('תפוקה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אשתקד'!A34,'אינפניטי'!A:G,5,0)</f>
        <v>6614.169</v>
      </c>
      <c r="J34" s="120">
        <f>VLOOKUP(A34,'הכשרה'!A:G,6,0)+VLOOKUP('תפוקה מצטברת מול אשתקד'!A34,'מגדל'!A:G,6,0)+VLOOKUP('תפוקה מצטברת מול אשתקד'!A34,'מנורה'!A:G,6,0)+VLOOKUP('תפוקה מצטברת מול אשתקד'!A34,'איילון'!A:G,6,0)+VLOOKUP(A34,'הראל'!A:G,6,0)+VLOOKUP('תפוקה מצטברת מול אשתקד'!A34,'הפניקס'!A:G,6,0)+VLOOKUP('תפוקה מצטברת מול אשתקד'!A34,'כלל'!A:G,6,0)+VLOOKUP('תפוקה מצטברת מול אשתקד'!A34,'מור'!A:G,6,0)+VLOOKUP('תפוקה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אשתקד'!A34,'אינפניטי'!A:G,6,0)</f>
        <v>0</v>
      </c>
      <c r="K34" s="120">
        <f>VLOOKUP(A34,'הכשרה'!A:G,7,0)+VLOOKUP('תפוקה מצטברת מול אשתקד'!A34,'מגדל'!A:G,7,0)+VLOOKUP('תפוקה מצטברת מול אשתקד'!A34,'מנורה'!A:G,7,0)+VLOOKUP('תפוקה מצטברת מול אשתקד'!A34,'איילון'!A:G,7,0)+VLOOKUP('תפוקה מצטברת מול אשתקד'!A34,'הראל'!A:G,7,0)+VLOOKUP('תפוקה מצטברת מול אשתקד'!A34,'הפניקס'!A:G,7,0)+VLOOKUP('תפוקה מצטברת מול אשתקד'!A34,'כלל'!A:G,7,0)+VLOOKUP('תפוקה מצטברת מול אשתקד'!A34,'מור'!A:G,7,0)+VLOOKUP('תפוקה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אשתקד'!A34,'אינפניטי'!A:G,7,0)</f>
        <v>0</v>
      </c>
      <c r="L34" s="121">
        <f>VLOOKUP(A34,'הכשרה'!A:K,8,0)+VLOOKUP('תפוקה מצטברת מול אשתקד'!A34,'מגדל'!A:K,8,0)+VLOOKUP('תפוקה מצטברת מול אשתקד'!A34,'מנורה'!A:K,8,0)+VLOOKUP('תפוקה מצטברת מול אשתקד'!A34,'איילון'!A:K,8,0)+VLOOKUP('תפוקה מצטברת מול אשתקד'!A34,'הראל'!A:K,8,0)+VLOOKUP('תפוקה מצטברת מול אשתקד'!A34,'הפניקס'!A:K,8,0)+VLOOKUP('תפוקה מצטברת מול אשתקד'!A34,'כלל'!A:K,8,0)+VLOOKUP('תפוקה מצטברת מול אשתקד'!A34,'מור'!A:K,8,0)+VLOOKUP('תפוקה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אשתקד'!A34,'אינפניטי'!A:K,8,0)</f>
        <v>0</v>
      </c>
      <c r="M34" s="121">
        <f>VLOOKUP(A34,'הכשרה'!A:K,9,0)+VLOOKUP('תפוקה מצטברת מול אשתקד'!A34,'מגדל'!A:K,9,0)+VLOOKUP('תפוקה מצטברת מול אשתקד'!A34,'מנורה'!A:K,9,0)+VLOOKUP('תפוקה מצטברת מול אשתקד'!A34,'איילון'!A:K,9,0)+VLOOKUP('תפוקה מצטברת מול אשתקד'!A34,'הראל'!A:K,9,0)+VLOOKUP('תפוקה מצטברת מול אשתקד'!A34,'הפניקס'!A:K,9,0)+VLOOKUP('תפוקה מצטברת מול אשתקד'!A34,'כלל'!A:K,9,0)+VLOOKUP('תפוקה מצטברת מול אשתקד'!A34,'מור'!A:K,9,0)+VLOOKUP('תפוקה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אשתקד'!A34,'אינפניטי'!A:K,9,0)</f>
        <v>-506.706</v>
      </c>
      <c r="N34" s="121">
        <f>VLOOKUP(A34,'הכשרה'!A:K,10,0)+VLOOKUP('תפוקה מצטברת מול אשתקד'!A34,'מגדל'!A:K,10,0)+VLOOKUP('תפוקה מצטברת מול אשתקד'!A34,'מנורה'!A:K,10,0)+VLOOKUP('תפוקה מצטברת מול אשתקד'!A34,'איילון'!A:K,10,0)+VLOOKUP('תפוקה מצטברת מול אשתקד'!A34,'הראל'!A:K,10,0)+VLOOKUP('תפוקה מצטברת מול אשתקד'!A34,'הפניקס'!A:K,10,0)+VLOOKUP('תפוקה מצטברת מול אשתקד'!A34,'כלל'!A:K,10,0)+VLOOKUP('תפוקה מצטברת מול אשתקד'!A34,'מור'!A:K,10,0)+VLOOKUP('תפוקה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אשתקד'!A34,'אינפניטי'!A:K,10,0)</f>
        <v>0</v>
      </c>
      <c r="O34" s="121">
        <f>VLOOKUP(A34,'הכשרה'!A:K,11,0)+VLOOKUP('תפוקה מצטברת מול אשתקד'!A34,'מגדל'!A:K,11,0)+VLOOKUP('תפוקה מצטברת מול אשתקד'!A34,'מנורה'!A:K,11,0)+VLOOKUP('תפוקה מצטברת מול אשתקד'!A34,'איילון'!A:K,11,0)+VLOOKUP('תפוקה מצטברת מול אשתקד'!A34,'הראל'!A:K,11,0)+VLOOKUP('תפוקה מצטברת מול אשתקד'!A34,'הפניקס'!A:K,11,0)+VLOOKUP('תפוקה מצטברת מול אשתקד'!A34,'כלל'!A:K,11,0)+VLOOKUP('תפוקה מצטברת מול אשתקד'!A34,'מור'!A:K,11,0)+VLOOKUP('תפוקה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אשתקד'!A34,'אינפניטי'!A:K,11,0)</f>
        <v>0</v>
      </c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ht="15.75" customHeight="1">
      <c r="A35" s="99" t="s">
        <v>51</v>
      </c>
      <c r="B35" s="98" t="s">
        <v>23</v>
      </c>
      <c r="C35" s="125" t="s">
        <v>80</v>
      </c>
      <c r="D35" s="88">
        <f t="shared" ref="D35:F35" si="41">IF(H35=0,0%,IF(L35=0,100%,H35/L35-1))</f>
        <v>0.3102212096</v>
      </c>
      <c r="E35" s="88">
        <f t="shared" si="41"/>
        <v>-0.4194298844</v>
      </c>
      <c r="F35" s="88">
        <f t="shared" si="41"/>
        <v>-0.6721394397</v>
      </c>
      <c r="G35" s="88">
        <f t="shared" si="38"/>
        <v>-0.8041540383</v>
      </c>
      <c r="H35" s="120">
        <f>VLOOKUP(A35,'הכשרה'!A:G,4,0)+VLOOKUP('תפוקה מצטברת מול אשתקד'!A35,'מגדל'!A:G,4,0)+VLOOKUP('תפוקה מצטברת מול אשתקד'!A35,'מנורה'!A:G,4,0)+VLOOKUP('תפוקה מצטברת מול אשתקד'!A35,'איילון'!A:G,4,0)+VLOOKUP('תפוקה מצטברת מול אשתקד'!A35,'הראל'!A:G,4,0)+VLOOKUP('תפוקה מצטברת מול אשתקד'!A35,'הפניקס'!A:G,4,0)+VLOOKUP('תפוקה מצטברת מול אשתקד'!A35,'כלל'!A:G,4,0)+VLOOKUP('תפוקה מצטברת מול אשתקד'!A35,'מור'!A:G,4,0)+VLOOKUP('תפוקה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אשתקד'!A35,'אינפניטי'!A:G,4,0)</f>
        <v>1675101.918</v>
      </c>
      <c r="I35" s="120">
        <f>VLOOKUP(A35,'הכשרה'!A:G,5,0)+VLOOKUP('תפוקה מצטברת מול אשתקד'!A35,'מגדל'!A:G,5,0)+VLOOKUP('תפוקה מצטברת מול אשתקד'!A35,'מנורה'!A:G,5,0)+VLOOKUP('תפוקה מצטברת מול אשתקד'!A35,'איילון'!A:G,5,0)+VLOOKUP('תפוקה מצטברת מול אשתקד'!A35,'הראל'!A:G,5,0)+VLOOKUP('תפוקה מצטברת מול אשתקד'!A35,'הפניקס'!A:G,5,0)+VLOOKUP('תפוקה מצטברת מול אשתקד'!A35,'כלל'!A:G,5,0)+VLOOKUP('תפוקה מצטברת מול אשתקד'!A35,'מור'!A:G,5,0)+VLOOKUP('תפוקה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אשתקד'!A35,'אינפניטי'!A:G,5,0)</f>
        <v>191973.7551</v>
      </c>
      <c r="J35" s="120">
        <f>VLOOKUP(A35,'הכשרה'!A:G,6,0)+VLOOKUP('תפוקה מצטברת מול אשתקד'!A35,'מגדל'!A:G,6,0)+VLOOKUP('תפוקה מצטברת מול אשתקד'!A35,'מנורה'!A:G,6,0)+VLOOKUP('תפוקה מצטברת מול אשתקד'!A35,'איילון'!A:G,6,0)+VLOOKUP(A35,'הראל'!A:G,6,0)+VLOOKUP('תפוקה מצטברת מול אשתקד'!A35,'הפניקס'!A:G,6,0)+VLOOKUP('תפוקה מצטברת מול אשתקד'!A35,'כלל'!A:G,6,0)+VLOOKUP('תפוקה מצטברת מול אשתקד'!A35,'מור'!A:G,6,0)+VLOOKUP('תפוקה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אשתקד'!A35,'אינפניטי'!A:G,6,0)</f>
        <v>1826828.349</v>
      </c>
      <c r="K35" s="120">
        <f>VLOOKUP(A35,'הכשרה'!A:G,7,0)+VLOOKUP('תפוקה מצטברת מול אשתקד'!A35,'מגדל'!A:G,7,0)+VLOOKUP('תפוקה מצטברת מול אשתקד'!A35,'מנורה'!A:G,7,0)+VLOOKUP('תפוקה מצטברת מול אשתקד'!A35,'איילון'!A:G,7,0)+VLOOKUP('תפוקה מצטברת מול אשתקד'!A35,'הראל'!A:G,7,0)+VLOOKUP('תפוקה מצטברת מול אשתקד'!A35,'הפניקס'!A:G,7,0)+VLOOKUP('תפוקה מצטברת מול אשתקד'!A35,'כלל'!A:G,7,0)+VLOOKUP('תפוקה מצטברת מול אשתקד'!A35,'מור'!A:G,7,0)+VLOOKUP('תפוקה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אשתקד'!A35,'אינפניטי'!A:G,7,0)</f>
        <v>2486019.21</v>
      </c>
      <c r="L35" s="121">
        <f>VLOOKUP(A35,'הכשרה'!A:K,8,0)+VLOOKUP('תפוקה מצטברת מול אשתקד'!A35,'מגדל'!A:K,8,0)+VLOOKUP('תפוקה מצטברת מול אשתקד'!A35,'מנורה'!A:K,8,0)+VLOOKUP('תפוקה מצטברת מול אשתקד'!A35,'איילון'!A:K,8,0)+VLOOKUP('תפוקה מצטברת מול אשתקד'!A35,'הראל'!A:K,8,0)+VLOOKUP('תפוקה מצטברת מול אשתקד'!A35,'הפניקס'!A:K,8,0)+VLOOKUP('תפוקה מצטברת מול אשתקד'!A35,'כלל'!A:K,8,0)+VLOOKUP('תפוקה מצטברת מול אשתקד'!A35,'מור'!A:K,8,0)+VLOOKUP('תפוקה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אשתקד'!A35,'אינפניטי'!A:K,8,0)</f>
        <v>1278487.866</v>
      </c>
      <c r="M35" s="121">
        <f>VLOOKUP(A35,'הכשרה'!A:K,9,0)+VLOOKUP('תפוקה מצטברת מול אשתקד'!A35,'מגדל'!A:K,9,0)+VLOOKUP('תפוקה מצטברת מול אשתקד'!A35,'מנורה'!A:K,9,0)+VLOOKUP('תפוקה מצטברת מול אשתקד'!A35,'איילון'!A:K,9,0)+VLOOKUP('תפוקה מצטברת מול אשתקד'!A35,'הראל'!A:K,9,0)+VLOOKUP('תפוקה מצטברת מול אשתקד'!A35,'הפניקס'!A:K,9,0)+VLOOKUP('תפוקה מצטברת מול אשתקד'!A35,'כלל'!A:K,9,0)+VLOOKUP('תפוקה מצטברת מול אשתקד'!A35,'מור'!A:K,9,0)+VLOOKUP('תפוקה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אשתקד'!A35,'אינפניטי'!A:K,9,0)</f>
        <v>330664.204</v>
      </c>
      <c r="N35" s="121">
        <f>VLOOKUP(A35,'הכשרה'!A:K,10,0)+VLOOKUP('תפוקה מצטברת מול אשתקד'!A35,'מגדל'!A:K,10,0)+VLOOKUP('תפוקה מצטברת מול אשתקד'!A35,'מנורה'!A:K,10,0)+VLOOKUP('תפוקה מצטברת מול אשתקד'!A35,'איילון'!A:K,10,0)+VLOOKUP('תפוקה מצטברת מול אשתקד'!A35,'הראל'!A:K,10,0)+VLOOKUP('תפוקה מצטברת מול אשתקד'!A35,'הפניקס'!A:K,10,0)+VLOOKUP('תפוקה מצטברת מול אשתקד'!A35,'כלל'!A:K,10,0)+VLOOKUP('תפוקה מצטברת מול אשתקד'!A35,'מור'!A:K,10,0)+VLOOKUP('תפוקה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אשתקד'!A35,'אינפניטי'!A:K,10,0)</f>
        <v>5571967.387</v>
      </c>
      <c r="O35" s="121">
        <f>VLOOKUP(A35,'הכשרה'!A:K,11,0)+VLOOKUP('תפוקה מצטברת מול אשתקד'!A35,'מגדל'!A:K,11,0)+VLOOKUP('תפוקה מצטברת מול אשתקד'!A35,'מנורה'!A:K,11,0)+VLOOKUP('תפוקה מצטברת מול אשתקד'!A35,'איילון'!A:K,11,0)+VLOOKUP('תפוקה מצטברת מול אשתקד'!A35,'הראל'!A:K,11,0)+VLOOKUP('תפוקה מצטברת מול אשתקד'!A35,'הפניקס'!A:K,11,0)+VLOOKUP('תפוקה מצטברת מול אשתקד'!A35,'כלל'!A:K,11,0)+VLOOKUP('תפוקה מצטברת מול אשתקד'!A35,'מור'!A:K,11,0)+VLOOKUP('תפוקה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אשתקד'!A35,'אינפניטי'!A:K,11,0)</f>
        <v>12693747.62</v>
      </c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ht="15.75" customHeight="1">
      <c r="A36" s="98" t="s">
        <v>92</v>
      </c>
      <c r="B36" s="98" t="s">
        <v>23</v>
      </c>
      <c r="C36" s="125" t="s">
        <v>80</v>
      </c>
      <c r="D36" s="88">
        <f t="shared" ref="D36:F36" si="42">IF(H36=0,0%,IF(L36=0,100%,H36/L36-1))</f>
        <v>-0.5363880076</v>
      </c>
      <c r="E36" s="88">
        <f t="shared" si="42"/>
        <v>0</v>
      </c>
      <c r="F36" s="88">
        <f t="shared" si="42"/>
        <v>0</v>
      </c>
      <c r="G36" s="88">
        <f t="shared" si="38"/>
        <v>0</v>
      </c>
      <c r="H36" s="120">
        <f>VLOOKUP(A36,'הכשרה'!A:G,4,0)+VLOOKUP('תפוקה מצטברת מול אשתקד'!A36,'מגדל'!A:G,4,0)+VLOOKUP('תפוקה מצטברת מול אשתקד'!A36,'מנורה'!A:G,4,0)+VLOOKUP('תפוקה מצטברת מול אשתקד'!A36,'איילון'!A:G,4,0)+VLOOKUP('תפוקה מצטברת מול אשתקד'!A36,'הראל'!A:G,4,0)+VLOOKUP('תפוקה מצטברת מול אשתקד'!A36,'הפניקס'!A:G,4,0)+VLOOKUP('תפוקה מצטברת מול אשתקד'!A36,'כלל'!A:G,4,0)+VLOOKUP('תפוקה מצטברת מול אשתקד'!A36,'מור'!A:G,4,0)+VLOOKUP('תפוקה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אשתקד'!A36,'אינפניטי'!A:G,4,0)</f>
        <v>2262</v>
      </c>
      <c r="I36" s="120">
        <f>VLOOKUP(A36,'הכשרה'!A:G,5,0)+VLOOKUP('תפוקה מצטברת מול אשתקד'!A36,'מגדל'!A:G,5,0)+VLOOKUP('תפוקה מצטברת מול אשתקד'!A36,'מנורה'!A:G,5,0)+VLOOKUP('תפוקה מצטברת מול אשתקד'!A36,'איילון'!A:G,5,0)+VLOOKUP('תפוקה מצטברת מול אשתקד'!A36,'הראל'!A:G,5,0)+VLOOKUP('תפוקה מצטברת מול אשתקד'!A36,'הפניקס'!A:G,5,0)+VLOOKUP('תפוקה מצטברת מול אשתקד'!A36,'כלל'!A:G,5,0)+VLOOKUP('תפוקה מצטברת מול אשתקד'!A36,'מור'!A:G,5,0)+VLOOKUP('תפוקה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אשתקד'!A36,'אינפניטי'!A:G,5,0)</f>
        <v>0</v>
      </c>
      <c r="J36" s="120">
        <f>VLOOKUP(A36,'הכשרה'!A:G,6,0)+VLOOKUP('תפוקה מצטברת מול אשתקד'!A36,'מגדל'!A:G,6,0)+VLOOKUP('תפוקה מצטברת מול אשתקד'!A36,'מנורה'!A:G,6,0)+VLOOKUP('תפוקה מצטברת מול אשתקד'!A36,'איילון'!A:G,6,0)+VLOOKUP(A36,'הראל'!A:G,6,0)+VLOOKUP('תפוקה מצטברת מול אשתקד'!A36,'הפניקס'!A:G,6,0)+VLOOKUP('תפוקה מצטברת מול אשתקד'!A36,'כלל'!A:G,6,0)+VLOOKUP('תפוקה מצטברת מול אשתקד'!A36,'מור'!A:G,6,0)+VLOOKUP('תפוקה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אשתקד'!A36,'אינפניטי'!A:G,6,0)</f>
        <v>0</v>
      </c>
      <c r="K36" s="120">
        <f>VLOOKUP(A36,'הכשרה'!A:G,7,0)+VLOOKUP('תפוקה מצטברת מול אשתקד'!A36,'מגדל'!A:G,7,0)+VLOOKUP('תפוקה מצטברת מול אשתקד'!A36,'מנורה'!A:G,7,0)+VLOOKUP('תפוקה מצטברת מול אשתקד'!A36,'איילון'!A:G,7,0)+VLOOKUP('תפוקה מצטברת מול אשתקד'!A36,'הראל'!A:G,7,0)+VLOOKUP('תפוקה מצטברת מול אשתקד'!A36,'הפניקס'!A:G,7,0)+VLOOKUP('תפוקה מצטברת מול אשתקד'!A36,'כלל'!A:G,7,0)+VLOOKUP('תפוקה מצטברת מול אשתקד'!A36,'מור'!A:G,7,0)+VLOOKUP('תפוקה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אשתקד'!A36,'אינפניטי'!A:G,7,0)</f>
        <v>0</v>
      </c>
      <c r="L36" s="121">
        <f>VLOOKUP(A36,'הכשרה'!A:K,8,0)+VLOOKUP('תפוקה מצטברת מול אשתקד'!A36,'מגדל'!A:K,8,0)+VLOOKUP('תפוקה מצטברת מול אשתקד'!A36,'מנורה'!A:K,8,0)+VLOOKUP('תפוקה מצטברת מול אשתקד'!A36,'איילון'!A:K,8,0)+VLOOKUP('תפוקה מצטברת מול אשתקד'!A36,'הראל'!A:K,8,0)+VLOOKUP('תפוקה מצטברת מול אשתקד'!A36,'הפניקס'!A:K,8,0)+VLOOKUP('תפוקה מצטברת מול אשתקד'!A36,'כלל'!A:K,8,0)+VLOOKUP('תפוקה מצטברת מול אשתקד'!A36,'מור'!A:K,8,0)+VLOOKUP('תפוקה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אשתקד'!A36,'אינפניטי'!A:K,8,0)</f>
        <v>4879.08</v>
      </c>
      <c r="M36" s="121">
        <f>VLOOKUP(A36,'הכשרה'!A:K,9,0)+VLOOKUP('תפוקה מצטברת מול אשתקד'!A36,'מגדל'!A:K,9,0)+VLOOKUP('תפוקה מצטברת מול אשתקד'!A36,'מנורה'!A:K,9,0)+VLOOKUP('תפוקה מצטברת מול אשתקד'!A36,'איילון'!A:K,9,0)+VLOOKUP('תפוקה מצטברת מול אשתקד'!A36,'הראל'!A:K,9,0)+VLOOKUP('תפוקה מצטברת מול אשתקד'!A36,'הפניקס'!A:K,9,0)+VLOOKUP('תפוקה מצטברת מול אשתקד'!A36,'כלל'!A:K,9,0)+VLOOKUP('תפוקה מצטברת מול אשתקד'!A36,'מור'!A:K,9,0)+VLOOKUP('תפוקה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אשתקד'!A36,'אינפניטי'!A:K,9,0)</f>
        <v>2887.83</v>
      </c>
      <c r="N36" s="121">
        <f>VLOOKUP(A36,'הכשרה'!A:K,10,0)+VLOOKUP('תפוקה מצטברת מול אשתקד'!A36,'מגדל'!A:K,10,0)+VLOOKUP('תפוקה מצטברת מול אשתקד'!A36,'מנורה'!A:K,10,0)+VLOOKUP('תפוקה מצטברת מול אשתקד'!A36,'איילון'!A:K,10,0)+VLOOKUP('תפוקה מצטברת מול אשתקד'!A36,'הראל'!A:K,10,0)+VLOOKUP('תפוקה מצטברת מול אשתקד'!A36,'הפניקס'!A:K,10,0)+VLOOKUP('תפוקה מצטברת מול אשתקד'!A36,'כלל'!A:K,10,0)+VLOOKUP('תפוקה מצטברת מול אשתקד'!A36,'מור'!A:K,10,0)+VLOOKUP('תפוקה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אשתקד'!A36,'אינפניטי'!A:K,10,0)</f>
        <v>0</v>
      </c>
      <c r="O36" s="121">
        <f>VLOOKUP(A36,'הכשרה'!A:K,11,0)+VLOOKUP('תפוקה מצטברת מול אשתקד'!A36,'מגדל'!A:K,11,0)+VLOOKUP('תפוקה מצטברת מול אשתקד'!A36,'מנורה'!A:K,11,0)+VLOOKUP('תפוקה מצטברת מול אשתקד'!A36,'איילון'!A:K,11,0)+VLOOKUP('תפוקה מצטברת מול אשתקד'!A36,'הראל'!A:K,11,0)+VLOOKUP('תפוקה מצטברת מול אשתקד'!A36,'הפניקס'!A:K,11,0)+VLOOKUP('תפוקה מצטברת מול אשתקד'!A36,'כלל'!A:K,11,0)+VLOOKUP('תפוקה מצטברת מול אשתקד'!A36,'מור'!A:K,11,0)+VLOOKUP('תפוקה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אשתקד'!A36,'אינפניטי'!A:K,11,0)</f>
        <v>0</v>
      </c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ht="15.75" customHeight="1">
      <c r="A37" s="98" t="s">
        <v>93</v>
      </c>
      <c r="B37" s="98" t="s">
        <v>23</v>
      </c>
      <c r="C37" s="125" t="s">
        <v>80</v>
      </c>
      <c r="D37" s="88">
        <f t="shared" ref="D37:F37" si="43">IF(H37=0,0%,IF(L37=0,100%,H37/L37-1))</f>
        <v>0.2410152916</v>
      </c>
      <c r="E37" s="88">
        <f t="shared" si="43"/>
        <v>-0.3709015314</v>
      </c>
      <c r="F37" s="88">
        <f t="shared" si="43"/>
        <v>1</v>
      </c>
      <c r="G37" s="88">
        <f t="shared" si="38"/>
        <v>2.133257955</v>
      </c>
      <c r="H37" s="120">
        <f>VLOOKUP(A37,'הכשרה'!A:G,4,0)+VLOOKUP('תפוקה מצטברת מול אשתקד'!A37,'מגדל'!A:G,4,0)+VLOOKUP('תפוקה מצטברת מול אשתקד'!A37,'מנורה'!A:G,4,0)+VLOOKUP('תפוקה מצטברת מול אשתקד'!A37,'איילון'!A:G,4,0)+VLOOKUP('תפוקה מצטברת מול אשתקד'!A37,'הראל'!A:G,4,0)+VLOOKUP('תפוקה מצטברת מול אשתקד'!A37,'הפניקס'!A:G,4,0)+VLOOKUP('תפוקה מצטברת מול אשתקד'!A37,'כלל'!A:G,4,0)+VLOOKUP('תפוקה מצטברת מול אשתקד'!A37,'מור'!A:G,4,0)+VLOOKUP('תפוקה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אשתקד'!A37,'אינפניטי'!A:G,4,0)</f>
        <v>44755.2</v>
      </c>
      <c r="I37" s="120">
        <f>VLOOKUP(A37,'הכשרה'!A:G,5,0)+VLOOKUP('תפוקה מצטברת מול אשתקד'!A37,'מגדל'!A:G,5,0)+VLOOKUP('תפוקה מצטברת מול אשתקד'!A37,'מנורה'!A:G,5,0)+VLOOKUP('תפוקה מצטברת מול אשתקד'!A37,'איילון'!A:G,5,0)+VLOOKUP('תפוקה מצטברת מול אשתקד'!A37,'הראל'!A:G,5,0)+VLOOKUP('תפוקה מצטברת מול אשתקד'!A37,'הפניקס'!A:G,5,0)+VLOOKUP('תפוקה מצטברת מול אשתקד'!A37,'כלל'!A:G,5,0)+VLOOKUP('תפוקה מצטברת מול אשתקד'!A37,'מור'!A:G,5,0)+VLOOKUP('תפוקה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אשתקד'!A37,'אינפניטי'!A:G,5,0)</f>
        <v>-3440.766</v>
      </c>
      <c r="J37" s="120">
        <f>VLOOKUP(A37,'הכשרה'!A:G,6,0)+VLOOKUP('תפוקה מצטברת מול אשתקד'!A37,'מגדל'!A:G,6,0)+VLOOKUP('תפוקה מצטברת מול אשתקד'!A37,'מנורה'!A:G,6,0)+VLOOKUP('תפוקה מצטברת מול אשתקד'!A37,'איילון'!A:G,6,0)+VLOOKUP(A37,'הראל'!A:G,6,0)+VLOOKUP('תפוקה מצטברת מול אשתקד'!A37,'הפניקס'!A:G,6,0)+VLOOKUP('תפוקה מצטברת מול אשתקד'!A37,'כלל'!A:G,6,0)+VLOOKUP('תפוקה מצטברת מול אשתקד'!A37,'מור'!A:G,6,0)+VLOOKUP('תפוקה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אשתקד'!A37,'אינפניטי'!A:G,6,0)</f>
        <v>23102.44</v>
      </c>
      <c r="K37" s="120">
        <f>VLOOKUP(A37,'הכשרה'!A:G,7,0)+VLOOKUP('תפוקה מצטברת מול אשתקד'!A37,'מגדל'!A:G,7,0)+VLOOKUP('תפוקה מצטברת מול אשתקד'!A37,'מנורה'!A:G,7,0)+VLOOKUP('תפוקה מצטברת מול אשתקד'!A37,'איילון'!A:G,7,0)+VLOOKUP('תפוקה מצטברת מול אשתקד'!A37,'הראל'!A:G,7,0)+VLOOKUP('תפוקה מצטברת מול אשתקד'!A37,'הפניקס'!A:G,7,0)+VLOOKUP('תפוקה מצטברת מול אשתקד'!A37,'כלל'!A:G,7,0)+VLOOKUP('תפוקה מצטברת מול אשתקד'!A37,'מור'!A:G,7,0)+VLOOKUP('תפוקה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אשתקד'!A37,'אינפניטי'!A:G,7,0)</f>
        <v>-580576.23</v>
      </c>
      <c r="L37" s="121">
        <f>VLOOKUP(A37,'הכשרה'!A:K,8,0)+VLOOKUP('תפוקה מצטברת מול אשתקד'!A37,'מגדל'!A:K,8,0)+VLOOKUP('תפוקה מצטברת מול אשתקד'!A37,'מנורה'!A:K,8,0)+VLOOKUP('תפוקה מצטברת מול אשתקד'!A37,'איילון'!A:K,8,0)+VLOOKUP('תפוקה מצטברת מול אשתקד'!A37,'הראל'!A:K,8,0)+VLOOKUP('תפוקה מצטברת מול אשתקד'!A37,'הפניקס'!A:K,8,0)+VLOOKUP('תפוקה מצטברת מול אשתקד'!A37,'כלל'!A:K,8,0)+VLOOKUP('תפוקה מצטברת מול אשתקד'!A37,'מור'!A:K,8,0)+VLOOKUP('תפוקה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אשתקד'!A37,'אינפניטי'!A:K,8,0)</f>
        <v>36063.37513</v>
      </c>
      <c r="M37" s="121">
        <f>VLOOKUP(A37,'הכשרה'!A:K,9,0)+VLOOKUP('תפוקה מצטברת מול אשתקד'!A37,'מגדל'!A:K,9,0)+VLOOKUP('תפוקה מצטברת מול אשתקד'!A37,'מנורה'!A:K,9,0)+VLOOKUP('תפוקה מצטברת מול אשתקד'!A37,'איילון'!A:K,9,0)+VLOOKUP('תפוקה מצטברת מול אשתקד'!A37,'הראל'!A:K,9,0)+VLOOKUP('תפוקה מצטברת מול אשתקד'!A37,'הפניקס'!A:K,9,0)+VLOOKUP('תפוקה מצטברת מול אשתקד'!A37,'כלל'!A:K,9,0)+VLOOKUP('תפוקה מצטברת מול אשתקד'!A37,'מור'!A:K,9,0)+VLOOKUP('תפוקה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אשתקד'!A37,'אינפניטי'!A:K,9,0)</f>
        <v>-5469.36</v>
      </c>
      <c r="N37" s="121">
        <f>VLOOKUP(A37,'הכשרה'!A:K,10,0)+VLOOKUP('תפוקה מצטברת מול אשתקד'!A37,'מגדל'!A:K,10,0)+VLOOKUP('תפוקה מצטברת מול אשתקד'!A37,'מנורה'!A:K,10,0)+VLOOKUP('תפוקה מצטברת מול אשתקד'!A37,'איילון'!A:K,10,0)+VLOOKUP('תפוקה מצטברת מול אשתקד'!A37,'הראל'!A:K,10,0)+VLOOKUP('תפוקה מצטברת מול אשתקד'!A37,'הפניקס'!A:K,10,0)+VLOOKUP('תפוקה מצטברת מול אשתקד'!A37,'כלל'!A:K,10,0)+VLOOKUP('תפוקה מצטברת מול אשתקד'!A37,'מור'!A:K,10,0)+VLOOKUP('תפוקה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אשתקד'!A37,'אינפניטי'!A:K,10,0)</f>
        <v>0</v>
      </c>
      <c r="O37" s="121">
        <f>VLOOKUP(A37,'הכשרה'!A:K,11,0)+VLOOKUP('תפוקה מצטברת מול אשתקד'!A37,'מגדל'!A:K,11,0)+VLOOKUP('תפוקה מצטברת מול אשתקד'!A37,'מנורה'!A:K,11,0)+VLOOKUP('תפוקה מצטברת מול אשתקד'!A37,'איילון'!A:K,11,0)+VLOOKUP('תפוקה מצטברת מול אשתקד'!A37,'הראל'!A:K,11,0)+VLOOKUP('תפוקה מצטברת מול אשתקד'!A37,'הפניקס'!A:K,11,0)+VLOOKUP('תפוקה מצטברת מול אשתקד'!A37,'כלל'!A:K,11,0)+VLOOKUP('תפוקה מצטברת מול אשתקד'!A37,'מור'!A:K,11,0)+VLOOKUP('תפוקה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אשתקד'!A37,'אינפניטי'!A:K,11,0)</f>
        <v>-185294.7438</v>
      </c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ht="15.75" customHeight="1">
      <c r="A38" s="98" t="s">
        <v>94</v>
      </c>
      <c r="B38" s="98" t="s">
        <v>23</v>
      </c>
      <c r="C38" s="125" t="s">
        <v>80</v>
      </c>
      <c r="D38" s="88">
        <f t="shared" ref="D38:F38" si="44">IF(H38=0,0%,IF(L38=0,100%,H38/L38-1))</f>
        <v>-2.453539629</v>
      </c>
      <c r="E38" s="88">
        <f t="shared" si="44"/>
        <v>0</v>
      </c>
      <c r="F38" s="88">
        <f t="shared" si="44"/>
        <v>0</v>
      </c>
      <c r="G38" s="88">
        <f t="shared" si="38"/>
        <v>0</v>
      </c>
      <c r="H38" s="120">
        <f>VLOOKUP(A38,'הכשרה'!A:G,4,0)+VLOOKUP('תפוקה מצטברת מול אשתקד'!A38,'מגדל'!A:G,4,0)+VLOOKUP('תפוקה מצטברת מול אשתקד'!A38,'מנורה'!A:G,4,0)+VLOOKUP('תפוקה מצטברת מול אשתקד'!A38,'איילון'!A:G,4,0)+VLOOKUP('תפוקה מצטברת מול אשתקד'!A38,'הראל'!A:G,4,0)+VLOOKUP('תפוקה מצטברת מול אשתקד'!A38,'הפניקס'!A:G,4,0)+VLOOKUP('תפוקה מצטברת מול אשתקד'!A38,'כלל'!A:G,4,0)+VLOOKUP('תפוקה מצטברת מול אשתקד'!A38,'מור'!A:G,4,0)+VLOOKUP('תפוקה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אשתקד'!A38,'אינפניטי'!A:G,4,0)</f>
        <v>37915.58169</v>
      </c>
      <c r="I38" s="120">
        <f>VLOOKUP(A38,'הכשרה'!A:G,5,0)+VLOOKUP('תפוקה מצטברת מול אשתקד'!A38,'מגדל'!A:G,5,0)+VLOOKUP('תפוקה מצטברת מול אשתקד'!A38,'מנורה'!A:G,5,0)+VLOOKUP('תפוקה מצטברת מול אשתקד'!A38,'איילון'!A:G,5,0)+VLOOKUP('תפוקה מצטברת מול אשתקד'!A38,'הראל'!A:G,5,0)+VLOOKUP('תפוקה מצטברת מול אשתקד'!A38,'הפניקס'!A:G,5,0)+VLOOKUP('תפוקה מצטברת מול אשתקד'!A38,'כלל'!A:G,5,0)+VLOOKUP('תפוקה מצטברת מול אשתקד'!A38,'מור'!A:G,5,0)+VLOOKUP('תפוקה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אשתקד'!A38,'אינפניטי'!A:G,5,0)</f>
        <v>0</v>
      </c>
      <c r="J38" s="120">
        <f>VLOOKUP(A38,'הכשרה'!A:G,6,0)+VLOOKUP('תפוקה מצטברת מול אשתקד'!A38,'מגדל'!A:G,6,0)+VLOOKUP('תפוקה מצטברת מול אשתקד'!A38,'מנורה'!A:G,6,0)+VLOOKUP('תפוקה מצטברת מול אשתקד'!A38,'איילון'!A:G,6,0)+VLOOKUP(A38,'הראל'!A:G,6,0)+VLOOKUP('תפוקה מצטברת מול אשתקד'!A38,'הפניקס'!A:G,6,0)+VLOOKUP('תפוקה מצטברת מול אשתקד'!A38,'כלל'!A:G,6,0)+VLOOKUP('תפוקה מצטברת מול אשתקד'!A38,'מור'!A:G,6,0)+VLOOKUP('תפוקה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אשתקד'!A38,'אינפניטי'!A:G,6,0)</f>
        <v>0</v>
      </c>
      <c r="K38" s="120">
        <f>VLOOKUP(A38,'הכשרה'!A:G,7,0)+VLOOKUP('תפוקה מצטברת מול אשתקד'!A38,'מגדל'!A:G,7,0)+VLOOKUP('תפוקה מצטברת מול אשתקד'!A38,'מנורה'!A:G,7,0)+VLOOKUP('תפוקה מצטברת מול אשתקד'!A38,'איילון'!A:G,7,0)+VLOOKUP('תפוקה מצטברת מול אשתקד'!A38,'הראל'!A:G,7,0)+VLOOKUP('תפוקה מצטברת מול אשתקד'!A38,'הפניקס'!A:G,7,0)+VLOOKUP('תפוקה מצטברת מול אשתקד'!A38,'כלל'!A:G,7,0)+VLOOKUP('תפוקה מצטברת מול אשתקד'!A38,'מור'!A:G,7,0)+VLOOKUP('תפוקה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אשתקד'!A38,'אינפניטי'!A:G,7,0)</f>
        <v>0</v>
      </c>
      <c r="L38" s="121">
        <f>VLOOKUP(A38,'הכשרה'!A:K,8,0)+VLOOKUP('תפוקה מצטברת מול אשתקד'!A38,'מגדל'!A:K,8,0)+VLOOKUP('תפוקה מצטברת מול אשתקד'!A38,'מנורה'!A:K,8,0)+VLOOKUP('תפוקה מצטברת מול אשתקד'!A38,'איילון'!A:K,8,0)+VLOOKUP('תפוקה מצטברת מול אשתקד'!A38,'הראל'!A:K,8,0)+VLOOKUP('תפוקה מצטברת מול אשתקד'!A38,'הפניקס'!A:K,8,0)+VLOOKUP('תפוקה מצטברת מול אשתקד'!A38,'כלל'!A:K,8,0)+VLOOKUP('תפוקה מצטברת מול אשתקד'!A38,'מור'!A:K,8,0)+VLOOKUP('תפוקה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אשתקד'!A38,'אינפניטי'!A:K,8,0)</f>
        <v>-26085.00031</v>
      </c>
      <c r="M38" s="121">
        <f>VLOOKUP(A38,'הכשרה'!A:K,9,0)+VLOOKUP('תפוקה מצטברת מול אשתקד'!A38,'מגדל'!A:K,9,0)+VLOOKUP('תפוקה מצטברת מול אשתקד'!A38,'מנורה'!A:K,9,0)+VLOOKUP('תפוקה מצטברת מול אשתקד'!A38,'איילון'!A:K,9,0)+VLOOKUP('תפוקה מצטברת מול אשתקד'!A38,'הראל'!A:K,9,0)+VLOOKUP('תפוקה מצטברת מול אשתקד'!A38,'הפניקס'!A:K,9,0)+VLOOKUP('תפוקה מצטברת מול אשתקד'!A38,'כלל'!A:K,9,0)+VLOOKUP('תפוקה מצטברת מול אשתקד'!A38,'מור'!A:K,9,0)+VLOOKUP('תפוקה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אשתקד'!A38,'אינפניטי'!A:K,9,0)</f>
        <v>0</v>
      </c>
      <c r="N38" s="121">
        <f>VLOOKUP(A38,'הכשרה'!A:K,10,0)+VLOOKUP('תפוקה מצטברת מול אשתקד'!A38,'מגדל'!A:K,10,0)+VLOOKUP('תפוקה מצטברת מול אשתקד'!A38,'מנורה'!A:K,10,0)+VLOOKUP('תפוקה מצטברת מול אשתקד'!A38,'איילון'!A:K,10,0)+VLOOKUP('תפוקה מצטברת מול אשתקד'!A38,'הראל'!A:K,10,0)+VLOOKUP('תפוקה מצטברת מול אשתקד'!A38,'הפניקס'!A:K,10,0)+VLOOKUP('תפוקה מצטברת מול אשתקד'!A38,'כלל'!A:K,10,0)+VLOOKUP('תפוקה מצטברת מול אשתקד'!A38,'מור'!A:K,10,0)+VLOOKUP('תפוקה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אשתקד'!A38,'אינפניטי'!A:K,10,0)</f>
        <v>0</v>
      </c>
      <c r="O38" s="121">
        <f>VLOOKUP(A38,'הכשרה'!A:K,11,0)+VLOOKUP('תפוקה מצטברת מול אשתקד'!A38,'מגדל'!A:K,11,0)+VLOOKUP('תפוקה מצטברת מול אשתקד'!A38,'מנורה'!A:K,11,0)+VLOOKUP('תפוקה מצטברת מול אשתקד'!A38,'איילון'!A:K,11,0)+VLOOKUP('תפוקה מצטברת מול אשתקד'!A38,'הראל'!A:K,11,0)+VLOOKUP('תפוקה מצטברת מול אשתקד'!A38,'הפניקס'!A:K,11,0)+VLOOKUP('תפוקה מצטברת מול אשתקד'!A38,'כלל'!A:K,11,0)+VLOOKUP('תפוקה מצטברת מול אשתקד'!A38,'מור'!A:K,11,0)+VLOOKUP('תפוקה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אשתקד'!A38,'אינפניטי'!A:K,11,0)</f>
        <v>623322.27</v>
      </c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ht="15.75" customHeight="1">
      <c r="A39" s="98" t="s">
        <v>95</v>
      </c>
      <c r="B39" s="98" t="s">
        <v>23</v>
      </c>
      <c r="C39" s="125" t="s">
        <v>80</v>
      </c>
      <c r="D39" s="88">
        <f t="shared" ref="D39:F39" si="45">IF(H39=0,0%,IF(L39=0,100%,H39/L39-1))</f>
        <v>2.157229133</v>
      </c>
      <c r="E39" s="88">
        <f t="shared" si="45"/>
        <v>2.429095837</v>
      </c>
      <c r="F39" s="88">
        <f t="shared" si="45"/>
        <v>1</v>
      </c>
      <c r="G39" s="88">
        <f t="shared" ref="G39:G43" si="47">IF(K39=0,0%,IF(O39=H65,100%,K39/O39-1))</f>
        <v>1</v>
      </c>
      <c r="H39" s="120">
        <f>VLOOKUP(A39,'הכשרה'!A:G,4,0)+VLOOKUP('תפוקה מצטברת מול אשתקד'!A39,'מגדל'!A:G,4,0)+VLOOKUP('תפוקה מצטברת מול אשתקד'!A39,'מנורה'!A:G,4,0)+VLOOKUP('תפוקה מצטברת מול אשתקד'!A39,'איילון'!A:G,4,0)+VLOOKUP('תפוקה מצטברת מול אשתקד'!A39,'הראל'!A:G,4,0)+VLOOKUP('תפוקה מצטברת מול אשתקד'!A39,'הפניקס'!A:G,4,0)+VLOOKUP('תפוקה מצטברת מול אשתקד'!A39,'כלל'!A:G,4,0)+VLOOKUP('תפוקה מצטברת מול אשתקד'!A39,'מור'!A:G,4,0)+VLOOKUP('תפוקה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אשתקד'!A39,'אינפניטי'!A:G,4,0)</f>
        <v>25403.37</v>
      </c>
      <c r="I39" s="120">
        <f>VLOOKUP(A39,'הכשרה'!A:G,5,0)+VLOOKUP('תפוקה מצטברת מול אשתקד'!A39,'מגדל'!A:G,5,0)+VLOOKUP('תפוקה מצטברת מול אשתקד'!A39,'מנורה'!A:G,5,0)+VLOOKUP('תפוקה מצטברת מול אשתקד'!A39,'איילון'!A:G,5,0)+VLOOKUP('תפוקה מצטברת מול אשתקד'!A39,'הראל'!A:G,5,0)+VLOOKUP('תפוקה מצטברת מול אשתקד'!A39,'הפניקס'!A:G,5,0)+VLOOKUP('תפוקה מצטברת מול אשתקד'!A39,'כלל'!A:G,5,0)+VLOOKUP('תפוקה מצטברת מול אשתקד'!A39,'מור'!A:G,5,0)+VLOOKUP('תפוקה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אשתקד'!A39,'אינפניטי'!A:G,5,0)</f>
        <v>2606.25</v>
      </c>
      <c r="J39" s="120">
        <f>VLOOKUP(A39,'הכשרה'!A:G,6,0)+VLOOKUP('תפוקה מצטברת מול אשתקד'!A39,'מגדל'!A:G,6,0)+VLOOKUP('תפוקה מצטברת מול אשתקד'!A39,'מנורה'!A:G,6,0)+VLOOKUP('תפוקה מצטברת מול אשתקד'!A39,'איילון'!A:G,6,0)+VLOOKUP(A39,'הראל'!A:G,6,0)+VLOOKUP('תפוקה מצטברת מול אשתקד'!A39,'הפניקס'!A:G,6,0)+VLOOKUP('תפוקה מצטברת מול אשתקד'!A39,'כלל'!A:G,6,0)+VLOOKUP('תפוקה מצטברת מול אשתקד'!A39,'מור'!A:G,6,0)+VLOOKUP('תפוקה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אשתקד'!A39,'אינפניטי'!A:G,6,0)</f>
        <v>245920.63</v>
      </c>
      <c r="K39" s="120">
        <f>VLOOKUP(A39,'הכשרה'!A:G,7,0)+VLOOKUP('תפוקה מצטברת מול אשתקד'!A39,'מגדל'!A:G,7,0)+VLOOKUP('תפוקה מצטברת מול אשתקד'!A39,'מנורה'!A:G,7,0)+VLOOKUP('תפוקה מצטברת מול אשתקד'!A39,'איילון'!A:G,7,0)+VLOOKUP('תפוקה מצטברת מול אשתקד'!A39,'הראל'!A:G,7,0)+VLOOKUP('תפוקה מצטברת מול אשתקד'!A39,'הפניקס'!A:G,7,0)+VLOOKUP('תפוקה מצטברת מול אשתקד'!A39,'כלל'!A:G,7,0)+VLOOKUP('תפוקה מצטברת מול אשתקד'!A39,'מור'!A:G,7,0)+VLOOKUP('תפוקה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אשתקד'!A39,'אינפניטי'!A:G,7,0)</f>
        <v>229331.73</v>
      </c>
      <c r="L39" s="121">
        <f>VLOOKUP(A39,'הכשרה'!A:K,8,0)+VLOOKUP('תפוקה מצטברת מול אשתקד'!A39,'מגדל'!A:K,8,0)+VLOOKUP('תפוקה מצטברת מול אשתקד'!A39,'מנורה'!A:K,8,0)+VLOOKUP('תפוקה מצטברת מול אשתקד'!A39,'איילון'!A:K,8,0)+VLOOKUP('תפוקה מצטברת מול אשתקד'!A39,'הראל'!A:K,8,0)+VLOOKUP('תפוקה מצטברת מול אשתקד'!A39,'הפניקס'!A:K,8,0)+VLOOKUP('תפוקה מצטברת מול אשתקד'!A39,'כלל'!A:K,8,0)+VLOOKUP('תפוקה מצטברת מול אשתקד'!A39,'מור'!A:K,8,0)+VLOOKUP('תפוקה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אשתקד'!A39,'אינפניטי'!A:K,8,0)</f>
        <v>8046.096411</v>
      </c>
      <c r="M39" s="121">
        <f>VLOOKUP(A39,'הכשרה'!A:K,9,0)+VLOOKUP('תפוקה מצטברת מול אשתקד'!A39,'מגדל'!A:K,9,0)+VLOOKUP('תפוקה מצטברת מול אשתקד'!A39,'מנורה'!A:K,9,0)+VLOOKUP('תפוקה מצטברת מול אשתקד'!A39,'איילון'!A:K,9,0)+VLOOKUP('תפוקה מצטברת מול אשתקד'!A39,'הראל'!A:K,9,0)+VLOOKUP('תפוקה מצטברת מול אשתקד'!A39,'הפניקס'!A:K,9,0)+VLOOKUP('תפוקה מצטברת מול אשתקד'!A39,'כלל'!A:K,9,0)+VLOOKUP('תפוקה מצטברת מול אשתקד'!A39,'מור'!A:K,9,0)+VLOOKUP('תפוקה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אשתקד'!A39,'אינפניטי'!A:K,9,0)</f>
        <v>760.04</v>
      </c>
      <c r="N39" s="121">
        <f>VLOOKUP(A39,'הכשרה'!A:K,10,0)+VLOOKUP('תפוקה מצטברת מול אשתקד'!A39,'מגדל'!A:K,10,0)+VLOOKUP('תפוקה מצטברת מול אשתקד'!A39,'מנורה'!A:K,10,0)+VLOOKUP('תפוקה מצטברת מול אשתקד'!A39,'איילון'!A:K,10,0)+VLOOKUP('תפוקה מצטברת מול אשתקד'!A39,'הראל'!A:K,10,0)+VLOOKUP('תפוקה מצטברת מול אשתקד'!A39,'הפניקס'!A:K,10,0)+VLOOKUP('תפוקה מצטברת מול אשתקד'!A39,'כלל'!A:K,10,0)+VLOOKUP('תפוקה מצטברת מול אשתקד'!A39,'מור'!A:K,10,0)+VLOOKUP('תפוקה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אשתקד'!A39,'אינפניטי'!A:K,10,0)</f>
        <v>0</v>
      </c>
      <c r="O39" s="121">
        <f>VLOOKUP(A39,'הכשרה'!A:K,11,0)+VLOOKUP('תפוקה מצטברת מול אשתקד'!A39,'מגדל'!A:K,11,0)+VLOOKUP('תפוקה מצטברת מול אשתקד'!A39,'מנורה'!A:K,11,0)+VLOOKUP('תפוקה מצטברת מול אשתקד'!A39,'איילון'!A:K,11,0)+VLOOKUP('תפוקה מצטברת מול אשתקד'!A39,'הראל'!A:K,11,0)+VLOOKUP('תפוקה מצטברת מול אשתקד'!A39,'הפניקס'!A:K,11,0)+VLOOKUP('תפוקה מצטברת מול אשתקד'!A39,'כלל'!A:K,11,0)+VLOOKUP('תפוקה מצטברת מול אשתקד'!A39,'מור'!A:K,11,0)+VLOOKUP('תפוקה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אשתקד'!A39,'אינפניטי'!A:K,11,0)</f>
        <v>0</v>
      </c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ht="15.75" customHeight="1">
      <c r="A40" s="99" t="s">
        <v>96</v>
      </c>
      <c r="B40" s="98" t="s">
        <v>23</v>
      </c>
      <c r="C40" s="125" t="s">
        <v>80</v>
      </c>
      <c r="D40" s="88">
        <f t="shared" ref="D40:F40" si="46">IF(H40=0,0%,IF(L40=0,100%,H40/L40-1))</f>
        <v>-0.05037062764</v>
      </c>
      <c r="E40" s="88">
        <f t="shared" si="46"/>
        <v>-0.3557740976</v>
      </c>
      <c r="F40" s="88">
        <f t="shared" si="46"/>
        <v>0.307246558</v>
      </c>
      <c r="G40" s="88">
        <f t="shared" si="47"/>
        <v>-0.5652290939</v>
      </c>
      <c r="H40" s="120">
        <f>VLOOKUP(A40,'הכשרה'!A:G,4,0)+VLOOKUP('תפוקה מצטברת מול אשתקד'!A40,'מגדל'!A:G,4,0)+VLOOKUP('תפוקה מצטברת מול אשתקד'!A40,'מנורה'!A:G,4,0)+VLOOKUP('תפוקה מצטברת מול אשתקד'!A40,'איילון'!A:G,4,0)+VLOOKUP('תפוקה מצטברת מול אשתקד'!A40,'הראל'!A:G,4,0)+VLOOKUP('תפוקה מצטברת מול אשתקד'!A40,'הפניקס'!A:G,4,0)+VLOOKUP('תפוקה מצטברת מול אשתקד'!A40,'כלל'!A:G,4,0)+VLOOKUP('תפוקה מצטברת מול אשתקד'!A40,'מור'!A:G,4,0)+VLOOKUP('תפוקה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אשתקד'!A40,'אינפניטי'!A:G,4,0)</f>
        <v>292726.8128</v>
      </c>
      <c r="I40" s="120">
        <f>VLOOKUP(A40,'הכשרה'!A:G,5,0)+VLOOKUP('תפוקה מצטברת מול אשתקד'!A40,'מגדל'!A:G,5,0)+VLOOKUP('תפוקה מצטברת מול אשתקד'!A40,'מנורה'!A:G,5,0)+VLOOKUP('תפוקה מצטברת מול אשתקד'!A40,'איילון'!A:G,5,0)+VLOOKUP('תפוקה מצטברת מול אשתקד'!A40,'הראל'!A:G,5,0)+VLOOKUP('תפוקה מצטברת מול אשתקד'!A40,'הפניקס'!A:G,5,0)+VLOOKUP('תפוקה מצטברת מול אשתקד'!A40,'כלל'!A:G,5,0)+VLOOKUP('תפוקה מצטברת מול אשתקד'!A40,'מור'!A:G,5,0)+VLOOKUP('תפוקה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אשתקד'!A40,'אינפניטי'!A:G,5,0)</f>
        <v>30300.50749</v>
      </c>
      <c r="J40" s="120">
        <f>VLOOKUP(A40,'הכשרה'!A:G,6,0)+VLOOKUP('תפוקה מצטברת מול אשתקד'!A40,'מגדל'!A:G,6,0)+VLOOKUP('תפוקה מצטברת מול אשתקד'!A40,'מנורה'!A:G,6,0)+VLOOKUP('תפוקה מצטברת מול אשתקד'!A40,'איילון'!A:G,6,0)+VLOOKUP(A40,'הראל'!A:G,6,0)+VLOOKUP('תפוקה מצטברת מול אשתקד'!A40,'הפניקס'!A:G,6,0)+VLOOKUP('תפוקה מצטברת מול אשתקד'!A40,'כלל'!A:G,6,0)+VLOOKUP('תפוקה מצטברת מול אשתקד'!A40,'מור'!A:G,6,0)+VLOOKUP('תפוקה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אשתקד'!A40,'אינפניטי'!A:G,6,0)</f>
        <v>504815.3654</v>
      </c>
      <c r="K40" s="120">
        <f>VLOOKUP(A40,'הכשרה'!A:G,7,0)+VLOOKUP('תפוקה מצטברת מול אשתקד'!A40,'מגדל'!A:G,7,0)+VLOOKUP('תפוקה מצטברת מול אשתקד'!A40,'מנורה'!A:G,7,0)+VLOOKUP('תפוקה מצטברת מול אשתקד'!A40,'איילון'!A:G,7,0)+VLOOKUP('תפוקה מצטברת מול אשתקד'!A40,'הראל'!A:G,7,0)+VLOOKUP('תפוקה מצטברת מול אשתקד'!A40,'הפניקס'!A:G,7,0)+VLOOKUP('תפוקה מצטברת מול אשתקד'!A40,'כלל'!A:G,7,0)+VLOOKUP('תפוקה מצטברת מול אשתקד'!A40,'מור'!A:G,7,0)+VLOOKUP('תפוקה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אשתקד'!A40,'אינפניטי'!A:G,7,0)</f>
        <v>837097.91</v>
      </c>
      <c r="L40" s="121">
        <f>VLOOKUP(A40,'הכשרה'!A:K,8,0)+VLOOKUP('תפוקה מצטברת מול אשתקד'!A40,'מגדל'!A:K,8,0)+VLOOKUP('תפוקה מצטברת מול אשתקד'!A40,'מנורה'!A:K,8,0)+VLOOKUP('תפוקה מצטברת מול אשתקד'!A40,'איילון'!A:K,8,0)+VLOOKUP('תפוקה מצטברת מול אשתקד'!A40,'הראל'!A:K,8,0)+VLOOKUP('תפוקה מצטברת מול אשתקד'!A40,'הפניקס'!A:K,8,0)+VLOOKUP('תפוקה מצטברת מול אשתקד'!A40,'כלל'!A:K,8,0)+VLOOKUP('תפוקה מצטברת מול אשתקד'!A40,'מור'!A:K,8,0)+VLOOKUP('תפוקה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אשתקד'!A40,'אינפניטי'!A:K,8,0)</f>
        <v>308253.7475</v>
      </c>
      <c r="M40" s="121">
        <f>VLOOKUP(A40,'הכשרה'!A:K,9,0)+VLOOKUP('תפוקה מצטברת מול אשתקד'!A40,'מגדל'!A:K,9,0)+VLOOKUP('תפוקה מצטברת מול אשתקד'!A40,'מנורה'!A:K,9,0)+VLOOKUP('תפוקה מצטברת מול אשתקד'!A40,'איילון'!A:K,9,0)+VLOOKUP('תפוקה מצטברת מול אשתקד'!A40,'הראל'!A:K,9,0)+VLOOKUP('תפוקה מצטברת מול אשתקד'!A40,'הפניקס'!A:K,9,0)+VLOOKUP('תפוקה מצטברת מול אשתקד'!A40,'כלל'!A:K,9,0)+VLOOKUP('תפוקה מצטברת מול אשתקד'!A40,'מור'!A:K,9,0)+VLOOKUP('תפוקה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אשתקד'!A40,'אינפניטי'!A:K,9,0)</f>
        <v>47033.97889</v>
      </c>
      <c r="N40" s="121">
        <f>VLOOKUP(A40,'הכשרה'!A:K,10,0)+VLOOKUP('תפוקה מצטברת מול אשתקד'!A40,'מגדל'!A:K,10,0)+VLOOKUP('תפוקה מצטברת מול אשתקד'!A40,'מנורה'!A:K,10,0)+VLOOKUP('תפוקה מצטברת מול אשתקד'!A40,'איילון'!A:K,10,0)+VLOOKUP('תפוקה מצטברת מול אשתקד'!A40,'הראל'!A:K,10,0)+VLOOKUP('תפוקה מצטברת מול אשתקד'!A40,'הפניקס'!A:K,10,0)+VLOOKUP('תפוקה מצטברת מול אשתקד'!A40,'כלל'!A:K,10,0)+VLOOKUP('תפוקה מצטברת מול אשתקד'!A40,'מור'!A:K,10,0)+VLOOKUP('תפוקה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אשתקד'!A40,'אינפניטי'!A:K,10,0)</f>
        <v>386166.9111</v>
      </c>
      <c r="O40" s="121">
        <f>VLOOKUP(A40,'הכשרה'!A:K,11,0)+VLOOKUP('תפוקה מצטברת מול אשתקד'!A40,'מגדל'!A:K,11,0)+VLOOKUP('תפוקה מצטברת מול אשתקד'!A40,'מנורה'!A:K,11,0)+VLOOKUP('תפוקה מצטברת מול אשתקד'!A40,'איילון'!A:K,11,0)+VLOOKUP('תפוקה מצטברת מול אשתקד'!A40,'הראל'!A:K,11,0)+VLOOKUP('תפוקה מצטברת מול אשתקד'!A40,'הפניקס'!A:K,11,0)+VLOOKUP('תפוקה מצטברת מול אשתקד'!A40,'כלל'!A:K,11,0)+VLOOKUP('תפוקה מצטברת מול אשתקד'!A40,'מור'!A:K,11,0)+VLOOKUP('תפוקה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אשתקד'!A40,'אינפניטי'!A:K,11,0)</f>
        <v>1925377.017</v>
      </c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ht="15.75" customHeight="1">
      <c r="A41" s="98" t="s">
        <v>97</v>
      </c>
      <c r="B41" s="98" t="s">
        <v>23</v>
      </c>
      <c r="C41" s="125" t="s">
        <v>80</v>
      </c>
      <c r="D41" s="88">
        <f t="shared" ref="D41:F41" si="48">IF(H41=0,0%,IF(L41=0,100%,H41/L41-1))</f>
        <v>-0.9590852138</v>
      </c>
      <c r="E41" s="88">
        <f t="shared" si="48"/>
        <v>-0.4176697903</v>
      </c>
      <c r="F41" s="88">
        <f t="shared" si="48"/>
        <v>-0.7632934343</v>
      </c>
      <c r="G41" s="88">
        <f t="shared" si="47"/>
        <v>0</v>
      </c>
      <c r="H41" s="120">
        <f>VLOOKUP(A41,'הכשרה'!A:G,4,0)+VLOOKUP('תפוקה מצטברת מול אשתקד'!A41,'מגדל'!A:G,4,0)+VLOOKUP('תפוקה מצטברת מול אשתקד'!A41,'מנורה'!A:G,4,0)+VLOOKUP('תפוקה מצטברת מול אשתקד'!A41,'איילון'!A:G,4,0)+VLOOKUP('תפוקה מצטברת מול אשתקד'!A41,'הראל'!A:G,4,0)+VLOOKUP('תפוקה מצטברת מול אשתקד'!A41,'הפניקס'!A:G,4,0)+VLOOKUP('תפוקה מצטברת מול אשתקד'!A41,'כלל'!A:G,4,0)+VLOOKUP('תפוקה מצטברת מול אשתקד'!A41,'מור'!A:G,4,0)+VLOOKUP('תפוקה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אשתקד'!A41,'אינפניטי'!A:G,4,0)</f>
        <v>9990</v>
      </c>
      <c r="I41" s="120">
        <f>VLOOKUP(A41,'הכשרה'!A:G,5,0)+VLOOKUP('תפוקה מצטברת מול אשתקד'!A41,'מגדל'!A:G,5,0)+VLOOKUP('תפוקה מצטברת מול אשתקד'!A41,'מנורה'!A:G,5,0)+VLOOKUP('תפוקה מצטברת מול אשתקד'!A41,'איילון'!A:G,5,0)+VLOOKUP('תפוקה מצטברת מול אשתקד'!A41,'הראל'!A:G,5,0)+VLOOKUP('תפוקה מצטברת מול אשתקד'!A41,'הפניקס'!A:G,5,0)+VLOOKUP('תפוקה מצטברת מול אשתקד'!A41,'כלל'!A:G,5,0)+VLOOKUP('תפוקה מצטברת מול אשתקד'!A41,'מור'!A:G,5,0)+VLOOKUP('תפוקה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אשתקד'!A41,'אינפניטי'!A:G,5,0)</f>
        <v>22361.58583</v>
      </c>
      <c r="J41" s="120">
        <f>VLOOKUP(A41,'הכשרה'!A:G,6,0)+VLOOKUP('תפוקה מצטברת מול אשתקד'!A41,'מגדל'!A:G,6,0)+VLOOKUP('תפוקה מצטברת מול אשתקד'!A41,'מנורה'!A:G,6,0)+VLOOKUP('תפוקה מצטברת מול אשתקד'!A41,'איילון'!A:G,6,0)+VLOOKUP(A41,'הראל'!A:G,6,0)+VLOOKUP('תפוקה מצטברת מול אשתקד'!A41,'הפניקס'!A:G,6,0)+VLOOKUP('תפוקה מצטברת מול אשתקד'!A41,'כלל'!A:G,6,0)+VLOOKUP('תפוקה מצטברת מול אשתקד'!A41,'מור'!A:G,6,0)+VLOOKUP('תפוקה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אשתקד'!A41,'אינפניטי'!A:G,6,0)</f>
        <v>9373.58</v>
      </c>
      <c r="K41" s="120">
        <f>VLOOKUP(A41,'הכשרה'!A:G,7,0)+VLOOKUP('תפוקה מצטברת מול אשתקד'!A41,'מגדל'!A:G,7,0)+VLOOKUP('תפוקה מצטברת מול אשתקד'!A41,'מנורה'!A:G,7,0)+VLOOKUP('תפוקה מצטברת מול אשתקד'!A41,'איילון'!A:G,7,0)+VLOOKUP('תפוקה מצטברת מול אשתקד'!A41,'הראל'!A:G,7,0)+VLOOKUP('תפוקה מצטברת מול אשתקד'!A41,'הפניקס'!A:G,7,0)+VLOOKUP('תפוקה מצטברת מול אשתקד'!A41,'כלל'!A:G,7,0)+VLOOKUP('תפוקה מצטברת מול אשתקד'!A41,'מור'!A:G,7,0)+VLOOKUP('תפוקה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אשתקד'!A41,'אינפניטי'!A:G,7,0)</f>
        <v>0</v>
      </c>
      <c r="L41" s="121">
        <f>VLOOKUP(A41,'הכשרה'!A:K,8,0)+VLOOKUP('תפוקה מצטברת מול אשתקד'!A41,'מגדל'!A:K,8,0)+VLOOKUP('תפוקה מצטברת מול אשתקד'!A41,'מנורה'!A:K,8,0)+VLOOKUP('תפוקה מצטברת מול אשתקד'!A41,'איילון'!A:K,8,0)+VLOOKUP('תפוקה מצטברת מול אשתקד'!A41,'הראל'!A:K,8,0)+VLOOKUP('תפוקה מצטברת מול אשתקד'!A41,'הפניקס'!A:K,8,0)+VLOOKUP('תפוקה מצטברת מול אשתקד'!A41,'כלל'!A:K,8,0)+VLOOKUP('תפוקה מצטברת מול אשתקד'!A41,'מור'!A:K,8,0)+VLOOKUP('תפוקה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אשתקד'!A41,'אינפניטי'!A:K,8,0)</f>
        <v>244166.0075</v>
      </c>
      <c r="M41" s="121">
        <f>VLOOKUP(A41,'הכשרה'!A:K,9,0)+VLOOKUP('תפוקה מצטברת מול אשתקד'!A41,'מגדל'!A:K,9,0)+VLOOKUP('תפוקה מצטברת מול אשתקד'!A41,'מנורה'!A:K,9,0)+VLOOKUP('תפוקה מצטברת מול אשתקד'!A41,'איילון'!A:K,9,0)+VLOOKUP('תפוקה מצטברת מול אשתקד'!A41,'הראל'!A:K,9,0)+VLOOKUP('תפוקה מצטברת מול אשתקד'!A41,'הפניקס'!A:K,9,0)+VLOOKUP('תפוקה מצטברת מול אשתקד'!A41,'כלל'!A:K,9,0)+VLOOKUP('תפוקה מצטברת מול אשתקד'!A41,'מור'!A:K,9,0)+VLOOKUP('תפוקה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אשתקד'!A41,'אינפניטי'!A:K,9,0)</f>
        <v>38400.18164</v>
      </c>
      <c r="N41" s="121">
        <f>VLOOKUP(A41,'הכשרה'!A:K,10,0)+VLOOKUP('תפוקה מצטברת מול אשתקד'!A41,'מגדל'!A:K,10,0)+VLOOKUP('תפוקה מצטברת מול אשתקד'!A41,'מנורה'!A:K,10,0)+VLOOKUP('תפוקה מצטברת מול אשתקד'!A41,'איילון'!A:K,10,0)+VLOOKUP('תפוקה מצטברת מול אשתקד'!A41,'הראל'!A:K,10,0)+VLOOKUP('תפוקה מצטברת מול אשתקד'!A41,'הפניקס'!A:K,10,0)+VLOOKUP('תפוקה מצטברת מול אשתקד'!A41,'כלל'!A:K,10,0)+VLOOKUP('תפוקה מצטברת מול אשתקד'!A41,'מור'!A:K,10,0)+VLOOKUP('תפוקה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אשתקד'!A41,'אינפניטי'!A:K,10,0)</f>
        <v>39600</v>
      </c>
      <c r="O41" s="121">
        <f>VLOOKUP(A41,'הכשרה'!A:K,11,0)+VLOOKUP('תפוקה מצטברת מול אשתקד'!A41,'מגדל'!A:K,11,0)+VLOOKUP('תפוקה מצטברת מול אשתקד'!A41,'מנורה'!A:K,11,0)+VLOOKUP('תפוקה מצטברת מול אשתקד'!A41,'איילון'!A:K,11,0)+VLOOKUP('תפוקה מצטברת מול אשתקד'!A41,'הראל'!A:K,11,0)+VLOOKUP('תפוקה מצטברת מול אשתקד'!A41,'הפניקס'!A:K,11,0)+VLOOKUP('תפוקה מצטברת מול אשתקד'!A41,'כלל'!A:K,11,0)+VLOOKUP('תפוקה מצטברת מול אשתקד'!A41,'מור'!A:K,11,0)+VLOOKUP('תפוקה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אשתקד'!A41,'אינפניטי'!A:K,11,0)</f>
        <v>130867.385</v>
      </c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ht="15.75" customHeight="1">
      <c r="A42" s="98" t="s">
        <v>98</v>
      </c>
      <c r="B42" s="98" t="s">
        <v>23</v>
      </c>
      <c r="C42" s="125" t="s">
        <v>80</v>
      </c>
      <c r="D42" s="88">
        <f t="shared" ref="D42:F42" si="49">IF(H42=0,0%,IF(L42=0,100%,H42/L42-1))</f>
        <v>1</v>
      </c>
      <c r="E42" s="88">
        <f t="shared" si="49"/>
        <v>7.175926993</v>
      </c>
      <c r="F42" s="88">
        <f t="shared" si="49"/>
        <v>2.91787202</v>
      </c>
      <c r="G42" s="88">
        <f t="shared" si="47"/>
        <v>-0.9553647852</v>
      </c>
      <c r="H42" s="120">
        <f>VLOOKUP(A42,'הכשרה'!A:G,4,0)+VLOOKUP('תפוקה מצטברת מול אשתקד'!A42,'מגדל'!A:G,4,0)+VLOOKUP('תפוקה מצטברת מול אשתקד'!A42,'מנורה'!A:G,4,0)+VLOOKUP('תפוקה מצטברת מול אשתקד'!A42,'איילון'!A:G,4,0)+VLOOKUP('תפוקה מצטברת מול אשתקד'!A42,'הראל'!A:G,4,0)+VLOOKUP('תפוקה מצטברת מול אשתקד'!A42,'הפניקס'!A:G,4,0)+VLOOKUP('תפוקה מצטברת מול אשתקד'!A42,'כלל'!A:G,4,0)+VLOOKUP('תפוקה מצטברת מול אשתקד'!A42,'מור'!A:G,4,0)+VLOOKUP('תפוקה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אשתקד'!A42,'אינפניטי'!A:G,4,0)</f>
        <v>7023.913975</v>
      </c>
      <c r="I42" s="120">
        <f>VLOOKUP(A42,'הכשרה'!A:G,5,0)+VLOOKUP('תפוקה מצטברת מול אשתקד'!A42,'מגדל'!A:G,5,0)+VLOOKUP('תפוקה מצטברת מול אשתקד'!A42,'מנורה'!A:G,5,0)+VLOOKUP('תפוקה מצטברת מול אשתקד'!A42,'איילון'!A:G,5,0)+VLOOKUP('תפוקה מצטברת מול אשתקד'!A42,'הראל'!A:G,5,0)+VLOOKUP('תפוקה מצטברת מול אשתקד'!A42,'הפניקס'!A:G,5,0)+VLOOKUP('תפוקה מצטברת מול אשתקד'!A42,'כלל'!A:G,5,0)+VLOOKUP('תפוקה מצטברת מול אשתקד'!A42,'מור'!A:G,5,0)+VLOOKUP('תפוקה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אשתקד'!A42,'אינפניטי'!A:G,5,0)</f>
        <v>24963.57424</v>
      </c>
      <c r="J42" s="120">
        <f>VLOOKUP(A42,'הכשרה'!A:G,6,0)+VLOOKUP('תפוקה מצטברת מול אשתקד'!A42,'מגדל'!A:G,6,0)+VLOOKUP('תפוקה מצטברת מול אשתקד'!A42,'מנורה'!A:G,6,0)+VLOOKUP('תפוקה מצטברת מול אשתקד'!A42,'איילון'!A:G,6,0)+VLOOKUP(A42,'הראל'!A:G,6,0)+VLOOKUP('תפוקה מצטברת מול אשתקד'!A42,'הפניקס'!A:G,6,0)+VLOOKUP('תפוקה מצטברת מול אשתקד'!A42,'כלל'!A:G,6,0)+VLOOKUP('תפוקה מצטברת מול אשתקד'!A42,'מור'!A:G,6,0)+VLOOKUP('תפוקה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אשתקד'!A42,'אינפניטי'!A:G,6,0)</f>
        <v>495701</v>
      </c>
      <c r="K42" s="120">
        <f>VLOOKUP(A42,'הכשרה'!A:G,7,0)+VLOOKUP('תפוקה מצטברת מול אשתקד'!A42,'מגדל'!A:G,7,0)+VLOOKUP('תפוקה מצטברת מול אשתקד'!A42,'מנורה'!A:G,7,0)+VLOOKUP('תפוקה מצטברת מול אשתקד'!A42,'איילון'!A:G,7,0)+VLOOKUP('תפוקה מצטברת מול אשתקד'!A42,'הראל'!A:G,7,0)+VLOOKUP('תפוקה מצטברת מול אשתקד'!A42,'הפניקס'!A:G,7,0)+VLOOKUP('תפוקה מצטברת מול אשתקד'!A42,'כלל'!A:G,7,0)+VLOOKUP('תפוקה מצטברת מול אשתקד'!A42,'מור'!A:G,7,0)+VLOOKUP('תפוקה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אשתקד'!A42,'אינפניטי'!A:G,7,0)</f>
        <v>131441.16</v>
      </c>
      <c r="L42" s="121">
        <f>VLOOKUP(A42,'הכשרה'!A:K,8,0)+VLOOKUP('תפוקה מצטברת מול אשתקד'!A42,'מגדל'!A:K,8,0)+VLOOKUP('תפוקה מצטברת מול אשתקד'!A42,'מנורה'!A:K,8,0)+VLOOKUP('תפוקה מצטברת מול אשתקד'!A42,'איילון'!A:K,8,0)+VLOOKUP('תפוקה מצטברת מול אשתקד'!A42,'הראל'!A:K,8,0)+VLOOKUP('תפוקה מצטברת מול אשתקד'!A42,'הפניקס'!A:K,8,0)+VLOOKUP('תפוקה מצטברת מול אשתקד'!A42,'כלל'!A:K,8,0)+VLOOKUP('תפוקה מצטברת מול אשתקד'!A42,'מור'!A:K,8,0)+VLOOKUP('תפוקה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אשתקד'!A42,'אינפניטי'!A:K,8,0)</f>
        <v>0</v>
      </c>
      <c r="M42" s="121">
        <f>VLOOKUP(A42,'הכשרה'!A:K,9,0)+VLOOKUP('תפוקה מצטברת מול אשתקד'!A42,'מגדל'!A:K,9,0)+VLOOKUP('תפוקה מצטברת מול אשתקד'!A42,'מנורה'!A:K,9,0)+VLOOKUP('תפוקה מצטברת מול אשתקד'!A42,'איילון'!A:K,9,0)+VLOOKUP('תפוקה מצטברת מול אשתקד'!A42,'הראל'!A:K,9,0)+VLOOKUP('תפוקה מצטברת מול אשתקד'!A42,'הפניקס'!A:K,9,0)+VLOOKUP('תפוקה מצטברת מול אשתקד'!A42,'כלל'!A:K,9,0)+VLOOKUP('תפוקה מצטברת מול אשתקד'!A42,'מור'!A:K,9,0)+VLOOKUP('תפוקה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אשתקד'!A42,'אינפניטי'!A:K,9,0)</f>
        <v>3053.302</v>
      </c>
      <c r="N42" s="121">
        <f>VLOOKUP(A42,'הכשרה'!A:K,10,0)+VLOOKUP('תפוקה מצטברת מול אשתקד'!A42,'מגדל'!A:K,10,0)+VLOOKUP('תפוקה מצטברת מול אשתקד'!A42,'מנורה'!A:K,10,0)+VLOOKUP('תפוקה מצטברת מול אשתקד'!A42,'איילון'!A:K,10,0)+VLOOKUP('תפוקה מצטברת מול אשתקד'!A42,'הראל'!A:K,10,0)+VLOOKUP('תפוקה מצטברת מול אשתקד'!A42,'הפניקס'!A:K,10,0)+VLOOKUP('תפוקה מצטברת מול אשתקד'!A42,'כלל'!A:K,10,0)+VLOOKUP('תפוקה מצטברת מול אשתקד'!A42,'מור'!A:K,10,0)+VLOOKUP('תפוקה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אשתקד'!A42,'אינפניטי'!A:K,10,0)</f>
        <v>126523.02</v>
      </c>
      <c r="O42" s="121">
        <f>VLOOKUP(A42,'הכשרה'!A:K,11,0)+VLOOKUP('תפוקה מצטברת מול אשתקד'!A42,'מגדל'!A:K,11,0)+VLOOKUP('תפוקה מצטברת מול אשתקד'!A42,'מנורה'!A:K,11,0)+VLOOKUP('תפוקה מצטברת מול אשתקד'!A42,'איילון'!A:K,11,0)+VLOOKUP('תפוקה מצטברת מול אשתקד'!A42,'הראל'!A:K,11,0)+VLOOKUP('תפוקה מצטברת מול אשתקד'!A42,'הפניקס'!A:K,11,0)+VLOOKUP('תפוקה מצטברת מול אשתקד'!A42,'כלל'!A:K,11,0)+VLOOKUP('תפוקה מצטברת מול אשתקד'!A42,'מור'!A:K,11,0)+VLOOKUP('תפוקה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אשתקד'!A42,'אינפניטי'!A:K,11,0)</f>
        <v>2944786.1</v>
      </c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ht="15.75" customHeight="1">
      <c r="A43" s="123" t="s">
        <v>99</v>
      </c>
      <c r="B43" s="98" t="s">
        <v>23</v>
      </c>
      <c r="C43" s="125" t="s">
        <v>80</v>
      </c>
      <c r="D43" s="88">
        <f t="shared" ref="D43:F43" si="50">IF(H43=0,0%,IF(L43=0,100%,H43/L43-1))</f>
        <v>0</v>
      </c>
      <c r="E43" s="88">
        <f t="shared" si="50"/>
        <v>1</v>
      </c>
      <c r="F43" s="88">
        <f t="shared" si="50"/>
        <v>0</v>
      </c>
      <c r="G43" s="88">
        <f t="shared" si="47"/>
        <v>0</v>
      </c>
      <c r="H43" s="120">
        <f>VLOOKUP(A43,'הכשרה'!A:G,4,0)+VLOOKUP('תפוקה מצטברת מול אשתקד'!A43,'מגדל'!A:G,4,0)+VLOOKUP('תפוקה מצטברת מול אשתקד'!A43,'מנורה'!A:G,4,0)+VLOOKUP('תפוקה מצטברת מול אשתקד'!A43,'איילון'!A:G,4,0)+VLOOKUP('תפוקה מצטברת מול אשתקד'!A43,'הראל'!A:G,4,0)+VLOOKUP('תפוקה מצטברת מול אשתקד'!A43,'הפניקס'!A:G,4,0)+VLOOKUP('תפוקה מצטברת מול אשתקד'!A43,'כלל'!A:G,4,0)+VLOOKUP('תפוקה מצטברת מול אשתקד'!A43,'מור'!A:G,4,0)+VLOOKUP('תפוקה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אשתקד'!A43,'אינפניטי'!A:G,4,0)</f>
        <v>0</v>
      </c>
      <c r="I43" s="120">
        <f>VLOOKUP(A43,'הכשרה'!A:G,5,0)+VLOOKUP('תפוקה מצטברת מול אשתקד'!A43,'מגדל'!A:G,5,0)+VLOOKUP('תפוקה מצטברת מול אשתקד'!A43,'מנורה'!A:G,5,0)+VLOOKUP('תפוקה מצטברת מול אשתקד'!A43,'איילון'!A:G,5,0)+VLOOKUP('תפוקה מצטברת מול אשתקד'!A43,'הראל'!A:G,5,0)+VLOOKUP('תפוקה מצטברת מול אשתקד'!A43,'הפניקס'!A:G,5,0)+VLOOKUP('תפוקה מצטברת מול אשתקד'!A43,'כלל'!A:G,5,0)+VLOOKUP('תפוקה מצטברת מול אשתקד'!A43,'מור'!A:G,5,0)+VLOOKUP('תפוקה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אשתקד'!A43,'אינפניטי'!A:G,5,0)</f>
        <v>5594.839</v>
      </c>
      <c r="J43" s="120">
        <f>VLOOKUP(A43,'הכשרה'!A:G,6,0)+VLOOKUP('תפוקה מצטברת מול אשתקד'!A43,'מגדל'!A:G,6,0)+VLOOKUP('תפוקה מצטברת מול אשתקד'!A43,'מנורה'!A:G,6,0)+VLOOKUP('תפוקה מצטברת מול אשתקד'!A43,'איילון'!A:G,6,0)+VLOOKUP(A43,'הראל'!A:G,6,0)+VLOOKUP('תפוקה מצטברת מול אשתקד'!A43,'הפניקס'!A:G,6,0)+VLOOKUP('תפוקה מצטברת מול אשתקד'!A43,'כלל'!A:G,6,0)+VLOOKUP('תפוקה מצטברת מול אשתקד'!A43,'מור'!A:G,6,0)+VLOOKUP('תפוקה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אשתקד'!A43,'אינפניטי'!A:G,6,0)</f>
        <v>0</v>
      </c>
      <c r="K43" s="120">
        <f>VLOOKUP(A43,'הכשרה'!A:G,7,0)+VLOOKUP('תפוקה מצטברת מול אשתקד'!A43,'מגדל'!A:G,7,0)+VLOOKUP('תפוקה מצטברת מול אשתקד'!A43,'מנורה'!A:G,7,0)+VLOOKUP('תפוקה מצטברת מול אשתקד'!A43,'איילון'!A:G,7,0)+VLOOKUP('תפוקה מצטברת מול אשתקד'!A43,'הראל'!A:G,7,0)+VLOOKUP('תפוקה מצטברת מול אשתקד'!A43,'הפניקס'!A:G,7,0)+VLOOKUP('תפוקה מצטברת מול אשתקד'!A43,'כלל'!A:G,7,0)+VLOOKUP('תפוקה מצטברת מול אשתקד'!A43,'מור'!A:G,7,0)+VLOOKUP('תפוקה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אשתקד'!A43,'אינפניטי'!A:G,7,0)</f>
        <v>0</v>
      </c>
      <c r="L43" s="121">
        <f>VLOOKUP(A43,'הכשרה'!A:K,8,0)+VLOOKUP('תפוקה מצטברת מול אשתקד'!A43,'מגדל'!A:K,8,0)+VLOOKUP('תפוקה מצטברת מול אשתקד'!A43,'מנורה'!A:K,8,0)+VLOOKUP('תפוקה מצטברת מול אשתקד'!A43,'איילון'!A:K,8,0)+VLOOKUP('תפוקה מצטברת מול אשתקד'!A43,'הראל'!A:K,8,0)+VLOOKUP('תפוקה מצטברת מול אשתקד'!A43,'הפניקס'!A:K,8,0)+VLOOKUP('תפוקה מצטברת מול אשתקד'!A43,'כלל'!A:K,8,0)+VLOOKUP('תפוקה מצטברת מול אשתקד'!A43,'מור'!A:K,8,0)+VLOOKUP('תפוקה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אשתקד'!A43,'אינפניטי'!A:K,8,0)</f>
        <v>0</v>
      </c>
      <c r="M43" s="121">
        <f>VLOOKUP(A43,'הכשרה'!A:K,9,0)+VLOOKUP('תפוקה מצטברת מול אשתקד'!A43,'מגדל'!A:K,9,0)+VLOOKUP('תפוקה מצטברת מול אשתקד'!A43,'מנורה'!A:K,9,0)+VLOOKUP('תפוקה מצטברת מול אשתקד'!A43,'איילון'!A:K,9,0)+VLOOKUP('תפוקה מצטברת מול אשתקד'!A43,'הראל'!A:K,9,0)+VLOOKUP('תפוקה מצטברת מול אשתקד'!A43,'הפניקס'!A:K,9,0)+VLOOKUP('תפוקה מצטברת מול אשתקד'!A43,'כלל'!A:K,9,0)+VLOOKUP('תפוקה מצטברת מול אשתקד'!A43,'מור'!A:K,9,0)+VLOOKUP('תפוקה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אשתקד'!A43,'אינפניטי'!A:K,9,0)</f>
        <v>0</v>
      </c>
      <c r="N43" s="121">
        <f>VLOOKUP(A43,'הכשרה'!A:K,10,0)+VLOOKUP('תפוקה מצטברת מול אשתקד'!A43,'מגדל'!A:K,10,0)+VLOOKUP('תפוקה מצטברת מול אשתקד'!A43,'מנורה'!A:K,10,0)+VLOOKUP('תפוקה מצטברת מול אשתקד'!A43,'איילון'!A:K,10,0)+VLOOKUP('תפוקה מצטברת מול אשתקד'!A43,'הראל'!A:K,10,0)+VLOOKUP('תפוקה מצטברת מול אשתקד'!A43,'הפניקס'!A:K,10,0)+VLOOKUP('תפוקה מצטברת מול אשתקד'!A43,'כלל'!A:K,10,0)+VLOOKUP('תפוקה מצטברת מול אשתקד'!A43,'מור'!A:K,10,0)+VLOOKUP('תפוקה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אשתקד'!A43,'אינפניטי'!A:K,10,0)</f>
        <v>0</v>
      </c>
      <c r="O43" s="121">
        <f>VLOOKUP(A43,'הכשרה'!A:K,11,0)+VLOOKUP('תפוקה מצטברת מול אשתקד'!A43,'מגדל'!A:K,11,0)+VLOOKUP('תפוקה מצטברת מול אשתקד'!A43,'מנורה'!A:K,11,0)+VLOOKUP('תפוקה מצטברת מול אשתקד'!A43,'איילון'!A:K,11,0)+VLOOKUP('תפוקה מצטברת מול אשתקד'!A43,'הראל'!A:K,11,0)+VLOOKUP('תפוקה מצטברת מול אשתקד'!A43,'הפניקס'!A:K,11,0)+VLOOKUP('תפוקה מצטברת מול אשתקד'!A43,'כלל'!A:K,11,0)+VLOOKUP('תפוקה מצטברת מול אשתקד'!A43,'מור'!A:K,11,0)+VLOOKUP('תפוקה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אשתקד'!A43,'אינפניטי'!A:K,11,0)</f>
        <v>0</v>
      </c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ht="15.75" customHeight="1">
      <c r="A44" s="123" t="s">
        <v>100</v>
      </c>
      <c r="B44" s="98" t="s">
        <v>23</v>
      </c>
      <c r="C44" s="125" t="s">
        <v>80</v>
      </c>
      <c r="D44" s="88">
        <f t="shared" ref="D44:F44" si="51">IF(H44=0,0%,IF(L44=0,100%,H44/L44-1))</f>
        <v>-0.7596836538</v>
      </c>
      <c r="E44" s="88">
        <f t="shared" si="51"/>
        <v>-2.162707765</v>
      </c>
      <c r="F44" s="88">
        <f t="shared" si="51"/>
        <v>1.017577446</v>
      </c>
      <c r="G44" s="88">
        <v>1.0</v>
      </c>
      <c r="H44" s="120">
        <f>VLOOKUP(A44,'הכשרה'!A:G,4,0)+VLOOKUP('תפוקה מצטברת מול אשתקד'!A44,'מגדל'!A:G,4,0)+VLOOKUP('תפוקה מצטברת מול אשתקד'!A44,'מנורה'!A:G,4,0)+VLOOKUP('תפוקה מצטברת מול אשתקד'!A44,'איילון'!A:G,4,0)+VLOOKUP('תפוקה מצטברת מול אשתקד'!A44,'הראל'!A:G,4,0)+VLOOKUP('תפוקה מצטברת מול אשתקד'!A44,'הפניקס'!A:G,4,0)+VLOOKUP('תפוקה מצטברת מול אשתקד'!A44,'כלל'!A:G,4,0)+VLOOKUP('תפוקה מצטברת מול אשתקד'!A44,'מור'!A:G,4,0)+VLOOKUP('תפוקה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אשתקד'!A44,'אינפניטי'!A:G,4,0)</f>
        <v>3349.2</v>
      </c>
      <c r="I44" s="120">
        <f>VLOOKUP(A44,'הכשרה'!A:G,5,0)+VLOOKUP('תפוקה מצטברת מול אשתקד'!A44,'מגדל'!A:G,5,0)+VLOOKUP('תפוקה מצטברת מול אשתקד'!A44,'מנורה'!A:G,5,0)+VLOOKUP('תפוקה מצטברת מול אשתקד'!A44,'איילון'!A:G,5,0)+VLOOKUP('תפוקה מצטברת מול אשתקד'!A44,'הראל'!A:G,5,0)+VLOOKUP('תפוקה מצטברת מול אשתקד'!A44,'הפניקס'!A:G,5,0)+VLOOKUP('תפוקה מצטברת מול אשתקד'!A44,'כלל'!A:G,5,0)+VLOOKUP('תפוקה מצטברת מול אשתקד'!A44,'מור'!A:G,5,0)+VLOOKUP('תפוקה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אשתקד'!A44,'אינפניטי'!A:G,5,0)</f>
        <v>-4033.503</v>
      </c>
      <c r="J44" s="120">
        <f>VLOOKUP(A44,'הכשרה'!A:G,6,0)+VLOOKUP('תפוקה מצטברת מול אשתקד'!A44,'מגדל'!A:G,6,0)+VLOOKUP('תפוקה מצטברת מול אשתקד'!A44,'מנורה'!A:G,6,0)+VLOOKUP('תפוקה מצטברת מול אשתקד'!A44,'איילון'!A:G,6,0)+VLOOKUP(A44,'הראל'!A:G,6,0)+VLOOKUP('תפוקה מצטברת מול אשתקד'!A44,'הפניקס'!A:G,6,0)+VLOOKUP('תפוקה מצטברת מול אשתקד'!A44,'כלל'!A:G,6,0)+VLOOKUP('תפוקה מצטברת מול אשתקד'!A44,'מור'!A:G,6,0)+VLOOKUP('תפוקה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אשתקד'!A44,'אינפניטי'!A:G,6,0)</f>
        <v>1022688.52</v>
      </c>
      <c r="K44" s="120">
        <f>VLOOKUP(A44,'הכשרה'!A:G,7,0)+VLOOKUP('תפוקה מצטברת מול אשתקד'!A44,'מגדל'!A:G,7,0)+VLOOKUP('תפוקה מצטברת מול אשתקד'!A44,'מנורה'!A:G,7,0)+VLOOKUP('תפוקה מצטברת מול אשתקד'!A44,'איילון'!A:G,7,0)+VLOOKUP('תפוקה מצטברת מול אשתקד'!A44,'הראל'!A:G,7,0)+VLOOKUP('תפוקה מצטברת מול אשתקד'!A44,'הפניקס'!A:G,7,0)+VLOOKUP('תפוקה מצטברת מול אשתקד'!A44,'כלל'!A:G,7,0)+VLOOKUP('תפוקה מצטברת מול אשתקד'!A44,'מור'!A:G,7,0)+VLOOKUP('תפוקה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אשתקד'!A44,'אינפניטי'!A:G,7,0)</f>
        <v>955923.42</v>
      </c>
      <c r="L44" s="121">
        <f>VLOOKUP(A44,'הכשרה'!A:K,8,0)+VLOOKUP('תפוקה מצטברת מול אשתקד'!A44,'מגדל'!A:K,8,0)+VLOOKUP('תפוקה מצטברת מול אשתקד'!A44,'מנורה'!A:K,8,0)+VLOOKUP('תפוקה מצטברת מול אשתקד'!A44,'איילון'!A:K,8,0)+VLOOKUP('תפוקה מצטברת מול אשתקד'!A44,'הראל'!A:K,8,0)+VLOOKUP('תפוקה מצטברת מול אשתקד'!A44,'הפניקס'!A:K,8,0)+VLOOKUP('תפוקה מצטברת מול אשתקד'!A44,'כלל'!A:K,8,0)+VLOOKUP('תפוקה מצטברת מול אשתקד'!A44,'מור'!A:K,8,0)+VLOOKUP('תפוקה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אשתקד'!A44,'אינפניטי'!A:K,8,0)</f>
        <v>13936.63</v>
      </c>
      <c r="M44" s="121">
        <f>VLOOKUP(A44,'הכשרה'!A:K,9,0)+VLOOKUP('תפוקה מצטברת מול אשתקד'!A44,'מגדל'!A:K,9,0)+VLOOKUP('תפוקה מצטברת מול אשתקד'!A44,'מנורה'!A:K,9,0)+VLOOKUP('תפוקה מצטברת מול אשתקד'!A44,'איילון'!A:K,9,0)+VLOOKUP('תפוקה מצטברת מול אשתקד'!A44,'הראל'!A:K,9,0)+VLOOKUP('תפוקה מצטברת מול אשתקד'!A44,'הפניקס'!A:K,9,0)+VLOOKUP('תפוקה מצטברת מול אשתקד'!A44,'כלל'!A:K,9,0)+VLOOKUP('תפוקה מצטברת מול אשתקד'!A44,'מור'!A:K,9,0)+VLOOKUP('תפוקה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אשתקד'!A44,'אינפניטי'!A:K,9,0)</f>
        <v>3469.06</v>
      </c>
      <c r="N44" s="121">
        <f>VLOOKUP(A44,'הכשרה'!A:K,10,0)+VLOOKUP('תפוקה מצטברת מול אשתקד'!A44,'מגדל'!A:K,10,0)+VLOOKUP('תפוקה מצטברת מול אשתקד'!A44,'מנורה'!A:K,10,0)+VLOOKUP('תפוקה מצטברת מול אשתקד'!A44,'איילון'!A:K,10,0)+VLOOKUP('תפוקה מצטברת מול אשתקד'!A44,'הראל'!A:K,10,0)+VLOOKUP('תפוקה מצטברת מול אשתקד'!A44,'הפניקס'!A:K,10,0)+VLOOKUP('תפוקה מצטברת מול אשתקד'!A44,'כלל'!A:K,10,0)+VLOOKUP('תפוקה מצטברת מול אשתקד'!A44,'מור'!A:K,10,0)+VLOOKUP('תפוקה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אשתקד'!A44,'אינפניטי'!A:K,10,0)</f>
        <v>506889.35</v>
      </c>
      <c r="O44" s="121">
        <f>VLOOKUP(A44,'הכשרה'!A:K,11,0)+VLOOKUP('תפוקה מצטברת מול אשתקד'!A44,'מגדל'!A:K,11,0)+VLOOKUP('תפוקה מצטברת מול אשתקד'!A44,'מנורה'!A:K,11,0)+VLOOKUP('תפוקה מצטברת מול אשתקד'!A44,'איילון'!A:K,11,0)+VLOOKUP('תפוקה מצטברת מול אשתקד'!A44,'הראל'!A:K,11,0)+VLOOKUP('תפוקה מצטברת מול אשתקד'!A44,'הפניקס'!A:K,11,0)+VLOOKUP('תפוקה מצטברת מול אשתקד'!A44,'כלל'!A:K,11,0)+VLOOKUP('תפוקה מצטברת מול אשתקד'!A44,'מור'!A:K,11,0)+VLOOKUP('תפוקה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אשתקד'!A44,'אינפניטי'!A:K,11,0)</f>
        <v>0</v>
      </c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ht="15.75" customHeight="1">
      <c r="A45" s="98" t="s">
        <v>101</v>
      </c>
      <c r="B45" s="98" t="s">
        <v>23</v>
      </c>
      <c r="C45" s="98" t="s">
        <v>80</v>
      </c>
      <c r="D45" s="88">
        <f t="shared" ref="D45:F45" si="52">IF(H45=0,0%,IF(L45=0,100%,H45/L45-1))</f>
        <v>0.7922459259</v>
      </c>
      <c r="E45" s="88">
        <f t="shared" si="52"/>
        <v>0.3088460748</v>
      </c>
      <c r="F45" s="88">
        <f t="shared" si="52"/>
        <v>19.54493818</v>
      </c>
      <c r="G45" s="88">
        <f>IF(K45=0,0%,IF(O45=H71,100%,K45/O45-1))</f>
        <v>-0.6746521535</v>
      </c>
      <c r="H45" s="120">
        <f>VLOOKUP(A45,'הכשרה'!A:G,4,0)+VLOOKUP('תפוקה מצטברת מול אשתקד'!A45,'מגדל'!A:G,4,0)+VLOOKUP('תפוקה מצטברת מול אשתקד'!A45,'מנורה'!A:G,4,0)+VLOOKUP('תפוקה מצטברת מול אשתקד'!A45,'איילון'!A:G,4,0)+VLOOKUP('תפוקה מצטברת מול אשתקד'!A45,'הראל'!A:G,4,0)+VLOOKUP('תפוקה מצטברת מול אשתקד'!A45,'הפניקס'!A:G,4,0)+VLOOKUP('תפוקה מצטברת מול אשתקד'!A45,'כלל'!A:G,4,0)+VLOOKUP('תפוקה מצטברת מול אשתקד'!A45,'מור'!A:G,4,0)+VLOOKUP('תפוקה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אשתקד'!A45,'אינפניטי'!A:G,4,0)</f>
        <v>120698.3818</v>
      </c>
      <c r="I45" s="120">
        <f>VLOOKUP(A45,'הכשרה'!A:G,5,0)+VLOOKUP('תפוקה מצטברת מול אשתקד'!A45,'מגדל'!A:G,5,0)+VLOOKUP('תפוקה מצטברת מול אשתקד'!A45,'מנורה'!A:G,5,0)+VLOOKUP('תפוקה מצטברת מול אשתקד'!A45,'איילון'!A:G,5,0)+VLOOKUP('תפוקה מצטברת מול אשתקד'!A45,'הראל'!A:G,5,0)+VLOOKUP('תפוקה מצטברת מול אשתקד'!A45,'הפניקס'!A:G,5,0)+VLOOKUP('תפוקה מצטברת מול אשתקד'!A45,'כלל'!A:G,5,0)+VLOOKUP('תפוקה מצטברת מול אשתקד'!A45,'מור'!A:G,5,0)+VLOOKUP('תפוקה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אשתקד'!A45,'אינפניטי'!A:G,5,0)</f>
        <v>1656.24</v>
      </c>
      <c r="J45" s="120">
        <f>VLOOKUP(A45,'הכשרה'!A:G,6,0)+VLOOKUP('תפוקה מצטברת מול אשתקד'!A45,'מגדל'!A:G,6,0)+VLOOKUP('תפוקה מצטברת מול אשתקד'!A45,'מנורה'!A:G,6,0)+VLOOKUP('תפוקה מצטברת מול אשתקד'!A45,'איילון'!A:G,6,0)+VLOOKUP(A45,'הראל'!A:G,6,0)+VLOOKUP('תפוקה מצטברת מול אשתקד'!A45,'הפניקס'!A:G,6,0)+VLOOKUP('תפוקה מצטברת מול אשתקד'!A45,'כלל'!A:G,6,0)+VLOOKUP('תפוקה מצטברת מול אשתקד'!A45,'מור'!A:G,6,0)+VLOOKUP('תפוקה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אשתקד'!A45,'אינפניטי'!A:G,6,0)</f>
        <v>1489554.53</v>
      </c>
      <c r="K45" s="120">
        <f>VLOOKUP(A45,'הכשרה'!A:G,7,0)+VLOOKUP('תפוקה מצטברת מול אשתקד'!A45,'מגדל'!A:G,7,0)+VLOOKUP('תפוקה מצטברת מול אשתקד'!A45,'מנורה'!A:G,7,0)+VLOOKUP('תפוקה מצטברת מול אשתקד'!A45,'איילון'!A:G,7,0)+VLOOKUP('תפוקה מצטברת מול אשתקד'!A45,'הראל'!A:G,7,0)+VLOOKUP('תפוקה מצטברת מול אשתקד'!A45,'הפניקס'!A:G,7,0)+VLOOKUP('תפוקה מצטברת מול אשתקד'!A45,'כלל'!A:G,7,0)+VLOOKUP('תפוקה מצטברת מול אשתקד'!A45,'מור'!A:G,7,0)+VLOOKUP('תפוקה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אשתקד'!A45,'אינפניטי'!A:G,7,0)</f>
        <v>378465.19</v>
      </c>
      <c r="L45" s="121">
        <f>VLOOKUP(A45,'הכשרה'!A:K,8,0)+VLOOKUP('תפוקה מצטברת מול אשתקד'!A45,'מגדל'!A:K,8,0)+VLOOKUP('תפוקה מצטברת מול אשתקד'!A45,'מנורה'!A:K,8,0)+VLOOKUP('תפוקה מצטברת מול אשתקד'!A45,'איילון'!A:K,8,0)+VLOOKUP('תפוקה מצטברת מול אשתקד'!A45,'הראל'!A:K,8,0)+VLOOKUP('תפוקה מצטברת מול אשתקד'!A45,'הפניקס'!A:K,8,0)+VLOOKUP('תפוקה מצטברת מול אשתקד'!A45,'כלל'!A:K,8,0)+VLOOKUP('תפוקה מצטברת מול אשתקד'!A45,'מור'!A:K,8,0)+VLOOKUP('תפוקה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אשתקד'!A45,'אינפניטי'!A:K,8,0)</f>
        <v>67344.7656</v>
      </c>
      <c r="M45" s="121">
        <f>VLOOKUP(A45,'הכשרה'!A:K,9,0)+VLOOKUP('תפוקה מצטברת מול אשתקד'!A45,'מגדל'!A:K,9,0)+VLOOKUP('תפוקה מצטברת מול אשתקד'!A45,'מנורה'!A:K,9,0)+VLOOKUP('תפוקה מצטברת מול אשתקד'!A45,'איילון'!A:K,9,0)+VLOOKUP('תפוקה מצטברת מול אשתקד'!A45,'הראל'!A:K,9,0)+VLOOKUP('תפוקה מצטברת מול אשתקד'!A45,'הפניקס'!A:K,9,0)+VLOOKUP('תפוקה מצטברת מול אשתקד'!A45,'כלל'!A:K,9,0)+VLOOKUP('תפוקה מצטברת מול אשתקד'!A45,'מור'!A:K,9,0)+VLOOKUP('תפוקה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אשתקד'!A45,'אינפניטי'!A:K,9,0)</f>
        <v>1265.42</v>
      </c>
      <c r="N45" s="121">
        <f>VLOOKUP(A45,'הכשרה'!A:K,10,0)+VLOOKUP('תפוקה מצטברת מול אשתקד'!A45,'מגדל'!A:K,10,0)+VLOOKUP('תפוקה מצטברת מול אשתקד'!A45,'מנורה'!A:K,10,0)+VLOOKUP('תפוקה מצטברת מול אשתקד'!A45,'איילון'!A:K,10,0)+VLOOKUP('תפוקה מצטברת מול אשתקד'!A45,'הראל'!A:K,10,0)+VLOOKUP('תפוקה מצטברת מול אשתקד'!A45,'הפניקס'!A:K,10,0)+VLOOKUP('תפוקה מצטברת מול אשתקד'!A45,'כלל'!A:K,10,0)+VLOOKUP('תפוקה מצטברת מול אשתקד'!A45,'מור'!A:K,10,0)+VLOOKUP('תפוקה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אשתקד'!A45,'אינפניטי'!A:K,10,0)</f>
        <v>72502.26392</v>
      </c>
      <c r="O45" s="121">
        <f>VLOOKUP(A45,'הכשרה'!A:K,11,0)+VLOOKUP('תפוקה מצטברת מול אשתקד'!A45,'מגדל'!A:K,11,0)+VLOOKUP('תפוקה מצטברת מול אשתקד'!A45,'מנורה'!A:K,11,0)+VLOOKUP('תפוקה מצטברת מול אשתקד'!A45,'איילון'!A:K,11,0)+VLOOKUP('תפוקה מצטברת מול אשתקד'!A45,'הראל'!A:K,11,0)+VLOOKUP('תפוקה מצטברת מול אשתקד'!A45,'הפניקס'!A:K,11,0)+VLOOKUP('תפוקה מצטברת מול אשתקד'!A45,'כלל'!A:K,11,0)+VLOOKUP('תפוקה מצטברת מול אשתקד'!A45,'מור'!A:K,11,0)+VLOOKUP('תפוקה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אשתקד'!A45,'אינפניטי'!A:K,11,0)</f>
        <v>1163263.24</v>
      </c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ht="15.75" customHeight="1">
      <c r="A46" s="98" t="s">
        <v>102</v>
      </c>
      <c r="B46" s="98" t="s">
        <v>23</v>
      </c>
      <c r="C46" s="98" t="s">
        <v>80</v>
      </c>
      <c r="D46" s="88">
        <f t="shared" ref="D46:F46" si="53">IF(H46=0,0%,IF(L46=0,100%,H46/L46-1))</f>
        <v>-0.7787136099</v>
      </c>
      <c r="E46" s="88">
        <f t="shared" si="53"/>
        <v>9.6301714</v>
      </c>
      <c r="F46" s="88">
        <f t="shared" si="53"/>
        <v>0</v>
      </c>
      <c r="G46" s="88">
        <v>1.0</v>
      </c>
      <c r="H46" s="120">
        <f>VLOOKUP(A46,'הכשרה'!A:G,4,0)+VLOOKUP('תפוקה מצטברת מול אשתקד'!A46,'מגדל'!A:G,4,0)+VLOOKUP('תפוקה מצטברת מול אשתקד'!A46,'מנורה'!A:G,4,0)+VLOOKUP('תפוקה מצטברת מול אשתקד'!A46,'איילון'!A:G,4,0)+VLOOKUP('תפוקה מצטברת מול אשתקד'!A46,'הראל'!A:G,4,0)+VLOOKUP('תפוקה מצטברת מול אשתקד'!A46,'הפניקס'!A:G,4,0)+VLOOKUP('תפוקה מצטברת מול אשתקד'!A46,'כלל'!A:G,4,0)+VLOOKUP('תפוקה מצטברת מול אשתקד'!A46,'מור'!A:G,4,0)+VLOOKUP('תפוקה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אשתקד'!A46,'אינפניטי'!A:G,4,0)</f>
        <v>25403.37</v>
      </c>
      <c r="I46" s="120">
        <f>VLOOKUP(A46,'הכשרה'!A:G,5,0)+VLOOKUP('תפוקה מצטברת מול אשתקד'!A46,'מגדל'!A:G,5,0)+VLOOKUP('תפוקה מצטברת מול אשתקד'!A46,'מנורה'!A:G,5,0)+VLOOKUP('תפוקה מצטברת מול אשתקד'!A46,'איילון'!A:G,5,0)+VLOOKUP('תפוקה מצטברת מול אשתקד'!A46,'הראל'!A:G,5,0)+VLOOKUP('תפוקה מצטברת מול אשתקד'!A46,'הפניקס'!A:G,5,0)+VLOOKUP('תפוקה מצטברת מול אשתקד'!A46,'כלל'!A:G,5,0)+VLOOKUP('תפוקה מצטברת מול אשתקד'!A46,'מור'!A:G,5,0)+VLOOKUP('תפוקה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אשתקד'!A46,'אינפניטי'!A:G,5,0)</f>
        <v>20522.29</v>
      </c>
      <c r="J46" s="120">
        <f>VLOOKUP(A46,'הכשרה'!A:G,6,0)+VLOOKUP('תפוקה מצטברת מול אשתקד'!A46,'מגדל'!A:G,6,0)+VLOOKUP('תפוקה מצטברת מול אשתקד'!A46,'מנורה'!A:G,6,0)+VLOOKUP('תפוקה מצטברת מול אשתקד'!A46,'איילון'!A:G,6,0)+VLOOKUP(A46,'הראל'!A:G,6,0)+VLOOKUP('תפוקה מצטברת מול אשתקד'!A46,'הפניקס'!A:G,6,0)+VLOOKUP('תפוקה מצטברת מול אשתקד'!A46,'כלל'!A:G,6,0)+VLOOKUP('תפוקה מצטברת מול אשתקד'!A46,'מור'!A:G,6,0)+VLOOKUP('תפוקה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אשתקד'!A46,'אינפניטי'!A:G,6,0)</f>
        <v>0</v>
      </c>
      <c r="K46" s="120">
        <f>VLOOKUP(A46,'הכשרה'!A:G,7,0)+VLOOKUP('תפוקה מצטברת מול אשתקד'!A46,'מגדל'!A:G,7,0)+VLOOKUP('תפוקה מצטברת מול אשתקד'!A46,'מנורה'!A:G,7,0)+VLOOKUP('תפוקה מצטברת מול אשתקד'!A46,'איילון'!A:G,7,0)+VLOOKUP('תפוקה מצטברת מול אשתקד'!A46,'הראל'!A:G,7,0)+VLOOKUP('תפוקה מצטברת מול אשתקד'!A46,'הפניקס'!A:G,7,0)+VLOOKUP('תפוקה מצטברת מול אשתקד'!A46,'כלל'!A:G,7,0)+VLOOKUP('תפוקה מצטברת מול אשתקד'!A46,'מור'!A:G,7,0)+VLOOKUP('תפוקה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אשתקד'!A46,'אינפניטי'!A:G,7,0)</f>
        <v>140389.29</v>
      </c>
      <c r="L46" s="121">
        <f>VLOOKUP(A46,'הכשרה'!A:K,8,0)+VLOOKUP('תפוקה מצטברת מול אשתקד'!A46,'מגדל'!A:K,8,0)+VLOOKUP('תפוקה מצטברת מול אשתקד'!A46,'מנורה'!A:K,8,0)+VLOOKUP('תפוקה מצטברת מול אשתקד'!A46,'איילון'!A:K,8,0)+VLOOKUP('תפוקה מצטברת מול אשתקד'!A46,'הראל'!A:K,8,0)+VLOOKUP('תפוקה מצטברת מול אשתקד'!A46,'הפניקס'!A:K,8,0)+VLOOKUP('תפוקה מצטברת מול אשתקד'!A46,'כלל'!A:K,8,0)+VLOOKUP('תפוקה מצטברת מול אשתקד'!A46,'מור'!A:K,8,0)+VLOOKUP('תפוקה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אשתקד'!A46,'אינפניטי'!A:K,8,0)</f>
        <v>114798.61</v>
      </c>
      <c r="M46" s="121">
        <f>VLOOKUP(A46,'הכשרה'!A:K,9,0)+VLOOKUP('תפוקה מצטברת מול אשתקד'!A46,'מגדל'!A:K,9,0)+VLOOKUP('תפוקה מצטברת מול אשתקד'!A46,'מנורה'!A:K,9,0)+VLOOKUP('תפוקה מצטברת מול אשתקד'!A46,'איילון'!A:K,9,0)+VLOOKUP('תפוקה מצטברת מול אשתקד'!A46,'הראל'!A:K,9,0)+VLOOKUP('תפוקה מצטברת מול אשתקד'!A46,'הפניקס'!A:K,9,0)+VLOOKUP('תפוקה מצטברת מול אשתקד'!A46,'כלל'!A:K,9,0)+VLOOKUP('תפוקה מצטברת מול אשתקד'!A46,'מור'!A:K,9,0)+VLOOKUP('תפוקה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אשתקד'!A46,'אינפניטי'!A:K,9,0)</f>
        <v>1930.57</v>
      </c>
      <c r="N46" s="121">
        <f>VLOOKUP(A46,'הכשרה'!A:K,10,0)+VLOOKUP('תפוקה מצטברת מול אשתקד'!A46,'מגדל'!A:K,10,0)+VLOOKUP('תפוקה מצטברת מול אשתקד'!A46,'מנורה'!A:K,10,0)+VLOOKUP('תפוקה מצטברת מול אשתקד'!A46,'איילון'!A:K,10,0)+VLOOKUP('תפוקה מצטברת מול אשתקד'!A46,'הראל'!A:K,10,0)+VLOOKUP('תפוקה מצטברת מול אשתקד'!A46,'הפניקס'!A:K,10,0)+VLOOKUP('תפוקה מצטברת מול אשתקד'!A46,'כלל'!A:K,10,0)+VLOOKUP('תפוקה מצטברת מול אשתקד'!A46,'מור'!A:K,10,0)+VLOOKUP('תפוקה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אשתקד'!A46,'אינפניטי'!A:K,10,0)</f>
        <v>22032.02</v>
      </c>
      <c r="O46" s="121">
        <f>VLOOKUP(A46,'הכשרה'!A:K,11,0)+VLOOKUP('תפוקה מצטברת מול אשתקד'!A46,'מגדל'!A:K,11,0)+VLOOKUP('תפוקה מצטברת מול אשתקד'!A46,'מנורה'!A:K,11,0)+VLOOKUP('תפוקה מצטברת מול אשתקד'!A46,'איילון'!A:K,11,0)+VLOOKUP('תפוקה מצטברת מול אשתקד'!A46,'הראל'!A:K,11,0)+VLOOKUP('תפוקה מצטברת מול אשתקד'!A46,'הפניקס'!A:K,11,0)+VLOOKUP('תפוקה מצטברת מול אשתקד'!A46,'כלל'!A:K,11,0)+VLOOKUP('תפוקה מצטברת מול אשתקד'!A46,'מור'!A:K,11,0)+VLOOKUP('תפוקה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אשתקד'!A46,'אינפניטי'!A:K,11,0)</f>
        <v>0</v>
      </c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ht="15.75" customHeight="1">
      <c r="A47" s="98" t="s">
        <v>103</v>
      </c>
      <c r="B47" s="98" t="s">
        <v>23</v>
      </c>
      <c r="C47" s="98" t="s">
        <v>80</v>
      </c>
      <c r="D47" s="88">
        <f t="shared" ref="D47:F47" si="54">IF(H47=0,0%,IF(L47=0,100%,H47/L47-1))</f>
        <v>0.3656477572</v>
      </c>
      <c r="E47" s="88">
        <f t="shared" si="54"/>
        <v>-0.2343291784</v>
      </c>
      <c r="F47" s="88">
        <f t="shared" si="54"/>
        <v>-0.5838948709</v>
      </c>
      <c r="G47" s="88">
        <f t="shared" ref="G47:G54" si="56">IF(K47=0,0%,IF(O47=H73,100%,K47/O47-1))</f>
        <v>-0.6056469421</v>
      </c>
      <c r="H47" s="120">
        <f>VLOOKUP(A47,'הכשרה'!A:G,4,0)+VLOOKUP('תפוקה מצטברת מול אשתקד'!A47,'מגדל'!A:G,4,0)+VLOOKUP('תפוקה מצטברת מול אשתקד'!A47,'מנורה'!A:G,4,0)+VLOOKUP('תפוקה מצטברת מול אשתקד'!A47,'איילון'!A:G,4,0)+VLOOKUP('תפוקה מצטברת מול אשתקד'!A47,'הראל'!A:G,4,0)+VLOOKUP('תפוקה מצטברת מול אשתקד'!A47,'הפניקס'!A:G,4,0)+VLOOKUP('תפוקה מצטברת מול אשתקד'!A47,'כלל'!A:G,4,0)+VLOOKUP('תפוקה מצטברת מול אשתקד'!A47,'מור'!A:G,4,0)+VLOOKUP('תפוקה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אשתקד'!A47,'אינפניטי'!A:G,4,0)</f>
        <v>178455.3594</v>
      </c>
      <c r="I47" s="120">
        <f>VLOOKUP(A47,'הכשרה'!A:G,5,0)+VLOOKUP('תפוקה מצטברת מול אשתקד'!A47,'מגדל'!A:G,5,0)+VLOOKUP('תפוקה מצטברת מול אשתקד'!A47,'מנורה'!A:G,5,0)+VLOOKUP('תפוקה מצטברת מול אשתקד'!A47,'איילון'!A:G,5,0)+VLOOKUP('תפוקה מצטברת מול אשתקד'!A47,'הראל'!A:G,5,0)+VLOOKUP('תפוקה מצטברת מול אשתקד'!A47,'הפניקס'!A:G,5,0)+VLOOKUP('תפוקה מצטברת מול אשתקד'!A47,'כלל'!A:G,5,0)+VLOOKUP('תפוקה מצטברת מול אשתקד'!A47,'מור'!A:G,5,0)+VLOOKUP('תפוקה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אשתקד'!A47,'אינפניטי'!A:G,5,0)</f>
        <v>7373.171</v>
      </c>
      <c r="J47" s="120">
        <f>VLOOKUP(A47,'הכשרה'!A:G,6,0)+VLOOKUP('תפוקה מצטברת מול אשתקד'!A47,'מגדל'!A:G,6,0)+VLOOKUP('תפוקה מצטברת מול אשתקד'!A47,'מנורה'!A:G,6,0)+VLOOKUP('תפוקה מצטברת מול אשתקד'!A47,'איילון'!A:G,6,0)+VLOOKUP(A47,'הראל'!A:G,6,0)+VLOOKUP('תפוקה מצטברת מול אשתקד'!A47,'הפניקס'!A:G,6,0)+VLOOKUP('תפוקה מצטברת מול אשתקד'!A47,'כלל'!A:G,6,0)+VLOOKUP('תפוקה מצטברת מול אשתקד'!A47,'מור'!A:G,6,0)+VLOOKUP('תפוקה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אשתקד'!A47,'אינפניטי'!A:G,6,0)</f>
        <v>136950.97</v>
      </c>
      <c r="K47" s="120">
        <f>VLOOKUP(A47,'הכשרה'!A:G,7,0)+VLOOKUP('תפוקה מצטברת מול אשתקד'!A47,'מגדל'!A:G,7,0)+VLOOKUP('תפוקה מצטברת מול אשתקד'!A47,'מנורה'!A:G,7,0)+VLOOKUP('תפוקה מצטברת מול אשתקד'!A47,'איילון'!A:G,7,0)+VLOOKUP('תפוקה מצטברת מול אשתקד'!A47,'הראל'!A:G,7,0)+VLOOKUP('תפוקה מצטברת מול אשתקד'!A47,'הפניקס'!A:G,7,0)+VLOOKUP('תפוקה מצטברת מול אשתקד'!A47,'כלל'!A:G,7,0)+VLOOKUP('תפוקה מצטברת מול אשתקד'!A47,'מור'!A:G,7,0)+VLOOKUP('תפוקה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אשתקד'!A47,'אינפניטי'!A:G,7,0)</f>
        <v>616216.09</v>
      </c>
      <c r="L47" s="121">
        <f>VLOOKUP(A47,'הכשרה'!A:K,8,0)+VLOOKUP('תפוקה מצטברת מול אשתקד'!A47,'מגדל'!A:K,8,0)+VLOOKUP('תפוקה מצטברת מול אשתקד'!A47,'מנורה'!A:K,8,0)+VLOOKUP('תפוקה מצטברת מול אשתקד'!A47,'איילון'!A:K,8,0)+VLOOKUP('תפוקה מצטברת מול אשתקד'!A47,'הראל'!A:K,8,0)+VLOOKUP('תפוקה מצטברת מול אשתקד'!A47,'הפניקס'!A:K,8,0)+VLOOKUP('תפוקה מצטברת מול אשתקד'!A47,'כלל'!A:K,8,0)+VLOOKUP('תפוקה מצטברת מול אשתקד'!A47,'מור'!A:K,8,0)+VLOOKUP('תפוקה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אשתקד'!A47,'אינפניטי'!A:K,8,0)</f>
        <v>130674.5158</v>
      </c>
      <c r="M47" s="121">
        <f>VLOOKUP(A47,'הכשרה'!A:K,9,0)+VLOOKUP('תפוקה מצטברת מול אשתקד'!A47,'מגדל'!A:K,9,0)+VLOOKUP('תפוקה מצטברת מול אשתקד'!A47,'מנורה'!A:K,9,0)+VLOOKUP('תפוקה מצטברת מול אשתקד'!A47,'איילון'!A:K,9,0)+VLOOKUP('תפוקה מצטברת מול אשתקד'!A47,'הראל'!A:K,9,0)+VLOOKUP('תפוקה מצטברת מול אשתקד'!A47,'הפניקס'!A:K,9,0)+VLOOKUP('תפוקה מצטברת מול אשתקד'!A47,'כלל'!A:K,9,0)+VLOOKUP('תפוקה מצטברת מול אשתקד'!A47,'מור'!A:K,9,0)+VLOOKUP('תפוקה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אשתקד'!A47,'אינפניטי'!A:K,9,0)</f>
        <v>9629.68784</v>
      </c>
      <c r="N47" s="121">
        <f>VLOOKUP(A47,'הכשרה'!A:K,10,0)+VLOOKUP('תפוקה מצטברת מול אשתקד'!A47,'מגדל'!A:K,10,0)+VLOOKUP('תפוקה מצטברת מול אשתקד'!A47,'מנורה'!A:K,10,0)+VLOOKUP('תפוקה מצטברת מול אשתקד'!A47,'איילון'!A:K,10,0)+VLOOKUP('תפוקה מצטברת מול אשתקד'!A47,'הראל'!A:K,10,0)+VLOOKUP('תפוקה מצטברת מול אשתקד'!A47,'הפניקס'!A:K,10,0)+VLOOKUP('תפוקה מצטברת מול אשתקד'!A47,'כלל'!A:K,10,0)+VLOOKUP('תפוקה מצטברת מול אשתקד'!A47,'מור'!A:K,10,0)+VLOOKUP('תפוקה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אשתקד'!A47,'אינפניטי'!A:K,10,0)</f>
        <v>329125.8877</v>
      </c>
      <c r="O47" s="121">
        <f>VLOOKUP(A47,'הכשרה'!A:K,11,0)+VLOOKUP('תפוקה מצטברת מול אשתקד'!A47,'מגדל'!A:K,11,0)+VLOOKUP('תפוקה מצטברת מול אשתקד'!A47,'מנורה'!A:K,11,0)+VLOOKUP('תפוקה מצטברת מול אשתקד'!A47,'איילון'!A:K,11,0)+VLOOKUP('תפוקה מצטברת מול אשתקד'!A47,'הראל'!A:K,11,0)+VLOOKUP('תפוקה מצטברת מול אשתקד'!A47,'הפניקס'!A:K,11,0)+VLOOKUP('תפוקה מצטברת מול אשתקד'!A47,'כלל'!A:K,11,0)+VLOOKUP('תפוקה מצטברת מול אשתקד'!A47,'מור'!A:K,11,0)+VLOOKUP('תפוקה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אשתקד'!A47,'אינפניטי'!A:K,11,0)</f>
        <v>1562600.004</v>
      </c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ht="15.75" customHeight="1">
      <c r="A48" s="98" t="s">
        <v>104</v>
      </c>
      <c r="B48" s="98" t="s">
        <v>23</v>
      </c>
      <c r="C48" s="98" t="s">
        <v>80</v>
      </c>
      <c r="D48" s="88">
        <f t="shared" ref="D48:F48" si="55">IF(H48=0,0%,IF(L48=0,100%,H48/L48-1))</f>
        <v>-0.5771244182</v>
      </c>
      <c r="E48" s="88">
        <f t="shared" si="55"/>
        <v>-1.071430835</v>
      </c>
      <c r="F48" s="88">
        <f t="shared" si="55"/>
        <v>0</v>
      </c>
      <c r="G48" s="88">
        <f t="shared" si="56"/>
        <v>0</v>
      </c>
      <c r="H48" s="120">
        <f>VLOOKUP(A48,'הכשרה'!A:G,4,0)+VLOOKUP('תפוקה מצטברת מול אשתקד'!A48,'מגדל'!A:G,4,0)+VLOOKUP('תפוקה מצטברת מול אשתקד'!A48,'מנורה'!A:G,4,0)+VLOOKUP('תפוקה מצטברת מול אשתקד'!A48,'איילון'!A:G,4,0)+VLOOKUP('תפוקה מצטברת מול אשתקד'!A48,'הראל'!A:G,4,0)+VLOOKUP('תפוקה מצטברת מול אשתקד'!A48,'הפניקס'!A:G,4,0)+VLOOKUP('תפוקה מצטברת מול אשתקד'!A48,'כלל'!A:G,4,0)+VLOOKUP('תפוקה מצטברת מול אשתקד'!A48,'מור'!A:G,4,0)+VLOOKUP('תפוקה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אשתקד'!A48,'אינפניטי'!A:G,4,0)</f>
        <v>12130</v>
      </c>
      <c r="I48" s="120">
        <f>VLOOKUP(A48,'הכשרה'!A:G,5,0)+VLOOKUP('תפוקה מצטברת מול אשתקד'!A48,'מגדל'!A:G,5,0)+VLOOKUP('תפוקה מצטברת מול אשתקד'!A48,'מנורה'!A:G,5,0)+VLOOKUP('תפוקה מצטברת מול אשתקד'!A48,'איילון'!A:G,5,0)+VLOOKUP('תפוקה מצטברת מול אשתקד'!A48,'הראל'!A:G,5,0)+VLOOKUP('תפוקה מצטברת מול אשתקד'!A48,'הפניקס'!A:G,5,0)+VLOOKUP('תפוקה מצטברת מול אשתקד'!A48,'כלל'!A:G,5,0)+VLOOKUP('תפוקה מצטברת מול אשתקד'!A48,'מור'!A:G,5,0)+VLOOKUP('תפוקה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אשתקד'!A48,'אינפניטי'!A:G,5,0)</f>
        <v>867.42</v>
      </c>
      <c r="J48" s="120">
        <f>VLOOKUP(A48,'הכשרה'!A:G,6,0)+VLOOKUP('תפוקה מצטברת מול אשתקד'!A48,'מגדל'!A:G,6,0)+VLOOKUP('תפוקה מצטברת מול אשתקד'!A48,'מנורה'!A:G,6,0)+VLOOKUP('תפוקה מצטברת מול אשתקד'!A48,'איילון'!A:G,6,0)+VLOOKUP(A48,'הראל'!A:G,6,0)+VLOOKUP('תפוקה מצטברת מול אשתקד'!A48,'הפניקס'!A:G,6,0)+VLOOKUP('תפוקה מצטברת מול אשתקד'!A48,'כלל'!A:G,6,0)+VLOOKUP('תפוקה מצטברת מול אשתקד'!A48,'מור'!A:G,6,0)+VLOOKUP('תפוקה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אשתקד'!A48,'אינפניטי'!A:G,6,0)</f>
        <v>0</v>
      </c>
      <c r="K48" s="120">
        <f>VLOOKUP(A48,'הכשרה'!A:G,7,0)+VLOOKUP('תפוקה מצטברת מול אשתקד'!A48,'מגדל'!A:G,7,0)+VLOOKUP('תפוקה מצטברת מול אשתקד'!A48,'מנורה'!A:G,7,0)+VLOOKUP('תפוקה מצטברת מול אשתקד'!A48,'איילון'!A:G,7,0)+VLOOKUP('תפוקה מצטברת מול אשתקד'!A48,'הראל'!A:G,7,0)+VLOOKUP('תפוקה מצטברת מול אשתקד'!A48,'הפניקס'!A:G,7,0)+VLOOKUP('תפוקה מצטברת מול אשתקד'!A48,'כלל'!A:G,7,0)+VLOOKUP('תפוקה מצטברת מול אשתקד'!A48,'מור'!A:G,7,0)+VLOOKUP('תפוקה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אשתקד'!A48,'אינפניטי'!A:G,7,0)</f>
        <v>0</v>
      </c>
      <c r="L48" s="121">
        <f>VLOOKUP(A48,'הכשרה'!A:K,8,0)+VLOOKUP('תפוקה מצטברת מול אשתקד'!A48,'מגדל'!A:K,8,0)+VLOOKUP('תפוקה מצטברת מול אשתקד'!A48,'מנורה'!A:K,8,0)+VLOOKUP('תפוקה מצטברת מול אשתקד'!A48,'איילון'!A:K,8,0)+VLOOKUP('תפוקה מצטברת מול אשתקד'!A48,'הראל'!A:K,8,0)+VLOOKUP('תפוקה מצטברת מול אשתקד'!A48,'הפניקס'!A:K,8,0)+VLOOKUP('תפוקה מצטברת מול אשתקד'!A48,'כלל'!A:K,8,0)+VLOOKUP('תפוקה מצטברת מול אשתקד'!A48,'מור'!A:K,8,0)+VLOOKUP('תפוקה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אשתקד'!A48,'אינפניטי'!A:K,8,0)</f>
        <v>28684.56</v>
      </c>
      <c r="M48" s="121">
        <f>VLOOKUP(A48,'הכשרה'!A:K,9,0)+VLOOKUP('תפוקה מצטברת מול אשתקד'!A48,'מגדל'!A:K,9,0)+VLOOKUP('תפוקה מצטברת מול אשתקד'!A48,'מנורה'!A:K,9,0)+VLOOKUP('תפוקה מצטברת מול אשתקד'!A48,'איילון'!A:K,9,0)+VLOOKUP('תפוקה מצטברת מול אשתקד'!A48,'הראל'!A:K,9,0)+VLOOKUP('תפוקה מצטברת מול אשתקד'!A48,'הפניקס'!A:K,9,0)+VLOOKUP('תפוקה מצטברת מול אשתקד'!A48,'כלל'!A:K,9,0)+VLOOKUP('תפוקה מצטברת מול אשתקד'!A48,'מור'!A:K,9,0)+VLOOKUP('תפוקה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אשתקד'!A48,'אינפניטי'!A:K,9,0)</f>
        <v>-12143.49514</v>
      </c>
      <c r="N48" s="121">
        <f>VLOOKUP(A48,'הכשרה'!A:K,10,0)+VLOOKUP('תפוקה מצטברת מול אשתקד'!A48,'מגדל'!A:K,10,0)+VLOOKUP('תפוקה מצטברת מול אשתקד'!A48,'מנורה'!A:K,10,0)+VLOOKUP('תפוקה מצטברת מול אשתקד'!A48,'איילון'!A:K,10,0)+VLOOKUP('תפוקה מצטברת מול אשתקד'!A48,'הראל'!A:K,10,0)+VLOOKUP('תפוקה מצטברת מול אשתקד'!A48,'הפניקס'!A:K,10,0)+VLOOKUP('תפוקה מצטברת מול אשתקד'!A48,'כלל'!A:K,10,0)+VLOOKUP('תפוקה מצטברת מול אשתקד'!A48,'מור'!A:K,10,0)+VLOOKUP('תפוקה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אשתקד'!A48,'אינפניטי'!A:K,10,0)</f>
        <v>0</v>
      </c>
      <c r="O48" s="121">
        <f>VLOOKUP(A48,'הכשרה'!A:K,11,0)+VLOOKUP('תפוקה מצטברת מול אשתקד'!A48,'מגדל'!A:K,11,0)+VLOOKUP('תפוקה מצטברת מול אשתקד'!A48,'מנורה'!A:K,11,0)+VLOOKUP('תפוקה מצטברת מול אשתקד'!A48,'איילון'!A:K,11,0)+VLOOKUP('תפוקה מצטברת מול אשתקד'!A48,'הראל'!A:K,11,0)+VLOOKUP('תפוקה מצטברת מול אשתקד'!A48,'הפניקס'!A:K,11,0)+VLOOKUP('תפוקה מצטברת מול אשתקד'!A48,'כלל'!A:K,11,0)+VLOOKUP('תפוקה מצטברת מול אשתקד'!A48,'מור'!A:K,11,0)+VLOOKUP('תפוקה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אשתקד'!A48,'אינפניטי'!A:K,11,0)</f>
        <v>0</v>
      </c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ht="15.75" customHeight="1">
      <c r="A49" s="123" t="s">
        <v>105</v>
      </c>
      <c r="B49" s="123" t="s">
        <v>23</v>
      </c>
      <c r="C49" s="98" t="s">
        <v>80</v>
      </c>
      <c r="D49" s="124">
        <f t="shared" ref="D49:F49" si="57">IF(H49=0,0%,IF(L49=0,100%,H49/L49-1))</f>
        <v>0</v>
      </c>
      <c r="E49" s="124">
        <f t="shared" si="57"/>
        <v>-5.957167311</v>
      </c>
      <c r="F49" s="124">
        <f t="shared" si="57"/>
        <v>0</v>
      </c>
      <c r="G49" s="88">
        <f t="shared" si="56"/>
        <v>-1.425056976</v>
      </c>
      <c r="H49" s="120">
        <f>VLOOKUP(A49,'הכשרה'!A:G,4,0)+VLOOKUP('תפוקה מצטברת מול אשתקד'!A49,'מגדל'!A:G,4,0)+VLOOKUP('תפוקה מצטברת מול אשתקד'!A49,'מנורה'!A:G,4,0)+VLOOKUP('תפוקה מצטברת מול אשתקד'!A49,'איילון'!A:G,4,0)+VLOOKUP('תפוקה מצטברת מול אשתקד'!A49,'הראל'!A:G,4,0)+VLOOKUP('תפוקה מצטברת מול אשתקד'!A49,'הפניקס'!A:G,4,0)+VLOOKUP('תפוקה מצטברת מול אשתקד'!A49,'כלל'!A:G,4,0)+VLOOKUP('תפוקה מצטברת מול אשתקד'!A49,'מור'!A:G,4,0)+VLOOKUP('תפוקה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אשתקד'!A49,'אינפניטי'!A:G,4,0)</f>
        <v>0</v>
      </c>
      <c r="I49" s="120">
        <f>VLOOKUP(A49,'הכשרה'!A:G,5,0)+VLOOKUP('תפוקה מצטברת מול אשתקד'!A49,'מגדל'!A:G,5,0)+VLOOKUP('תפוקה מצטברת מול אשתקד'!A49,'מנורה'!A:G,5,0)+VLOOKUP('תפוקה מצטברת מול אשתקד'!A49,'איילון'!A:G,5,0)+VLOOKUP('תפוקה מצטברת מול אשתקד'!A49,'הראל'!A:G,5,0)+VLOOKUP('תפוקה מצטברת מול אשתקד'!A49,'הפניקס'!A:G,5,0)+VLOOKUP('תפוקה מצטברת מול אשתקד'!A49,'כלל'!A:G,5,0)+VLOOKUP('תפוקה מצטברת מול אשתקד'!A49,'מור'!A:G,5,0)+VLOOKUP('תפוקה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אשתקד'!A49,'אינפניטי'!A:G,5,0)</f>
        <v>3267.65</v>
      </c>
      <c r="J49" s="120">
        <f>VLOOKUP(A49,'הכשרה'!A:G,6,0)+VLOOKUP('תפוקה מצטברת מול אשתקד'!A49,'מגדל'!A:G,6,0)+VLOOKUP('תפוקה מצטברת מול אשתקד'!A49,'מנורה'!A:G,6,0)+VLOOKUP('תפוקה מצטברת מול אשתקד'!A49,'איילון'!A:G,6,0)+VLOOKUP(A49,'הראל'!A:G,6,0)+VLOOKUP('תפוקה מצטברת מול אשתקד'!A49,'הפניקס'!A:G,6,0)+VLOOKUP('תפוקה מצטברת מול אשתקד'!A49,'כלל'!A:G,6,0)+VLOOKUP('תפוקה מצטברת מול אשתקד'!A49,'מור'!A:G,6,0)+VLOOKUP('תפוקה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אשתקד'!A49,'אינפניטי'!A:G,6,0)</f>
        <v>0</v>
      </c>
      <c r="K49" s="120">
        <f>VLOOKUP(A49,'הכשרה'!A:G,7,0)+VLOOKUP('תפוקה מצטברת מול אשתקד'!A49,'מגדל'!A:G,7,0)+VLOOKUP('תפוקה מצטברת מול אשתקד'!A49,'מנורה'!A:G,7,0)+VLOOKUP('תפוקה מצטברת מול אשתקד'!A49,'איילון'!A:G,7,0)+VLOOKUP('תפוקה מצטברת מול אשתקד'!A49,'הראל'!A:G,7,0)+VLOOKUP('תפוקה מצטברת מול אשתקד'!A49,'הפניקס'!A:G,7,0)+VLOOKUP('תפוקה מצטברת מול אשתקד'!A49,'כלל'!A:G,7,0)+VLOOKUP('תפוקה מצטברת מול אשתקד'!A49,'מור'!A:G,7,0)+VLOOKUP('תפוקה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אשתקד'!A49,'אינפניטי'!A:G,7,0)</f>
        <v>-2038</v>
      </c>
      <c r="L49" s="121">
        <f>VLOOKUP(A49,'הכשרה'!A:K,8,0)+VLOOKUP('תפוקה מצטברת מול אשתקד'!A49,'מגדל'!A:K,8,0)+VLOOKUP('תפוקה מצטברת מול אשתקד'!A49,'מנורה'!A:K,8,0)+VLOOKUP('תפוקה מצטברת מול אשתקד'!A49,'איילון'!A:K,8,0)+VLOOKUP('תפוקה מצטברת מול אשתקד'!A49,'הראל'!A:K,8,0)+VLOOKUP('תפוקה מצטברת מול אשתקד'!A49,'הפניקס'!A:K,8,0)+VLOOKUP('תפוקה מצטברת מול אשתקד'!A49,'כלל'!A:K,8,0)+VLOOKUP('תפוקה מצטברת מול אשתקד'!A49,'מור'!A:K,8,0)+VLOOKUP('תפוקה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אשתקד'!A49,'אינפניטי'!A:K,8,0)</f>
        <v>17482.07</v>
      </c>
      <c r="M49" s="121">
        <f>VLOOKUP(A49,'הכשרה'!A:K,9,0)+VLOOKUP('תפוקה מצטברת מול אשתקד'!A49,'מגדל'!A:K,9,0)+VLOOKUP('תפוקה מצטברת מול אשתקד'!A49,'מנורה'!A:K,9,0)+VLOOKUP('תפוקה מצטברת מול אשתקד'!A49,'איילון'!A:K,9,0)+VLOOKUP('תפוקה מצטברת מול אשתקד'!A49,'הראל'!A:K,9,0)+VLOOKUP('תפוקה מצטברת מול אשתקד'!A49,'הפניקס'!A:K,9,0)+VLOOKUP('תפוקה מצטברת מול אשתקד'!A49,'כלל'!A:K,9,0)+VLOOKUP('תפוקה מצטברת מול אשתקד'!A49,'מור'!A:K,9,0)+VLOOKUP('תפוקה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אשתקד'!A49,'אינפניטי'!A:K,9,0)</f>
        <v>-659.1768635</v>
      </c>
      <c r="N49" s="121">
        <f>VLOOKUP(A49,'הכשרה'!A:K,10,0)+VLOOKUP('תפוקה מצטברת מול אשתקד'!A49,'מגדל'!A:K,10,0)+VLOOKUP('תפוקה מצטברת מול אשתקד'!A49,'מנורה'!A:K,10,0)+VLOOKUP('תפוקה מצטברת מול אשתקד'!A49,'איילון'!A:K,10,0)+VLOOKUP('תפוקה מצטברת מול אשתקד'!A49,'הראל'!A:K,10,0)+VLOOKUP('תפוקה מצטברת מול אשתקד'!A49,'הפניקס'!A:K,10,0)+VLOOKUP('תפוקה מצטברת מול אשתקד'!A49,'כלל'!A:K,10,0)+VLOOKUP('תפוקה מצטברת מול אשתקד'!A49,'מור'!A:K,10,0)+VLOOKUP('תפוקה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אשתקד'!A49,'אינפניטי'!A:K,10,0)</f>
        <v>406.429544</v>
      </c>
      <c r="O49" s="121">
        <f>VLOOKUP(A49,'הכשרה'!A:K,11,0)+VLOOKUP('תפוקה מצטברת מול אשתקד'!A49,'מגדל'!A:K,11,0)+VLOOKUP('תפוקה מצטברת מול אשתקד'!A49,'מנורה'!A:K,11,0)+VLOOKUP('תפוקה מצטברת מול אשתקד'!A49,'איילון'!A:K,11,0)+VLOOKUP('תפוקה מצטברת מול אשתקד'!A49,'הראל'!A:K,11,0)+VLOOKUP('תפוקה מצטברת מול אשתקד'!A49,'הפניקס'!A:K,11,0)+VLOOKUP('תפוקה מצטברת מול אשתקד'!A49,'כלל'!A:K,11,0)+VLOOKUP('תפוקה מצטברת מול אשתקד'!A49,'מור'!A:K,11,0)+VLOOKUP('תפוקה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אשתקד'!A49,'אינפניטי'!A:K,11,0)</f>
        <v>4794.651336</v>
      </c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ht="15.75" customHeight="1">
      <c r="A50" s="98" t="s">
        <v>106</v>
      </c>
      <c r="B50" s="98" t="s">
        <v>24</v>
      </c>
      <c r="C50" s="98" t="s">
        <v>80</v>
      </c>
      <c r="D50" s="88">
        <f t="shared" ref="D50:F50" si="58">IF(H50=0,0%,IF(L50=0,100%,H50/L50-1))</f>
        <v>0</v>
      </c>
      <c r="E50" s="88">
        <f t="shared" si="58"/>
        <v>0</v>
      </c>
      <c r="F50" s="88">
        <f t="shared" si="58"/>
        <v>0</v>
      </c>
      <c r="G50" s="88">
        <f t="shared" si="56"/>
        <v>0</v>
      </c>
      <c r="H50" s="120">
        <f>VLOOKUP(A50,'הכשרה'!A:G,4,0)+VLOOKUP('תפוקה מצטברת מול אשתקד'!A50,'מגדל'!A:G,4,0)+VLOOKUP('תפוקה מצטברת מול אשתקד'!A50,'מנורה'!A:G,4,0)+VLOOKUP('תפוקה מצטברת מול אשתקד'!A50,'איילון'!A:G,4,0)+VLOOKUP('תפוקה מצטברת מול אשתקד'!A50,'הראל'!A:G,4,0)+VLOOKUP('תפוקה מצטברת מול אשתקד'!A50,'הפניקס'!A:G,4,0)+VLOOKUP('תפוקה מצטברת מול אשתקד'!A50,'כלל'!A:G,4,0)+VLOOKUP('תפוקה מצטברת מול אשתקד'!A50,'מור'!A:G,4,0)+VLOOKUP('תפוקה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אשתקד'!A50,'אינפניטי'!A:G,4,0)</f>
        <v>0</v>
      </c>
      <c r="I50" s="120">
        <f>VLOOKUP(A50,'הכשרה'!A:G,5,0)+VLOOKUP('תפוקה מצטברת מול אשתקד'!A50,'מגדל'!A:G,5,0)+VLOOKUP('תפוקה מצטברת מול אשתקד'!A50,'מנורה'!A:G,5,0)+VLOOKUP('תפוקה מצטברת מול אשתקד'!A50,'איילון'!A:G,5,0)+VLOOKUP('תפוקה מצטברת מול אשתקד'!A50,'הראל'!A:G,5,0)+VLOOKUP('תפוקה מצטברת מול אשתקד'!A50,'הפניקס'!A:G,5,0)+VLOOKUP('תפוקה מצטברת מול אשתקד'!A50,'כלל'!A:G,5,0)+VLOOKUP('תפוקה מצטברת מול אשתקד'!A50,'מור'!A:G,5,0)+VLOOKUP('תפוקה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אשתקד'!A50,'אינפניטי'!A:G,5,0)</f>
        <v>0</v>
      </c>
      <c r="J50" s="120">
        <f>VLOOKUP(A50,'הכשרה'!A:G,6,0)+VLOOKUP('תפוקה מצטברת מול אשתקד'!A50,'מגדל'!A:G,6,0)+VLOOKUP('תפוקה מצטברת מול אשתקד'!A50,'מנורה'!A:G,6,0)+VLOOKUP('תפוקה מצטברת מול אשתקד'!A50,'איילון'!A:G,6,0)+VLOOKUP(A50,'הראל'!A:G,6,0)+VLOOKUP('תפוקה מצטברת מול אשתקד'!A50,'הפניקס'!A:G,6,0)+VLOOKUP('תפוקה מצטברת מול אשתקד'!A50,'כלל'!A:G,6,0)+VLOOKUP('תפוקה מצטברת מול אשתקד'!A50,'מור'!A:G,6,0)+VLOOKUP('תפוקה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אשתקד'!A50,'אינפניטי'!A:G,6,0)</f>
        <v>0</v>
      </c>
      <c r="K50" s="120">
        <f>VLOOKUP(A50,'הכשרה'!A:G,7,0)+VLOOKUP('תפוקה מצטברת מול אשתקד'!A50,'מגדל'!A:G,7,0)+VLOOKUP('תפוקה מצטברת מול אשתקד'!A50,'מנורה'!A:G,7,0)+VLOOKUP('תפוקה מצטברת מול אשתקד'!A50,'איילון'!A:G,7,0)+VLOOKUP('תפוקה מצטברת מול אשתקד'!A50,'הראל'!A:G,7,0)+VLOOKUP('תפוקה מצטברת מול אשתקד'!A50,'הפניקס'!A:G,7,0)+VLOOKUP('תפוקה מצטברת מול אשתקד'!A50,'כלל'!A:G,7,0)+VLOOKUP('תפוקה מצטברת מול אשתקד'!A50,'מור'!A:G,7,0)+VLOOKUP('תפוקה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אשתקד'!A50,'אינפניטי'!A:G,7,0)</f>
        <v>0</v>
      </c>
      <c r="L50" s="121">
        <f>VLOOKUP(A50,'הכשרה'!A:K,8,0)+VLOOKUP('תפוקה מצטברת מול אשתקד'!A50,'מגדל'!A:K,8,0)+VLOOKUP('תפוקה מצטברת מול אשתקד'!A50,'מנורה'!A:K,8,0)+VLOOKUP('תפוקה מצטברת מול אשתקד'!A50,'איילון'!A:K,8,0)+VLOOKUP('תפוקה מצטברת מול אשתקד'!A50,'הראל'!A:K,8,0)+VLOOKUP('תפוקה מצטברת מול אשתקד'!A50,'הפניקס'!A:K,8,0)+VLOOKUP('תפוקה מצטברת מול אשתקד'!A50,'כלל'!A:K,8,0)+VLOOKUP('תפוקה מצטברת מול אשתקד'!A50,'מור'!A:K,8,0)+VLOOKUP('תפוקה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אשתקד'!A50,'אינפניטי'!A:K,8,0)</f>
        <v>0</v>
      </c>
      <c r="M50" s="121">
        <f>VLOOKUP(A50,'הכשרה'!A:K,9,0)+VLOOKUP('תפוקה מצטברת מול אשתקד'!A50,'מגדל'!A:K,9,0)+VLOOKUP('תפוקה מצטברת מול אשתקד'!A50,'מנורה'!A:K,9,0)+VLOOKUP('תפוקה מצטברת מול אשתקד'!A50,'איילון'!A:K,9,0)+VLOOKUP('תפוקה מצטברת מול אשתקד'!A50,'הראל'!A:K,9,0)+VLOOKUP('תפוקה מצטברת מול אשתקד'!A50,'הפניקס'!A:K,9,0)+VLOOKUP('תפוקה מצטברת מול אשתקד'!A50,'כלל'!A:K,9,0)+VLOOKUP('תפוקה מצטברת מול אשתקד'!A50,'מור'!A:K,9,0)+VLOOKUP('תפוקה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אשתקד'!A50,'אינפניטי'!A:K,9,0)</f>
        <v>0</v>
      </c>
      <c r="N50" s="121">
        <f>VLOOKUP(A50,'הכשרה'!A:K,10,0)+VLOOKUP('תפוקה מצטברת מול אשתקד'!A50,'מגדל'!A:K,10,0)+VLOOKUP('תפוקה מצטברת מול אשתקד'!A50,'מנורה'!A:K,10,0)+VLOOKUP('תפוקה מצטברת מול אשתקד'!A50,'איילון'!A:K,10,0)+VLOOKUP('תפוקה מצטברת מול אשתקד'!A50,'הראל'!A:K,10,0)+VLOOKUP('תפוקה מצטברת מול אשתקד'!A50,'הפניקס'!A:K,10,0)+VLOOKUP('תפוקה מצטברת מול אשתקד'!A50,'כלל'!A:K,10,0)+VLOOKUP('תפוקה מצטברת מול אשתקד'!A50,'מור'!A:K,10,0)+VLOOKUP('תפוקה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אשתקד'!A50,'אינפניטי'!A:K,10,0)</f>
        <v>0</v>
      </c>
      <c r="O50" s="121">
        <f>VLOOKUP(A50,'הכשרה'!A:K,11,0)+VLOOKUP('תפוקה מצטברת מול אשתקד'!A50,'מגדל'!A:K,11,0)+VLOOKUP('תפוקה מצטברת מול אשתקד'!A50,'מנורה'!A:K,11,0)+VLOOKUP('תפוקה מצטברת מול אשתקד'!A50,'איילון'!A:K,11,0)+VLOOKUP('תפוקה מצטברת מול אשתקד'!A50,'הראל'!A:K,11,0)+VLOOKUP('תפוקה מצטברת מול אשתקד'!A50,'הפניקס'!A:K,11,0)+VLOOKUP('תפוקה מצטברת מול אשתקד'!A50,'כלל'!A:K,11,0)+VLOOKUP('תפוקה מצטברת מול אשתקד'!A50,'מור'!A:K,11,0)+VLOOKUP('תפוקה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אשתקד'!A50,'אינפניטי'!A:K,11,0)</f>
        <v>0</v>
      </c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ht="15.75" customHeight="1">
      <c r="A51" s="98" t="s">
        <v>107</v>
      </c>
      <c r="B51" s="98" t="s">
        <v>24</v>
      </c>
      <c r="C51" s="98" t="s">
        <v>80</v>
      </c>
      <c r="D51" s="88">
        <f t="shared" ref="D51:F51" si="59">IF(H51=0,0%,IF(L51=0,100%,H51/L51-1))</f>
        <v>0</v>
      </c>
      <c r="E51" s="88">
        <f t="shared" si="59"/>
        <v>0</v>
      </c>
      <c r="F51" s="88">
        <f t="shared" si="59"/>
        <v>0</v>
      </c>
      <c r="G51" s="88">
        <f t="shared" si="56"/>
        <v>0</v>
      </c>
      <c r="H51" s="120">
        <f>VLOOKUP(A51,'הכשרה'!A:G,4,0)+VLOOKUP('תפוקה מצטברת מול אשתקד'!A51,'מגדל'!A:G,4,0)+VLOOKUP('תפוקה מצטברת מול אשתקד'!A51,'מנורה'!A:G,4,0)+VLOOKUP('תפוקה מצטברת מול אשתקד'!A51,'איילון'!A:G,4,0)+VLOOKUP('תפוקה מצטברת מול אשתקד'!A51,'הראל'!A:G,4,0)+VLOOKUP('תפוקה מצטברת מול אשתקד'!A51,'הפניקס'!A:G,4,0)+VLOOKUP('תפוקה מצטברת מול אשתקד'!A51,'כלל'!A:G,4,0)+VLOOKUP('תפוקה מצטברת מול אשתקד'!A51,'מור'!A:G,4,0)+VLOOKUP('תפוקה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אשתקד'!A51,'אינפניטי'!A:G,4,0)</f>
        <v>0</v>
      </c>
      <c r="I51" s="120">
        <f>VLOOKUP(A51,'הכשרה'!A:G,5,0)+VLOOKUP('תפוקה מצטברת מול אשתקד'!A51,'מגדל'!A:G,5,0)+VLOOKUP('תפוקה מצטברת מול אשתקד'!A51,'מנורה'!A:G,5,0)+VLOOKUP('תפוקה מצטברת מול אשתקד'!A51,'איילון'!A:G,5,0)+VLOOKUP('תפוקה מצטברת מול אשתקד'!A51,'הראל'!A:G,5,0)+VLOOKUP('תפוקה מצטברת מול אשתקד'!A51,'הפניקס'!A:G,5,0)+VLOOKUP('תפוקה מצטברת מול אשתקד'!A51,'כלל'!A:G,5,0)+VLOOKUP('תפוקה מצטברת מול אשתקד'!A51,'מור'!A:G,5,0)+VLOOKUP('תפוקה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אשתקד'!A51,'אינפניטי'!A:G,5,0)</f>
        <v>0</v>
      </c>
      <c r="J51" s="120">
        <f>VLOOKUP(A51,'הכשרה'!A:G,6,0)+VLOOKUP('תפוקה מצטברת מול אשתקד'!A51,'מגדל'!A:G,6,0)+VLOOKUP('תפוקה מצטברת מול אשתקד'!A51,'מנורה'!A:G,6,0)+VLOOKUP('תפוקה מצטברת מול אשתקד'!A51,'איילון'!A:G,6,0)+VLOOKUP(A51,'הראל'!A:G,6,0)+VLOOKUP('תפוקה מצטברת מול אשתקד'!A51,'הפניקס'!A:G,6,0)+VLOOKUP('תפוקה מצטברת מול אשתקד'!A51,'כלל'!A:G,6,0)+VLOOKUP('תפוקה מצטברת מול אשתקד'!A51,'מור'!A:G,6,0)+VLOOKUP('תפוקה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אשתקד'!A51,'אינפניטי'!A:G,6,0)</f>
        <v>0</v>
      </c>
      <c r="K51" s="120">
        <f>VLOOKUP(A51,'הכשרה'!A:G,7,0)+VLOOKUP('תפוקה מצטברת מול אשתקד'!A51,'מגדל'!A:G,7,0)+VLOOKUP('תפוקה מצטברת מול אשתקד'!A51,'מנורה'!A:G,7,0)+VLOOKUP('תפוקה מצטברת מול אשתקד'!A51,'איילון'!A:G,7,0)+VLOOKUP('תפוקה מצטברת מול אשתקד'!A51,'הראל'!A:G,7,0)+VLOOKUP('תפוקה מצטברת מול אשתקד'!A51,'הפניקס'!A:G,7,0)+VLOOKUP('תפוקה מצטברת מול אשתקד'!A51,'כלל'!A:G,7,0)+VLOOKUP('תפוקה מצטברת מול אשתקד'!A51,'מור'!A:G,7,0)+VLOOKUP('תפוקה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אשתקד'!A51,'אינפניטי'!A:G,7,0)</f>
        <v>0</v>
      </c>
      <c r="L51" s="121">
        <f>VLOOKUP(A51,'הכשרה'!A:K,8,0)+VLOOKUP('תפוקה מצטברת מול אשתקד'!A51,'מגדל'!A:K,8,0)+VLOOKUP('תפוקה מצטברת מול אשתקד'!A51,'מנורה'!A:K,8,0)+VLOOKUP('תפוקה מצטברת מול אשתקד'!A51,'איילון'!A:K,8,0)+VLOOKUP('תפוקה מצטברת מול אשתקד'!A51,'הראל'!A:K,8,0)+VLOOKUP('תפוקה מצטברת מול אשתקד'!A51,'הפניקס'!A:K,8,0)+VLOOKUP('תפוקה מצטברת מול אשתקד'!A51,'כלל'!A:K,8,0)+VLOOKUP('תפוקה מצטברת מול אשתקד'!A51,'מור'!A:K,8,0)+VLOOKUP('תפוקה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אשתקד'!A51,'אינפניטי'!A:K,8,0)</f>
        <v>0</v>
      </c>
      <c r="M51" s="121">
        <f>VLOOKUP(A51,'הכשרה'!A:K,9,0)+VLOOKUP('תפוקה מצטברת מול אשתקד'!A51,'מגדל'!A:K,9,0)+VLOOKUP('תפוקה מצטברת מול אשתקד'!A51,'מנורה'!A:K,9,0)+VLOOKUP('תפוקה מצטברת מול אשתקד'!A51,'איילון'!A:K,9,0)+VLOOKUP('תפוקה מצטברת מול אשתקד'!A51,'הראל'!A:K,9,0)+VLOOKUP('תפוקה מצטברת מול אשתקד'!A51,'הפניקס'!A:K,9,0)+VLOOKUP('תפוקה מצטברת מול אשתקד'!A51,'כלל'!A:K,9,0)+VLOOKUP('תפוקה מצטברת מול אשתקד'!A51,'מור'!A:K,9,0)+VLOOKUP('תפוקה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אשתקד'!A51,'אינפניטי'!A:K,9,0)</f>
        <v>0</v>
      </c>
      <c r="N51" s="121">
        <f>VLOOKUP(A51,'הכשרה'!A:K,10,0)+VLOOKUP('תפוקה מצטברת מול אשתקד'!A51,'מגדל'!A:K,10,0)+VLOOKUP('תפוקה מצטברת מול אשתקד'!A51,'מנורה'!A:K,10,0)+VLOOKUP('תפוקה מצטברת מול אשתקד'!A51,'איילון'!A:K,10,0)+VLOOKUP('תפוקה מצטברת מול אשתקד'!A51,'הראל'!A:K,10,0)+VLOOKUP('תפוקה מצטברת מול אשתקד'!A51,'הפניקס'!A:K,10,0)+VLOOKUP('תפוקה מצטברת מול אשתקד'!A51,'כלל'!A:K,10,0)+VLOOKUP('תפוקה מצטברת מול אשתקד'!A51,'מור'!A:K,10,0)+VLOOKUP('תפוקה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אשתקד'!A51,'אינפניטי'!A:K,10,0)</f>
        <v>0</v>
      </c>
      <c r="O51" s="121">
        <f>VLOOKUP(A51,'הכשרה'!A:K,11,0)+VLOOKUP('תפוקה מצטברת מול אשתקד'!A51,'מגדל'!A:K,11,0)+VLOOKUP('תפוקה מצטברת מול אשתקד'!A51,'מנורה'!A:K,11,0)+VLOOKUP('תפוקה מצטברת מול אשתקד'!A51,'איילון'!A:K,11,0)+VLOOKUP('תפוקה מצטברת מול אשתקד'!A51,'הראל'!A:K,11,0)+VLOOKUP('תפוקה מצטברת מול אשתקד'!A51,'הפניקס'!A:K,11,0)+VLOOKUP('תפוקה מצטברת מול אשתקד'!A51,'כלל'!A:K,11,0)+VLOOKUP('תפוקה מצטברת מול אשתקד'!A51,'מור'!A:K,11,0)+VLOOKUP('תפוקה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אשתקד'!A51,'אינפניטי'!A:K,11,0)</f>
        <v>0</v>
      </c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ht="15.75" customHeight="1">
      <c r="A52" s="98" t="s">
        <v>108</v>
      </c>
      <c r="B52" s="98" t="s">
        <v>24</v>
      </c>
      <c r="C52" s="98" t="s">
        <v>80</v>
      </c>
      <c r="D52" s="88">
        <f t="shared" ref="D52:F52" si="60">IF(H52=0,0%,IF(L52=0,100%,H52/L52-1))</f>
        <v>0</v>
      </c>
      <c r="E52" s="88">
        <f t="shared" si="60"/>
        <v>0</v>
      </c>
      <c r="F52" s="88">
        <f t="shared" si="60"/>
        <v>0</v>
      </c>
      <c r="G52" s="88">
        <f t="shared" si="56"/>
        <v>0</v>
      </c>
      <c r="H52" s="120">
        <f>VLOOKUP(A52,'הכשרה'!A:G,4,0)+VLOOKUP('תפוקה מצטברת מול אשתקד'!A52,'מגדל'!A:G,4,0)+VLOOKUP('תפוקה מצטברת מול אשתקד'!A52,'מנורה'!A:G,4,0)+VLOOKUP('תפוקה מצטברת מול אשתקד'!A52,'איילון'!A:G,4,0)+VLOOKUP('תפוקה מצטברת מול אשתקד'!A52,'הראל'!A:G,4,0)+VLOOKUP('תפוקה מצטברת מול אשתקד'!A52,'הפניקס'!A:G,4,0)+VLOOKUP('תפוקה מצטברת מול אשתקד'!A52,'כלל'!A:G,4,0)+VLOOKUP('תפוקה מצטברת מול אשתקד'!A52,'מור'!A:G,4,0)+VLOOKUP('תפוקה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אשתקד'!A52,'אינפניטי'!A:G,4,0)</f>
        <v>0</v>
      </c>
      <c r="I52" s="120">
        <f>VLOOKUP(A52,'הכשרה'!A:G,5,0)+VLOOKUP('תפוקה מצטברת מול אשתקד'!A52,'מגדל'!A:G,5,0)+VLOOKUP('תפוקה מצטברת מול אשתקד'!A52,'מנורה'!A:G,5,0)+VLOOKUP('תפוקה מצטברת מול אשתקד'!A52,'איילון'!A:G,5,0)+VLOOKUP('תפוקה מצטברת מול אשתקד'!A52,'הראל'!A:G,5,0)+VLOOKUP('תפוקה מצטברת מול אשתקד'!A52,'הפניקס'!A:G,5,0)+VLOOKUP('תפוקה מצטברת מול אשתקד'!A52,'כלל'!A:G,5,0)+VLOOKUP('תפוקה מצטברת מול אשתקד'!A52,'מור'!A:G,5,0)+VLOOKUP('תפוקה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אשתקד'!A52,'אינפניטי'!A:G,5,0)</f>
        <v>0</v>
      </c>
      <c r="J52" s="120">
        <f>VLOOKUP(A52,'הכשרה'!A:G,6,0)+VLOOKUP('תפוקה מצטברת מול אשתקד'!A52,'מגדל'!A:G,6,0)+VLOOKUP('תפוקה מצטברת מול אשתקד'!A52,'מנורה'!A:G,6,0)+VLOOKUP('תפוקה מצטברת מול אשתקד'!A52,'איילון'!A:G,6,0)+VLOOKUP(A52,'הראל'!A:G,6,0)+VLOOKUP('תפוקה מצטברת מול אשתקד'!A52,'הפניקס'!A:G,6,0)+VLOOKUP('תפוקה מצטברת מול אשתקד'!A52,'כלל'!A:G,6,0)+VLOOKUP('תפוקה מצטברת מול אשתקד'!A52,'מור'!A:G,6,0)+VLOOKUP('תפוקה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אשתקד'!A52,'אינפניטי'!A:G,6,0)</f>
        <v>0</v>
      </c>
      <c r="K52" s="120">
        <f>VLOOKUP(A52,'הכשרה'!A:G,7,0)+VLOOKUP('תפוקה מצטברת מול אשתקד'!A52,'מגדל'!A:G,7,0)+VLOOKUP('תפוקה מצטברת מול אשתקד'!A52,'מנורה'!A:G,7,0)+VLOOKUP('תפוקה מצטברת מול אשתקד'!A52,'איילון'!A:G,7,0)+VLOOKUP('תפוקה מצטברת מול אשתקד'!A52,'הראל'!A:G,7,0)+VLOOKUP('תפוקה מצטברת מול אשתקד'!A52,'הפניקס'!A:G,7,0)+VLOOKUP('תפוקה מצטברת מול אשתקד'!A52,'כלל'!A:G,7,0)+VLOOKUP('תפוקה מצטברת מול אשתקד'!A52,'מור'!A:G,7,0)+VLOOKUP('תפוקה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אשתקד'!A52,'אינפניטי'!A:G,7,0)</f>
        <v>0</v>
      </c>
      <c r="L52" s="121">
        <f>VLOOKUP(A52,'הכשרה'!A:K,8,0)+VLOOKUP('תפוקה מצטברת מול אשתקד'!A52,'מגדל'!A:K,8,0)+VLOOKUP('תפוקה מצטברת מול אשתקד'!A52,'מנורה'!A:K,8,0)+VLOOKUP('תפוקה מצטברת מול אשתקד'!A52,'איילון'!A:K,8,0)+VLOOKUP('תפוקה מצטברת מול אשתקד'!A52,'הראל'!A:K,8,0)+VLOOKUP('תפוקה מצטברת מול אשתקד'!A52,'הפניקס'!A:K,8,0)+VLOOKUP('תפוקה מצטברת מול אשתקד'!A52,'כלל'!A:K,8,0)+VLOOKUP('תפוקה מצטברת מול אשתקד'!A52,'מור'!A:K,8,0)+VLOOKUP('תפוקה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אשתקד'!A52,'אינפניטי'!A:K,8,0)</f>
        <v>221.541592</v>
      </c>
      <c r="M52" s="121">
        <f>VLOOKUP(A52,'הכשרה'!A:K,9,0)+VLOOKUP('תפוקה מצטברת מול אשתקד'!A52,'מגדל'!A:K,9,0)+VLOOKUP('תפוקה מצטברת מול אשתקד'!A52,'מנורה'!A:K,9,0)+VLOOKUP('תפוקה מצטברת מול אשתקד'!A52,'איילון'!A:K,9,0)+VLOOKUP('תפוקה מצטברת מול אשתקד'!A52,'הראל'!A:K,9,0)+VLOOKUP('תפוקה מצטברת מול אשתקד'!A52,'הפניקס'!A:K,9,0)+VLOOKUP('תפוקה מצטברת מול אשתקד'!A52,'כלל'!A:K,9,0)+VLOOKUP('תפוקה מצטברת מול אשתקד'!A52,'מור'!A:K,9,0)+VLOOKUP('תפוקה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אשתקד'!A52,'אינפניטי'!A:K,9,0)</f>
        <v>3405.926197</v>
      </c>
      <c r="N52" s="121">
        <f>VLOOKUP(A52,'הכשרה'!A:K,10,0)+VLOOKUP('תפוקה מצטברת מול אשתקד'!A52,'מגדל'!A:K,10,0)+VLOOKUP('תפוקה מצטברת מול אשתקד'!A52,'מנורה'!A:K,10,0)+VLOOKUP('תפוקה מצטברת מול אשתקד'!A52,'איילון'!A:K,10,0)+VLOOKUP('תפוקה מצטברת מול אשתקד'!A52,'הראל'!A:K,10,0)+VLOOKUP('תפוקה מצטברת מול אשתקד'!A52,'הפניקס'!A:K,10,0)+VLOOKUP('תפוקה מצטברת מול אשתקד'!A52,'כלל'!A:K,10,0)+VLOOKUP('תפוקה מצטברת מול אשתקד'!A52,'מור'!A:K,10,0)+VLOOKUP('תפוקה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אשתקד'!A52,'אינפניטי'!A:K,10,0)</f>
        <v>0</v>
      </c>
      <c r="O52" s="121">
        <f>VLOOKUP(A52,'הכשרה'!A:K,11,0)+VLOOKUP('תפוקה מצטברת מול אשתקד'!A52,'מגדל'!A:K,11,0)+VLOOKUP('תפוקה מצטברת מול אשתקד'!A52,'מנורה'!A:K,11,0)+VLOOKUP('תפוקה מצטברת מול אשתקד'!A52,'איילון'!A:K,11,0)+VLOOKUP('תפוקה מצטברת מול אשתקד'!A52,'הראל'!A:K,11,0)+VLOOKUP('תפוקה מצטברת מול אשתקד'!A52,'הפניקס'!A:K,11,0)+VLOOKUP('תפוקה מצטברת מול אשתקד'!A52,'כלל'!A:K,11,0)+VLOOKUP('תפוקה מצטברת מול אשתקד'!A52,'מור'!A:K,11,0)+VLOOKUP('תפוקה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אשתקד'!A52,'אינפניטי'!A:K,11,0)</f>
        <v>-115261.94</v>
      </c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ht="15.75" customHeight="1">
      <c r="A53" s="98" t="s">
        <v>109</v>
      </c>
      <c r="B53" s="98" t="s">
        <v>24</v>
      </c>
      <c r="C53" s="125" t="s">
        <v>80</v>
      </c>
      <c r="D53" s="88">
        <f t="shared" ref="D53:F53" si="61">IF(H53=0,0%,IF(L53=0,100%,H53/L53-1))</f>
        <v>1</v>
      </c>
      <c r="E53" s="88">
        <f t="shared" si="61"/>
        <v>1</v>
      </c>
      <c r="F53" s="88">
        <f t="shared" si="61"/>
        <v>0</v>
      </c>
      <c r="G53" s="88">
        <f t="shared" si="56"/>
        <v>0</v>
      </c>
      <c r="H53" s="120">
        <f>VLOOKUP(A53,'הכשרה'!A:G,4,0)+VLOOKUP('תפוקה מצטברת מול אשתקד'!A53,'מגדל'!A:G,4,0)+VLOOKUP('תפוקה מצטברת מול אשתקד'!A53,'מנורה'!A:G,4,0)+VLOOKUP('תפוקה מצטברת מול אשתקד'!A53,'איילון'!A:G,4,0)+VLOOKUP('תפוקה מצטברת מול אשתקד'!A53,'הראל'!A:G,4,0)+VLOOKUP('תפוקה מצטברת מול אשתקד'!A53,'הפניקס'!A:G,4,0)+VLOOKUP('תפוקה מצטברת מול אשתקד'!A53,'כלל'!A:G,4,0)+VLOOKUP('תפוקה מצטברת מול אשתקד'!A53,'מור'!A:G,4,0)+VLOOKUP('תפוקה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אשתקד'!A53,'אינפניטי'!A:G,4,0)</f>
        <v>29942.03</v>
      </c>
      <c r="I53" s="120">
        <f>VLOOKUP(A53,'הכשרה'!A:G,5,0)+VLOOKUP('תפוקה מצטברת מול אשתקד'!A53,'מגדל'!A:G,5,0)+VLOOKUP('תפוקה מצטברת מול אשתקד'!A53,'מנורה'!A:G,5,0)+VLOOKUP('תפוקה מצטברת מול אשתקד'!A53,'איילון'!A:G,5,0)+VLOOKUP('תפוקה מצטברת מול אשתקד'!A53,'הראל'!A:G,5,0)+VLOOKUP('תפוקה מצטברת מול אשתקד'!A53,'הפניקס'!A:G,5,0)+VLOOKUP('תפוקה מצטברת מול אשתקד'!A53,'כלל'!A:G,5,0)+VLOOKUP('תפוקה מצטברת מול אשתקד'!A53,'מור'!A:G,5,0)+VLOOKUP('תפוקה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אשתקד'!A53,'אינפניטי'!A:G,5,0)</f>
        <v>17842.41</v>
      </c>
      <c r="J53" s="120">
        <f>VLOOKUP(A53,'הכשרה'!A:G,6,0)+VLOOKUP('תפוקה מצטברת מול אשתקד'!A53,'מגדל'!A:G,6,0)+VLOOKUP('תפוקה מצטברת מול אשתקד'!A53,'מנורה'!A:G,6,0)+VLOOKUP('תפוקה מצטברת מול אשתקד'!A53,'איילון'!A:G,6,0)+VLOOKUP(A53,'הראל'!A:G,6,0)+VLOOKUP('תפוקה מצטברת מול אשתקד'!A53,'הפניקס'!A:G,6,0)+VLOOKUP('תפוקה מצטברת מול אשתקד'!A53,'כלל'!A:G,6,0)+VLOOKUP('תפוקה מצטברת מול אשתקד'!A53,'מור'!A:G,6,0)+VLOOKUP('תפוקה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אשתקד'!A53,'אינפניטי'!A:G,6,0)</f>
        <v>0</v>
      </c>
      <c r="K53" s="120">
        <f>VLOOKUP(A53,'הכשרה'!A:G,7,0)+VLOOKUP('תפוקה מצטברת מול אשתקד'!A53,'מגדל'!A:G,7,0)+VLOOKUP('תפוקה מצטברת מול אשתקד'!A53,'מנורה'!A:G,7,0)+VLOOKUP('תפוקה מצטברת מול אשתקד'!A53,'איילון'!A:G,7,0)+VLOOKUP('תפוקה מצטברת מול אשתקד'!A53,'הראל'!A:G,7,0)+VLOOKUP('תפוקה מצטברת מול אשתקד'!A53,'הפניקס'!A:G,7,0)+VLOOKUP('תפוקה מצטברת מול אשתקד'!A53,'כלל'!A:G,7,0)+VLOOKUP('תפוקה מצטברת מול אשתקד'!A53,'מור'!A:G,7,0)+VLOOKUP('תפוקה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אשתקד'!A53,'אינפניטי'!A:G,7,0)</f>
        <v>0</v>
      </c>
      <c r="L53" s="121">
        <f>VLOOKUP(A53,'הכשרה'!A:K,8,0)+VLOOKUP('תפוקה מצטברת מול אשתקד'!A53,'מגדל'!A:K,8,0)+VLOOKUP('תפוקה מצטברת מול אשתקד'!A53,'מנורה'!A:K,8,0)+VLOOKUP('תפוקה מצטברת מול אשתקד'!A53,'איילון'!A:K,8,0)+VLOOKUP('תפוקה מצטברת מול אשתקד'!A53,'הראל'!A:K,8,0)+VLOOKUP('תפוקה מצטברת מול אשתקד'!A53,'הפניקס'!A:K,8,0)+VLOOKUP('תפוקה מצטברת מול אשתקד'!A53,'כלל'!A:K,8,0)+VLOOKUP('תפוקה מצטברת מול אשתקד'!A53,'מור'!A:K,8,0)+VLOOKUP('תפוקה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אשתקד'!A53,'אינפניטי'!A:K,8,0)</f>
        <v>0</v>
      </c>
      <c r="M53" s="121">
        <f>VLOOKUP(A53,'הכשרה'!A:K,9,0)+VLOOKUP('תפוקה מצטברת מול אשתקד'!A53,'מגדל'!A:K,9,0)+VLOOKUP('תפוקה מצטברת מול אשתקד'!A53,'מנורה'!A:K,9,0)+VLOOKUP('תפוקה מצטברת מול אשתקד'!A53,'איילון'!A:K,9,0)+VLOOKUP('תפוקה מצטברת מול אשתקד'!A53,'הראל'!A:K,9,0)+VLOOKUP('תפוקה מצטברת מול אשתקד'!A53,'הפניקס'!A:K,9,0)+VLOOKUP('תפוקה מצטברת מול אשתקד'!A53,'כלל'!A:K,9,0)+VLOOKUP('תפוקה מצטברת מול אשתקד'!A53,'מור'!A:K,9,0)+VLOOKUP('תפוקה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אשתקד'!A53,'אינפניטי'!A:K,9,0)</f>
        <v>0</v>
      </c>
      <c r="N53" s="121">
        <f>VLOOKUP(A53,'הכשרה'!A:K,10,0)+VLOOKUP('תפוקה מצטברת מול אשתקד'!A53,'מגדל'!A:K,10,0)+VLOOKUP('תפוקה מצטברת מול אשתקד'!A53,'מנורה'!A:K,10,0)+VLOOKUP('תפוקה מצטברת מול אשתקד'!A53,'איילון'!A:K,10,0)+VLOOKUP('תפוקה מצטברת מול אשתקד'!A53,'הראל'!A:K,10,0)+VLOOKUP('תפוקה מצטברת מול אשתקד'!A53,'הפניקס'!A:K,10,0)+VLOOKUP('תפוקה מצטברת מול אשתקד'!A53,'כלל'!A:K,10,0)+VLOOKUP('תפוקה מצטברת מול אשתקד'!A53,'מור'!A:K,10,0)+VLOOKUP('תפוקה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אשתקד'!A53,'אינפניטי'!A:K,10,0)</f>
        <v>0</v>
      </c>
      <c r="O53" s="121">
        <f>VLOOKUP(A53,'הכשרה'!A:K,11,0)+VLOOKUP('תפוקה מצטברת מול אשתקד'!A53,'מגדל'!A:K,11,0)+VLOOKUP('תפוקה מצטברת מול אשתקד'!A53,'מנורה'!A:K,11,0)+VLOOKUP('תפוקה מצטברת מול אשתקד'!A53,'איילון'!A:K,11,0)+VLOOKUP('תפוקה מצטברת מול אשתקד'!A53,'הראל'!A:K,11,0)+VLOOKUP('תפוקה מצטברת מול אשתקד'!A53,'הפניקס'!A:K,11,0)+VLOOKUP('תפוקה מצטברת מול אשתקד'!A53,'כלל'!A:K,11,0)+VLOOKUP('תפוקה מצטברת מול אשתקד'!A53,'מור'!A:K,11,0)+VLOOKUP('תפוקה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אשתקד'!A53,'אינפניטי'!A:K,11,0)</f>
        <v>-52867.72</v>
      </c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ht="15.75" customHeight="1">
      <c r="A54" s="98" t="s">
        <v>110</v>
      </c>
      <c r="B54" s="98" t="s">
        <v>25</v>
      </c>
      <c r="C54" s="125" t="s">
        <v>80</v>
      </c>
      <c r="D54" s="88">
        <f t="shared" ref="D54:F54" si="62">IF(H54=0,0%,IF(L54=0,100%,H54/L54-1))</f>
        <v>0</v>
      </c>
      <c r="E54" s="88">
        <f t="shared" si="62"/>
        <v>0</v>
      </c>
      <c r="F54" s="88">
        <f t="shared" si="62"/>
        <v>0</v>
      </c>
      <c r="G54" s="88">
        <f t="shared" si="56"/>
        <v>1</v>
      </c>
      <c r="H54" s="120">
        <f>VLOOKUP(A54,'הכשרה'!A:G,4,0)+VLOOKUP('תפוקה מצטברת מול אשתקד'!A54,'מגדל'!A:G,4,0)+VLOOKUP('תפוקה מצטברת מול אשתקד'!A54,'מנורה'!A:G,4,0)+VLOOKUP('תפוקה מצטברת מול אשתקד'!A54,'איילון'!A:G,4,0)+VLOOKUP('תפוקה מצטברת מול אשתקד'!A54,'הראל'!A:G,4,0)+VLOOKUP('תפוקה מצטברת מול אשתקד'!A54,'הפניקס'!A:G,4,0)+VLOOKUP('תפוקה מצטברת מול אשתקד'!A54,'כלל'!A:G,4,0)+VLOOKUP('תפוקה מצטברת מול אשתקד'!A54,'מור'!A:G,4,0)+VLOOKUP('תפוקה מצטברת מול אשתקד'!A54,'אלטשולר שחם'!A:G,4,0)+VLOOKUP('תפוקה מצטברת מול אשתקד'!A54,'מדיהו '!A:G,4,0)+VLOOKUP('תפוקה מצטברת מול אשתקד'!A54,'אנליסט '!A:G,4,0)+VLOOKUP('תפוקה מצטברת מול אשתקד'!A54,'מיטב דש'!A:G,4,0)+VLOOKUP('תפוקה מצטברת מול אשתקד'!A54,'אינפניטי'!A:G,4,0)</f>
        <v>0</v>
      </c>
      <c r="I54" s="120">
        <f>VLOOKUP(A54,'הכשרה'!A:G,5,0)+VLOOKUP('תפוקה מצטברת מול אשתקד'!A54,'מגדל'!A:G,5,0)+VLOOKUP('תפוקה מצטברת מול אשתקד'!A54,'מנורה'!A:G,5,0)+VLOOKUP('תפוקה מצטברת מול אשתקד'!A54,'איילון'!A:G,5,0)+VLOOKUP('תפוקה מצטברת מול אשתקד'!A54,'הראל'!A:G,5,0)+VLOOKUP('תפוקה מצטברת מול אשתקד'!A54,'הפניקס'!A:G,5,0)+VLOOKUP('תפוקה מצטברת מול אשתקד'!A54,'כלל'!A:G,5,0)+VLOOKUP('תפוקה מצטברת מול אשתקד'!A54,'מור'!A:G,5,0)+VLOOKUP('תפוקה מצטברת מול אשתקד'!A54,'אלטשולר שחם'!A:G,5,0)+VLOOKUP('תפוקה מצטברת מול אשתקד'!A54,'מדיהו '!A:G,5,0)+VLOOKUP('תפוקה מצטברת מול אשתקד'!A54,'אנליסט '!A:G,5,0)+VLOOKUP('תפוקה מצטברת מול אשתקד'!A54,'מיטב דש'!A:G,5,0)+VLOOKUP('תפוקה מצטברת מול אשתקד'!A54,'אינפניטי'!A:G,5,0)</f>
        <v>0</v>
      </c>
      <c r="J54" s="120">
        <f>VLOOKUP(A54,'הכשרה'!A:G,6,0)+VLOOKUP('תפוקה מצטברת מול אשתקד'!A54,'מגדל'!A:G,6,0)+VLOOKUP('תפוקה מצטברת מול אשתקד'!A54,'מנורה'!A:G,6,0)+VLOOKUP('תפוקה מצטברת מול אשתקד'!A54,'איילון'!A:G,6,0)+VLOOKUP(A54,'הראל'!A:G,6,0)+VLOOKUP('תפוקה מצטברת מול אשתקד'!A54,'הפניקס'!A:G,6,0)+VLOOKUP('תפוקה מצטברת מול אשתקד'!A54,'כלל'!A:G,6,0)+VLOOKUP('תפוקה מצטברת מול אשתקד'!A54,'מור'!A:G,6,0)+VLOOKUP('תפוקה מצטברת מול אשתקד'!A54,'אלטשולר שחם'!A:G,6,0)+VLOOKUP('תפוקה מצטברת מול אשתקד'!A54,'מדיהו '!A:G,6,0)+VLOOKUP('תפוקה מצטברת מול אשתקד'!A54,'אנליסט '!A:G,6,0)+VLOOKUP('תפוקה מצטברת מול אשתקד'!A54,'מיטב דש'!A:G,6,0)+VLOOKUP('תפוקה מצטברת מול אשתקד'!A54,'אינפניטי'!A:G,6,0)</f>
        <v>0</v>
      </c>
      <c r="K54" s="120">
        <f>VLOOKUP(A54,'הכשרה'!A:G,7,0)+VLOOKUP('תפוקה מצטברת מול אשתקד'!A54,'מגדל'!A:G,7,0)+VLOOKUP('תפוקה מצטברת מול אשתקד'!A54,'מנורה'!A:G,7,0)+VLOOKUP('תפוקה מצטברת מול אשתקד'!A54,'איילון'!A:G,7,0)+VLOOKUP('תפוקה מצטברת מול אשתקד'!A54,'הראל'!A:G,7,0)+VLOOKUP('תפוקה מצטברת מול אשתקד'!A54,'הפניקס'!A:G,7,0)+VLOOKUP('תפוקה מצטברת מול אשתקד'!A54,'כלל'!A:G,7,0)+VLOOKUP('תפוקה מצטברת מול אשתקד'!A54,'מור'!A:G,7,0)+VLOOKUP('תפוקה מצטברת מול אשתקד'!A54,'אלטשולר שחם'!A:G,7,0)+VLOOKUP('תפוקה מצטברת מול אשתקד'!A54,'מדיהו '!A:K,7,0)+VLOOKUP(A54,'אנליסט '!A:G,7,0)+VLOOKUP('תפוקה מצטברת מול אשתקד'!A54,'מיטב דש'!A:G,7,0)+VLOOKUP('תפוקה מצטברת מול אשתקד'!A54,'אינפניטי'!A:G,7,0)</f>
        <v>-59363.66</v>
      </c>
      <c r="L54" s="121">
        <f>VLOOKUP(A54,'הכשרה'!A:K,8,0)+VLOOKUP('תפוקה מצטברת מול אשתקד'!A54,'מגדל'!A:K,8,0)+VLOOKUP('תפוקה מצטברת מול אשתקד'!A54,'מנורה'!A:K,8,0)+VLOOKUP('תפוקה מצטברת מול אשתקד'!A54,'איילון'!A:K,8,0)+VLOOKUP('תפוקה מצטברת מול אשתקד'!A54,'הראל'!A:K,8,0)+VLOOKUP('תפוקה מצטברת מול אשתקד'!A54,'הפניקס'!A:K,8,0)+VLOOKUP('תפוקה מצטברת מול אשתקד'!A54,'כלל'!A:K,8,0)+VLOOKUP('תפוקה מצטברת מול אשתקד'!A54,'מור'!A:K,8,0)+VLOOKUP('תפוקה מצטברת מול אשתקד'!A54,'אלטשולר שחם'!A:K,8,0)+VLOOKUP('תפוקה מצטברת מול אשתקד'!A54,'מדיהו '!A:K,8,0)+VLOOKUP('תפוקה מצטברת מול אשתקד'!A54,'אנליסט '!A:K,8,0)+VLOOKUP('תפוקה מצטברת מול אשתקד'!A54,'מיטב דש'!A:K,8,0)+VLOOKUP('תפוקה מצטברת מול אשתקד'!A54,'אינפניטי'!A:K,8,0)</f>
        <v>0</v>
      </c>
      <c r="M54" s="121">
        <f>VLOOKUP(A54,'הכשרה'!A:K,9,0)+VLOOKUP('תפוקה מצטברת מול אשתקד'!A54,'מגדל'!A:K,9,0)+VLOOKUP('תפוקה מצטברת מול אשתקד'!A54,'מנורה'!A:K,9,0)+VLOOKUP('תפוקה מצטברת מול אשתקד'!A54,'איילון'!A:K,9,0)+VLOOKUP('תפוקה מצטברת מול אשתקד'!A54,'הראל'!A:K,9,0)+VLOOKUP('תפוקה מצטברת מול אשתקד'!A54,'הפניקס'!A:K,9,0)+VLOOKUP('תפוקה מצטברת מול אשתקד'!A54,'כלל'!A:K,9,0)+VLOOKUP('תפוקה מצטברת מול אשתקד'!A54,'מור'!A:K,9,0)+VLOOKUP('תפוקה מצטברת מול אשתקד'!A54,'אלטשולר שחם'!A:K,9,0)+VLOOKUP('תפוקה מצטברת מול אשתקד'!A54,'מדיהו '!A:K,9,0)+VLOOKUP('תפוקה מצטברת מול אשתקד'!A54,'אנליסט '!A:K,9,0)+VLOOKUP('תפוקה מצטברת מול אשתקד'!A54,'מיטב דש'!A:K,9,0)+VLOOKUP('תפוקה מצטברת מול אשתקד'!A54,'אינפניטי'!A:K,9,0)</f>
        <v>0</v>
      </c>
      <c r="N54" s="121">
        <f>VLOOKUP(A54,'הכשרה'!A:K,10,0)+VLOOKUP('תפוקה מצטברת מול אשתקד'!A54,'מגדל'!A:K,10,0)+VLOOKUP('תפוקה מצטברת מול אשתקד'!A54,'מנורה'!A:K,10,0)+VLOOKUP('תפוקה מצטברת מול אשתקד'!A54,'איילון'!A:K,10,0)+VLOOKUP('תפוקה מצטברת מול אשתקד'!A54,'הראל'!A:K,10,0)+VLOOKUP('תפוקה מצטברת מול אשתקד'!A54,'הפניקס'!A:K,10,0)+VLOOKUP('תפוקה מצטברת מול אשתקד'!A54,'כלל'!A:K,10,0)+VLOOKUP('תפוקה מצטברת מול אשתקד'!A54,'מור'!A:K,10,0)+VLOOKUP('תפוקה מצטברת מול אשתקד'!A54,'אלטשולר שחם'!A:K,10,0)+VLOOKUP('תפוקה מצטברת מול אשתקד'!A54,'מדיהו '!A:K,10,0)+VLOOKUP('תפוקה מצטברת מול אשתקד'!A54,'אנליסט '!A:K,10,0)+VLOOKUP('תפוקה מצטברת מול אשתקד'!A54,'מיטב דש'!A:K,10,0)+VLOOKUP('תפוקה מצטברת מול אשתקד'!A54,'אינפניטי'!A:K,10,0)</f>
        <v>0</v>
      </c>
      <c r="O54" s="121">
        <f>VLOOKUP(A54,'הכשרה'!A:K,11,0)+VLOOKUP('תפוקה מצטברת מול אשתקד'!A54,'מגדל'!A:K,11,0)+VLOOKUP('תפוקה מצטברת מול אשתקד'!A54,'מנורה'!A:K,11,0)+VLOOKUP('תפוקה מצטברת מול אשתקד'!A54,'איילון'!A:K,11,0)+VLOOKUP('תפוקה מצטברת מול אשתקד'!A54,'הראל'!A:K,11,0)+VLOOKUP('תפוקה מצטברת מול אשתקד'!A54,'הפניקס'!A:K,11,0)+VLOOKUP('תפוקה מצטברת מול אשתקד'!A54,'כלל'!A:K,11,0)+VLOOKUP('תפוקה מצטברת מול אשתקד'!A54,'מור'!A:K,11,0)+VLOOKUP('תפוקה מצטברת מול אשתקד'!A54,'אלטשולר שחם'!A:K,11,0)+VLOOKUP('תפוקה מצטברת מול אשתקד'!A54,'מדיהו '!A:K,11,0)+VLOOKUP('תפוקה מצטברת מול אשתקד'!A54,'אנליסט '!A:K,11,0)+VLOOKUP('תפוקה מצטברת מול אשתקד'!A54,'מיטב דש'!A:K,11,0)+VLOOKUP('תפוקה מצטברת מול אשתקד'!A54,'אינפניטי'!A:K,11,0)</f>
        <v>0</v>
      </c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ht="15.75" customHeight="1">
      <c r="A55" s="98" t="s">
        <v>111</v>
      </c>
      <c r="B55" s="98" t="s">
        <v>24</v>
      </c>
      <c r="C55" s="125" t="s">
        <v>80</v>
      </c>
      <c r="D55" s="88">
        <f t="shared" ref="D55:F55" si="63">IF(H55=0,0%,IF(L55=0,100%,H55/L55-1))</f>
        <v>0</v>
      </c>
      <c r="E55" s="88">
        <f t="shared" si="63"/>
        <v>0</v>
      </c>
      <c r="F55" s="88">
        <f t="shared" si="63"/>
        <v>0</v>
      </c>
      <c r="G55" s="88">
        <f t="shared" ref="G55:G64" si="65">IF(K55=0,0%,IF(O55=H80,100%,K55/O55-1))</f>
        <v>0</v>
      </c>
      <c r="H55" s="120">
        <f>VLOOKUP(A55,'הכשרה'!A:G,4,0)+VLOOKUP('תפוקה מצטברת מול אשתקד'!A55,'מגדל'!A:G,4,0)+VLOOKUP('תפוקה מצטברת מול אשתקד'!A55,'מנורה'!A:G,4,0)+VLOOKUP('תפוקה מצטברת מול אשתקד'!A55,'איילון'!A:G,4,0)+VLOOKUP('תפוקה מצטברת מול אשתקד'!A55,'הראל'!A:G,4,0)+VLOOKUP('תפוקה מצטברת מול אשתקד'!A55,'הפניקס'!A:G,4,0)+VLOOKUP('תפוקה מצטברת מול אשתקד'!A55,'כלל'!A:G,4,0)+VLOOKUP('תפוקה מצטברת מול אשתקד'!A55,'מור'!A:G,4,0)+VLOOKUP('תפוקה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אשתקד'!A55,'אינפניטי'!A:G,4,0)</f>
        <v>0</v>
      </c>
      <c r="I55" s="120">
        <f>VLOOKUP(A55,'הכשרה'!A:G,5,0)+VLOOKUP('תפוקה מצטברת מול אשתקד'!A55,'מגדל'!A:G,5,0)+VLOOKUP('תפוקה מצטברת מול אשתקד'!A55,'מנורה'!A:G,5,0)+VLOOKUP('תפוקה מצטברת מול אשתקד'!A55,'איילון'!A:G,5,0)+VLOOKUP('תפוקה מצטברת מול אשתקד'!A55,'הראל'!A:G,5,0)+VLOOKUP('תפוקה מצטברת מול אשתקד'!A55,'הפניקס'!A:G,5,0)+VLOOKUP('תפוקה מצטברת מול אשתקד'!A55,'כלל'!A:G,5,0)+VLOOKUP('תפוקה מצטברת מול אשתקד'!A55,'מור'!A:G,5,0)+VLOOKUP('תפוקה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אשתקד'!A55,'אינפניטי'!A:G,5,0)</f>
        <v>0</v>
      </c>
      <c r="J55" s="120">
        <f>VLOOKUP(A55,'הכשרה'!A:G,6,0)+VLOOKUP('תפוקה מצטברת מול אשתקד'!A55,'מגדל'!A:G,6,0)+VLOOKUP('תפוקה מצטברת מול אשתקד'!A55,'מנורה'!A:G,6,0)+VLOOKUP('תפוקה מצטברת מול אשתקד'!A55,'איילון'!A:G,6,0)+VLOOKUP(A55,'הראל'!A:G,6,0)+VLOOKUP('תפוקה מצטברת מול אשתקד'!A55,'הפניקס'!A:G,6,0)+VLOOKUP('תפוקה מצטברת מול אשתקד'!A55,'כלל'!A:G,6,0)+VLOOKUP('תפוקה מצטברת מול אשתקד'!A55,'מור'!A:G,6,0)+VLOOKUP('תפוקה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אשתקד'!A55,'אינפניטי'!A:G,6,0)</f>
        <v>0</v>
      </c>
      <c r="K55" s="120">
        <f>VLOOKUP(A55,'הכשרה'!A:G,7,0)+VLOOKUP('תפוקה מצטברת מול אשתקד'!A55,'מגדל'!A:G,7,0)+VLOOKUP('תפוקה מצטברת מול אשתקד'!A55,'מנורה'!A:G,7,0)+VLOOKUP('תפוקה מצטברת מול אשתקד'!A55,'איילון'!A:G,7,0)+VLOOKUP('תפוקה מצטברת מול אשתקד'!A55,'הראל'!A:G,7,0)+VLOOKUP('תפוקה מצטברת מול אשתקד'!A55,'הפניקס'!A:G,7,0)+VLOOKUP('תפוקה מצטברת מול אשתקד'!A55,'כלל'!A:G,7,0)+VLOOKUP('תפוקה מצטברת מול אשתקד'!A55,'מור'!A:G,7,0)+VLOOKUP('תפוקה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אשתקד'!A55,'אינפניטי'!A:G,7,0)</f>
        <v>0</v>
      </c>
      <c r="L55" s="121">
        <f>VLOOKUP(A55,'הכשרה'!A:K,8,0)+VLOOKUP('תפוקה מצטברת מול אשתקד'!A55,'מגדל'!A:K,8,0)+VLOOKUP('תפוקה מצטברת מול אשתקד'!A55,'מנורה'!A:K,8,0)+VLOOKUP('תפוקה מצטברת מול אשתקד'!A55,'איילון'!A:K,8,0)+VLOOKUP('תפוקה מצטברת מול אשתקד'!A55,'הראל'!A:K,8,0)+VLOOKUP('תפוקה מצטברת מול אשתקד'!A55,'הפניקס'!A:K,8,0)+VLOOKUP('תפוקה מצטברת מול אשתקד'!A55,'כלל'!A:K,8,0)+VLOOKUP('תפוקה מצטברת מול אשתקד'!A55,'מור'!A:K,8,0)+VLOOKUP('תפוקה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אשתקד'!A55,'אינפניטי'!A:K,8,0)</f>
        <v>126.21</v>
      </c>
      <c r="M55" s="121">
        <f>VLOOKUP(A55,'הכשרה'!A:K,9,0)+VLOOKUP('תפוקה מצטברת מול אשתקד'!A55,'מגדל'!A:K,9,0)+VLOOKUP('תפוקה מצטברת מול אשתקד'!A55,'מנורה'!A:K,9,0)+VLOOKUP('תפוקה מצטברת מול אשתקד'!A55,'איילון'!A:K,9,0)+VLOOKUP('תפוקה מצטברת מול אשתקד'!A55,'הראל'!A:K,9,0)+VLOOKUP('תפוקה מצטברת מול אשתקד'!A55,'הפניקס'!A:K,9,0)+VLOOKUP('תפוקה מצטברת מול אשתקד'!A55,'כלל'!A:K,9,0)+VLOOKUP('תפוקה מצטברת מול אשתקד'!A55,'מור'!A:K,9,0)+VLOOKUP('תפוקה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אשתקד'!A55,'אינפניטי'!A:K,9,0)</f>
        <v>0</v>
      </c>
      <c r="N55" s="121">
        <f>VLOOKUP(A55,'הכשרה'!A:K,10,0)+VLOOKUP('תפוקה מצטברת מול אשתקד'!A55,'מגדל'!A:K,10,0)+VLOOKUP('תפוקה מצטברת מול אשתקד'!A55,'מנורה'!A:K,10,0)+VLOOKUP('תפוקה מצטברת מול אשתקד'!A55,'איילון'!A:K,10,0)+VLOOKUP('תפוקה מצטברת מול אשתקד'!A55,'הראל'!A:K,10,0)+VLOOKUP('תפוקה מצטברת מול אשתקד'!A55,'הפניקס'!A:K,10,0)+VLOOKUP('תפוקה מצטברת מול אשתקד'!A55,'כלל'!A:K,10,0)+VLOOKUP('תפוקה מצטברת מול אשתקד'!A55,'מור'!A:K,10,0)+VLOOKUP('תפוקה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אשתקד'!A55,'אינפניטי'!A:K,10,0)</f>
        <v>0</v>
      </c>
      <c r="O55" s="121">
        <f>VLOOKUP(A55,'הכשרה'!A:K,11,0)+VLOOKUP('תפוקה מצטברת מול אשתקד'!A55,'מגדל'!A:K,11,0)+VLOOKUP('תפוקה מצטברת מול אשתקד'!A55,'מנורה'!A:K,11,0)+VLOOKUP('תפוקה מצטברת מול אשתקד'!A55,'איילון'!A:K,11,0)+VLOOKUP('תפוקה מצטברת מול אשתקד'!A55,'הראל'!A:K,11,0)+VLOOKUP('תפוקה מצטברת מול אשתקד'!A55,'הפניקס'!A:K,11,0)+VLOOKUP('תפוקה מצטברת מול אשתקד'!A55,'כלל'!A:K,11,0)+VLOOKUP('תפוקה מצטברת מול אשתקד'!A55,'מור'!A:K,11,0)+VLOOKUP('תפוקה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אשתקד'!A55,'אינפניטי'!A:K,11,0)</f>
        <v>0</v>
      </c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ht="27.0" customHeight="1">
      <c r="A56" s="133" t="s">
        <v>16</v>
      </c>
      <c r="B56" s="127"/>
      <c r="C56" s="127"/>
      <c r="D56" s="88">
        <f t="shared" ref="D56:F56" si="64">IF(H56=0,0%,IF(L56=0,100%,H56/L56-1))</f>
        <v>-0.08612849784</v>
      </c>
      <c r="E56" s="88">
        <f t="shared" si="64"/>
        <v>-0.1783546818</v>
      </c>
      <c r="F56" s="88">
        <f t="shared" si="64"/>
        <v>-0.1453999764</v>
      </c>
      <c r="G56" s="88">
        <f t="shared" si="65"/>
        <v>-0.6146050189</v>
      </c>
      <c r="H56" s="134">
        <f t="shared" ref="H56:O56" si="66">SUM(H23:H55)</f>
        <v>5287150.384</v>
      </c>
      <c r="I56" s="134">
        <f t="shared" si="66"/>
        <v>736281.5837</v>
      </c>
      <c r="J56" s="134">
        <f t="shared" si="66"/>
        <v>10134031.46</v>
      </c>
      <c r="K56" s="134">
        <f t="shared" si="66"/>
        <v>12164367.59</v>
      </c>
      <c r="L56" s="134">
        <f t="shared" si="66"/>
        <v>5785441.795</v>
      </c>
      <c r="M56" s="134">
        <f t="shared" si="66"/>
        <v>896106.3458</v>
      </c>
      <c r="N56" s="134">
        <f t="shared" si="66"/>
        <v>11858215.75</v>
      </c>
      <c r="O56" s="134">
        <f t="shared" si="66"/>
        <v>31563378.32</v>
      </c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ht="15.75" customHeight="1">
      <c r="A57" s="98" t="s">
        <v>112</v>
      </c>
      <c r="B57" s="98" t="s">
        <v>26</v>
      </c>
      <c r="C57" s="125" t="s">
        <v>80</v>
      </c>
      <c r="D57" s="88">
        <f t="shared" ref="D57:F57" si="67">IF(H57=0,0%,IF(L57=0,100%,H57/L57-1))</f>
        <v>-0.6623742021</v>
      </c>
      <c r="E57" s="88">
        <f t="shared" si="67"/>
        <v>0</v>
      </c>
      <c r="F57" s="88">
        <f t="shared" si="67"/>
        <v>-0.9957597845</v>
      </c>
      <c r="G57" s="88">
        <f t="shared" si="65"/>
        <v>0</v>
      </c>
      <c r="H57" s="120">
        <f>VLOOKUP(A57,'הכשרה'!A:G,4,0)+VLOOKUP('תפוקה מצטברת מול אשתקד'!A57,'מגדל'!A:G,4,0)+VLOOKUP('תפוקה מצטברת מול אשתקד'!A57,'מנורה'!A:G,4,0)+VLOOKUP('תפוקה מצטברת מול אשתקד'!A57,'איילון'!A:G,4,0)+VLOOKUP('תפוקה מצטברת מול אשתקד'!A57,'הראל'!A:G,4,0)+VLOOKUP('תפוקה מצטברת מול אשתקד'!A57,'הפניקס'!A:G,4,0)+VLOOKUP('תפוקה מצטברת מול אשתקד'!A57,'כלל'!A:G,4,0)+VLOOKUP('תפוקה מצטברת מול אשתקד'!A57,'מור'!A:G,4,0)+VLOOKUP('תפוקה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אשתקד'!A57,'אינפניטי'!A:G,4,0)</f>
        <v>17462.3</v>
      </c>
      <c r="I57" s="120">
        <f>VLOOKUP(A57,'הכשרה'!A:G,5,0)+VLOOKUP('תפוקה מצטברת מול אשתקד'!A57,'מגדל'!A:G,5,0)+VLOOKUP('תפוקה מצטברת מול אשתקד'!A57,'מנורה'!A:G,5,0)+VLOOKUP('תפוקה מצטברת מול אשתקד'!A57,'איילון'!A:G,5,0)+VLOOKUP('תפוקה מצטברת מול אשתקד'!A57,'הראל'!A:G,5,0)+VLOOKUP('תפוקה מצטברת מול אשתקד'!A57,'הפניקס'!A:G,5,0)+VLOOKUP('תפוקה מצטברת מול אשתקד'!A57,'כלל'!A:G,5,0)+VLOOKUP('תפוקה מצטברת מול אשתקד'!A57,'מור'!A:G,5,0)+VLOOKUP('תפוקה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אשתקד'!A57,'אינפניטי'!A:G,5,0)</f>
        <v>0</v>
      </c>
      <c r="J57" s="120">
        <f>VLOOKUP(A57,'הכשרה'!A:G,6,0)+VLOOKUP('תפוקה מצטברת מול אשתקד'!A57,'מגדל'!A:G,6,0)+VLOOKUP('תפוקה מצטברת מול אשתקד'!A57,'מנורה'!A:G,6,0)+VLOOKUP('תפוקה מצטברת מול אשתקד'!A57,'איילון'!A:G,6,0)+VLOOKUP(A57,'הראל'!A:G,6,0)+VLOOKUP('תפוקה מצטברת מול אשתקד'!A57,'הפניקס'!A:G,6,0)+VLOOKUP('תפוקה מצטברת מול אשתקד'!A57,'כלל'!A:G,6,0)+VLOOKUP('תפוקה מצטברת מול אשתקד'!A57,'מור'!A:G,6,0)+VLOOKUP('תפוקה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אשתקד'!A57,'אינפניטי'!A:G,6,0)</f>
        <v>582.76</v>
      </c>
      <c r="K57" s="120">
        <f>VLOOKUP(A57,'הכשרה'!A:G,7,0)+VLOOKUP('תפוקה מצטברת מול אשתקד'!A57,'מגדל'!A:G,7,0)+VLOOKUP('תפוקה מצטברת מול אשתקד'!A57,'מנורה'!A:G,7,0)+VLOOKUP('תפוקה מצטברת מול אשתקד'!A57,'איילון'!A:G,7,0)+VLOOKUP('תפוקה מצטברת מול אשתקד'!A57,'הראל'!A:G,7,0)+VLOOKUP('תפוקה מצטברת מול אשתקד'!A57,'הפניקס'!A:G,7,0)+VLOOKUP('תפוקה מצטברת מול אשתקד'!A57,'כלל'!A:G,7,0)+VLOOKUP('תפוקה מצטברת מול אשתקד'!A57,'מור'!A:G,7,0)+VLOOKUP('תפוקה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אשתקד'!A57,'אינפניטי'!A:G,7,0)</f>
        <v>0</v>
      </c>
      <c r="L57" s="121">
        <f>VLOOKUP(A57,'הכשרה'!A:K,8,0)+VLOOKUP('תפוקה מצטברת מול אשתקד'!A57,'מגדל'!A:K,8,0)+VLOOKUP('תפוקה מצטברת מול אשתקד'!A57,'מנורה'!A:K,8,0)+VLOOKUP('תפוקה מצטברת מול אשתקד'!A57,'איילון'!A:K,8,0)+VLOOKUP('תפוקה מצטברת מול אשתקד'!A57,'הראל'!A:K,8,0)+VLOOKUP('תפוקה מצטברת מול אשתקד'!A57,'הפניקס'!A:K,8,0)+VLOOKUP('תפוקה מצטברת מול אשתקד'!A57,'כלל'!A:K,8,0)+VLOOKUP('תפוקה מצטברת מול אשתקד'!A57,'מור'!A:K,8,0)+VLOOKUP('תפוקה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אשתקד'!A57,'אינפניטי'!A:K,8,0)</f>
        <v>51720.87</v>
      </c>
      <c r="M57" s="121">
        <f>VLOOKUP(A57,'הכשרה'!A:K,9,0)+VLOOKUP('תפוקה מצטברת מול אשתקד'!A57,'מגדל'!A:K,9,0)+VLOOKUP('תפוקה מצטברת מול אשתקד'!A57,'מנורה'!A:K,9,0)+VLOOKUP('תפוקה מצטברת מול אשתקד'!A57,'איילון'!A:K,9,0)+VLOOKUP('תפוקה מצטברת מול אשתקד'!A57,'הראל'!A:K,9,0)+VLOOKUP('תפוקה מצטברת מול אשתקד'!A57,'הפניקס'!A:K,9,0)+VLOOKUP('תפוקה מצטברת מול אשתקד'!A57,'כלל'!A:K,9,0)+VLOOKUP('תפוקה מצטברת מול אשתקד'!A57,'מור'!A:K,9,0)+VLOOKUP('תפוקה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אשתקד'!A57,'אינפניטי'!A:K,9,0)</f>
        <v>2467.98</v>
      </c>
      <c r="N57" s="121">
        <f>VLOOKUP(A57,'הכשרה'!A:K,10,0)+VLOOKUP('תפוקה מצטברת מול אשתקד'!A57,'מגדל'!A:K,10,0)+VLOOKUP('תפוקה מצטברת מול אשתקד'!A57,'מנורה'!A:K,10,0)+VLOOKUP('תפוקה מצטברת מול אשתקד'!A57,'איילון'!A:K,10,0)+VLOOKUP('תפוקה מצטברת מול אשתקד'!A57,'הראל'!A:K,10,0)+VLOOKUP('תפוקה מצטברת מול אשתקד'!A57,'הפניקס'!A:K,10,0)+VLOOKUP('תפוקה מצטברת מול אשתקד'!A57,'כלל'!A:K,10,0)+VLOOKUP('תפוקה מצטברת מול אשתקד'!A57,'מור'!A:K,10,0)+VLOOKUP('תפוקה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אשתקד'!A57,'אינפניטי'!A:K,10,0)</f>
        <v>137436.41</v>
      </c>
      <c r="O57" s="121">
        <f>VLOOKUP(A57,'הכשרה'!A:K,11,0)+VLOOKUP('תפוקה מצטברת מול אשתקד'!A57,'מגדל'!A:K,11,0)+VLOOKUP('תפוקה מצטברת מול אשתקד'!A57,'מנורה'!A:K,11,0)+VLOOKUP('תפוקה מצטברת מול אשתקד'!A57,'איילון'!A:K,11,0)+VLOOKUP('תפוקה מצטברת מול אשתקד'!A57,'הראל'!A:K,11,0)+VLOOKUP('תפוקה מצטברת מול אשתקד'!A57,'הפניקס'!A:K,11,0)+VLOOKUP('תפוקה מצטברת מול אשתקד'!A57,'כלל'!A:K,11,0)+VLOOKUP('תפוקה מצטברת מול אשתקד'!A57,'מור'!A:K,11,0)+VLOOKUP('תפוקה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אשתקד'!A57,'אינפניטי'!A:K,11,0)</f>
        <v>0</v>
      </c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ht="15.75" customHeight="1">
      <c r="A58" s="125" t="s">
        <v>55</v>
      </c>
      <c r="B58" s="125" t="s">
        <v>26</v>
      </c>
      <c r="C58" s="125" t="s">
        <v>80</v>
      </c>
      <c r="D58" s="88">
        <f t="shared" ref="D58:F58" si="68">IF(H58=0,0%,IF(L58=0,100%,H58/L58-1))</f>
        <v>-0.4715812303</v>
      </c>
      <c r="E58" s="88">
        <f t="shared" si="68"/>
        <v>-0.7253185559</v>
      </c>
      <c r="F58" s="88">
        <f t="shared" si="68"/>
        <v>-0.4081578044</v>
      </c>
      <c r="G58" s="88">
        <f t="shared" si="65"/>
        <v>0.09375816735</v>
      </c>
      <c r="H58" s="120">
        <f>VLOOKUP(A58,'הכשרה'!A:G,4,0)+VLOOKUP('תפוקה מצטברת מול אשתקד'!A58,'מגדל'!A:G,4,0)+VLOOKUP('תפוקה מצטברת מול אשתקד'!A58,'מנורה'!A:G,4,0)+VLOOKUP('תפוקה מצטברת מול אשתקד'!A58,'איילון'!A:G,4,0)+VLOOKUP('תפוקה מצטברת מול אשתקד'!A58,'הראל'!A:G,4,0)+VLOOKUP('תפוקה מצטברת מול אשתקד'!A58,'הפניקס'!A:G,4,0)+VLOOKUP('תפוקה מצטברת מול אשתקד'!A58,'כלל'!A:G,4,0)+VLOOKUP('תפוקה מצטברת מול אשתקד'!A58,'מור'!A:G,4,0)+VLOOKUP('תפוקה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אשתקד'!A58,'אינפניטי'!A:G,4,0)</f>
        <v>471194.69</v>
      </c>
      <c r="I58" s="120">
        <f>VLOOKUP(A58,'הכשרה'!A:G,5,0)+VLOOKUP('תפוקה מצטברת מול אשתקד'!A58,'מגדל'!A:G,5,0)+VLOOKUP('תפוקה מצטברת מול אשתקד'!A58,'מנורה'!A:G,5,0)+VLOOKUP('תפוקה מצטברת מול אשתקד'!A58,'איילון'!A:G,5,0)+VLOOKUP('תפוקה מצטברת מול אשתקד'!A58,'הראל'!A:G,5,0)+VLOOKUP('תפוקה מצטברת מול אשתקד'!A58,'הפניקס'!A:G,5,0)+VLOOKUP('תפוקה מצטברת מול אשתקד'!A58,'כלל'!A:G,5,0)+VLOOKUP('תפוקה מצטברת מול אשתקד'!A58,'מור'!A:G,5,0)+VLOOKUP('תפוקה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אשתקד'!A58,'אינפניטי'!A:G,5,0)</f>
        <v>29133.71</v>
      </c>
      <c r="J58" s="120">
        <f>VLOOKUP(A58,'הכשרה'!A:G,6,0)+VLOOKUP('תפוקה מצטברת מול אשתקד'!A58,'מגדל'!A:G,6,0)+VLOOKUP('תפוקה מצטברת מול אשתקד'!A58,'מנורה'!A:G,6,0)+VLOOKUP('תפוקה מצטברת מול אשתקד'!A58,'איילון'!A:G,6,0)+VLOOKUP(A58,'הראל'!A:G,6,0)+VLOOKUP('תפוקה מצטברת מול אשתקד'!A58,'הפניקס'!A:G,6,0)+VLOOKUP('תפוקה מצטברת מול אשתקד'!A58,'כלל'!A:G,6,0)+VLOOKUP('תפוקה מצטברת מול אשתקד'!A58,'מור'!A:G,6,0)+VLOOKUP('תפוקה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אשתקד'!A58,'אינפניטי'!A:G,6,0)</f>
        <v>3570864.09</v>
      </c>
      <c r="K58" s="120">
        <f>VLOOKUP(A58,'הכשרה'!A:G,7,0)+VLOOKUP('תפוקה מצטברת מול אשתקד'!A58,'מגדל'!A:G,7,0)+VLOOKUP('תפוקה מצטברת מול אשתקד'!A58,'מנורה'!A:G,7,0)+VLOOKUP('תפוקה מצטברת מול אשתקד'!A58,'איילון'!A:G,7,0)+VLOOKUP('תפוקה מצטברת מול אשתקד'!A58,'הראל'!A:G,7,0)+VLOOKUP('תפוקה מצטברת מול אשתקד'!A58,'הפניקס'!A:G,7,0)+VLOOKUP('תפוקה מצטברת מול אשתקד'!A58,'כלל'!A:G,7,0)+VLOOKUP('תפוקה מצטברת מול אשתקד'!A58,'מור'!A:G,7,0)+VLOOKUP('תפוקה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אשתקד'!A58,'אינפניטי'!A:G,7,0)</f>
        <v>4035286.19</v>
      </c>
      <c r="L58" s="121">
        <f>VLOOKUP(A58,'הכשרה'!A:K,8,0)+VLOOKUP('תפוקה מצטברת מול אשתקד'!A58,'מגדל'!A:K,8,0)+VLOOKUP('תפוקה מצטברת מול אשתקד'!A58,'מנורה'!A:K,8,0)+VLOOKUP('תפוקה מצטברת מול אשתקד'!A58,'איילון'!A:K,8,0)+VLOOKUP('תפוקה מצטברת מול אשתקד'!A58,'הראל'!A:K,8,0)+VLOOKUP('תפוקה מצטברת מול אשתקד'!A58,'הפניקס'!A:K,8,0)+VLOOKUP('תפוקה מצטברת מול אשתקד'!A58,'כלל'!A:K,8,0)+VLOOKUP('תפוקה מצטברת מול אשתקד'!A58,'מור'!A:K,8,0)+VLOOKUP('תפוקה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אשתקד'!A58,'אינפניטי'!A:K,8,0)</f>
        <v>891706.951</v>
      </c>
      <c r="M58" s="121">
        <f>VLOOKUP(A58,'הכשרה'!A:K,9,0)+VLOOKUP('תפוקה מצטברת מול אשתקד'!A58,'מגדל'!A:K,9,0)+VLOOKUP('תפוקה מצטברת מול אשתקד'!A58,'מנורה'!A:K,9,0)+VLOOKUP('תפוקה מצטברת מול אשתקד'!A58,'איילון'!A:K,9,0)+VLOOKUP('תפוקה מצטברת מול אשתקד'!A58,'הראל'!A:K,9,0)+VLOOKUP('תפוקה מצטברת מול אשתקד'!A58,'הפניקס'!A:K,9,0)+VLOOKUP('תפוקה מצטברת מול אשתקד'!A58,'כלל'!A:K,9,0)+VLOOKUP('תפוקה מצטברת מול אשתקד'!A58,'מור'!A:K,9,0)+VLOOKUP('תפוקה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אשתקד'!A58,'אינפניטי'!A:K,9,0)</f>
        <v>106063.6261</v>
      </c>
      <c r="N58" s="121">
        <f>VLOOKUP(A58,'הכשרה'!A:K,10,0)+VLOOKUP('תפוקה מצטברת מול אשתקד'!A58,'מגדל'!A:K,10,0)+VLOOKUP('תפוקה מצטברת מול אשתקד'!A58,'מנורה'!A:K,10,0)+VLOOKUP('תפוקה מצטברת מול אשתקד'!A58,'איילון'!A:K,10,0)+VLOOKUP('תפוקה מצטברת מול אשתקד'!A58,'הראל'!A:K,10,0)+VLOOKUP('תפוקה מצטברת מול אשתקד'!A58,'הפניקס'!A:K,10,0)+VLOOKUP('תפוקה מצטברת מול אשתקד'!A58,'כלל'!A:K,10,0)+VLOOKUP('תפוקה מצטברת מול אשתקד'!A58,'מור'!A:K,10,0)+VLOOKUP('תפוקה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אשתקד'!A58,'אינפניטי'!A:K,10,0)</f>
        <v>6033473.308</v>
      </c>
      <c r="O58" s="121">
        <f>VLOOKUP(A58,'הכשרה'!A:K,11,0)+VLOOKUP('תפוקה מצטברת מול אשתקד'!A58,'מגדל'!A:K,11,0)+VLOOKUP('תפוקה מצטברת מול אשתקד'!A58,'מנורה'!A:K,11,0)+VLOOKUP('תפוקה מצטברת מול אשתקד'!A58,'איילון'!A:K,11,0)+VLOOKUP('תפוקה מצטברת מול אשתקד'!A58,'הראל'!A:K,11,0)+VLOOKUP('תפוקה מצטברת מול אשתקד'!A58,'הפניקס'!A:K,11,0)+VLOOKUP('תפוקה מצטברת מול אשתקד'!A58,'כלל'!A:K,11,0)+VLOOKUP('תפוקה מצטברת מול אשתקד'!A58,'מור'!A:K,11,0)+VLOOKUP('תפוקה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אשתקד'!A58,'אינפניטי'!A:K,11,0)</f>
        <v>3689376.967</v>
      </c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ht="15.75" customHeight="1">
      <c r="A59" s="98" t="s">
        <v>57</v>
      </c>
      <c r="B59" s="98" t="s">
        <v>26</v>
      </c>
      <c r="C59" s="125" t="s">
        <v>80</v>
      </c>
      <c r="D59" s="88">
        <f t="shared" ref="D59:F59" si="69">IF(H59=0,0%,IF(L59=0,100%,H59/L59-1))</f>
        <v>-0.9692606018</v>
      </c>
      <c r="E59" s="88">
        <f t="shared" si="69"/>
        <v>-0.9357186391</v>
      </c>
      <c r="F59" s="88">
        <f t="shared" si="69"/>
        <v>0.02784975889</v>
      </c>
      <c r="G59" s="88">
        <f t="shared" si="65"/>
        <v>-1.813684633</v>
      </c>
      <c r="H59" s="120">
        <f>VLOOKUP(A59,'הכשרה'!A:G,4,0)+VLOOKUP('תפוקה מצטברת מול אשתקד'!A59,'מגדל'!A:G,4,0)+VLOOKUP('תפוקה מצטברת מול אשתקד'!A59,'מנורה'!A:G,4,0)+VLOOKUP('תפוקה מצטברת מול אשתקד'!A59,'איילון'!A:G,4,0)+VLOOKUP('תפוקה מצטברת מול אשתקד'!A59,'הראל'!A:G,4,0)+VLOOKUP('תפוקה מצטברת מול אשתקד'!A59,'הפניקס'!A:G,4,0)+VLOOKUP('תפוקה מצטברת מול אשתקד'!A59,'כלל'!A:G,4,0)+VLOOKUP('תפוקה מצטברת מול אשתקד'!A59,'מור'!A:G,4,0)+VLOOKUP('תפוקה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אשתקד'!A59,'אינפניטי'!A:G,4,0)</f>
        <v>32381.56201</v>
      </c>
      <c r="I59" s="120">
        <f>VLOOKUP(A59,'הכשרה'!A:G,5,0)+VLOOKUP('תפוקה מצטברת מול אשתקד'!A59,'מגדל'!A:G,5,0)+VLOOKUP('תפוקה מצטברת מול אשתקד'!A59,'מנורה'!A:G,5,0)+VLOOKUP('תפוקה מצטברת מול אשתקד'!A59,'איילון'!A:G,5,0)+VLOOKUP('תפוקה מצטברת מול אשתקד'!A59,'הראל'!A:G,5,0)+VLOOKUP('תפוקה מצטברת מול אשתקד'!A59,'הפניקס'!A:G,5,0)+VLOOKUP('תפוקה מצטברת מול אשתקד'!A59,'כלל'!A:G,5,0)+VLOOKUP('תפוקה מצטברת מול אשתקד'!A59,'מור'!A:G,5,0)+VLOOKUP('תפוקה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אשתקד'!A59,'אינפניטי'!A:G,5,0)</f>
        <v>7967.03</v>
      </c>
      <c r="J59" s="120">
        <f>VLOOKUP(A59,'הכשרה'!A:G,6,0)+VLOOKUP('תפוקה מצטברת מול אשתקד'!A59,'מגדל'!A:G,6,0)+VLOOKUP('תפוקה מצטברת מול אשתקד'!A59,'מנורה'!A:G,6,0)+VLOOKUP('תפוקה מצטברת מול אשתקד'!A59,'איילון'!A:G,6,0)+VLOOKUP(A59,'הראל'!A:G,6,0)+VLOOKUP('תפוקה מצטברת מול אשתקד'!A59,'הפניקס'!A:G,6,0)+VLOOKUP('תפוקה מצטברת מול אשתקד'!A59,'כלל'!A:G,6,0)+VLOOKUP('תפוקה מצטברת מול אשתקד'!A59,'מור'!A:G,6,0)+VLOOKUP('תפוקה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אשתקד'!A59,'אינפניטי'!A:G,6,0)</f>
        <v>1106701</v>
      </c>
      <c r="K59" s="120">
        <f>VLOOKUP(A59,'הכשרה'!A:G,7,0)+VLOOKUP('תפוקה מצטברת מול אשתקד'!A59,'מגדל'!A:G,7,0)+VLOOKUP('תפוקה מצטברת מול אשתקד'!A59,'מנורה'!A:G,7,0)+VLOOKUP('תפוקה מצטברת מול אשתקד'!A59,'איילון'!A:G,7,0)+VLOOKUP('תפוקה מצטברת מול אשתקד'!A59,'הראל'!A:G,7,0)+VLOOKUP('תפוקה מצטברת מול אשתקד'!A59,'הפניקס'!A:G,7,0)+VLOOKUP('תפוקה מצטברת מול אשתקד'!A59,'כלל'!A:G,7,0)+VLOOKUP('תפוקה מצטברת מול אשתקד'!A59,'מור'!A:G,7,0)+VLOOKUP('תפוקה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אשתקד'!A59,'אינפניטי'!A:G,7,0)</f>
        <v>389732.45</v>
      </c>
      <c r="L59" s="121">
        <f>VLOOKUP(A59,'הכשרה'!A:K,8,0)+VLOOKUP('תפוקה מצטברת מול אשתקד'!A59,'מגדל'!A:K,8,0)+VLOOKUP('תפוקה מצטברת מול אשתקד'!A59,'מנורה'!A:K,8,0)+VLOOKUP('תפוקה מצטברת מול אשתקד'!A59,'איילון'!A:K,8,0)+VLOOKUP('תפוקה מצטברת מול אשתקד'!A59,'הראל'!A:K,8,0)+VLOOKUP('תפוקה מצטברת מול אשתקד'!A59,'הפניקס'!A:K,8,0)+VLOOKUP('תפוקה מצטברת מול אשתקד'!A59,'כלל'!A:K,8,0)+VLOOKUP('תפוקה מצטברת מול אשתקד'!A59,'מור'!A:K,8,0)+VLOOKUP('תפוקה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אשתקד'!A59,'אינפניטי'!A:K,8,0)</f>
        <v>1053422.12</v>
      </c>
      <c r="M59" s="121">
        <f>VLOOKUP(A59,'הכשרה'!A:K,9,0)+VLOOKUP('תפוקה מצטברת מול אשתקד'!A59,'מגדל'!A:K,9,0)+VLOOKUP('תפוקה מצטברת מול אשתקד'!A59,'מנורה'!A:K,9,0)+VLOOKUP('תפוקה מצטברת מול אשתקד'!A59,'איילון'!A:K,9,0)+VLOOKUP('תפוקה מצטברת מול אשתקד'!A59,'הראל'!A:K,9,0)+VLOOKUP('תפוקה מצטברת מול אשתקד'!A59,'הפניקס'!A:K,9,0)+VLOOKUP('תפוקה מצטברת מול אשתקד'!A59,'כלל'!A:K,9,0)+VLOOKUP('תפוקה מצטברת מול אשתקד'!A59,'מור'!A:K,9,0)+VLOOKUP('תפוקה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אשתקד'!A59,'אינפניטי'!A:K,9,0)</f>
        <v>123939.971</v>
      </c>
      <c r="N59" s="121">
        <f>VLOOKUP(A59,'הכשרה'!A:K,10,0)+VLOOKUP('תפוקה מצטברת מול אשתקד'!A59,'מגדל'!A:K,10,0)+VLOOKUP('תפוקה מצטברת מול אשתקד'!A59,'מנורה'!A:K,10,0)+VLOOKUP('תפוקה מצטברת מול אשתקד'!A59,'איילון'!A:K,10,0)+VLOOKUP('תפוקה מצטברת מול אשתקד'!A59,'הראל'!A:K,10,0)+VLOOKUP('תפוקה מצטברת מול אשתקד'!A59,'הפניקס'!A:K,10,0)+VLOOKUP('תפוקה מצטברת מול אשתקד'!A59,'כלל'!A:K,10,0)+VLOOKUP('תפוקה מצטברת מול אשתקד'!A59,'מור'!A:K,10,0)+VLOOKUP('תפוקה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אשתקד'!A59,'אינפניטי'!A:K,10,0)</f>
        <v>1076714.754</v>
      </c>
      <c r="O59" s="121">
        <f>VLOOKUP(A59,'הכשרה'!A:K,11,0)+VLOOKUP('תפוקה מצטברת מול אשתקד'!A59,'מגדל'!A:K,11,0)+VLOOKUP('תפוקה מצטברת מול אשתקד'!A59,'מנורה'!A:K,11,0)+VLOOKUP('תפוקה מצטברת מול אשתקד'!A59,'איילון'!A:K,11,0)+VLOOKUP('תפוקה מצטברת מול אשתקד'!A59,'הראל'!A:K,11,0)+VLOOKUP('תפוקה מצטברת מול אשתקד'!A59,'הפניקס'!A:K,11,0)+VLOOKUP('תפוקה מצטברת מול אשתקד'!A59,'כלל'!A:K,11,0)+VLOOKUP('תפוקה מצטברת מול אשתקד'!A59,'מור'!A:K,11,0)+VLOOKUP('תפוקה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אשתקד'!A59,'אינפניטי'!A:K,11,0)</f>
        <v>-478972.3614</v>
      </c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ht="15.75" customHeight="1">
      <c r="A60" s="99" t="s">
        <v>113</v>
      </c>
      <c r="B60" s="98" t="s">
        <v>26</v>
      </c>
      <c r="C60" s="98" t="s">
        <v>80</v>
      </c>
      <c r="D60" s="88">
        <f t="shared" ref="D60:F60" si="70">IF(H60=0,0%,IF(L60=0,100%,H60/L60-1))</f>
        <v>0.8471403831</v>
      </c>
      <c r="E60" s="88">
        <f t="shared" si="70"/>
        <v>-0.5551948361</v>
      </c>
      <c r="F60" s="88">
        <f t="shared" si="70"/>
        <v>-0.156853287</v>
      </c>
      <c r="G60" s="88">
        <f t="shared" si="65"/>
        <v>-12.7356587</v>
      </c>
      <c r="H60" s="120">
        <f>VLOOKUP(A60,'הכשרה'!A:G,4,0)+VLOOKUP('תפוקה מצטברת מול אשתקד'!A60,'מגדל'!A:G,4,0)+VLOOKUP('תפוקה מצטברת מול אשתקד'!A60,'מנורה'!A:G,4,0)+VLOOKUP('תפוקה מצטברת מול אשתקד'!A60,'איילון'!A:G,4,0)+VLOOKUP('תפוקה מצטברת מול אשתקד'!A60,'הראל'!A:G,4,0)+VLOOKUP('תפוקה מצטברת מול אשתקד'!A60,'הפניקס'!A:G,4,0)+VLOOKUP('תפוקה מצטברת מול אשתקד'!A60,'כלל'!A:G,4,0)+VLOOKUP('תפוקה מצטברת מול אשתקד'!A60,'מור'!A:G,4,0)+VLOOKUP('תפוקה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אשתקד'!A60,'אינפניטי'!A:G,4,0)</f>
        <v>75128.76</v>
      </c>
      <c r="I60" s="120">
        <f>VLOOKUP(A60,'הכשרה'!A:G,5,0)+VLOOKUP('תפוקה מצטברת מול אשתקד'!A60,'מגדל'!A:G,5,0)+VLOOKUP('תפוקה מצטברת מול אשתקד'!A60,'מנורה'!A:G,5,0)+VLOOKUP('תפוקה מצטברת מול אשתקד'!A60,'איילון'!A:G,5,0)+VLOOKUP('תפוקה מצטברת מול אשתקד'!A60,'הראל'!A:G,5,0)+VLOOKUP('תפוקה מצטברת מול אשתקד'!A60,'הפניקס'!A:G,5,0)+VLOOKUP('תפוקה מצטברת מול אשתקד'!A60,'כלל'!A:G,5,0)+VLOOKUP('תפוקה מצטברת מול אשתקד'!A60,'מור'!A:G,5,0)+VLOOKUP('תפוקה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אשתקד'!A60,'אינפניטי'!A:G,5,0)</f>
        <v>4404.631722</v>
      </c>
      <c r="J60" s="120">
        <f>VLOOKUP(A60,'הכשרה'!A:G,6,0)+VLOOKUP('תפוקה מצטברת מול אשתקד'!A60,'מגדל'!A:G,6,0)+VLOOKUP('תפוקה מצטברת מול אשתקד'!A60,'מנורה'!A:G,6,0)+VLOOKUP('תפוקה מצטברת מול אשתקד'!A60,'איילון'!A:G,6,0)+VLOOKUP(A60,'הראל'!A:G,6,0)+VLOOKUP('תפוקה מצטברת מול אשתקד'!A60,'הפניקס'!A:G,6,0)+VLOOKUP('תפוקה מצטברת מול אשתקד'!A60,'כלל'!A:G,6,0)+VLOOKUP('תפוקה מצטברת מול אשתקד'!A60,'מור'!A:G,6,0)+VLOOKUP('תפוקה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אשתקד'!A60,'אינפניטי'!A:G,6,0)</f>
        <v>991643.8638</v>
      </c>
      <c r="K60" s="120">
        <f>VLOOKUP(A60,'הכשרה'!A:G,7,0)+VLOOKUP('תפוקה מצטברת מול אשתקד'!A60,'מגדל'!A:G,7,0)+VLOOKUP('תפוקה מצטברת מול אשתקד'!A60,'מנורה'!A:G,7,0)+VLOOKUP('תפוקה מצטברת מול אשתקד'!A60,'איילון'!A:G,7,0)+VLOOKUP('תפוקה מצטברת מול אשתקד'!A60,'הראל'!A:G,7,0)+VLOOKUP('תפוקה מצטברת מול אשתקד'!A60,'הפניקס'!A:G,7,0)+VLOOKUP('תפוקה מצטברת מול אשתקד'!A60,'כלל'!A:G,7,0)+VLOOKUP('תפוקה מצטברת מול אשתקד'!A60,'מור'!A:G,7,0)+VLOOKUP('תפוקה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אשתקד'!A60,'אינפניטי'!A:G,7,0)</f>
        <v>274690.93</v>
      </c>
      <c r="L60" s="121">
        <f>VLOOKUP(A60,'הכשרה'!A:K,8,0)+VLOOKUP('תפוקה מצטברת מול אשתקד'!A60,'מגדל'!A:K,8,0)+VLOOKUP('תפוקה מצטברת מול אשתקד'!A60,'מנורה'!A:K,8,0)+VLOOKUP('תפוקה מצטברת מול אשתקד'!A60,'איילון'!A:K,8,0)+VLOOKUP('תפוקה מצטברת מול אשתקד'!A60,'הראל'!A:K,8,0)+VLOOKUP('תפוקה מצטברת מול אשתקד'!A60,'הפניקס'!A:K,8,0)+VLOOKUP('תפוקה מצטברת מול אשתקד'!A60,'כלל'!A:K,8,0)+VLOOKUP('תפוקה מצטברת מול אשתקד'!A60,'מור'!A:K,8,0)+VLOOKUP('תפוקה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אשתקד'!A60,'אינפניטי'!A:K,8,0)</f>
        <v>40673.01039</v>
      </c>
      <c r="M60" s="121">
        <f>VLOOKUP(A60,'הכשרה'!A:K,9,0)+VLOOKUP('תפוקה מצטברת מול אשתקד'!A60,'מגדל'!A:K,9,0)+VLOOKUP('תפוקה מצטברת מול אשתקד'!A60,'מנורה'!A:K,9,0)+VLOOKUP('תפוקה מצטברת מול אשתקד'!A60,'איילון'!A:K,9,0)+VLOOKUP('תפוקה מצטברת מול אשתקד'!A60,'הראל'!A:K,9,0)+VLOOKUP('תפוקה מצטברת מול אשתקד'!A60,'הפניקס'!A:K,9,0)+VLOOKUP('תפוקה מצטברת מול אשתקד'!A60,'כלל'!A:K,9,0)+VLOOKUP('תפוקה מצטברת מול אשתקד'!A60,'מור'!A:K,9,0)+VLOOKUP('תפוקה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אשתקד'!A60,'אינפניטי'!A:K,9,0)</f>
        <v>9902.384413</v>
      </c>
      <c r="N60" s="121">
        <f>VLOOKUP(A60,'הכשרה'!A:K,10,0)+VLOOKUP('תפוקה מצטברת מול אשתקד'!A60,'מגדל'!A:K,10,0)+VLOOKUP('תפוקה מצטברת מול אשתקד'!A60,'מנורה'!A:K,10,0)+VLOOKUP('תפוקה מצטברת מול אשתקד'!A60,'איילון'!A:K,10,0)+VLOOKUP('תפוקה מצטברת מול אשתקד'!A60,'הראל'!A:K,10,0)+VLOOKUP('תפוקה מצטברת מול אשתקד'!A60,'הפניקס'!A:K,10,0)+VLOOKUP('תפוקה מצטברת מול אשתקד'!A60,'כלל'!A:K,10,0)+VLOOKUP('תפוקה מצטברת מול אשתקד'!A60,'מור'!A:K,10,0)+VLOOKUP('תפוקה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אשתקד'!A60,'אינפניטי'!A:K,10,0)</f>
        <v>1176122.552</v>
      </c>
      <c r="O60" s="121">
        <f>VLOOKUP(A60,'הכשרה'!A:K,11,0)+VLOOKUP('תפוקה מצטברת מול אשתקד'!A60,'מגדל'!A:K,11,0)+VLOOKUP('תפוקה מצטברת מול אשתקד'!A60,'מנורה'!A:K,11,0)+VLOOKUP('תפוקה מצטברת מול אשתקד'!A60,'איילון'!A:K,11,0)+VLOOKUP('תפוקה מצטברת מול אשתקד'!A60,'הראל'!A:K,11,0)+VLOOKUP('תפוקה מצטברת מול אשתקד'!A60,'הפניקס'!A:K,11,0)+VLOOKUP('תפוקה מצטברת מול אשתקד'!A60,'כלל'!A:K,11,0)+VLOOKUP('תפוקה מצטברת מול אשתקד'!A60,'מור'!A:K,11,0)+VLOOKUP('תפוקה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אשתקד'!A60,'אינפניטי'!A:K,11,0)</f>
        <v>-23406.52</v>
      </c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ht="15.75" customHeight="1">
      <c r="A61" s="98" t="s">
        <v>114</v>
      </c>
      <c r="B61" s="98" t="s">
        <v>26</v>
      </c>
      <c r="C61" s="98" t="s">
        <v>80</v>
      </c>
      <c r="D61" s="88">
        <f t="shared" ref="D61:F61" si="71">IF(H61=0,0%,IF(L61=0,100%,H61/L61-1))</f>
        <v>-0.2111289801</v>
      </c>
      <c r="E61" s="88">
        <f t="shared" si="71"/>
        <v>0.06793598782</v>
      </c>
      <c r="F61" s="88">
        <f t="shared" si="71"/>
        <v>1.636311164</v>
      </c>
      <c r="G61" s="88">
        <f t="shared" si="65"/>
        <v>0.9145767923</v>
      </c>
      <c r="H61" s="120">
        <f>VLOOKUP(A61,'הכשרה'!A:G,4,0)+VLOOKUP('תפוקה מצטברת מול אשתקד'!A61,'מגדל'!A:G,4,0)+VLOOKUP('תפוקה מצטברת מול אשתקד'!A61,'מנורה'!A:G,4,0)+VLOOKUP('תפוקה מצטברת מול אשתקד'!A61,'איילון'!A:G,4,0)+VLOOKUP('תפוקה מצטברת מול אשתקד'!A61,'הראל'!A:G,4,0)+VLOOKUP('תפוקה מצטברת מול אשתקד'!A61,'הפניקס'!A:G,4,0)+VLOOKUP('תפוקה מצטברת מול אשתקד'!A61,'כלל'!A:G,4,0)+VLOOKUP('תפוקה מצטברת מול אשתקד'!A61,'מור'!A:G,4,0)+VLOOKUP('תפוקה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אשתקד'!A61,'אינפניטי'!A:G,4,0)</f>
        <v>539750.0616</v>
      </c>
      <c r="I61" s="120">
        <f>VLOOKUP(A61,'הכשרה'!A:G,5,0)+VLOOKUP('תפוקה מצטברת מול אשתקד'!A61,'מגדל'!A:G,5,0)+VLOOKUP('תפוקה מצטברת מול אשתקד'!A61,'מנורה'!A:G,5,0)+VLOOKUP('תפוקה מצטברת מול אשתקד'!A61,'איילון'!A:G,5,0)+VLOOKUP('תפוקה מצטברת מול אשתקד'!A61,'הראל'!A:G,5,0)+VLOOKUP('תפוקה מצטברת מול אשתקד'!A61,'הפניקס'!A:G,5,0)+VLOOKUP('תפוקה מצטברת מול אשתקד'!A61,'כלל'!A:G,5,0)+VLOOKUP('תפוקה מצטברת מול אשתקד'!A61,'מור'!A:G,5,0)+VLOOKUP('תפוקה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אשתקד'!A61,'אינפניטי'!A:G,5,0)</f>
        <v>31517.90158</v>
      </c>
      <c r="J61" s="120">
        <f>VLOOKUP(A61,'הכשרה'!A:G,6,0)+VLOOKUP('תפוקה מצטברת מול אשתקד'!A61,'מגדל'!A:G,6,0)+VLOOKUP('תפוקה מצטברת מול אשתקד'!A61,'מנורה'!A:G,6,0)+VLOOKUP('תפוקה מצטברת מול אשתקד'!A61,'איילון'!A:G,6,0)+VLOOKUP(A61,'הראל'!A:G,6,0)+VLOOKUP('תפוקה מצטברת מול אשתקד'!A61,'הפניקס'!A:G,6,0)+VLOOKUP('תפוקה מצטברת מול אשתקד'!A61,'כלל'!A:G,6,0)+VLOOKUP('תפוקה מצטברת מול אשתקד'!A61,'מור'!A:G,6,0)+VLOOKUP('תפוקה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אשתקד'!A61,'אינפניטי'!A:G,6,0)</f>
        <v>3456056.08</v>
      </c>
      <c r="K61" s="120">
        <f>VLOOKUP(A61,'הכשרה'!A:G,7,0)+VLOOKUP('תפוקה מצטברת מול אשתקד'!A61,'מגדל'!A:G,7,0)+VLOOKUP('תפוקה מצטברת מול אשתקד'!A61,'מנורה'!A:G,7,0)+VLOOKUP('תפוקה מצטברת מול אשתקד'!A61,'איילון'!A:G,7,0)+VLOOKUP('תפוקה מצטברת מול אשתקד'!A61,'הראל'!A:G,7,0)+VLOOKUP('תפוקה מצטברת מול אשתקד'!A61,'הפניקס'!A:G,7,0)+VLOOKUP('תפוקה מצטברת מול אשתקד'!A61,'כלל'!A:G,7,0)+VLOOKUP('תפוקה מצטברת מול אשתקד'!A61,'מור'!A:G,7,0)+VLOOKUP('תפוקה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אשתקד'!A61,'אינפניטי'!A:G,7,0)</f>
        <v>1539604.63</v>
      </c>
      <c r="L61" s="121">
        <f>VLOOKUP(A61,'הכשרה'!A:K,8,0)+VLOOKUP('תפוקה מצטברת מול אשתקד'!A61,'מגדל'!A:K,8,0)+VLOOKUP('תפוקה מצטברת מול אשתקד'!A61,'מנורה'!A:K,8,0)+VLOOKUP('תפוקה מצטברת מול אשתקד'!A61,'איילון'!A:K,8,0)+VLOOKUP('תפוקה מצטברת מול אשתקד'!A61,'הראל'!A:K,8,0)+VLOOKUP('תפוקה מצטברת מול אשתקד'!A61,'הפניקס'!A:K,8,0)+VLOOKUP('תפוקה מצטברת מול אשתקד'!A61,'כלל'!A:K,8,0)+VLOOKUP('תפוקה מצטברת מול אשתקד'!A61,'מור'!A:K,8,0)+VLOOKUP('תפוקה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אשתקד'!A61,'אינפניטי'!A:K,8,0)</f>
        <v>684205.7168</v>
      </c>
      <c r="M61" s="121">
        <f>VLOOKUP(A61,'הכשרה'!A:K,9,0)+VLOOKUP('תפוקה מצטברת מול אשתקד'!A61,'מגדל'!A:K,9,0)+VLOOKUP('תפוקה מצטברת מול אשתקד'!A61,'מנורה'!A:K,9,0)+VLOOKUP('תפוקה מצטברת מול אשתקד'!A61,'איילון'!A:K,9,0)+VLOOKUP('תפוקה מצטברת מול אשתקד'!A61,'הראל'!A:K,9,0)+VLOOKUP('תפוקה מצטברת מול אשתקד'!A61,'הפניקס'!A:K,9,0)+VLOOKUP('תפוקה מצטברת מול אשתקד'!A61,'כלל'!A:K,9,0)+VLOOKUP('תפוקה מצטברת מול אשתקד'!A61,'מור'!A:K,9,0)+VLOOKUP('תפוקה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אשתקד'!A61,'אינפניטי'!A:K,9,0)</f>
        <v>29512.9127</v>
      </c>
      <c r="N61" s="121">
        <f>VLOOKUP(A61,'הכשרה'!A:K,10,0)+VLOOKUP('תפוקה מצטברת מול אשתקד'!A61,'מגדל'!A:K,10,0)+VLOOKUP('תפוקה מצטברת מול אשתקד'!A61,'מנורה'!A:K,10,0)+VLOOKUP('תפוקה מצטברת מול אשתקד'!A61,'איילון'!A:K,10,0)+VLOOKUP('תפוקה מצטברת מול אשתקד'!A61,'הראל'!A:K,10,0)+VLOOKUP('תפוקה מצטברת מול אשתקד'!A61,'הפניקס'!A:K,10,0)+VLOOKUP('תפוקה מצטברת מול אשתקד'!A61,'כלל'!A:K,10,0)+VLOOKUP('תפוקה מצטברת מול אשתקד'!A61,'מור'!A:K,10,0)+VLOOKUP('תפוקה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אשתקד'!A61,'אינפניטי'!A:K,10,0)</f>
        <v>1310943.916</v>
      </c>
      <c r="O61" s="121">
        <f>VLOOKUP(A61,'הכשרה'!A:K,11,0)+VLOOKUP('תפוקה מצטברת מול אשתקד'!A61,'מגדל'!A:K,11,0)+VLOOKUP('תפוקה מצטברת מול אשתקד'!A61,'מנורה'!A:K,11,0)+VLOOKUP('תפוקה מצטברת מול אשתקד'!A61,'איילון'!A:K,11,0)+VLOOKUP('תפוקה מצטברת מול אשתקד'!A61,'הראל'!A:K,11,0)+VLOOKUP('תפוקה מצטברת מול אשתקד'!A61,'הפניקס'!A:K,11,0)+VLOOKUP('תפוקה מצטברת מול אשתקד'!A61,'כלל'!A:K,11,0)+VLOOKUP('תפוקה מצטברת מול אשתקד'!A61,'מור'!A:K,11,0)+VLOOKUP('תפוקה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אשתקד'!A61,'אינפניטי'!A:K,11,0)</f>
        <v>804148.8</v>
      </c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ht="15.75" customHeight="1">
      <c r="A62" s="135" t="s">
        <v>115</v>
      </c>
      <c r="B62" s="98" t="s">
        <v>26</v>
      </c>
      <c r="C62" s="125" t="s">
        <v>80</v>
      </c>
      <c r="D62" s="88">
        <f t="shared" ref="D62:F62" si="72">IF(H62=0,0%,IF(L62=0,100%,H62/L62-1))</f>
        <v>1</v>
      </c>
      <c r="E62" s="88">
        <f t="shared" si="72"/>
        <v>1</v>
      </c>
      <c r="F62" s="88">
        <f t="shared" si="72"/>
        <v>1</v>
      </c>
      <c r="G62" s="88">
        <f t="shared" si="65"/>
        <v>1</v>
      </c>
      <c r="H62" s="120">
        <f>VLOOKUP(A62,'הכשרה'!A:G,4,0)+VLOOKUP('תפוקה מצטברת מול אשתקד'!A62,'מגדל'!A:G,4,0)+VLOOKUP('תפוקה מצטברת מול אשתקד'!A62,'מנורה'!A:G,4,0)+VLOOKUP('תפוקה מצטברת מול אשתקד'!A62,'איילון'!A:G,4,0)+VLOOKUP('תפוקה מצטברת מול אשתקד'!A62,'הראל'!A:G,4,0)+VLOOKUP('תפוקה מצטברת מול אשתקד'!A62,'הפניקס'!A:G,4,0)+VLOOKUP('תפוקה מצטברת מול אשתקד'!A62,'כלל'!A:G,4,0)+VLOOKUP('תפוקה מצטברת מול אשתקד'!A62,'מור'!A:G,4,0)+VLOOKUP('תפוקה מצטברת מול אשתקד'!A62,'אלטשולר שחם'!A:G,4,0)+VLOOKUP('תפוקה מצטברת מול אשתקד'!A62,'מדיהו '!A:G,4,0)+VLOOKUP('תפוקה מצטברת מול אשתקד'!A62,'אנליסט '!A:G,4,0)+VLOOKUP('תפוקה מצטברת מול אשתקד'!A62,'מיטב דש'!A:G,4,0)+VLOOKUP('תפוקה מצטברת מול אשתקד'!A62,'אינפניטי'!A:G,4,0)</f>
        <v>182410.61</v>
      </c>
      <c r="I62" s="120">
        <f>VLOOKUP(A62,'הכשרה'!A:G,5,0)+VLOOKUP('תפוקה מצטברת מול אשתקד'!A62,'מגדל'!A:G,5,0)+VLOOKUP('תפוקה מצטברת מול אשתקד'!A62,'מנורה'!A:G,5,0)+VLOOKUP('תפוקה מצטברת מול אשתקד'!A62,'איילון'!A:G,5,0)+VLOOKUP('תפוקה מצטברת מול אשתקד'!A62,'הראל'!A:G,5,0)+VLOOKUP('תפוקה מצטברת מול אשתקד'!A62,'הפניקס'!A:G,5,0)+VLOOKUP('תפוקה מצטברת מול אשתקד'!A62,'כלל'!A:G,5,0)+VLOOKUP('תפוקה מצטברת מול אשתקד'!A62,'מור'!A:G,5,0)+VLOOKUP('תפוקה מצטברת מול אשתקד'!A62,'אלטשולר שחם'!A:G,5,0)+VLOOKUP('תפוקה מצטברת מול אשתקד'!A62,'מדיהו '!A:G,5,0)+VLOOKUP('תפוקה מצטברת מול אשתקד'!A62,'אנליסט '!A:G,5,0)+VLOOKUP('תפוקה מצטברת מול אשתקד'!A62,'מיטב דש'!A:G,5,0)+VLOOKUP('תפוקה מצטברת מול אשתקד'!A62,'אינפניטי'!A:G,5,0)</f>
        <v>8491.540238</v>
      </c>
      <c r="J62" s="120">
        <f>VLOOKUP(A62,'הכשרה'!A:G,6,0)+VLOOKUP('תפוקה מצטברת מול אשתקד'!A62,'מגדל'!A:G,6,0)+VLOOKUP('תפוקה מצטברת מול אשתקד'!A62,'מנורה'!A:G,6,0)+VLOOKUP('תפוקה מצטברת מול אשתקד'!A62,'איילון'!A:G,6,0)+VLOOKUP(A62,'הראל'!A:G,6,0)+VLOOKUP('תפוקה מצטברת מול אשתקד'!A62,'הפניקס'!A:G,6,0)+VLOOKUP('תפוקה מצטברת מול אשתקד'!A62,'כלל'!A:G,6,0)+VLOOKUP('תפוקה מצטברת מול אשתקד'!A62,'מור'!A:G,6,0)+VLOOKUP('תפוקה מצטברת מול אשתקד'!A62,'אלטשולר שחם'!A:G,6,0)+VLOOKUP('תפוקה מצטברת מול אשתקד'!A62,'מדיהו '!A:G,6,0)+VLOOKUP('תפוקה מצטברת מול אשתקד'!A62,'אנליסט '!A:G,6,0)+VLOOKUP('תפוקה מצטברת מול אשתקד'!A62,'מיטב דש'!A:G,6,0)+VLOOKUP('תפוקה מצטברת מול אשתקד'!A62,'אינפניטי'!A:G,6,0)</f>
        <v>430407.29</v>
      </c>
      <c r="K62" s="120">
        <f>VLOOKUP(A62,'הכשרה'!A:G,7,0)+VLOOKUP('תפוקה מצטברת מול אשתקד'!A62,'מגדל'!A:G,7,0)+VLOOKUP('תפוקה מצטברת מול אשתקד'!A62,'מנורה'!A:G,7,0)+VLOOKUP('תפוקה מצטברת מול אשתקד'!A62,'איילון'!A:G,7,0)+VLOOKUP('תפוקה מצטברת מול אשתקד'!A62,'הראל'!A:G,7,0)+VLOOKUP('תפוקה מצטברת מול אשתקד'!A62,'הפניקס'!A:G,7,0)+VLOOKUP('תפוקה מצטברת מול אשתקד'!A62,'כלל'!A:G,7,0)+VLOOKUP('תפוקה מצטברת מול אשתקד'!A62,'מור'!A:G,7,0)+VLOOKUP('תפוקה מצטברת מול אשתקד'!A62,'אלטשולר שחם'!A:G,7,0)+VLOOKUP('תפוקה מצטברת מול אשתקד'!A62,'מדיהו '!A:K,7,0)+VLOOKUP(A62,'אנליסט '!A:G,7,0)+VLOOKUP('תפוקה מצטברת מול אשתקד'!A62,'מיטב דש'!A:G,7,0)+VLOOKUP('תפוקה מצטברת מול אשתקד'!A62,'אינפניטי'!A:G,7,0)</f>
        <v>735052.55</v>
      </c>
      <c r="L62" s="121">
        <f>VLOOKUP(A62,'הכשרה'!A:K,8,0)+VLOOKUP('תפוקה מצטברת מול אשתקד'!A62,'מגדל'!A:K,8,0)+VLOOKUP('תפוקה מצטברת מול אשתקד'!A62,'מנורה'!A:K,8,0)+VLOOKUP('תפוקה מצטברת מול אשתקד'!A62,'איילון'!A:K,8,0)+VLOOKUP('תפוקה מצטברת מול אשתקד'!A62,'הראל'!A:K,8,0)+VLOOKUP('תפוקה מצטברת מול אשתקד'!A62,'הפניקס'!A:K,8,0)+VLOOKUP('תפוקה מצטברת מול אשתקד'!A62,'כלל'!A:K,8,0)+VLOOKUP('תפוקה מצטברת מול אשתקד'!A62,'מור'!A:K,8,0)+VLOOKUP('תפוקה מצטברת מול אשתקד'!A62,'אלטשולר שחם'!A:K,8,0)+VLOOKUP('תפוקה מצטברת מול אשתקד'!A62,'מדיהו '!A:K,8,0)+VLOOKUP('תפוקה מצטברת מול אשתקד'!A62,'אנליסט '!A:K,8,0)+VLOOKUP('תפוקה מצטברת מול אשתקד'!A62,'מיטב דש'!A:K,8,0)+VLOOKUP('תפוקה מצטברת מול אשתקד'!A62,'אינפניטי'!A:K,8,0)</f>
        <v>0</v>
      </c>
      <c r="M62" s="121">
        <f>VLOOKUP(A62,'הכשרה'!A:K,9,0)+VLOOKUP('תפוקה מצטברת מול אשתקד'!A62,'מגדל'!A:K,9,0)+VLOOKUP('תפוקה מצטברת מול אשתקד'!A62,'מנורה'!A:K,9,0)+VLOOKUP('תפוקה מצטברת מול אשתקד'!A62,'איילון'!A:K,9,0)+VLOOKUP('תפוקה מצטברת מול אשתקד'!A62,'הראל'!A:K,9,0)+VLOOKUP('תפוקה מצטברת מול אשתקד'!A62,'הפניקס'!A:K,9,0)+VLOOKUP('תפוקה מצטברת מול אשתקד'!A62,'כלל'!A:K,9,0)+VLOOKUP('תפוקה מצטברת מול אשתקד'!A62,'מור'!A:K,9,0)+VLOOKUP('תפוקה מצטברת מול אשתקד'!A62,'אלטשולר שחם'!A:K,9,0)+VLOOKUP('תפוקה מצטברת מול אשתקד'!A62,'מדיהו '!A:K,9,0)+VLOOKUP('תפוקה מצטברת מול אשתקד'!A62,'אנליסט '!A:K,9,0)+VLOOKUP('תפוקה מצטברת מול אשתקד'!A62,'מיטב דש'!A:K,9,0)+VLOOKUP('תפוקה מצטברת מול אשתקד'!A62,'אינפניטי'!A:K,9,0)</f>
        <v>0</v>
      </c>
      <c r="N62" s="121">
        <f>VLOOKUP(A62,'הכשרה'!A:K,10,0)+VLOOKUP('תפוקה מצטברת מול אשתקד'!A62,'מגדל'!A:K,10,0)+VLOOKUP('תפוקה מצטברת מול אשתקד'!A62,'מנורה'!A:K,10,0)+VLOOKUP('תפוקה מצטברת מול אשתקד'!A62,'איילון'!A:K,10,0)+VLOOKUP('תפוקה מצטברת מול אשתקד'!A62,'הראל'!A:K,10,0)+VLOOKUP('תפוקה מצטברת מול אשתקד'!A62,'הפניקס'!A:K,10,0)+VLOOKUP('תפוקה מצטברת מול אשתקד'!A62,'כלל'!A:K,10,0)+VLOOKUP('תפוקה מצטברת מול אשתקד'!A62,'מור'!A:K,10,0)+VLOOKUP('תפוקה מצטברת מול אשתקד'!A62,'אלטשולר שחם'!A:K,10,0)+VLOOKUP('תפוקה מצטברת מול אשתקד'!A62,'מדיהו '!A:K,10,0)+VLOOKUP('תפוקה מצטברת מול אשתקד'!A62,'אנליסט '!A:K,10,0)+VLOOKUP('תפוקה מצטברת מול אשתקד'!A62,'מיטב דש'!A:K,10,0)+VLOOKUP('תפוקה מצטברת מול אשתקד'!A62,'אינפניטי'!A:K,10,0)</f>
        <v>0</v>
      </c>
      <c r="O62" s="121">
        <f>VLOOKUP(A62,'הכשרה'!A:K,11,0)+VLOOKUP('תפוקה מצטברת מול אשתקד'!A62,'מגדל'!A:K,11,0)+VLOOKUP('תפוקה מצטברת מול אשתקד'!A62,'מנורה'!A:K,11,0)+VLOOKUP('תפוקה מצטברת מול אשתקד'!A62,'איילון'!A:K,11,0)+VLOOKUP('תפוקה מצטברת מול אשתקד'!A62,'הראל'!A:K,11,0)+VLOOKUP('תפוקה מצטברת מול אשתקד'!A62,'הפניקס'!A:K,11,0)+VLOOKUP('תפוקה מצטברת מול אשתקד'!A62,'כלל'!A:K,11,0)+VLOOKUP('תפוקה מצטברת מול אשתקד'!A62,'מור'!A:K,11,0)+VLOOKUP('תפוקה מצטברת מול אשתקד'!A62,'אלטשולר שחם'!A:K,11,0)+VLOOKUP('תפוקה מצטברת מול אשתקד'!A62,'מדיהו '!A:K,11,0)+VLOOKUP('תפוקה מצטברת מול אשתקד'!A62,'אנליסט '!A:K,11,0)+VLOOKUP('תפוקה מצטברת מול אשתקד'!A62,'מיטב דש'!A:K,11,0)+VLOOKUP('תפוקה מצטברת מול אשתקד'!A62,'אינפניטי'!A:K,11,0)</f>
        <v>0</v>
      </c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ht="15.75" customHeight="1">
      <c r="A63" s="136" t="s">
        <v>116</v>
      </c>
      <c r="B63" s="98" t="s">
        <v>26</v>
      </c>
      <c r="C63" s="125" t="s">
        <v>80</v>
      </c>
      <c r="D63" s="88">
        <f t="shared" ref="D63:F63" si="73">IF(H63=0,0%,IF(L63=0,100%,H63/L63-1))</f>
        <v>0</v>
      </c>
      <c r="E63" s="88">
        <f t="shared" si="73"/>
        <v>0</v>
      </c>
      <c r="F63" s="88">
        <f t="shared" si="73"/>
        <v>0</v>
      </c>
      <c r="G63" s="88">
        <f t="shared" si="65"/>
        <v>0</v>
      </c>
      <c r="H63" s="120">
        <f>VLOOKUP(A63,'הכשרה'!A:G,4,0)+VLOOKUP('תפוקה מצטברת מול אשתקד'!A63,'מגדל'!A:G,4,0)+VLOOKUP('תפוקה מצטברת מול אשתקד'!A63,'מנורה'!A:G,4,0)+VLOOKUP('תפוקה מצטברת מול אשתקד'!A63,'איילון'!A:G,4,0)+VLOOKUP('תפוקה מצטברת מול אשתקד'!A63,'הראל'!A:G,4,0)+VLOOKUP('תפוקה מצטברת מול אשתקד'!A63,'הפניקס'!A:G,4,0)+VLOOKUP('תפוקה מצטברת מול אשתקד'!A63,'כלל'!A:G,4,0)+VLOOKUP('תפוקה מצטברת מול אשתקד'!A63,'מור'!A:G,4,0)+VLOOKUP('תפוקה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אשתקד'!A63,'אינפניטי'!A:G,4,0)</f>
        <v>0</v>
      </c>
      <c r="I63" s="120">
        <f>VLOOKUP(A63,'הכשרה'!A:G,5,0)+VLOOKUP('תפוקה מצטברת מול אשתקד'!A63,'מגדל'!A:G,5,0)+VLOOKUP('תפוקה מצטברת מול אשתקד'!A63,'מנורה'!A:G,5,0)+VLOOKUP('תפוקה מצטברת מול אשתקד'!A63,'איילון'!A:G,5,0)+VLOOKUP('תפוקה מצטברת מול אשתקד'!A63,'הראל'!A:G,5,0)+VLOOKUP('תפוקה מצטברת מול אשתקד'!A63,'הפניקס'!A:G,5,0)+VLOOKUP('תפוקה מצטברת מול אשתקד'!A63,'כלל'!A:G,5,0)+VLOOKUP('תפוקה מצטברת מול אשתקד'!A63,'מור'!A:G,5,0)+VLOOKUP('תפוקה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אשתקד'!A63,'אינפניטי'!A:G,5,0)</f>
        <v>0</v>
      </c>
      <c r="J63" s="120">
        <f>VLOOKUP(A63,'הכשרה'!A:G,6,0)+VLOOKUP('תפוקה מצטברת מול אשתקד'!A63,'מגדל'!A:G,6,0)+VLOOKUP('תפוקה מצטברת מול אשתקד'!A63,'מנורה'!A:G,6,0)+VLOOKUP('תפוקה מצטברת מול אשתקד'!A63,'איילון'!A:G,6,0)+VLOOKUP(A63,'הראל'!A:G,6,0)+VLOOKUP('תפוקה מצטברת מול אשתקד'!A63,'הפניקס'!A:G,6,0)+VLOOKUP('תפוקה מצטברת מול אשתקד'!A63,'כלל'!A:G,6,0)+VLOOKUP('תפוקה מצטברת מול אשתקד'!A63,'מור'!A:G,6,0)+VLOOKUP('תפוקה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אשתקד'!A63,'אינפניטי'!A:G,6,0)</f>
        <v>0</v>
      </c>
      <c r="K63" s="120">
        <f>VLOOKUP(A63,'הכשרה'!A:G,7,0)+VLOOKUP('תפוקה מצטברת מול אשתקד'!A63,'מגדל'!A:G,7,0)+VLOOKUP('תפוקה מצטברת מול אשתקד'!A63,'מנורה'!A:G,7,0)+VLOOKUP('תפוקה מצטברת מול אשתקד'!A63,'איילון'!A:G,7,0)+VLOOKUP('תפוקה מצטברת מול אשתקד'!A63,'הראל'!A:G,7,0)+VLOOKUP('תפוקה מצטברת מול אשתקד'!A63,'הפניקס'!A:G,7,0)+VLOOKUP('תפוקה מצטברת מול אשתקד'!A63,'כלל'!A:G,7,0)+VLOOKUP('תפוקה מצטברת מול אשתקד'!A63,'מור'!A:G,7,0)+VLOOKUP('תפוקה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אשתקד'!A63,'אינפניטי'!A:G,7,0)</f>
        <v>0</v>
      </c>
      <c r="L63" s="121">
        <f>VLOOKUP(A63,'הכשרה'!A:K,8,0)+VLOOKUP('תפוקה מצטברת מול אשתקד'!A63,'מגדל'!A:K,8,0)+VLOOKUP('תפוקה מצטברת מול אשתקד'!A63,'מנורה'!A:K,8,0)+VLOOKUP('תפוקה מצטברת מול אשתקד'!A63,'איילון'!A:K,8,0)+VLOOKUP('תפוקה מצטברת מול אשתקד'!A63,'הראל'!A:K,8,0)+VLOOKUP('תפוקה מצטברת מול אשתקד'!A63,'הפניקס'!A:K,8,0)+VLOOKUP('תפוקה מצטברת מול אשתקד'!A63,'כלל'!A:K,8,0)+VLOOKUP('תפוקה מצטברת מול אשתקד'!A63,'מור'!A:K,8,0)+VLOOKUP('תפוקה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אשתקד'!A63,'אינפניטי'!A:K,8,0)</f>
        <v>0</v>
      </c>
      <c r="M63" s="121">
        <f>VLOOKUP(A63,'הכשרה'!A:K,9,0)+VLOOKUP('תפוקה מצטברת מול אשתקד'!A63,'מגדל'!A:K,9,0)+VLOOKUP('תפוקה מצטברת מול אשתקד'!A63,'מנורה'!A:K,9,0)+VLOOKUP('תפוקה מצטברת מול אשתקד'!A63,'איילון'!A:K,9,0)+VLOOKUP('תפוקה מצטברת מול אשתקד'!A63,'הראל'!A:K,9,0)+VLOOKUP('תפוקה מצטברת מול אשתקד'!A63,'הפניקס'!A:K,9,0)+VLOOKUP('תפוקה מצטברת מול אשתקד'!A63,'כלל'!A:K,9,0)+VLOOKUP('תפוקה מצטברת מול אשתקד'!A63,'מור'!A:K,9,0)+VLOOKUP('תפוקה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אשתקד'!A63,'אינפניטי'!A:K,9,0)</f>
        <v>0</v>
      </c>
      <c r="N63" s="121">
        <f>VLOOKUP(A63,'הכשרה'!A:K,10,0)+VLOOKUP('תפוקה מצטברת מול אשתקד'!A63,'מגדל'!A:K,10,0)+VLOOKUP('תפוקה מצטברת מול אשתקד'!A63,'מנורה'!A:K,10,0)+VLOOKUP('תפוקה מצטברת מול אשתקד'!A63,'איילון'!A:K,10,0)+VLOOKUP('תפוקה מצטברת מול אשתקד'!A63,'הראל'!A:K,10,0)+VLOOKUP('תפוקה מצטברת מול אשתקד'!A63,'הפניקס'!A:K,10,0)+VLOOKUP('תפוקה מצטברת מול אשתקד'!A63,'כלל'!A:K,10,0)+VLOOKUP('תפוקה מצטברת מול אשתקד'!A63,'מור'!A:K,10,0)+VLOOKUP('תפוקה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אשתקד'!A63,'אינפניטי'!A:K,10,0)</f>
        <v>0</v>
      </c>
      <c r="O63" s="121">
        <f>VLOOKUP(A63,'הכשרה'!A:K,11,0)+VLOOKUP('תפוקה מצטברת מול אשתקד'!A63,'מגדל'!A:K,11,0)+VLOOKUP('תפוקה מצטברת מול אשתקד'!A63,'מנורה'!A:K,11,0)+VLOOKUP('תפוקה מצטברת מול אשתקד'!A63,'איילון'!A:K,11,0)+VLOOKUP('תפוקה מצטברת מול אשתקד'!A63,'הראל'!A:K,11,0)+VLOOKUP('תפוקה מצטברת מול אשתקד'!A63,'הפניקס'!A:K,11,0)+VLOOKUP('תפוקה מצטברת מול אשתקד'!A63,'כלל'!A:K,11,0)+VLOOKUP('תפוקה מצטברת מול אשתקד'!A63,'מור'!A:K,11,0)+VLOOKUP('תפוקה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אשתקד'!A63,'אינפניטי'!A:K,11,0)</f>
        <v>0</v>
      </c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ht="15.75" customHeight="1">
      <c r="A64" s="137" t="s">
        <v>117</v>
      </c>
      <c r="B64" s="98" t="s">
        <v>26</v>
      </c>
      <c r="C64" s="125" t="s">
        <v>80</v>
      </c>
      <c r="D64" s="88">
        <f t="shared" ref="D64:F64" si="74">IF(H64=0,0%,IF(L64=0,100%,H64/L64-1))</f>
        <v>1</v>
      </c>
      <c r="E64" s="88">
        <f t="shared" si="74"/>
        <v>1</v>
      </c>
      <c r="F64" s="88">
        <f t="shared" si="74"/>
        <v>1</v>
      </c>
      <c r="G64" s="88">
        <f t="shared" si="65"/>
        <v>1</v>
      </c>
      <c r="H64" s="120">
        <f>VLOOKUP(A64,'הכשרה'!A:G,4,0)+VLOOKUP('תפוקה מצטברת מול אשתקד'!A64,'מגדל'!A:G,4,0)+VLOOKUP('תפוקה מצטברת מול אשתקד'!A64,'מנורה'!A:G,4,0)+VLOOKUP('תפוקה מצטברת מול אשתקד'!A64,'איילון'!A:G,4,0)+VLOOKUP('תפוקה מצטברת מול אשתקד'!A64,'הראל'!A:G,4,0)+VLOOKUP('תפוקה מצטברת מול אשתקד'!A64,'הפניקס'!A:G,4,0)+VLOOKUP('תפוקה מצטברת מול אשתקד'!A64,'כלל'!A:G,4,0)+VLOOKUP('תפוקה מצטברת מול אשתקד'!A64,'מור'!A:G,4,0)+VLOOKUP('תפוקה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אשתקד'!A64,'אינפניטי'!A:G,4,0)</f>
        <v>124200.08</v>
      </c>
      <c r="I64" s="120">
        <f>VLOOKUP(A64,'הכשרה'!A:G,5,0)+VLOOKUP('תפוקה מצטברת מול אשתקד'!A64,'מגדל'!A:G,5,0)+VLOOKUP('תפוקה מצטברת מול אשתקד'!A64,'מנורה'!A:G,5,0)+VLOOKUP('תפוקה מצטברת מול אשתקד'!A64,'איילון'!A:G,5,0)+VLOOKUP('תפוקה מצטברת מול אשתקד'!A64,'הראל'!A:G,5,0)+VLOOKUP('תפוקה מצטברת מול אשתקד'!A64,'הפניקס'!A:G,5,0)+VLOOKUP('תפוקה מצטברת מול אשתקד'!A64,'כלל'!A:G,5,0)+VLOOKUP('תפוקה מצטברת מול אשתקד'!A64,'מור'!A:G,5,0)+VLOOKUP('תפוקה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אשתקד'!A64,'אינפניטי'!A:G,5,0)</f>
        <v>22615.3474</v>
      </c>
      <c r="J64" s="120">
        <f>VLOOKUP(A64,'הכשרה'!A:G,6,0)+VLOOKUP('תפוקה מצטברת מול אשתקד'!A64,'מגדל'!A:G,6,0)+VLOOKUP('תפוקה מצטברת מול אשתקד'!A64,'מנורה'!A:G,6,0)+VLOOKUP('תפוקה מצטברת מול אשתקד'!A64,'איילון'!A:G,6,0)+VLOOKUP(A64,'הראל'!A:G,6,0)+VLOOKUP('תפוקה מצטברת מול אשתקד'!A64,'הפניקס'!A:G,6,0)+VLOOKUP('תפוקה מצטברת מול אשתקד'!A64,'כלל'!A:G,6,0)+VLOOKUP('תפוקה מצטברת מול אשתקד'!A64,'מור'!A:G,6,0)+VLOOKUP('תפוקה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אשתקד'!A64,'אינפניטי'!A:G,6,0)</f>
        <v>412058.37</v>
      </c>
      <c r="K64" s="120">
        <f>VLOOKUP(A64,'הכשרה'!A:G,7,0)+VLOOKUP('תפוקה מצטברת מול אשתקד'!A64,'מגדל'!A:G,7,0)+VLOOKUP('תפוקה מצטברת מול אשתקד'!A64,'מנורה'!A:G,7,0)+VLOOKUP('תפוקה מצטברת מול אשתקד'!A64,'איילון'!A:G,7,0)+VLOOKUP('תפוקה מצטברת מול אשתקד'!A64,'הראל'!A:G,7,0)+VLOOKUP('תפוקה מצטברת מול אשתקד'!A64,'הפניקס'!A:G,7,0)+VLOOKUP('תפוקה מצטברת מול אשתקד'!A64,'כלל'!A:G,7,0)+VLOOKUP('תפוקה מצטברת מול אשתקד'!A64,'מור'!A:G,7,0)+VLOOKUP('תפוקה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אשתקד'!A64,'אינפניטי'!A:G,7,0)</f>
        <v>439063.23</v>
      </c>
      <c r="L64" s="121">
        <f>VLOOKUP(A64,'הכשרה'!A:K,8,0)+VLOOKUP('תפוקה מצטברת מול אשתקד'!A64,'מגדל'!A:K,8,0)+VLOOKUP('תפוקה מצטברת מול אשתקד'!A64,'מנורה'!A:K,8,0)+VLOOKUP('תפוקה מצטברת מול אשתקד'!A64,'איילון'!A:K,8,0)+VLOOKUP('תפוקה מצטברת מול אשתקד'!A64,'הראל'!A:K,8,0)+VLOOKUP('תפוקה מצטברת מול אשתקד'!A64,'הפניקס'!A:K,8,0)+VLOOKUP('תפוקה מצטברת מול אשתקד'!A64,'כלל'!A:K,8,0)+VLOOKUP('תפוקה מצטברת מול אשתקד'!A64,'מור'!A:K,8,0)+VLOOKUP('תפוקה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אשתקד'!A64,'אינפניטי'!A:K,8,0)</f>
        <v>0</v>
      </c>
      <c r="M64" s="121">
        <f>VLOOKUP(A64,'הכשרה'!A:K,9,0)+VLOOKUP('תפוקה מצטברת מול אשתקד'!A64,'מגדל'!A:K,9,0)+VLOOKUP('תפוקה מצטברת מול אשתקד'!A64,'מנורה'!A:K,9,0)+VLOOKUP('תפוקה מצטברת מול אשתקד'!A64,'איילון'!A:K,9,0)+VLOOKUP('תפוקה מצטברת מול אשתקד'!A64,'הראל'!A:K,9,0)+VLOOKUP('תפוקה מצטברת מול אשתקד'!A64,'הפניקס'!A:K,9,0)+VLOOKUP('תפוקה מצטברת מול אשתקד'!A64,'כלל'!A:K,9,0)+VLOOKUP('תפוקה מצטברת מול אשתקד'!A64,'מור'!A:K,9,0)+VLOOKUP('תפוקה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אשתקד'!A64,'אינפניטי'!A:K,9,0)</f>
        <v>0</v>
      </c>
      <c r="N64" s="121">
        <f>VLOOKUP(A64,'הכשרה'!A:K,10,0)+VLOOKUP('תפוקה מצטברת מול אשתקד'!A64,'מגדל'!A:K,10,0)+VLOOKUP('תפוקה מצטברת מול אשתקד'!A64,'מנורה'!A:K,10,0)+VLOOKUP('תפוקה מצטברת מול אשתקד'!A64,'איילון'!A:K,10,0)+VLOOKUP('תפוקה מצטברת מול אשתקד'!A64,'הראל'!A:K,10,0)+VLOOKUP('תפוקה מצטברת מול אשתקד'!A64,'הפניקס'!A:K,10,0)+VLOOKUP('תפוקה מצטברת מול אשתקד'!A64,'כלל'!A:K,10,0)+VLOOKUP('תפוקה מצטברת מול אשתקד'!A64,'מור'!A:K,10,0)+VLOOKUP('תפוקה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אשתקד'!A64,'אינפניטי'!A:K,10,0)</f>
        <v>0</v>
      </c>
      <c r="O64" s="121">
        <f>VLOOKUP(A64,'הכשרה'!A:K,11,0)+VLOOKUP('תפוקה מצטברת מול אשתקד'!A64,'מגדל'!A:K,11,0)+VLOOKUP('תפוקה מצטברת מול אשתקד'!A64,'מנורה'!A:K,11,0)+VLOOKUP('תפוקה מצטברת מול אשתקד'!A64,'איילון'!A:K,11,0)+VLOOKUP('תפוקה מצטברת מול אשתקד'!A64,'הראל'!A:K,11,0)+VLOOKUP('תפוקה מצטברת מול אשתקד'!A64,'הפניקס'!A:K,11,0)+VLOOKUP('תפוקה מצטברת מול אשתקד'!A64,'כלל'!A:K,11,0)+VLOOKUP('תפוקה מצטברת מול אשתקד'!A64,'מור'!A:K,11,0)+VLOOKUP('תפוקה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אשתקד'!A64,'אינפניטי'!A:K,11,0)</f>
        <v>0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ht="15.75" customHeight="1">
      <c r="A65" s="99" t="s">
        <v>118</v>
      </c>
      <c r="B65" s="98" t="s">
        <v>26</v>
      </c>
      <c r="C65" s="125" t="s">
        <v>80</v>
      </c>
      <c r="D65" s="88">
        <f t="shared" ref="D65:F65" si="75">IF(H65=0,0%,IF(L65=0,100%,H65/L65-1))</f>
        <v>0</v>
      </c>
      <c r="E65" s="88">
        <f t="shared" si="75"/>
        <v>0</v>
      </c>
      <c r="F65" s="88">
        <f t="shared" si="75"/>
        <v>0</v>
      </c>
      <c r="G65" s="88">
        <f t="shared" ref="G65:G76" si="77">IF(K65=0,0%,IF(O65=H88,100%,K65/O65-1))</f>
        <v>0</v>
      </c>
      <c r="H65" s="120">
        <f>VLOOKUP(A65,'הכשרה'!A:G,4,0)+VLOOKUP('תפוקה מצטברת מול אשתקד'!A65,'מגדל'!A:G,4,0)+VLOOKUP('תפוקה מצטברת מול אשתקד'!A65,'מנורה'!A:G,4,0)+VLOOKUP('תפוקה מצטברת מול אשתקד'!A65,'איילון'!A:G,4,0)+VLOOKUP('תפוקה מצטברת מול אשתקד'!A65,'הראל'!A:G,4,0)+VLOOKUP('תפוקה מצטברת מול אשתקד'!A65,'הפניקס'!A:G,4,0)+VLOOKUP('תפוקה מצטברת מול אשתקד'!A65,'כלל'!A:G,4,0)+VLOOKUP('תפוקה מצטברת מול אשתקד'!A65,'מור'!A:G,4,0)+VLOOKUP('תפוקה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אשתקד'!A65,'אינפניטי'!A:G,4,0)</f>
        <v>0</v>
      </c>
      <c r="I65" s="120">
        <f>VLOOKUP(A65,'הכשרה'!A:G,5,0)+VLOOKUP('תפוקה מצטברת מול אשתקד'!A65,'מגדל'!A:G,5,0)+VLOOKUP('תפוקה מצטברת מול אשתקד'!A65,'מנורה'!A:G,5,0)+VLOOKUP('תפוקה מצטברת מול אשתקד'!A65,'איילון'!A:G,5,0)+VLOOKUP('תפוקה מצטברת מול אשתקד'!A65,'הראל'!A:G,5,0)+VLOOKUP('תפוקה מצטברת מול אשתקד'!A65,'הפניקס'!A:G,5,0)+VLOOKUP('תפוקה מצטברת מול אשתקד'!A65,'כלל'!A:G,5,0)+VLOOKUP('תפוקה מצטברת מול אשתקד'!A65,'מור'!A:G,5,0)+VLOOKUP('תפוקה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אשתקד'!A65,'אינפניטי'!A:G,5,0)</f>
        <v>0</v>
      </c>
      <c r="J65" s="120">
        <f>VLOOKUP(A65,'הכשרה'!A:G,6,0)+VLOOKUP('תפוקה מצטברת מול אשתקד'!A65,'מגדל'!A:G,6,0)+VLOOKUP('תפוקה מצטברת מול אשתקד'!A65,'מנורה'!A:G,6,0)+VLOOKUP('תפוקה מצטברת מול אשתקד'!A65,'איילון'!A:G,6,0)+VLOOKUP(A65,'הראל'!A:G,6,0)+VLOOKUP('תפוקה מצטברת מול אשתקד'!A65,'הפניקס'!A:G,6,0)+VLOOKUP('תפוקה מצטברת מול אשתקד'!A65,'כלל'!A:G,6,0)+VLOOKUP('תפוקה מצטברת מול אשתקד'!A65,'מור'!A:G,6,0)+VLOOKUP('תפוקה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אשתקד'!A65,'אינפניטי'!A:G,6,0)</f>
        <v>0</v>
      </c>
      <c r="K65" s="120">
        <f>VLOOKUP(A65,'הכשרה'!A:G,7,0)+VLOOKUP('תפוקה מצטברת מול אשתקד'!A65,'מגדל'!A:G,7,0)+VLOOKUP('תפוקה מצטברת מול אשתקד'!A65,'מנורה'!A:G,7,0)+VLOOKUP('תפוקה מצטברת מול אשתקד'!A65,'איילון'!A:G,7,0)+VLOOKUP('תפוקה מצטברת מול אשתקד'!A65,'הראל'!A:G,7,0)+VLOOKUP('תפוקה מצטברת מול אשתקד'!A65,'הפניקס'!A:G,7,0)+VLOOKUP('תפוקה מצטברת מול אשתקד'!A65,'כלל'!A:G,7,0)+VLOOKUP('תפוקה מצטברת מול אשתקד'!A65,'מור'!A:G,7,0)+VLOOKUP('תפוקה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אשתקד'!A65,'אינפניטי'!A:G,7,0)</f>
        <v>0</v>
      </c>
      <c r="L65" s="121">
        <f>VLOOKUP(A65,'הכשרה'!A:K,8,0)+VLOOKUP('תפוקה מצטברת מול אשתקד'!A65,'מגדל'!A:K,8,0)+VLOOKUP('תפוקה מצטברת מול אשתקד'!A65,'מנורה'!A:K,8,0)+VLOOKUP('תפוקה מצטברת מול אשתקד'!A65,'איילון'!A:K,8,0)+VLOOKUP('תפוקה מצטברת מול אשתקד'!A65,'הראל'!A:K,8,0)+VLOOKUP('תפוקה מצטברת מול אשתקד'!A65,'הפניקס'!A:K,8,0)+VLOOKUP('תפוקה מצטברת מול אשתקד'!A65,'כלל'!A:K,8,0)+VLOOKUP('תפוקה מצטברת מול אשתקד'!A65,'מור'!A:K,8,0)+VLOOKUP('תפוקה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אשתקד'!A65,'אינפניטי'!A:K,8,0)</f>
        <v>0</v>
      </c>
      <c r="M65" s="121">
        <f>VLOOKUP(A65,'הכשרה'!A:K,9,0)+VLOOKUP('תפוקה מצטברת מול אשתקד'!A65,'מגדל'!A:K,9,0)+VLOOKUP('תפוקה מצטברת מול אשתקד'!A65,'מנורה'!A:K,9,0)+VLOOKUP('תפוקה מצטברת מול אשתקד'!A65,'איילון'!A:K,9,0)+VLOOKUP('תפוקה מצטברת מול אשתקד'!A65,'הראל'!A:K,9,0)+VLOOKUP('תפוקה מצטברת מול אשתקד'!A65,'הפניקס'!A:K,9,0)+VLOOKUP('תפוקה מצטברת מול אשתקד'!A65,'כלל'!A:K,9,0)+VLOOKUP('תפוקה מצטברת מול אשתקד'!A65,'מור'!A:K,9,0)+VLOOKUP('תפוקה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אשתקד'!A65,'אינפניטי'!A:K,9,0)</f>
        <v>0</v>
      </c>
      <c r="N65" s="121">
        <f>VLOOKUP(A65,'הכשרה'!A:K,10,0)+VLOOKUP('תפוקה מצטברת מול אשתקד'!A65,'מגדל'!A:K,10,0)+VLOOKUP('תפוקה מצטברת מול אשתקד'!A65,'מנורה'!A:K,10,0)+VLOOKUP('תפוקה מצטברת מול אשתקד'!A65,'איילון'!A:K,10,0)+VLOOKUP('תפוקה מצטברת מול אשתקד'!A65,'הראל'!A:K,10,0)+VLOOKUP('תפוקה מצטברת מול אשתקד'!A65,'הפניקס'!A:K,10,0)+VLOOKUP('תפוקה מצטברת מול אשתקד'!A65,'כלל'!A:K,10,0)+VLOOKUP('תפוקה מצטברת מול אשתקד'!A65,'מור'!A:K,10,0)+VLOOKUP('תפוקה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אשתקד'!A65,'אינפניטי'!A:K,10,0)</f>
        <v>0</v>
      </c>
      <c r="O65" s="121">
        <f>VLOOKUP(A65,'הכשרה'!A:K,11,0)+VLOOKUP('תפוקה מצטברת מול אשתקד'!A65,'מגדל'!A:K,11,0)+VLOOKUP('תפוקה מצטברת מול אשתקד'!A65,'מנורה'!A:K,11,0)+VLOOKUP('תפוקה מצטברת מול אשתקד'!A65,'איילון'!A:K,11,0)+VLOOKUP('תפוקה מצטברת מול אשתקד'!A65,'הראל'!A:K,11,0)+VLOOKUP('תפוקה מצטברת מול אשתקד'!A65,'הפניקס'!A:K,11,0)+VLOOKUP('תפוקה מצטברת מול אשתקד'!A65,'כלל'!A:K,11,0)+VLOOKUP('תפוקה מצטברת מול אשתקד'!A65,'מור'!A:K,11,0)+VLOOKUP('תפוקה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אשתקד'!A65,'אינפניטי'!A:K,11,0)</f>
        <v>0</v>
      </c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ht="24.0" customHeight="1">
      <c r="A66" s="133" t="s">
        <v>17</v>
      </c>
      <c r="B66" s="127"/>
      <c r="C66" s="127"/>
      <c r="D66" s="128">
        <f t="shared" ref="D66:F66" si="76">IF(H66=0,0%,IF(L66=0,100%,H66/L66-1))</f>
        <v>-0.4699956389</v>
      </c>
      <c r="E66" s="128">
        <f t="shared" si="76"/>
        <v>-0.6170092388</v>
      </c>
      <c r="F66" s="128">
        <f t="shared" si="76"/>
        <v>0.0239989657</v>
      </c>
      <c r="G66" s="88">
        <f t="shared" si="77"/>
        <v>0.8574685905</v>
      </c>
      <c r="H66" s="134">
        <f t="shared" ref="H66:O66" si="78">SUM(H57:H65)</f>
        <v>1442528.064</v>
      </c>
      <c r="I66" s="134">
        <f t="shared" si="78"/>
        <v>104130.1609</v>
      </c>
      <c r="J66" s="134">
        <f t="shared" si="78"/>
        <v>9968313.454</v>
      </c>
      <c r="K66" s="134">
        <f t="shared" si="78"/>
        <v>7413429.98</v>
      </c>
      <c r="L66" s="134">
        <f t="shared" si="78"/>
        <v>2721728.668</v>
      </c>
      <c r="M66" s="134">
        <f t="shared" si="78"/>
        <v>271886.8743</v>
      </c>
      <c r="N66" s="134">
        <f t="shared" si="78"/>
        <v>9734690.94</v>
      </c>
      <c r="O66" s="134">
        <f t="shared" si="78"/>
        <v>3991146.886</v>
      </c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ht="15.75" customHeight="1">
      <c r="A67" s="98" t="s">
        <v>119</v>
      </c>
      <c r="B67" s="98" t="s">
        <v>25</v>
      </c>
      <c r="C67" s="125" t="s">
        <v>120</v>
      </c>
      <c r="D67" s="130">
        <f t="shared" ref="D67:F67" si="79">IF(H67=0,0%,IF(L67=0,100%,H67/L67-1))</f>
        <v>1.293564386</v>
      </c>
      <c r="E67" s="130">
        <f t="shared" si="79"/>
        <v>1.475310563</v>
      </c>
      <c r="F67" s="130">
        <f t="shared" si="79"/>
        <v>-0.2165703689</v>
      </c>
      <c r="G67" s="88">
        <f t="shared" si="77"/>
        <v>4.571445514</v>
      </c>
      <c r="H67" s="120">
        <f>VLOOKUP(A67,'הכשרה'!A:G,4,0)+VLOOKUP('תפוקה מצטברת מול אשתקד'!A67,'מגדל'!A:G,4,0)+VLOOKUP('תפוקה מצטברת מול אשתקד'!A67,'מנורה'!A:G,4,0)+VLOOKUP('תפוקה מצטברת מול אשתקד'!A67,'איילון'!A:G,4,0)+VLOOKUP('תפוקה מצטברת מול אשתקד'!A67,'הראל'!A:G,4,0)+VLOOKUP('תפוקה מצטברת מול אשתקד'!A67,'הפניקס'!A:G,4,0)+VLOOKUP('תפוקה מצטברת מול אשתקד'!A67,'כלל'!A:G,4,0)+VLOOKUP('תפוקה מצטברת מול אשתקד'!A67,'מור'!A:G,4,0)+VLOOKUP('תפוקה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אשתקד'!A67,'אינפניטי'!A:G,4,0)</f>
        <v>337758.7069</v>
      </c>
      <c r="I67" s="120">
        <f>VLOOKUP(A67,'הכשרה'!A:G,5,0)+VLOOKUP('תפוקה מצטברת מול אשתקד'!A67,'מגדל'!A:G,5,0)+VLOOKUP('תפוקה מצטברת מול אשתקד'!A67,'מנורה'!A:G,5,0)+VLOOKUP('תפוקה מצטברת מול אשתקד'!A67,'איילון'!A:G,5,0)+VLOOKUP('תפוקה מצטברת מול אשתקד'!A67,'הראל'!A:G,5,0)+VLOOKUP('תפוקה מצטברת מול אשתקד'!A67,'הפניקס'!A:G,5,0)+VLOOKUP('תפוקה מצטברת מול אשתקד'!A67,'כלל'!A:G,5,0)+VLOOKUP('תפוקה מצטברת מול אשתקד'!A67,'מור'!A:G,5,0)+VLOOKUP('תפוקה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אשתקד'!A67,'אינפניטי'!A:G,5,0)</f>
        <v>27736.96983</v>
      </c>
      <c r="J67" s="120">
        <f>VLOOKUP(A67,'הכשרה'!A:G,6,0)+VLOOKUP('תפוקה מצטברת מול אשתקד'!A67,'מגדל'!A:G,6,0)+VLOOKUP('תפוקה מצטברת מול אשתקד'!A67,'מנורה'!A:G,6,0)+VLOOKUP('תפוקה מצטברת מול אשתקד'!A67,'איילון'!A:G,6,0)+VLOOKUP(A67,'הראל'!A:G,6,0)+VLOOKUP('תפוקה מצטברת מול אשתקד'!A67,'הפניקס'!A:G,6,0)+VLOOKUP('תפוקה מצטברת מול אשתקד'!A67,'כלל'!A:G,6,0)+VLOOKUP('תפוקה מצטברת מול אשתקד'!A67,'מור'!A:G,6,0)+VLOOKUP('תפוקה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אשתקד'!A67,'אינפניטי'!A:G,6,0)</f>
        <v>4132463.163</v>
      </c>
      <c r="K67" s="120">
        <f>VLOOKUP(A67,'הכשרה'!A:G,7,0)+VLOOKUP('תפוקה מצטברת מול אשתקד'!A67,'מגדל'!A:G,7,0)+VLOOKUP('תפוקה מצטברת מול אשתקד'!A67,'מנורה'!A:G,7,0)+VLOOKUP('תפוקה מצטברת מול אשתקד'!A67,'איילון'!A:G,7,0)+VLOOKUP('תפוקה מצטברת מול אשתקד'!A67,'הראל'!A:G,7,0)+VLOOKUP('תפוקה מצטברת מול אשתקד'!A67,'הפניקס'!A:G,7,0)+VLOOKUP('תפוקה מצטברת מול אשתקד'!A67,'כלל'!A:G,7,0)+VLOOKUP('תפוקה מצטברת מול אשתקד'!A67,'מור'!A:G,7,0)+VLOOKUP('תפוקה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אשתקד'!A67,'אינפניטי'!A:G,7,0)</f>
        <v>4151926.9</v>
      </c>
      <c r="L67" s="121">
        <f>VLOOKUP(A67,'הכשרה'!A:K,8,0)+VLOOKUP('תפוקה מצטברת מול אשתקד'!A67,'מגדל'!A:K,8,0)+VLOOKUP('תפוקה מצטברת מול אשתקד'!A67,'מנורה'!A:K,8,0)+VLOOKUP('תפוקה מצטברת מול אשתקד'!A67,'איילון'!A:K,8,0)+VLOOKUP('תפוקה מצטברת מול אשתקד'!A67,'הראל'!A:K,8,0)+VLOOKUP('תפוקה מצטברת מול אשתקד'!A67,'הפניקס'!A:K,8,0)+VLOOKUP('תפוקה מצטברת מול אשתקד'!A67,'כלל'!A:K,8,0)+VLOOKUP('תפוקה מצטברת מול אשתקד'!A67,'מור'!A:K,8,0)+VLOOKUP('תפוקה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אשתקד'!A67,'אינפניטי'!A:K,8,0)</f>
        <v>147263.6692</v>
      </c>
      <c r="M67" s="121">
        <f>VLOOKUP(A67,'הכשרה'!A:K,9,0)+VLOOKUP('תפוקה מצטברת מול אשתקד'!A67,'מגדל'!A:K,9,0)+VLOOKUP('תפוקה מצטברת מול אשתקד'!A67,'מנורה'!A:K,9,0)+VLOOKUP('תפוקה מצטברת מול אשתקד'!A67,'איילון'!A:K,9,0)+VLOOKUP('תפוקה מצטברת מול אשתקד'!A67,'הראל'!A:K,9,0)+VLOOKUP('תפוקה מצטברת מול אשתקד'!A67,'הפניקס'!A:K,9,0)+VLOOKUP('תפוקה מצטברת מול אשתקד'!A67,'כלל'!A:K,9,0)+VLOOKUP('תפוקה מצטברת מול אשתקד'!A67,'מור'!A:K,9,0)+VLOOKUP('תפוקה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אשתקד'!A67,'אינפניטי'!A:K,9,0)</f>
        <v>11205.45044</v>
      </c>
      <c r="N67" s="121">
        <f>VLOOKUP(A67,'הכשרה'!A:K,10,0)+VLOOKUP('תפוקה מצטברת מול אשתקד'!A67,'מגדל'!A:K,10,0)+VLOOKUP('תפוקה מצטברת מול אשתקד'!A67,'מנורה'!A:K,10,0)+VLOOKUP('תפוקה מצטברת מול אשתקד'!A67,'איילון'!A:K,10,0)+VLOOKUP('תפוקה מצטברת מול אשתקד'!A67,'הראל'!A:K,10,0)+VLOOKUP('תפוקה מצטברת מול אשתקד'!A67,'הפניקס'!A:K,10,0)+VLOOKUP('תפוקה מצטברת מול אשתקד'!A67,'כלל'!A:K,10,0)+VLOOKUP('תפוקה מצטברת מול אשתקד'!A67,'מור'!A:K,10,0)+VLOOKUP('תפוקה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אשתקד'!A67,'אינפניטי'!A:K,10,0)</f>
        <v>5274836.436</v>
      </c>
      <c r="O67" s="121">
        <f>VLOOKUP(A67,'הכשרה'!A:K,11,0)+VLOOKUP('תפוקה מצטברת מול אשתקד'!A67,'מגדל'!A:K,11,0)+VLOOKUP('תפוקה מצטברת מול אשתקד'!A67,'מנורה'!A:K,11,0)+VLOOKUP('תפוקה מצטברת מול אשתקד'!A67,'איילון'!A:K,11,0)+VLOOKUP('תפוקה מצטברת מול אשתקד'!A67,'הראל'!A:K,11,0)+VLOOKUP('תפוקה מצטברת מול אשתקד'!A67,'הפניקס'!A:K,11,0)+VLOOKUP('תפוקה מצטברת מול אשתקד'!A67,'כלל'!A:K,11,0)+VLOOKUP('תפוקה מצטברת מול אשתקד'!A67,'מור'!A:K,11,0)+VLOOKUP('תפוקה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אשתקד'!A67,'אינפניטי'!A:K,11,0)</f>
        <v>745215.3825</v>
      </c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ht="15.75" customHeight="1">
      <c r="A68" s="99" t="s">
        <v>35</v>
      </c>
      <c r="B68" s="98" t="s">
        <v>23</v>
      </c>
      <c r="C68" s="98" t="s">
        <v>121</v>
      </c>
      <c r="D68" s="88">
        <f t="shared" ref="D68:F68" si="80">IF(H68=0,0%,IF(L68=0,100%,H68/L68-1))</f>
        <v>0.1403281976</v>
      </c>
      <c r="E68" s="88">
        <f t="shared" si="80"/>
        <v>0.09812025873</v>
      </c>
      <c r="F68" s="88">
        <f t="shared" si="80"/>
        <v>0.4345939161</v>
      </c>
      <c r="G68" s="88">
        <f t="shared" si="77"/>
        <v>-0.01816367419</v>
      </c>
      <c r="H68" s="120">
        <f>VLOOKUP(A68,'הכשרה'!A:G,4,0)+VLOOKUP('תפוקה מצטברת מול אשתקד'!A68,'מגדל'!A:G,4,0)+VLOOKUP('תפוקה מצטברת מול אשתקד'!A68,'מנורה'!A:G,4,0)+VLOOKUP('תפוקה מצטברת מול אשתקד'!A68,'איילון'!A:G,4,0)+VLOOKUP('תפוקה מצטברת מול אשתקד'!A68,'הראל'!A:G,4,0)+VLOOKUP('תפוקה מצטברת מול אשתקד'!A68,'הפניקס'!A:G,4,0)+VLOOKUP('תפוקה מצטברת מול אשתקד'!A68,'כלל'!A:G,4,0)+VLOOKUP('תפוקה מצטברת מול אשתקד'!A68,'מור'!A:G,4,0)+VLOOKUP('תפוקה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אשתקד'!A68,'אינפניטי'!A:G,4,0)</f>
        <v>1719175.229</v>
      </c>
      <c r="I68" s="120">
        <f>VLOOKUP(A68,'הכשרה'!A:G,5,0)+VLOOKUP('תפוקה מצטברת מול אשתקד'!A68,'מגדל'!A:G,5,0)+VLOOKUP('תפוקה מצטברת מול אשתקד'!A68,'מנורה'!A:G,5,0)+VLOOKUP('תפוקה מצטברת מול אשתקד'!A68,'איילון'!A:G,5,0)+VLOOKUP('תפוקה מצטברת מול אשתקד'!A68,'הראל'!A:G,5,0)+VLOOKUP('תפוקה מצטברת מול אשתקד'!A68,'הפניקס'!A:G,5,0)+VLOOKUP('תפוקה מצטברת מול אשתקד'!A68,'כלל'!A:G,5,0)+VLOOKUP('תפוקה מצטברת מול אשתקד'!A68,'מור'!A:G,5,0)+VLOOKUP('תפוקה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אשתקד'!A68,'אינפניטי'!A:G,5,0)</f>
        <v>384962.828</v>
      </c>
      <c r="J68" s="120">
        <f>VLOOKUP(A68,'הכשרה'!A:G,6,0)+VLOOKUP('תפוקה מצטברת מול אשתקד'!A68,'מגדל'!A:G,6,0)+VLOOKUP('תפוקה מצטברת מול אשתקד'!A68,'מנורה'!A:G,6,0)+VLOOKUP('תפוקה מצטברת מול אשתקד'!A68,'איילון'!A:G,6,0)+VLOOKUP(A68,'הראל'!A:G,6,0)+VLOOKUP('תפוקה מצטברת מול אשתקד'!A68,'הפניקס'!A:G,6,0)+VLOOKUP('תפוקה מצטברת מול אשתקד'!A68,'כלל'!A:G,6,0)+VLOOKUP('תפוקה מצטברת מול אשתקד'!A68,'מור'!A:G,6,0)+VLOOKUP('תפוקה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אשתקד'!A68,'אינפניטי'!A:G,6,0)</f>
        <v>4367398.33</v>
      </c>
      <c r="K68" s="120">
        <f>VLOOKUP(A68,'הכשרה'!A:G,7,0)+VLOOKUP('תפוקה מצטברת מול אשתקד'!A68,'מגדל'!A:G,7,0)+VLOOKUP('תפוקה מצטברת מול אשתקד'!A68,'מנורה'!A:G,7,0)+VLOOKUP('תפוקה מצטברת מול אשתקד'!A68,'איילון'!A:G,7,0)+VLOOKUP('תפוקה מצטברת מול אשתקד'!A68,'הראל'!A:G,7,0)+VLOOKUP('תפוקה מצטברת מול אשתקד'!A68,'הפניקס'!A:G,7,0)+VLOOKUP('תפוקה מצטברת מול אשתקד'!A68,'כלל'!A:G,7,0)+VLOOKUP('תפוקה מצטברת מול אשתקד'!A68,'מור'!A:G,7,0)+VLOOKUP('תפוקה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אשתקד'!A68,'אינפניטי'!A:G,7,0)</f>
        <v>8179974.41</v>
      </c>
      <c r="L68" s="121">
        <f>VLOOKUP(A68,'הכשרה'!A:K,8,0)+VLOOKUP('תפוקה מצטברת מול אשתקד'!A68,'מגדל'!A:K,8,0)+VLOOKUP('תפוקה מצטברת מול אשתקד'!A68,'מנורה'!A:K,8,0)+VLOOKUP('תפוקה מצטברת מול אשתקד'!A68,'איילון'!A:K,8,0)+VLOOKUP('תפוקה מצטברת מול אשתקד'!A68,'הראל'!A:K,8,0)+VLOOKUP('תפוקה מצטברת מול אשתקד'!A68,'הפניקס'!A:K,8,0)+VLOOKUP('תפוקה מצטברת מול אשתקד'!A68,'כלל'!A:K,8,0)+VLOOKUP('תפוקה מצטברת מול אשתקד'!A68,'מור'!A:K,8,0)+VLOOKUP('תפוקה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אשתקד'!A68,'אינפניטי'!A:K,8,0)</f>
        <v>1507614.415</v>
      </c>
      <c r="M68" s="121">
        <f>VLOOKUP(A68,'הכשרה'!A:K,9,0)+VLOOKUP('תפוקה מצטברת מול אשתקד'!A68,'מגדל'!A:K,9,0)+VLOOKUP('תפוקה מצטברת מול אשתקד'!A68,'מנורה'!A:K,9,0)+VLOOKUP('תפוקה מצטברת מול אשתקד'!A68,'איילון'!A:K,9,0)+VLOOKUP('תפוקה מצטברת מול אשתקד'!A68,'הראל'!A:K,9,0)+VLOOKUP('תפוקה מצטברת מול אשתקד'!A68,'הפניקס'!A:K,9,0)+VLOOKUP('תפוקה מצטברת מול אשתקד'!A68,'כלל'!A:K,9,0)+VLOOKUP('תפוקה מצטברת מול אשתקד'!A68,'מור'!A:K,9,0)+VLOOKUP('תפוקה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אשתקד'!A68,'אינפניטי'!A:K,9,0)</f>
        <v>350565.2727</v>
      </c>
      <c r="N68" s="121">
        <f>VLOOKUP(A68,'הכשרה'!A:K,10,0)+VLOOKUP('תפוקה מצטברת מול אשתקד'!A68,'מגדל'!A:K,10,0)+VLOOKUP('תפוקה מצטברת מול אשתקד'!A68,'מנורה'!A:K,10,0)+VLOOKUP('תפוקה מצטברת מול אשתקד'!A68,'איילון'!A:K,10,0)+VLOOKUP('תפוקה מצטברת מול אשתקד'!A68,'הראל'!A:K,10,0)+VLOOKUP('תפוקה מצטברת מול אשתקד'!A68,'הפניקס'!A:K,10,0)+VLOOKUP('תפוקה מצטברת מול אשתקד'!A68,'כלל'!A:K,10,0)+VLOOKUP('תפוקה מצטברת מול אשתקד'!A68,'מור'!A:K,10,0)+VLOOKUP('תפוקה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אשתקד'!A68,'אינפניטי'!A:K,10,0)</f>
        <v>3044344.661</v>
      </c>
      <c r="O68" s="121">
        <f>VLOOKUP(A68,'הכשרה'!A:K,11,0)+VLOOKUP('תפוקה מצטברת מול אשתקד'!A68,'מגדל'!A:K,11,0)+VLOOKUP('תפוקה מצטברת מול אשתקד'!A68,'מנורה'!A:K,11,0)+VLOOKUP('תפוקה מצטברת מול אשתקד'!A68,'איילון'!A:K,11,0)+VLOOKUP('תפוקה מצטברת מול אשתקד'!A68,'הראל'!A:K,11,0)+VLOOKUP('תפוקה מצטברת מול אשתקד'!A68,'הפניקס'!A:K,11,0)+VLOOKUP('תפוקה מצטברת מול אשתקד'!A68,'כלל'!A:K,11,0)+VLOOKUP('תפוקה מצטברת מול אשתקד'!A68,'מור'!A:K,11,0)+VLOOKUP('תפוקה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אשתקד'!A68,'אינפניטי'!A:K,11,0)</f>
        <v>8331301.455</v>
      </c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ht="15.75" customHeight="1">
      <c r="A69" s="98" t="s">
        <v>122</v>
      </c>
      <c r="B69" s="98" t="s">
        <v>25</v>
      </c>
      <c r="C69" s="98" t="s">
        <v>121</v>
      </c>
      <c r="D69" s="88">
        <f t="shared" ref="D69:F69" si="81">IF(H69=0,0%,IF(L69=0,100%,H69/L69-1))</f>
        <v>0</v>
      </c>
      <c r="E69" s="88">
        <f t="shared" si="81"/>
        <v>-1.07318118</v>
      </c>
      <c r="F69" s="88">
        <f t="shared" si="81"/>
        <v>-0.8649693108</v>
      </c>
      <c r="G69" s="88">
        <f t="shared" si="77"/>
        <v>0</v>
      </c>
      <c r="H69" s="120">
        <f>VLOOKUP(A69,'הכשרה'!A:G,4,0)+VLOOKUP('תפוקה מצטברת מול אשתקד'!A69,'מגדל'!A:G,4,0)+VLOOKUP('תפוקה מצטברת מול אשתקד'!A69,'מנורה'!A:G,4,0)+VLOOKUP('תפוקה מצטברת מול אשתקד'!A69,'איילון'!A:G,4,0)+VLOOKUP('תפוקה מצטברת מול אשתקד'!A69,'הראל'!A:G,4,0)+VLOOKUP('תפוקה מצטברת מול אשתקד'!A69,'הפניקס'!A:G,4,0)+VLOOKUP('תפוקה מצטברת מול אשתקד'!A69,'כלל'!A:G,4,0)+VLOOKUP('תפוקה מצטברת מול אשתקד'!A69,'מור'!A:G,4,0)+VLOOKUP('תפוקה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אשתקד'!A69,'אינפניטי'!A:G,4,0)</f>
        <v>0</v>
      </c>
      <c r="I69" s="120">
        <f>VLOOKUP(A69,'הכשרה'!A:G,5,0)+VLOOKUP('תפוקה מצטברת מול אשתקד'!A69,'מגדל'!A:G,5,0)+VLOOKUP('תפוקה מצטברת מול אשתקד'!A69,'מנורה'!A:G,5,0)+VLOOKUP('תפוקה מצטברת מול אשתקד'!A69,'איילון'!A:G,5,0)+VLOOKUP('תפוקה מצטברת מול אשתקד'!A69,'הראל'!A:G,5,0)+VLOOKUP('תפוקה מצטברת מול אשתקד'!A69,'הפניקס'!A:G,5,0)+VLOOKUP('תפוקה מצטברת מול אשתקד'!A69,'כלל'!A:G,5,0)+VLOOKUP('תפוקה מצטברת מול אשתקד'!A69,'מור'!A:G,5,0)+VLOOKUP('תפוקה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אשתקד'!A69,'אינפניטי'!A:G,5,0)</f>
        <v>-1569.506517</v>
      </c>
      <c r="J69" s="120">
        <f>VLOOKUP(A69,'הכשרה'!A:G,6,0)+VLOOKUP('תפוקה מצטברת מול אשתקד'!A69,'מגדל'!A:G,6,0)+VLOOKUP('תפוקה מצטברת מול אשתקד'!A69,'מנורה'!A:G,6,0)+VLOOKUP('תפוקה מצטברת מול אשתקד'!A69,'איילון'!A:G,6,0)+VLOOKUP(A69,'הראל'!A:G,6,0)+VLOOKUP('תפוקה מצטברת מול אשתקד'!A69,'הפניקס'!A:G,6,0)+VLOOKUP('תפוקה מצטברת מול אשתקד'!A69,'כלל'!A:G,6,0)+VLOOKUP('תפוקה מצטברת מול אשתקד'!A69,'מור'!A:G,6,0)+VLOOKUP('תפוקה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אשתקד'!A69,'אינפניטי'!A:G,6,0)</f>
        <v>10532.36</v>
      </c>
      <c r="K69" s="120">
        <f>VLOOKUP(A69,'הכשרה'!A:G,7,0)+VLOOKUP('תפוקה מצטברת מול אשתקד'!A69,'מגדל'!A:G,7,0)+VLOOKUP('תפוקה מצטברת מול אשתקד'!A69,'מנורה'!A:G,7,0)+VLOOKUP('תפוקה מצטברת מול אשתקד'!A69,'איילון'!A:G,7,0)+VLOOKUP('תפוקה מצטברת מול אשתקד'!A69,'הראל'!A:G,7,0)+VLOOKUP('תפוקה מצטברת מול אשתקד'!A69,'הפניקס'!A:G,7,0)+VLOOKUP('תפוקה מצטברת מול אשתקד'!A69,'כלל'!A:G,7,0)+VLOOKUP('תפוקה מצטברת מול אשתקד'!A69,'מור'!A:G,7,0)+VLOOKUP('תפוקה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אשתקד'!A69,'אינפניטי'!A:G,7,0)</f>
        <v>0</v>
      </c>
      <c r="L69" s="121">
        <f>VLOOKUP(A69,'הכשרה'!A:K,8,0)+VLOOKUP('תפוקה מצטברת מול אשתקד'!A69,'מגדל'!A:K,8,0)+VLOOKUP('תפוקה מצטברת מול אשתקד'!A69,'מנורה'!A:K,8,0)+VLOOKUP('תפוקה מצטברת מול אשתקד'!A69,'איילון'!A:K,8,0)+VLOOKUP('תפוקה מצטברת מול אשתקד'!A69,'הראל'!A:K,8,0)+VLOOKUP('תפוקה מצטברת מול אשתקד'!A69,'הפניקס'!A:K,8,0)+VLOOKUP('תפוקה מצטברת מול אשתקד'!A69,'כלל'!A:K,8,0)+VLOOKUP('תפוקה מצטברת מול אשתקד'!A69,'מור'!A:K,8,0)+VLOOKUP('תפוקה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אשתקד'!A69,'אינפניטי'!A:K,8,0)</f>
        <v>52808.64</v>
      </c>
      <c r="M69" s="121">
        <f>VLOOKUP(A69,'הכשרה'!A:K,9,0)+VLOOKUP('תפוקה מצטברת מול אשתקד'!A69,'מגדל'!A:K,9,0)+VLOOKUP('תפוקה מצטברת מול אשתקד'!A69,'מנורה'!A:K,9,0)+VLOOKUP('תפוקה מצטברת מול אשתקד'!A69,'איילון'!A:K,9,0)+VLOOKUP('תפוקה מצטברת מול אשתקד'!A69,'הראל'!A:K,9,0)+VLOOKUP('תפוקה מצטברת מול אשתקד'!A69,'הפניקס'!A:K,9,0)+VLOOKUP('תפוקה מצטברת מול אשתקד'!A69,'כלל'!A:K,9,0)+VLOOKUP('תפוקה מצטברת מול אשתקד'!A69,'מור'!A:K,9,0)+VLOOKUP('תפוקה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אשתקד'!A69,'אינפניטי'!A:K,9,0)</f>
        <v>21446.86</v>
      </c>
      <c r="N69" s="121">
        <f>VLOOKUP(A69,'הכשרה'!A:K,10,0)+VLOOKUP('תפוקה מצטברת מול אשתקד'!A69,'מגדל'!A:K,10,0)+VLOOKUP('תפוקה מצטברת מול אשתקד'!A69,'מנורה'!A:K,10,0)+VLOOKUP('תפוקה מצטברת מול אשתקד'!A69,'איילון'!A:K,10,0)+VLOOKUP('תפוקה מצטברת מול אשתקד'!A69,'הראל'!A:K,10,0)+VLOOKUP('תפוקה מצטברת מול אשתקד'!A69,'הפניקס'!A:K,10,0)+VLOOKUP('תפוקה מצטברת מול אשתקד'!A69,'כלל'!A:K,10,0)+VLOOKUP('תפוקה מצטברת מול אשתקד'!A69,'מור'!A:K,10,0)+VLOOKUP('תפוקה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אשתקד'!A69,'אינפניטי'!A:K,10,0)</f>
        <v>77999.75</v>
      </c>
      <c r="O69" s="121">
        <f>VLOOKUP(A69,'הכשרה'!A:K,11,0)+VLOOKUP('תפוקה מצטברת מול אשתקד'!A69,'מגדל'!A:K,11,0)+VLOOKUP('תפוקה מצטברת מול אשתקד'!A69,'מנורה'!A:K,11,0)+VLOOKUP('תפוקה מצטברת מול אשתקד'!A69,'איילון'!A:K,11,0)+VLOOKUP('תפוקה מצטברת מול אשתקד'!A69,'הראל'!A:K,11,0)+VLOOKUP('תפוקה מצטברת מול אשתקד'!A69,'הפניקס'!A:K,11,0)+VLOOKUP('תפוקה מצטברת מול אשתקד'!A69,'כלל'!A:K,11,0)+VLOOKUP('תפוקה מצטברת מול אשתקד'!A69,'מור'!A:K,11,0)+VLOOKUP('תפוקה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אשתקד'!A69,'אינפניטי'!A:K,11,0)</f>
        <v>790363.03</v>
      </c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ht="15.75" customHeight="1">
      <c r="A70" s="98" t="s">
        <v>123</v>
      </c>
      <c r="B70" s="98" t="s">
        <v>23</v>
      </c>
      <c r="C70" s="98" t="s">
        <v>121</v>
      </c>
      <c r="D70" s="88">
        <f t="shared" ref="D70:F70" si="82">IF(H70=0,0%,IF(L70=0,100%,H70/L70-1))</f>
        <v>1.561421075</v>
      </c>
      <c r="E70" s="88">
        <f t="shared" si="82"/>
        <v>-1.064302257</v>
      </c>
      <c r="F70" s="88">
        <f t="shared" si="82"/>
        <v>3.646371512</v>
      </c>
      <c r="G70" s="88">
        <f t="shared" si="77"/>
        <v>16.19634048</v>
      </c>
      <c r="H70" s="120">
        <f>VLOOKUP(A70,'הכשרה'!A:G,4,0)+VLOOKUP('תפוקה מצטברת מול אשתקד'!A70,'מגדל'!A:G,4,0)+VLOOKUP('תפוקה מצטברת מול אשתקד'!A70,'מנורה'!A:G,4,0)+VLOOKUP('תפוקה מצטברת מול אשתקד'!A70,'איילון'!A:G,4,0)+VLOOKUP('תפוקה מצטברת מול אשתקד'!A70,'הראל'!A:G,4,0)+VLOOKUP('תפוקה מצטברת מול אשתקד'!A70,'הפניקס'!A:G,4,0)+VLOOKUP('תפוקה מצטברת מול אשתקד'!A70,'כלל'!A:G,4,0)+VLOOKUP('תפוקה מצטברת מול אשתקד'!A70,'מור'!A:G,4,0)+VLOOKUP('תפוקה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אשתקד'!A70,'אינפניטי'!A:G,4,0)</f>
        <v>142420.1506</v>
      </c>
      <c r="I70" s="120">
        <f>VLOOKUP(A70,'הכשרה'!A:G,5,0)+VLOOKUP('תפוקה מצטברת מול אשתקד'!A70,'מגדל'!A:G,5,0)+VLOOKUP('תפוקה מצטברת מול אשתקד'!A70,'מנורה'!A:G,5,0)+VLOOKUP('תפוקה מצטברת מול אשתקד'!A70,'איילון'!A:G,5,0)+VLOOKUP('תפוקה מצטברת מול אשתקד'!A70,'הראל'!A:G,5,0)+VLOOKUP('תפוקה מצטברת מול אשתקד'!A70,'הפניקס'!A:G,5,0)+VLOOKUP('תפוקה מצטברת מול אשתקד'!A70,'כלל'!A:G,5,0)+VLOOKUP('תפוקה מצטברת מול אשתקד'!A70,'מור'!A:G,5,0)+VLOOKUP('תפוקה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אשתקד'!A70,'אינפניטי'!A:G,5,0)</f>
        <v>-294.1634999</v>
      </c>
      <c r="J70" s="120">
        <f>VLOOKUP(A70,'הכשרה'!A:G,6,0)+VLOOKUP('תפוקה מצטברת מול אשתקד'!A70,'מגדל'!A:G,6,0)+VLOOKUP('תפוקה מצטברת מול אשתקד'!A70,'מנורה'!A:G,6,0)+VLOOKUP('תפוקה מצטברת מול אשתקד'!A70,'איילון'!A:G,6,0)+VLOOKUP(A70,'הראל'!A:G,6,0)+VLOOKUP('תפוקה מצטברת מול אשתקד'!A70,'הפניקס'!A:G,6,0)+VLOOKUP('תפוקה מצטברת מול אשתקד'!A70,'כלל'!A:G,6,0)+VLOOKUP('תפוקה מצטברת מול אשתקד'!A70,'מור'!A:G,6,0)+VLOOKUP('תפוקה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אשתקד'!A70,'אינפניטי'!A:G,6,0)</f>
        <v>44968.63</v>
      </c>
      <c r="K70" s="120">
        <f>VLOOKUP(A70,'הכשרה'!A:G,7,0)+VLOOKUP('תפוקה מצטברת מול אשתקד'!A70,'מגדל'!A:G,7,0)+VLOOKUP('תפוקה מצטברת מול אשתקד'!A70,'מנורה'!A:G,7,0)+VLOOKUP('תפוקה מצטברת מול אשתקד'!A70,'איילון'!A:G,7,0)+VLOOKUP('תפוקה מצטברת מול אשתקד'!A70,'הראל'!A:G,7,0)+VLOOKUP('תפוקה מצטברת מול אשתקד'!A70,'הפניקס'!A:G,7,0)+VLOOKUP('תפוקה מצטברת מול אשתקד'!A70,'כלל'!A:G,7,0)+VLOOKUP('תפוקה מצטברת מול אשתקד'!A70,'מור'!A:G,7,0)+VLOOKUP('תפוקה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אשתקד'!A70,'אינפניטי'!A:G,7,0)</f>
        <v>1512770.67</v>
      </c>
      <c r="L70" s="121">
        <f>VLOOKUP(A70,'הכשרה'!A:K,8,0)+VLOOKUP('תפוקה מצטברת מול אשתקד'!A70,'מגדל'!A:K,8,0)+VLOOKUP('תפוקה מצטברת מול אשתקד'!A70,'מנורה'!A:K,8,0)+VLOOKUP('תפוקה מצטברת מול אשתקד'!A70,'איילון'!A:K,8,0)+VLOOKUP('תפוקה מצטברת מול אשתקד'!A70,'הראל'!A:K,8,0)+VLOOKUP('תפוקה מצטברת מול אשתקד'!A70,'הפניקס'!A:K,8,0)+VLOOKUP('תפוקה מצטברת מול אשתקד'!A70,'כלל'!A:K,8,0)+VLOOKUP('תפוקה מצטברת מול אשתקד'!A70,'מור'!A:K,8,0)+VLOOKUP('תפוקה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אשתקד'!A70,'אינפניטי'!A:K,8,0)</f>
        <v>55602.00626</v>
      </c>
      <c r="M70" s="121">
        <f>VLOOKUP(A70,'הכשרה'!A:K,9,0)+VLOOKUP('תפוקה מצטברת מול אשתקד'!A70,'מגדל'!A:K,9,0)+VLOOKUP('תפוקה מצטברת מול אשתקד'!A70,'מנורה'!A:K,9,0)+VLOOKUP('תפוקה מצטברת מול אשתקד'!A70,'איילון'!A:K,9,0)+VLOOKUP('תפוקה מצטברת מול אשתקד'!A70,'הראל'!A:K,9,0)+VLOOKUP('תפוקה מצטברת מול אשתקד'!A70,'הפניקס'!A:K,9,0)+VLOOKUP('תפוקה מצטברת מול אשתקד'!A70,'כלל'!A:K,9,0)+VLOOKUP('תפוקה מצטברת מול אשתקד'!A70,'מור'!A:K,9,0)+VLOOKUP('תפוקה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אשתקד'!A70,'אינפניטי'!A:K,9,0)</f>
        <v>4574.699454</v>
      </c>
      <c r="N70" s="121">
        <f>VLOOKUP(A70,'הכשרה'!A:K,10,0)+VLOOKUP('תפוקה מצטברת מול אשתקד'!A70,'מגדל'!A:K,10,0)+VLOOKUP('תפוקה מצטברת מול אשתקד'!A70,'מנורה'!A:K,10,0)+VLOOKUP('תפוקה מצטברת מול אשתקד'!A70,'איילון'!A:K,10,0)+VLOOKUP('תפוקה מצטברת מול אשתקד'!A70,'הראל'!A:K,10,0)+VLOOKUP('תפוקה מצטברת מול אשתקד'!A70,'הפניקס'!A:K,10,0)+VLOOKUP('תפוקה מצטברת מול אשתקד'!A70,'כלל'!A:K,10,0)+VLOOKUP('תפוקה מצטברת מול אשתקד'!A70,'מור'!A:K,10,0)+VLOOKUP('תפוקה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אשתקד'!A70,'אינפניטי'!A:K,10,0)</f>
        <v>9678.225232</v>
      </c>
      <c r="O70" s="121">
        <f>VLOOKUP(A70,'הכשרה'!A:K,11,0)+VLOOKUP('תפוקה מצטברת מול אשתקד'!A70,'מגדל'!A:K,11,0)+VLOOKUP('תפוקה מצטברת מול אשתקד'!A70,'מנורה'!A:K,11,0)+VLOOKUP('תפוקה מצטברת מול אשתקד'!A70,'איילון'!A:K,11,0)+VLOOKUP('תפוקה מצטברת מול אשתקד'!A70,'הראל'!A:K,11,0)+VLOOKUP('תפוקה מצטברת מול אשתקד'!A70,'הפניקס'!A:K,11,0)+VLOOKUP('תפוקה מצטברת מול אשתקד'!A70,'כלל'!A:K,11,0)+VLOOKUP('תפוקה מצטברת מול אשתקד'!A70,'מור'!A:K,11,0)+VLOOKUP('תפוקה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אשתקד'!A70,'אינפניטי'!A:K,11,0)</f>
        <v>87970.5</v>
      </c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ht="15.75" customHeight="1">
      <c r="A71" s="98" t="s">
        <v>124</v>
      </c>
      <c r="B71" s="98" t="s">
        <v>23</v>
      </c>
      <c r="C71" s="98" t="s">
        <v>121</v>
      </c>
      <c r="D71" s="88">
        <f t="shared" ref="D71:F71" si="83">IF(H71=0,0%,IF(L71=0,100%,H71/L71-1))</f>
        <v>0</v>
      </c>
      <c r="E71" s="88">
        <f t="shared" si="83"/>
        <v>0.5293671344</v>
      </c>
      <c r="F71" s="88">
        <f t="shared" si="83"/>
        <v>0</v>
      </c>
      <c r="G71" s="88">
        <f t="shared" si="77"/>
        <v>0</v>
      </c>
      <c r="H71" s="120">
        <f>VLOOKUP(A71,'הכשרה'!A:G,4,0)+VLOOKUP('תפוקה מצטברת מול אשתקד'!A71,'מגדל'!A:G,4,0)+VLOOKUP('תפוקה מצטברת מול אשתקד'!A71,'מנורה'!A:G,4,0)+VLOOKUP('תפוקה מצטברת מול אשתקד'!A71,'איילון'!A:G,4,0)+VLOOKUP('תפוקה מצטברת מול אשתקד'!A71,'הראל'!A:G,4,0)+VLOOKUP('תפוקה מצטברת מול אשתקד'!A71,'הפניקס'!A:G,4,0)+VLOOKUP('תפוקה מצטברת מול אשתקד'!A71,'כלל'!A:G,4,0)+VLOOKUP('תפוקה מצטברת מול אשתקד'!A71,'מור'!A:G,4,0)+VLOOKUP('תפוקה מצטברת מול אשתקד'!A71,'אלטשולר שחם'!A:G,4,0)+VLOOKUP('תפוקה מצטברת מול אשתקד'!A71,'מדיהו '!A:G,4,0)+VLOOKUP('תפוקה מצטברת מול אשתקד'!A71,'אנליסט '!A:G,4,0)+VLOOKUP('תפוקה מצטברת מול אשתקד'!A71,'מיטב דש'!A:G,4,0)+VLOOKUP('תפוקה מצטברת מול אשתקד'!A71,'אינפניטי'!A:G,4,0)</f>
        <v>0</v>
      </c>
      <c r="I71" s="120">
        <f>VLOOKUP(A71,'הכשרה'!A:G,5,0)+VLOOKUP('תפוקה מצטברת מול אשתקד'!A71,'מגדל'!A:G,5,0)+VLOOKUP('תפוקה מצטברת מול אשתקד'!A71,'מנורה'!A:G,5,0)+VLOOKUP('תפוקה מצטברת מול אשתקד'!A71,'איילון'!A:G,5,0)+VLOOKUP('תפוקה מצטברת מול אשתקד'!A71,'הראל'!A:G,5,0)+VLOOKUP('תפוקה מצטברת מול אשתקד'!A71,'הפניקס'!A:G,5,0)+VLOOKUP('תפוקה מצטברת מול אשתקד'!A71,'כלל'!A:G,5,0)+VLOOKUP('תפוקה מצטברת מול אשתקד'!A71,'מור'!A:G,5,0)+VLOOKUP('תפוקה מצטברת מול אשתקד'!A71,'אלטשולר שחם'!A:G,5,0)+VLOOKUP('תפוקה מצטברת מול אשתקד'!A71,'מדיהו '!A:G,5,0)+VLOOKUP('תפוקה מצטברת מול אשתקד'!A71,'אנליסט '!A:G,5,0)+VLOOKUP('תפוקה מצטברת מול אשתקד'!A71,'מיטב דש'!A:G,5,0)+VLOOKUP('תפוקה מצטברת מול אשתקד'!A71,'אינפניטי'!A:G,5,0)</f>
        <v>75229.854</v>
      </c>
      <c r="J71" s="120">
        <f>VLOOKUP(A71,'הכשרה'!A:G,6,0)+VLOOKUP('תפוקה מצטברת מול אשתקד'!A71,'מגדל'!A:G,6,0)+VLOOKUP('תפוקה מצטברת מול אשתקד'!A71,'מנורה'!A:G,6,0)+VLOOKUP('תפוקה מצטברת מול אשתקד'!A71,'איילון'!A:G,6,0)+VLOOKUP(A71,'הראל'!A:G,6,0)+VLOOKUP('תפוקה מצטברת מול אשתקד'!A71,'הפניקס'!A:G,6,0)+VLOOKUP('תפוקה מצטברת מול אשתקד'!A71,'כלל'!A:G,6,0)+VLOOKUP('תפוקה מצטברת מול אשתקד'!A71,'מור'!A:G,6,0)+VLOOKUP('תפוקה מצטברת מול אשתקד'!A71,'אלטשולר שחם'!A:G,6,0)+VLOOKUP('תפוקה מצטברת מול אשתקד'!A71,'מדיהו '!A:G,6,0)+VLOOKUP('תפוקה מצטברת מול אשתקד'!A71,'אנליסט '!A:G,6,0)+VLOOKUP('תפוקה מצטברת מול אשתקד'!A71,'מיטב דש'!A:G,6,0)+VLOOKUP('תפוקה מצטברת מול אשתקד'!A71,'אינפניטי'!A:G,6,0)</f>
        <v>0</v>
      </c>
      <c r="K71" s="120">
        <f>VLOOKUP(A71,'הכשרה'!A:G,7,0)+VLOOKUP('תפוקה מצטברת מול אשתקד'!A71,'מגדל'!A:G,7,0)+VLOOKUP('תפוקה מצטברת מול אשתקד'!A71,'מנורה'!A:G,7,0)+VLOOKUP('תפוקה מצטברת מול אשתקד'!A71,'איילון'!A:G,7,0)+VLOOKUP('תפוקה מצטברת מול אשתקד'!A71,'הראל'!A:G,7,0)+VLOOKUP('תפוקה מצטברת מול אשתקד'!A71,'הפניקס'!A:G,7,0)+VLOOKUP('תפוקה מצטברת מול אשתקד'!A71,'כלל'!A:G,7,0)+VLOOKUP('תפוקה מצטברת מול אשתקד'!A71,'מור'!A:G,7,0)+VLOOKUP('תפוקה מצטברת מול אשתקד'!A71,'אלטשולר שחם'!A:G,7,0)+VLOOKUP('תפוקה מצטברת מול אשתקד'!A71,'מדיהו '!A:K,7,0)+VLOOKUP(A71,'אנליסט '!A:G,7,0)+VLOOKUP('תפוקה מצטברת מול אשתקד'!A71,'מיטב דש'!A:G,7,0)+VLOOKUP('תפוקה מצטברת מול אשתקד'!A71,'אינפניטי'!A:G,7,0)</f>
        <v>0</v>
      </c>
      <c r="L71" s="121">
        <f>VLOOKUP(A71,'הכשרה'!A:K,8,0)+VLOOKUP('תפוקה מצטברת מול אשתקד'!A71,'מגדל'!A:K,8,0)+VLOOKUP('תפוקה מצטברת מול אשתקד'!A71,'מנורה'!A:K,8,0)+VLOOKUP('תפוקה מצטברת מול אשתקד'!A71,'איילון'!A:K,8,0)+VLOOKUP('תפוקה מצטברת מול אשתקד'!A71,'הראל'!A:K,8,0)+VLOOKUP('תפוקה מצטברת מול אשתקד'!A71,'הפניקס'!A:K,8,0)+VLOOKUP('תפוקה מצטברת מול אשתקד'!A71,'כלל'!A:K,8,0)+VLOOKUP('תפוקה מצטברת מול אשתקד'!A71,'מור'!A:K,8,0)+VLOOKUP('תפוקה מצטברת מול אשתקד'!A71,'אלטשולר שחם'!A:K,8,0)+VLOOKUP('תפוקה מצטברת מול אשתקד'!A71,'מדיהו '!A:K,8,0)+VLOOKUP('תפוקה מצטברת מול אשתקד'!A71,'אנליסט '!A:K,8,0)+VLOOKUP('תפוקה מצטברת מול אשתקד'!A71,'מיטב דש'!A:K,8,0)+VLOOKUP('תפוקה מצטברת מול אשתקד'!A71,'אינפניטי'!A:K,8,0)</f>
        <v>9617.841512</v>
      </c>
      <c r="M71" s="121">
        <f>VLOOKUP(A71,'הכשרה'!A:K,9,0)+VLOOKUP('תפוקה מצטברת מול אשתקד'!A71,'מגדל'!A:K,9,0)+VLOOKUP('תפוקה מצטברת מול אשתקד'!A71,'מנורה'!A:K,9,0)+VLOOKUP('תפוקה מצטברת מול אשתקד'!A71,'איילון'!A:K,9,0)+VLOOKUP('תפוקה מצטברת מול אשתקד'!A71,'הראל'!A:K,9,0)+VLOOKUP('תפוקה מצטברת מול אשתקד'!A71,'הפניקס'!A:K,9,0)+VLOOKUP('תפוקה מצטברת מול אשתקד'!A71,'כלל'!A:K,9,0)+VLOOKUP('תפוקה מצטברת מול אשתקד'!A71,'מור'!A:K,9,0)+VLOOKUP('תפוקה מצטברת מול אשתקד'!A71,'אלטשולר שחם'!A:K,9,0)+VLOOKUP('תפוקה מצטברת מול אשתקד'!A71,'מדיהו '!A:K,9,0)+VLOOKUP('תפוקה מצטברת מול אשתקד'!A71,'אנליסט '!A:K,9,0)+VLOOKUP('תפוקה מצטברת מול אשתקד'!A71,'מיטב דש'!A:K,9,0)+VLOOKUP('תפוקה מצטברת מול אשתקד'!A71,'אינפניטי'!A:K,9,0)</f>
        <v>49190.18613</v>
      </c>
      <c r="N71" s="121">
        <f>VLOOKUP(A71,'הכשרה'!A:K,10,0)+VLOOKUP('תפוקה מצטברת מול אשתקד'!A71,'מגדל'!A:K,10,0)+VLOOKUP('תפוקה מצטברת מול אשתקד'!A71,'מנורה'!A:K,10,0)+VLOOKUP('תפוקה מצטברת מול אשתקד'!A71,'איילון'!A:K,10,0)+VLOOKUP('תפוקה מצטברת מול אשתקד'!A71,'הראל'!A:K,10,0)+VLOOKUP('תפוקה מצטברת מול אשתקד'!A71,'הפניקס'!A:K,10,0)+VLOOKUP('תפוקה מצטברת מול אשתקד'!A71,'כלל'!A:K,10,0)+VLOOKUP('תפוקה מצטברת מול אשתקד'!A71,'מור'!A:K,10,0)+VLOOKUP('תפוקה מצטברת מול אשתקד'!A71,'אלטשולר שחם'!A:K,10,0)+VLOOKUP('תפוקה מצטברת מול אשתקד'!A71,'מדיהו '!A:K,10,0)+VLOOKUP('תפוקה מצטברת מול אשתקד'!A71,'אנליסט '!A:K,10,0)+VLOOKUP('תפוקה מצטברת מול אשתקד'!A71,'מיטב דש'!A:K,10,0)+VLOOKUP('תפוקה מצטברת מול אשתקד'!A71,'אינפניטי'!A:K,10,0)</f>
        <v>0</v>
      </c>
      <c r="O71" s="121">
        <f>VLOOKUP(A71,'הכשרה'!A:K,11,0)+VLOOKUP('תפוקה מצטברת מול אשתקד'!A71,'מגדל'!A:K,11,0)+VLOOKUP('תפוקה מצטברת מול אשתקד'!A71,'מנורה'!A:K,11,0)+VLOOKUP('תפוקה מצטברת מול אשתקד'!A71,'איילון'!A:K,11,0)+VLOOKUP('תפוקה מצטברת מול אשתקד'!A71,'הראל'!A:K,11,0)+VLOOKUP('תפוקה מצטברת מול אשתקד'!A71,'הפניקס'!A:K,11,0)+VLOOKUP('תפוקה מצטברת מול אשתקד'!A71,'כלל'!A:K,11,0)+VLOOKUP('תפוקה מצטברת מול אשתקד'!A71,'מור'!A:K,11,0)+VLOOKUP('תפוקה מצטברת מול אשתקד'!A71,'אלטשולר שחם'!A:K,11,0)+VLOOKUP('תפוקה מצטברת מול אשתקד'!A71,'מדיהו '!A:K,11,0)+VLOOKUP('תפוקה מצטברת מול אשתקד'!A71,'אנליסט '!A:K,11,0)+VLOOKUP('תפוקה מצטברת מול אשתקד'!A71,'מיטב דש'!A:K,11,0)+VLOOKUP('תפוקה מצטברת מול אשתקד'!A71,'אינפניטי'!A:K,11,0)</f>
        <v>90372</v>
      </c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ht="15.75" customHeight="1">
      <c r="A72" s="98" t="s">
        <v>125</v>
      </c>
      <c r="B72" s="98" t="s">
        <v>23</v>
      </c>
      <c r="C72" s="98" t="s">
        <v>121</v>
      </c>
      <c r="D72" s="88">
        <f t="shared" ref="D72:F72" si="84">IF(H72=0,0%,IF(L72=0,100%,H72/L72-1))</f>
        <v>0.3039362487</v>
      </c>
      <c r="E72" s="88">
        <f t="shared" si="84"/>
        <v>0.2881289739</v>
      </c>
      <c r="F72" s="88">
        <f t="shared" si="84"/>
        <v>0.2911456981</v>
      </c>
      <c r="G72" s="88">
        <f t="shared" si="77"/>
        <v>0.2917160366</v>
      </c>
      <c r="H72" s="120">
        <f>VLOOKUP(A72,'הכשרה'!A:G,4,0)+VLOOKUP('תפוקה מצטברת מול אשתקד'!A72,'מגדל'!A:G,4,0)+VLOOKUP('תפוקה מצטברת מול אשתקד'!A72,'מנורה'!A:G,4,0)+VLOOKUP('תפוקה מצטברת מול אשתקד'!A72,'איילון'!A:G,4,0)+VLOOKUP('תפוקה מצטברת מול אשתקד'!A72,'הראל'!A:G,4,0)+VLOOKUP('תפוקה מצטברת מול אשתקד'!A72,'הפניקס'!A:G,4,0)+VLOOKUP('תפוקה מצטברת מול אשתקד'!A72,'כלל'!A:G,4,0)+VLOOKUP('תפוקה מצטברת מול אשתקד'!A72,'מור'!A:G,4,0)+VLOOKUP('תפוקה מצטברת מול אשתקד'!A72,'אלטשולר שחם'!A:G,4,0)+VLOOKUP('תפוקה מצטברת מול אשתקד'!A72,'מדיהו '!A:G,4,0)+VLOOKUP('תפוקה מצטברת מול אשתקד'!A72,'אנליסט '!A:G,4,0)+VLOOKUP('תפוקה מצטברת מול אשתקד'!A72,'מיטב דש'!A:G,4,0)+VLOOKUP('תפוקה מצטברת מול אשתקד'!A72,'אינפניטי'!A:G,4,0)</f>
        <v>578985.7583</v>
      </c>
      <c r="I72" s="120">
        <f>VLOOKUP(A72,'הכשרה'!A:G,5,0)+VLOOKUP('תפוקה מצטברת מול אשתקד'!A72,'מגדל'!A:G,5,0)+VLOOKUP('תפוקה מצטברת מול אשתקד'!A72,'מנורה'!A:G,5,0)+VLOOKUP('תפוקה מצטברת מול אשתקד'!A72,'איילון'!A:G,5,0)+VLOOKUP('תפוקה מצטברת מול אשתקד'!A72,'הראל'!A:G,5,0)+VLOOKUP('תפוקה מצטברת מול אשתקד'!A72,'הפניקס'!A:G,5,0)+VLOOKUP('תפוקה מצטברת מול אשתקד'!A72,'כלל'!A:G,5,0)+VLOOKUP('תפוקה מצטברת מול אשתקד'!A72,'מור'!A:G,5,0)+VLOOKUP('תפוקה מצטברת מול אשתקד'!A72,'אלטשולר שחם'!A:G,5,0)+VLOOKUP('תפוקה מצטברת מול אשתקד'!A72,'מדיהו '!A:G,5,0)+VLOOKUP('תפוקה מצטברת מול אשתקד'!A72,'אנליסט '!A:G,5,0)+VLOOKUP('תפוקה מצטברת מול אשתקד'!A72,'מיטב דש'!A:G,5,0)+VLOOKUP('תפוקה מצטברת מול אשתקד'!A72,'אינפניטי'!A:G,5,0)</f>
        <v>61090.59341</v>
      </c>
      <c r="J72" s="120">
        <f>VLOOKUP(A72,'הכשרה'!A:G,6,0)+VLOOKUP('תפוקה מצטברת מול אשתקד'!A72,'מגדל'!A:G,6,0)+VLOOKUP('תפוקה מצטברת מול אשתקד'!A72,'מנורה'!A:G,6,0)+VLOOKUP('תפוקה מצטברת מול אשתקד'!A72,'איילון'!A:G,6,0)+VLOOKUP(A72,'הראל'!A:G,6,0)+VLOOKUP('תפוקה מצטברת מול אשתקד'!A72,'הפניקס'!A:G,6,0)+VLOOKUP('תפוקה מצטברת מול אשתקד'!A72,'כלל'!A:G,6,0)+VLOOKUP('תפוקה מצטברת מול אשתקד'!A72,'מור'!A:G,6,0)+VLOOKUP('תפוקה מצטברת מול אשתקד'!A72,'אלטשולר שחם'!A:G,6,0)+VLOOKUP('תפוקה מצטברת מול אשתקד'!A72,'מדיהו '!A:G,6,0)+VLOOKUP('תפוקה מצטברת מול אשתקד'!A72,'אנליסט '!A:G,6,0)+VLOOKUP('תפוקה מצטברת מול אשתקד'!A72,'מיטב דש'!A:G,6,0)+VLOOKUP('תפוקה מצטברת מול אשתקד'!A72,'אינפניטי'!A:G,6,0)</f>
        <v>5121489.87</v>
      </c>
      <c r="K72" s="120">
        <f>VLOOKUP(A72,'הכשרה'!A:G,7,0)+VLOOKUP('תפוקה מצטברת מול אשתקד'!A72,'מגדל'!A:G,7,0)+VLOOKUP('תפוקה מצטברת מול אשתקד'!A72,'מנורה'!A:G,7,0)+VLOOKUP('תפוקה מצטברת מול אשתקד'!A72,'איילון'!A:G,7,0)+VLOOKUP('תפוקה מצטברת מול אשתקד'!A72,'הראל'!A:G,7,0)+VLOOKUP('תפוקה מצטברת מול אשתקד'!A72,'הפניקס'!A:G,7,0)+VLOOKUP('תפוקה מצטברת מול אשתקד'!A72,'כלל'!A:G,7,0)+VLOOKUP('תפוקה מצטברת מול אשתקד'!A72,'מור'!A:G,7,0)+VLOOKUP('תפוקה מצטברת מול אשתקד'!A72,'אלטשולר שחם'!A:G,7,0)+VLOOKUP('תפוקה מצטברת מול אשתקד'!A72,'מדיהו '!A:K,7,0)+VLOOKUP(A72,'אנליסט '!A:G,7,0)+VLOOKUP('תפוקה מצטברת מול אשתקד'!A72,'מיטב דש'!A:G,7,0)+VLOOKUP('תפוקה מצטברת מול אשתקד'!A72,'אינפניטי'!A:G,7,0)</f>
        <v>3693094.53</v>
      </c>
      <c r="L72" s="121">
        <f>VLOOKUP(A72,'הכשרה'!A:K,8,0)+VLOOKUP('תפוקה מצטברת מול אשתקד'!A72,'מגדל'!A:K,8,0)+VLOOKUP('תפוקה מצטברת מול אשתקד'!A72,'מנורה'!A:K,8,0)+VLOOKUP('תפוקה מצטברת מול אשתקד'!A72,'איילון'!A:K,8,0)+VLOOKUP('תפוקה מצטברת מול אשתקד'!A72,'הראל'!A:K,8,0)+VLOOKUP('תפוקה מצטברת מול אשתקד'!A72,'הפניקס'!A:K,8,0)+VLOOKUP('תפוקה מצטברת מול אשתקד'!A72,'כלל'!A:K,8,0)+VLOOKUP('תפוקה מצטברת מול אשתקד'!A72,'מור'!A:K,8,0)+VLOOKUP('תפוקה מצטברת מול אשתקד'!A72,'אלטשולר שחם'!A:K,8,0)+VLOOKUP('תפוקה מצטברת מול אשתקד'!A72,'מדיהו '!A:K,8,0)+VLOOKUP('תפוקה מצטברת מול אשתקד'!A72,'אנליסט '!A:K,8,0)+VLOOKUP('תפוקה מצטברת מול אשתקד'!A72,'מיטב דש'!A:K,8,0)+VLOOKUP('תפוקה מצטברת מול אשתקד'!A72,'אינפניטי'!A:K,8,0)</f>
        <v>444029.1915</v>
      </c>
      <c r="M72" s="121">
        <f>VLOOKUP(A72,'הכשרה'!A:K,9,0)+VLOOKUP('תפוקה מצטברת מול אשתקד'!A72,'מגדל'!A:K,9,0)+VLOOKUP('תפוקה מצטברת מול אשתקד'!A72,'מנורה'!A:K,9,0)+VLOOKUP('תפוקה מצטברת מול אשתקד'!A72,'איילון'!A:K,9,0)+VLOOKUP('תפוקה מצטברת מול אשתקד'!A72,'הראל'!A:K,9,0)+VLOOKUP('תפוקה מצטברת מול אשתקד'!A72,'הפניקס'!A:K,9,0)+VLOOKUP('תפוקה מצטברת מול אשתקד'!A72,'כלל'!A:K,9,0)+VLOOKUP('תפוקה מצטברת מול אשתקד'!A72,'מור'!A:K,9,0)+VLOOKUP('תפוקה מצטברת מול אשתקד'!A72,'אלטשולר שחם'!A:K,9,0)+VLOOKUP('תפוקה מצטברת מול אשתקד'!A72,'מדיהו '!A:K,9,0)+VLOOKUP('תפוקה מצטברת מול אשתקד'!A72,'אנליסט '!A:K,9,0)+VLOOKUP('תפוקה מצטברת מול אשתקד'!A72,'מיטב דש'!A:K,9,0)+VLOOKUP('תפוקה מצטברת מול אשתקד'!A72,'אינפניטי'!A:K,9,0)</f>
        <v>47425.83596</v>
      </c>
      <c r="N72" s="121">
        <f>VLOOKUP(A72,'הכשרה'!A:K,10,0)+VLOOKUP('תפוקה מצטברת מול אשתקד'!A72,'מגדל'!A:K,10,0)+VLOOKUP('תפוקה מצטברת מול אשתקד'!A72,'מנורה'!A:K,10,0)+VLOOKUP('תפוקה מצטברת מול אשתקד'!A72,'איילון'!A:K,10,0)+VLOOKUP('תפוקה מצטברת מול אשתקד'!A72,'הראל'!A:K,10,0)+VLOOKUP('תפוקה מצטברת מול אשתקד'!A72,'הפניקס'!A:K,10,0)+VLOOKUP('תפוקה מצטברת מול אשתקד'!A72,'כלל'!A:K,10,0)+VLOOKUP('תפוקה מצטברת מול אשתקד'!A72,'מור'!A:K,10,0)+VLOOKUP('תפוקה מצטברת מול אשתקד'!A72,'אלטשולר שחם'!A:K,10,0)+VLOOKUP('תפוקה מצטברת מול אשתקד'!A72,'מדיהו '!A:K,10,0)+VLOOKUP('תפוקה מצטברת מול אשתקד'!A72,'אנליסט '!A:K,10,0)+VLOOKUP('תפוקה מצטברת מול אשתקד'!A72,'מיטב דש'!A:K,10,0)+VLOOKUP('תפוקה מצטברת מול אשתקד'!A72,'אינפניטי'!A:K,10,0)</f>
        <v>3966624.276</v>
      </c>
      <c r="O72" s="121">
        <f>VLOOKUP(A72,'הכשרה'!A:K,11,0)+VLOOKUP('תפוקה מצטברת מול אשתקד'!A72,'מגדל'!A:K,11,0)+VLOOKUP('תפוקה מצטברת מול אשתקד'!A72,'מנורה'!A:K,11,0)+VLOOKUP('תפוקה מצטברת מול אשתקד'!A72,'איילון'!A:K,11,0)+VLOOKUP('תפוקה מצטברת מול אשתקד'!A72,'הראל'!A:K,11,0)+VLOOKUP('תפוקה מצטברת מול אשתקד'!A72,'הפניקס'!A:K,11,0)+VLOOKUP('תפוקה מצטברת מול אשתקד'!A72,'כלל'!A:K,11,0)+VLOOKUP('תפוקה מצטברת מול אשתקד'!A72,'מור'!A:K,11,0)+VLOOKUP('תפוקה מצטברת מול אשתקד'!A72,'אלטשולר שחם'!A:K,11,0)+VLOOKUP('תפוקה מצטברת מול אשתקד'!A72,'מדיהו '!A:K,11,0)+VLOOKUP('תפוקה מצטברת מול אשתקד'!A72,'אנליסט '!A:K,11,0)+VLOOKUP('תפוקה מצטברת מול אשתקד'!A72,'מיטב דש'!A:K,11,0)+VLOOKUP('תפוקה מצטברת מול אשתקד'!A72,'אינפניטי'!A:K,11,0)</f>
        <v>2859060.68</v>
      </c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ht="15.75" customHeight="1">
      <c r="A73" s="138" t="s">
        <v>126</v>
      </c>
      <c r="B73" s="98" t="s">
        <v>23</v>
      </c>
      <c r="C73" s="98" t="s">
        <v>121</v>
      </c>
      <c r="D73" s="88">
        <f t="shared" ref="D73:F73" si="85">IF(H73=0,0%,IF(L73=0,100%,H73/L73-1))</f>
        <v>0.4553730198</v>
      </c>
      <c r="E73" s="88">
        <f t="shared" si="85"/>
        <v>0.196895113</v>
      </c>
      <c r="F73" s="88">
        <f t="shared" si="85"/>
        <v>0.7014389898</v>
      </c>
      <c r="G73" s="88">
        <f t="shared" si="77"/>
        <v>0.3502773455</v>
      </c>
      <c r="H73" s="120">
        <f>VLOOKUP(A73,'הכשרה'!A:G,4,0)+VLOOKUP('תפוקה מצטברת מול אשתקד'!A73,'מגדל'!A:G,4,0)+VLOOKUP('תפוקה מצטברת מול אשתקד'!A73,'מנורה'!A:G,4,0)+VLOOKUP('תפוקה מצטברת מול אשתקד'!A73,'איילון'!A:G,4,0)+VLOOKUP('תפוקה מצטברת מול אשתקד'!A73,'הראל'!A:G,4,0)+VLOOKUP('תפוקה מצטברת מול אשתקד'!A73,'הפניקס'!A:G,4,0)+VLOOKUP('תפוקה מצטברת מול אשתקד'!A73,'כלל'!A:G,4,0)+VLOOKUP('תפוקה מצטברת מול אשתקד'!A73,'מור'!A:G,4,0)+VLOOKUP('תפוקה מצטברת מול אשתקד'!A73,'אלטשולר שחם'!A:G,4,0)+VLOOKUP('תפוקה מצטברת מול אשתקד'!A73,'מדיהו '!A:G,4,0)+VLOOKUP('תפוקה מצטברת מול אשתקד'!A73,'אנליסט '!A:G,4,0)+VLOOKUP('תפוקה מצטברת מול אשתקד'!A73,'מיטב דש'!A:G,4,0)+VLOOKUP('תפוקה מצטברת מול אשתקד'!A73,'אינפניטי'!A:G,4,0)</f>
        <v>1901458.528</v>
      </c>
      <c r="I73" s="120">
        <f>VLOOKUP(A73,'הכשרה'!A:G,5,0)+VLOOKUP('תפוקה מצטברת מול אשתקד'!A73,'מגדל'!A:G,5,0)+VLOOKUP('תפוקה מצטברת מול אשתקד'!A73,'מנורה'!A:G,5,0)+VLOOKUP('תפוקה מצטברת מול אשתקד'!A73,'איילון'!A:G,5,0)+VLOOKUP('תפוקה מצטברת מול אשתקד'!A73,'הראל'!A:G,5,0)+VLOOKUP('תפוקה מצטברת מול אשתקד'!A73,'הפניקס'!A:G,5,0)+VLOOKUP('תפוקה מצטברת מול אשתקד'!A73,'כלל'!A:G,5,0)+VLOOKUP('תפוקה מצטברת מול אשתקד'!A73,'מור'!A:G,5,0)+VLOOKUP('תפוקה מצטברת מול אשתקד'!A73,'אלטשולר שחם'!A:G,5,0)+VLOOKUP('תפוקה מצטברת מול אשתקד'!A73,'מדיהו '!A:G,5,0)+VLOOKUP('תפוקה מצטברת מול אשתקד'!A73,'אנליסט '!A:G,5,0)+VLOOKUP('תפוקה מצטברת מול אשתקד'!A73,'מיטב דש'!A:G,5,0)+VLOOKUP('תפוקה מצטברת מול אשתקד'!A73,'אינפניטי'!A:G,5,0)</f>
        <v>198421.8171</v>
      </c>
      <c r="J73" s="120">
        <f>VLOOKUP(A73,'הכשרה'!A:G,6,0)+VLOOKUP('תפוקה מצטברת מול אשתקד'!A73,'מגדל'!A:G,6,0)+VLOOKUP('תפוקה מצטברת מול אשתקד'!A73,'מנורה'!A:G,6,0)+VLOOKUP('תפוקה מצטברת מול אשתקד'!A73,'איילון'!A:G,6,0)+VLOOKUP(A73,'הראל'!A:G,6,0)+VLOOKUP('תפוקה מצטברת מול אשתקד'!A73,'הפניקס'!A:G,6,0)+VLOOKUP('תפוקה מצטברת מול אשתקד'!A73,'כלל'!A:G,6,0)+VLOOKUP('תפוקה מצטברת מול אשתקד'!A73,'מור'!A:G,6,0)+VLOOKUP('תפוקה מצטברת מול אשתקד'!A73,'אלטשולר שחם'!A:G,6,0)+VLOOKUP('תפוקה מצטברת מול אשתקד'!A73,'מדיהו '!A:G,6,0)+VLOOKUP('תפוקה מצטברת מול אשתקד'!A73,'אנליסט '!A:G,6,0)+VLOOKUP('תפוקה מצטברת מול אשתקד'!A73,'מיטב דש'!A:G,6,0)+VLOOKUP('תפוקה מצטברת מול אשתקד'!A73,'אינפניטי'!A:G,6,0)</f>
        <v>20001896.01</v>
      </c>
      <c r="K73" s="120">
        <f>VLOOKUP(A73,'הכשרה'!A:G,7,0)+VLOOKUP('תפוקה מצטברת מול אשתקד'!A73,'מגדל'!A:G,7,0)+VLOOKUP('תפוקה מצטברת מול אשתקד'!A73,'מנורה'!A:G,7,0)+VLOOKUP('תפוקה מצטברת מול אשתקד'!A73,'איילון'!A:G,7,0)+VLOOKUP('תפוקה מצטברת מול אשתקד'!A73,'הראל'!A:G,7,0)+VLOOKUP('תפוקה מצטברת מול אשתקד'!A73,'הפניקס'!A:G,7,0)+VLOOKUP('תפוקה מצטברת מול אשתקד'!A73,'כלל'!A:G,7,0)+VLOOKUP('תפוקה מצטברת מול אשתקד'!A73,'מור'!A:G,7,0)+VLOOKUP('תפוקה מצטברת מול אשתקד'!A73,'אלטשולר שחם'!A:G,7,0)+VLOOKUP('תפוקה מצטברת מול אשתקד'!A73,'מדיהו '!A:K,7,0)+VLOOKUP(A73,'אנליסט '!A:G,7,0)+VLOOKUP('תפוקה מצטברת מול אשתקד'!A73,'מיטב דש'!A:G,7,0)+VLOOKUP('תפוקה מצטברת מול אשתקד'!A73,'אינפניטי'!A:G,7,0)</f>
        <v>16797376.1</v>
      </c>
      <c r="L73" s="121">
        <f>VLOOKUP(A73,'הכשרה'!A:K,8,0)+VLOOKUP('תפוקה מצטברת מול אשתקד'!A73,'מגדל'!A:K,8,0)+VLOOKUP('תפוקה מצטברת מול אשתקד'!A73,'מנורה'!A:K,8,0)+VLOOKUP('תפוקה מצטברת מול אשתקד'!A73,'איילון'!A:K,8,0)+VLOOKUP('תפוקה מצטברת מול אשתקד'!A73,'הראל'!A:K,8,0)+VLOOKUP('תפוקה מצטברת מול אשתקד'!A73,'הפניקס'!A:K,8,0)+VLOOKUP('תפוקה מצטברת מול אשתקד'!A73,'כלל'!A:K,8,0)+VLOOKUP('תפוקה מצטברת מול אשתקד'!A73,'מור'!A:K,8,0)+VLOOKUP('תפוקה מצטברת מול אשתקד'!A73,'אלטשולר שחם'!A:K,8,0)+VLOOKUP('תפוקה מצטברת מול אשתקד'!A73,'מדיהו '!A:K,8,0)+VLOOKUP('תפוקה מצטברת מול אשתקד'!A73,'אנליסט '!A:K,8,0)+VLOOKUP('תפוקה מצטברת מול אשתקד'!A73,'מיטב דש'!A:K,8,0)+VLOOKUP('תפוקה מצטברת מול אשתקד'!A73,'אינפניטי'!A:K,8,0)</f>
        <v>1306509.398</v>
      </c>
      <c r="M73" s="121">
        <f>VLOOKUP(A73,'הכשרה'!A:K,9,0)+VLOOKUP('תפוקה מצטברת מול אשתקד'!A73,'מגדל'!A:K,9,0)+VLOOKUP('תפוקה מצטברת מול אשתקד'!A73,'מנורה'!A:K,9,0)+VLOOKUP('תפוקה מצטברת מול אשתקד'!A73,'איילון'!A:K,9,0)+VLOOKUP('תפוקה מצטברת מול אשתקד'!A73,'הראל'!A:K,9,0)+VLOOKUP('תפוקה מצטברת מול אשתקד'!A73,'הפניקס'!A:K,9,0)+VLOOKUP('תפוקה מצטברת מול אשתקד'!A73,'כלל'!A:K,9,0)+VLOOKUP('תפוקה מצטברת מול אשתקד'!A73,'מור'!A:K,9,0)+VLOOKUP('תפוקה מצטברת מול אשתקד'!A73,'אלטשולר שחם'!A:K,9,0)+VLOOKUP('תפוקה מצטברת מול אשתקד'!A73,'מדיהו '!A:K,9,0)+VLOOKUP('תפוקה מצטברת מול אשתקד'!A73,'אנליסט '!A:K,9,0)+VLOOKUP('תפוקה מצטברת מול אשתקד'!A73,'מיטב דש'!A:K,9,0)+VLOOKUP('תפוקה מצטברת מול אשתקד'!A73,'אינפניטי'!A:K,9,0)</f>
        <v>165780.4556</v>
      </c>
      <c r="N73" s="121">
        <f>VLOOKUP(A73,'הכשרה'!A:K,10,0)+VLOOKUP('תפוקה מצטברת מול אשתקד'!A73,'מגדל'!A:K,10,0)+VLOOKUP('תפוקה מצטברת מול אשתקד'!A73,'מנורה'!A:K,10,0)+VLOOKUP('תפוקה מצטברת מול אשתקד'!A73,'איילון'!A:K,10,0)+VLOOKUP('תפוקה מצטברת מול אשתקד'!A73,'הראל'!A:K,10,0)+VLOOKUP('תפוקה מצטברת מול אשתקד'!A73,'הפניקס'!A:K,10,0)+VLOOKUP('תפוקה מצטברת מול אשתקד'!A73,'כלל'!A:K,10,0)+VLOOKUP('תפוקה מצטברת מול אשתקד'!A73,'מור'!A:K,10,0)+VLOOKUP('תפוקה מצטברת מול אשתקד'!A73,'אלטשולר שחם'!A:K,10,0)+VLOOKUP('תפוקה מצטברת מול אשתקד'!A73,'מדיהו '!A:K,10,0)+VLOOKUP('תפוקה מצטברת מול אשתקד'!A73,'אנליסט '!A:K,10,0)+VLOOKUP('תפוקה מצטברת מול אשתקד'!A73,'מיטב דש'!A:K,10,0)+VLOOKUP('תפוקה מצטברת מול אשתקד'!A73,'אינפניטי'!A:K,10,0)</f>
        <v>11755870.26</v>
      </c>
      <c r="O73" s="121">
        <f>VLOOKUP(A73,'הכשרה'!A:K,11,0)+VLOOKUP('תפוקה מצטברת מול אשתקד'!A73,'מגדל'!A:K,11,0)+VLOOKUP('תפוקה מצטברת מול אשתקד'!A73,'מנורה'!A:K,11,0)+VLOOKUP('תפוקה מצטברת מול אשתקד'!A73,'איילון'!A:K,11,0)+VLOOKUP('תפוקה מצטברת מול אשתקד'!A73,'הראל'!A:K,11,0)+VLOOKUP('תפוקה מצטברת מול אשתקד'!A73,'הפניקס'!A:K,11,0)+VLOOKUP('תפוקה מצטברת מול אשתקד'!A73,'כלל'!A:K,11,0)+VLOOKUP('תפוקה מצטברת מול אשתקד'!A73,'מור'!A:K,11,0)+VLOOKUP('תפוקה מצטברת מול אשתקד'!A73,'אלטשולר שחם'!A:K,11,0)+VLOOKUP('תפוקה מצטברת מול אשתקד'!A73,'מדיהו '!A:K,11,0)+VLOOKUP('תפוקה מצטברת מול אשתקד'!A73,'אנליסט '!A:K,11,0)+VLOOKUP('תפוקה מצטברת מול אשתקד'!A73,'מיטב דש'!A:K,11,0)+VLOOKUP('תפוקה מצטברת מול אשתקד'!A73,'אינפניטי'!A:K,11,0)</f>
        <v>12439945.14</v>
      </c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ht="15.75" customHeight="1">
      <c r="A74" s="98" t="s">
        <v>127</v>
      </c>
      <c r="B74" s="98" t="s">
        <v>23</v>
      </c>
      <c r="C74" s="123" t="s">
        <v>121</v>
      </c>
      <c r="D74" s="124">
        <f t="shared" ref="D74:F74" si="86">IF(H74=0,0%,IF(L74=0,100%,H74/L74-1))</f>
        <v>3.639629684</v>
      </c>
      <c r="E74" s="124">
        <f t="shared" si="86"/>
        <v>-0.06380705416</v>
      </c>
      <c r="F74" s="124">
        <f t="shared" si="86"/>
        <v>0</v>
      </c>
      <c r="G74" s="88">
        <f t="shared" si="77"/>
        <v>0</v>
      </c>
      <c r="H74" s="120">
        <f>VLOOKUP(A74,'הכשרה'!A:G,4,0)+VLOOKUP('תפוקה מצטברת מול אשתקד'!A74,'מגדל'!A:G,4,0)+VLOOKUP('תפוקה מצטברת מול אשתקד'!A74,'מנורה'!A:G,4,0)+VLOOKUP('תפוקה מצטברת מול אשתקד'!A74,'איילון'!A:G,4,0)+VLOOKUP('תפוקה מצטברת מול אשתקד'!A74,'הראל'!A:G,4,0)+VLOOKUP('תפוקה מצטברת מול אשתקד'!A74,'הפניקס'!A:G,4,0)+VLOOKUP('תפוקה מצטברת מול אשתקד'!A74,'כלל'!A:G,4,0)+VLOOKUP('תפוקה מצטברת מול אשתקד'!A74,'מור'!A:G,4,0)+VLOOKUP('תפוקה מצטברת מול אשתקד'!A74,'אלטשולר שחם'!A:G,4,0)+VLOOKUP('תפוקה מצטברת מול אשתקד'!A74,'מדיהו '!A:G,4,0)+VLOOKUP('תפוקה מצטברת מול אשתקד'!A74,'אנליסט '!A:G,4,0)+VLOOKUP('תפוקה מצטברת מול אשתקד'!A74,'מיטב דש'!A:G,4,0)+VLOOKUP('תפוקה מצטברת מול אשתקד'!A74,'אינפניטי'!A:G,4,0)</f>
        <v>94091.69</v>
      </c>
      <c r="I74" s="120">
        <f>VLOOKUP(A74,'הכשרה'!A:G,5,0)+VLOOKUP('תפוקה מצטברת מול אשתקד'!A74,'מגדל'!A:G,5,0)+VLOOKUP('תפוקה מצטברת מול אשתקד'!A74,'מנורה'!A:G,5,0)+VLOOKUP('תפוקה מצטברת מול אשתקד'!A74,'איילון'!A:G,5,0)+VLOOKUP('תפוקה מצטברת מול אשתקד'!A74,'הראל'!A:G,5,0)+VLOOKUP('תפוקה מצטברת מול אשתקד'!A74,'הפניקס'!A:G,5,0)+VLOOKUP('תפוקה מצטברת מול אשתקד'!A74,'כלל'!A:G,5,0)+VLOOKUP('תפוקה מצטברת מול אשתקד'!A74,'מור'!A:G,5,0)+VLOOKUP('תפוקה מצטברת מול אשתקד'!A74,'אלטשולר שחם'!A:G,5,0)+VLOOKUP('תפוקה מצטברת מול אשתקד'!A74,'מדיהו '!A:G,5,0)+VLOOKUP('תפוקה מצטברת מול אשתקד'!A74,'אנליסט '!A:G,5,0)+VLOOKUP('תפוקה מצטברת מול אשתקד'!A74,'מיטב דש'!A:G,5,0)+VLOOKUP('תפוקה מצטברת מול אשתקד'!A74,'אינפניטי'!A:G,5,0)</f>
        <v>23157.643</v>
      </c>
      <c r="J74" s="120">
        <f>VLOOKUP(A74,'הכשרה'!A:G,6,0)+VLOOKUP('תפוקה מצטברת מול אשתקד'!A74,'מגדל'!A:G,6,0)+VLOOKUP('תפוקה מצטברת מול אשתקד'!A74,'מנורה'!A:G,6,0)+VLOOKUP('תפוקה מצטברת מול אשתקד'!A74,'איילון'!A:G,6,0)+VLOOKUP(A74,'הראל'!A:G,6,0)+VLOOKUP('תפוקה מצטברת מול אשתקד'!A74,'הפניקס'!A:G,6,0)+VLOOKUP('תפוקה מצטברת מול אשתקד'!A74,'כלל'!A:G,6,0)+VLOOKUP('תפוקה מצטברת מול אשתקד'!A74,'מור'!A:G,6,0)+VLOOKUP('תפוקה מצטברת מול אשתקד'!A74,'אלטשולר שחם'!A:G,6,0)+VLOOKUP('תפוקה מצטברת מול אשתקד'!A74,'מדיהו '!A:G,6,0)+VLOOKUP('תפוקה מצטברת מול אשתקד'!A74,'אנליסט '!A:G,6,0)+VLOOKUP('תפוקה מצטברת מול אשתקד'!A74,'מיטב דש'!A:G,6,0)+VLOOKUP('תפוקה מצטברת מול אשתקד'!A74,'אינפניטי'!A:G,6,0)</f>
        <v>0</v>
      </c>
      <c r="K74" s="120">
        <f>VLOOKUP(A74,'הכשרה'!A:G,7,0)+VLOOKUP('תפוקה מצטברת מול אשתקד'!A74,'מגדל'!A:G,7,0)+VLOOKUP('תפוקה מצטברת מול אשתקד'!A74,'מנורה'!A:G,7,0)+VLOOKUP('תפוקה מצטברת מול אשתקד'!A74,'איילון'!A:G,7,0)+VLOOKUP('תפוקה מצטברת מול אשתקד'!A74,'הראל'!A:G,7,0)+VLOOKUP('תפוקה מצטברת מול אשתקד'!A74,'הפניקס'!A:G,7,0)+VLOOKUP('תפוקה מצטברת מול אשתקד'!A74,'כלל'!A:G,7,0)+VLOOKUP('תפוקה מצטברת מול אשתקד'!A74,'מור'!A:G,7,0)+VLOOKUP('תפוקה מצטברת מול אשתקד'!A74,'אלטשולר שחם'!A:G,7,0)+VLOOKUP('תפוקה מצטברת מול אשתקד'!A74,'מדיהו '!A:K,7,0)+VLOOKUP(A74,'אנליסט '!A:G,7,0)+VLOOKUP('תפוקה מצטברת מול אשתקד'!A74,'מיטב דש'!A:G,7,0)+VLOOKUP('תפוקה מצטברת מול אשתקד'!A74,'אינפניטי'!A:G,7,0)</f>
        <v>0</v>
      </c>
      <c r="L74" s="121">
        <f>VLOOKUP(A74,'הכשרה'!A:K,8,0)+VLOOKUP('תפוקה מצטברת מול אשתקד'!A74,'מגדל'!A:K,8,0)+VLOOKUP('תפוקה מצטברת מול אשתקד'!A74,'מנורה'!A:K,8,0)+VLOOKUP('תפוקה מצטברת מול אשתקד'!A74,'איילון'!A:K,8,0)+VLOOKUP('תפוקה מצטברת מול אשתקד'!A74,'הראל'!A:K,8,0)+VLOOKUP('תפוקה מצטברת מול אשתקד'!A74,'הפניקס'!A:K,8,0)+VLOOKUP('תפוקה מצטברת מול אשתקד'!A74,'כלל'!A:K,8,0)+VLOOKUP('תפוקה מצטברת מול אשתקד'!A74,'מור'!A:K,8,0)+VLOOKUP('תפוקה מצטברת מול אשתקד'!A74,'אלטשולר שחם'!A:K,8,0)+VLOOKUP('תפוקה מצטברת מול אשתקד'!A74,'מדיהו '!A:K,8,0)+VLOOKUP('תפוקה מצטברת מול אשתקד'!A74,'אנליסט '!A:K,8,0)+VLOOKUP('תפוקה מצטברת מול אשתקד'!A74,'מיטב דש'!A:K,8,0)+VLOOKUP('תפוקה מצטברת מול אשתקד'!A74,'אינפניטי'!A:K,8,0)</f>
        <v>20280</v>
      </c>
      <c r="M74" s="121">
        <f>VLOOKUP(A74,'הכשרה'!A:K,9,0)+VLOOKUP('תפוקה מצטברת מול אשתקד'!A74,'מגדל'!A:K,9,0)+VLOOKUP('תפוקה מצטברת מול אשתקד'!A74,'מנורה'!A:K,9,0)+VLOOKUP('תפוקה מצטברת מול אשתקד'!A74,'איילון'!A:K,9,0)+VLOOKUP('תפוקה מצטברת מול אשתקד'!A74,'הראל'!A:K,9,0)+VLOOKUP('תפוקה מצטברת מול אשתקד'!A74,'הפניקס'!A:K,9,0)+VLOOKUP('תפוקה מצטברת מול אשתקד'!A74,'כלל'!A:K,9,0)+VLOOKUP('תפוקה מצטברת מול אשתקד'!A74,'מור'!A:K,9,0)+VLOOKUP('תפוקה מצטברת מול אשתקד'!A74,'אלטשולר שחם'!A:K,9,0)+VLOOKUP('תפוקה מצטברת מול אשתקד'!A74,'מדיהו '!A:K,9,0)+VLOOKUP('תפוקה מצטברת מול אשתקד'!A74,'אנליסט '!A:K,9,0)+VLOOKUP('תפוקה מצטברת מול אשתקד'!A74,'מיטב דש'!A:K,9,0)+VLOOKUP('תפוקה מצטברת מול אשתקד'!A74,'אינפניטי'!A:K,9,0)</f>
        <v>24735.97254</v>
      </c>
      <c r="N74" s="121">
        <f>VLOOKUP(A74,'הכשרה'!A:K,10,0)+VLOOKUP('תפוקה מצטברת מול אשתקד'!A74,'מגדל'!A:K,10,0)+VLOOKUP('תפוקה מצטברת מול אשתקד'!A74,'מנורה'!A:K,10,0)+VLOOKUP('תפוקה מצטברת מול אשתקד'!A74,'איילון'!A:K,10,0)+VLOOKUP('תפוקה מצטברת מול אשתקד'!A74,'הראל'!A:K,10,0)+VLOOKUP('תפוקה מצטברת מול אשתקד'!A74,'הפניקס'!A:K,10,0)+VLOOKUP('תפוקה מצטברת מול אשתקד'!A74,'כלל'!A:K,10,0)+VLOOKUP('תפוקה מצטברת מול אשתקד'!A74,'מור'!A:K,10,0)+VLOOKUP('תפוקה מצטברת מול אשתקד'!A74,'אלטשולר שחם'!A:K,10,0)+VLOOKUP('תפוקה מצטברת מול אשתקד'!A74,'מדיהו '!A:K,10,0)+VLOOKUP('תפוקה מצטברת מול אשתקד'!A74,'אנליסט '!A:K,10,0)+VLOOKUP('תפוקה מצטברת מול אשתקד'!A74,'מיטב דש'!A:K,10,0)+VLOOKUP('תפוקה מצטברת מול אשתקד'!A74,'אינפניטי'!A:K,10,0)</f>
        <v>0</v>
      </c>
      <c r="O74" s="121">
        <f>VLOOKUP(A74,'הכשרה'!A:K,11,0)+VLOOKUP('תפוקה מצטברת מול אשתקד'!A74,'מגדל'!A:K,11,0)+VLOOKUP('תפוקה מצטברת מול אשתקד'!A74,'מנורה'!A:K,11,0)+VLOOKUP('תפוקה מצטברת מול אשתקד'!A74,'איילון'!A:K,11,0)+VLOOKUP('תפוקה מצטברת מול אשתקד'!A74,'הראל'!A:K,11,0)+VLOOKUP('תפוקה מצטברת מול אשתקד'!A74,'הפניקס'!A:K,11,0)+VLOOKUP('תפוקה מצטברת מול אשתקד'!A74,'כלל'!A:K,11,0)+VLOOKUP('תפוקה מצטברת מול אשתקד'!A74,'מור'!A:K,11,0)+VLOOKUP('תפוקה מצטברת מול אשתקד'!A74,'אלטשולר שחם'!A:K,11,0)+VLOOKUP('תפוקה מצטברת מול אשתקד'!A74,'מדיהו '!A:K,11,0)+VLOOKUP('תפוקה מצטברת מול אשתקד'!A74,'אנליסט '!A:K,11,0)+VLOOKUP('תפוקה מצטברת מול אשתקד'!A74,'מיטב דש'!A:K,11,0)+VLOOKUP('תפוקה מצטברת מול אשתקד'!A74,'אינפניטי'!A:K,11,0)</f>
        <v>0</v>
      </c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ht="27.75" customHeight="1">
      <c r="A75" s="126" t="s">
        <v>128</v>
      </c>
      <c r="B75" s="127"/>
      <c r="C75" s="127"/>
      <c r="D75" s="128">
        <f t="shared" ref="D75:F75" si="87">IF(H75=0,0%,IF(L75=0,100%,H75/L75-1))</f>
        <v>0.3471389131</v>
      </c>
      <c r="E75" s="128">
        <f t="shared" si="87"/>
        <v>0.1389952063</v>
      </c>
      <c r="F75" s="128">
        <f t="shared" si="87"/>
        <v>0.395758416</v>
      </c>
      <c r="G75" s="88">
        <f t="shared" si="77"/>
        <v>0.3547519521</v>
      </c>
      <c r="H75" s="129">
        <f t="shared" ref="H75:O75" si="88">SUM(H67:H74)</f>
        <v>4773890.063</v>
      </c>
      <c r="I75" s="129">
        <f t="shared" si="88"/>
        <v>768736.0353</v>
      </c>
      <c r="J75" s="129">
        <f t="shared" si="88"/>
        <v>33678748.37</v>
      </c>
      <c r="K75" s="129">
        <f t="shared" si="88"/>
        <v>34335142.61</v>
      </c>
      <c r="L75" s="129">
        <f t="shared" si="88"/>
        <v>3543725.162</v>
      </c>
      <c r="M75" s="129">
        <f t="shared" si="88"/>
        <v>674924.7328</v>
      </c>
      <c r="N75" s="129">
        <f t="shared" si="88"/>
        <v>24129353.6</v>
      </c>
      <c r="O75" s="129">
        <f t="shared" si="88"/>
        <v>25344228.19</v>
      </c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ht="30.0" customHeight="1">
      <c r="A76" s="126" t="s">
        <v>129</v>
      </c>
      <c r="B76" s="127"/>
      <c r="C76" s="127"/>
      <c r="D76" s="128">
        <f t="shared" ref="D76:F76" si="89">IF(H76=0,0%,IF(L76=0,100%,H76/L76-1))</f>
        <v>0.2037589666</v>
      </c>
      <c r="E76" s="128">
        <f t="shared" si="89"/>
        <v>-0.07303112764</v>
      </c>
      <c r="F76" s="128">
        <f t="shared" si="89"/>
        <v>0.08479807409</v>
      </c>
      <c r="G76" s="88">
        <f t="shared" si="77"/>
        <v>0.01971270572</v>
      </c>
      <c r="H76" s="129">
        <f t="shared" ref="H76:O76" si="90">H75+H66+H56+H22+H8</f>
        <v>22596877.13</v>
      </c>
      <c r="I76" s="129">
        <f t="shared" si="90"/>
        <v>3395928.139</v>
      </c>
      <c r="J76" s="129">
        <f t="shared" si="90"/>
        <v>87944165.47</v>
      </c>
      <c r="K76" s="129">
        <f t="shared" si="90"/>
        <v>105117176.2</v>
      </c>
      <c r="L76" s="129">
        <f t="shared" si="90"/>
        <v>18771928.4</v>
      </c>
      <c r="M76" s="129">
        <f t="shared" si="90"/>
        <v>3663475.916</v>
      </c>
      <c r="N76" s="129">
        <f t="shared" si="90"/>
        <v>81069618</v>
      </c>
      <c r="O76" s="129">
        <f t="shared" si="90"/>
        <v>103085090.2</v>
      </c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ht="15.75" customHeight="1">
      <c r="A77" s="139"/>
      <c r="B77" s="140"/>
      <c r="C77" s="140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ht="15.75" customHeight="1">
      <c r="A78" s="4"/>
      <c r="B78" s="140"/>
      <c r="C78" s="140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ht="15.75" customHeight="1">
      <c r="A79" s="4"/>
      <c r="B79" s="140"/>
      <c r="C79" s="140"/>
      <c r="D79" s="113"/>
      <c r="E79" s="113"/>
      <c r="F79" s="113"/>
      <c r="G79" s="113"/>
      <c r="H79" s="141"/>
      <c r="I79" s="141"/>
      <c r="J79" s="141"/>
      <c r="K79" s="141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ht="15.75" customHeight="1">
      <c r="A80" s="4"/>
      <c r="B80" s="140"/>
      <c r="C80" s="140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ht="15.75" customHeight="1">
      <c r="A81" s="4"/>
      <c r="B81" s="140"/>
      <c r="C81" s="140"/>
      <c r="D81" s="113"/>
      <c r="E81" s="113"/>
      <c r="F81" s="113"/>
      <c r="G81" s="113"/>
      <c r="H81" s="141"/>
      <c r="I81" s="141"/>
      <c r="J81" s="141"/>
      <c r="K81" s="141"/>
      <c r="L81" s="113"/>
      <c r="M81" s="113"/>
      <c r="N81" s="142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ht="15.75" customHeight="1">
      <c r="A82" s="139"/>
      <c r="B82" s="140"/>
      <c r="C82" s="140"/>
      <c r="D82" s="113"/>
      <c r="E82" s="113"/>
      <c r="F82" s="113"/>
      <c r="G82" s="113"/>
      <c r="H82" s="119"/>
      <c r="I82" s="119"/>
      <c r="J82" s="119"/>
      <c r="K82" s="119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ht="15.75" customHeight="1">
      <c r="A83" s="139"/>
      <c r="B83" s="140"/>
      <c r="C83" s="140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ht="15.75" customHeight="1">
      <c r="A84" s="139"/>
      <c r="B84" s="140"/>
      <c r="C84" s="140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ht="15.75" customHeight="1">
      <c r="A85" s="139"/>
      <c r="B85" s="140"/>
      <c r="C85" s="140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ht="15.75" customHeight="1">
      <c r="A86" s="139"/>
      <c r="B86" s="140"/>
      <c r="C86" s="140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ht="15.75" customHeight="1">
      <c r="A87" s="139"/>
      <c r="B87" s="140"/>
      <c r="C87" s="140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ht="15.75" customHeight="1">
      <c r="A88" s="139"/>
      <c r="B88" s="140"/>
      <c r="C88" s="140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ht="15.75" customHeight="1">
      <c r="A89" s="139"/>
      <c r="B89" s="140"/>
      <c r="C89" s="140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ht="15.75" customHeight="1">
      <c r="A90" s="139"/>
      <c r="B90" s="140"/>
      <c r="C90" s="140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ht="15.75" customHeight="1">
      <c r="A91" s="139"/>
      <c r="B91" s="140"/>
      <c r="C91" s="140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ht="15.75" customHeight="1">
      <c r="A92" s="139"/>
      <c r="B92" s="140"/>
      <c r="C92" s="140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ht="15.75" customHeight="1">
      <c r="A93" s="139"/>
      <c r="B93" s="140"/>
      <c r="C93" s="140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ht="15.75" customHeight="1">
      <c r="A94" s="139"/>
      <c r="B94" s="140"/>
      <c r="C94" s="140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ht="15.75" customHeight="1">
      <c r="A95" s="139"/>
      <c r="B95" s="140"/>
      <c r="C95" s="140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ht="15.75" customHeight="1">
      <c r="A96" s="139"/>
      <c r="B96" s="140"/>
      <c r="C96" s="140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ht="15.75" customHeight="1">
      <c r="A97" s="139"/>
      <c r="B97" s="140"/>
      <c r="C97" s="140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ht="15.75" customHeight="1">
      <c r="A98" s="139"/>
      <c r="B98" s="140"/>
      <c r="C98" s="140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ht="15.75" customHeight="1">
      <c r="A99" s="139"/>
      <c r="B99" s="140"/>
      <c r="C99" s="140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ht="15.75" customHeight="1">
      <c r="A100" s="139"/>
      <c r="B100" s="140"/>
      <c r="C100" s="140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ht="15.75" customHeight="1">
      <c r="A101" s="139"/>
      <c r="B101" s="140"/>
      <c r="C101" s="140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ht="15.75" customHeight="1">
      <c r="A102" s="139"/>
      <c r="B102" s="140"/>
      <c r="C102" s="140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ht="15.75" customHeight="1">
      <c r="A103" s="139"/>
      <c r="B103" s="140"/>
      <c r="C103" s="140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ht="15.75" customHeight="1">
      <c r="A104" s="139"/>
      <c r="B104" s="140"/>
      <c r="C104" s="140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ht="15.75" customHeight="1">
      <c r="A105" s="139"/>
      <c r="B105" s="140"/>
      <c r="C105" s="140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ht="15.75" customHeight="1">
      <c r="A106" s="139"/>
      <c r="B106" s="140"/>
      <c r="C106" s="140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ht="15.75" customHeight="1">
      <c r="A107" s="139"/>
      <c r="B107" s="140"/>
      <c r="C107" s="140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ht="15.75" customHeight="1">
      <c r="A108" s="139"/>
      <c r="B108" s="140"/>
      <c r="C108" s="140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ht="15.75" customHeight="1">
      <c r="A109" s="139"/>
      <c r="B109" s="140"/>
      <c r="C109" s="140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ht="15.75" customHeight="1">
      <c r="A110" s="139"/>
      <c r="B110" s="140"/>
      <c r="C110" s="140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ht="15.75" customHeight="1">
      <c r="A111" s="139"/>
      <c r="B111" s="140"/>
      <c r="C111" s="140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ht="15.75" customHeight="1">
      <c r="A112" s="139"/>
      <c r="B112" s="140"/>
      <c r="C112" s="140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ht="15.75" customHeight="1">
      <c r="A113" s="139"/>
      <c r="B113" s="140"/>
      <c r="C113" s="140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ht="15.75" customHeight="1">
      <c r="A114" s="139"/>
      <c r="B114" s="140"/>
      <c r="C114" s="140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ht="15.75" customHeight="1">
      <c r="A115" s="139"/>
      <c r="B115" s="140"/>
      <c r="C115" s="140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ht="15.75" customHeight="1">
      <c r="A116" s="139"/>
      <c r="B116" s="140"/>
      <c r="C116" s="140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ht="15.75" customHeight="1">
      <c r="A117" s="139"/>
      <c r="B117" s="140"/>
      <c r="C117" s="140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ht="15.75" customHeight="1">
      <c r="A118" s="139"/>
      <c r="B118" s="140"/>
      <c r="C118" s="140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ht="15.75" customHeight="1">
      <c r="A119" s="139"/>
      <c r="B119" s="140"/>
      <c r="C119" s="140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ht="15.75" customHeight="1">
      <c r="A120" s="139"/>
      <c r="B120" s="140"/>
      <c r="C120" s="140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ht="15.75" customHeight="1">
      <c r="A121" s="139"/>
      <c r="B121" s="140"/>
      <c r="C121" s="140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ht="15.75" customHeight="1">
      <c r="A122" s="139"/>
      <c r="B122" s="140"/>
      <c r="C122" s="140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ht="15.75" customHeight="1">
      <c r="A123" s="139"/>
      <c r="B123" s="140"/>
      <c r="C123" s="140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ht="15.75" customHeight="1">
      <c r="A124" s="139"/>
      <c r="B124" s="140"/>
      <c r="C124" s="140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ht="15.75" customHeight="1">
      <c r="A125" s="139"/>
      <c r="B125" s="140"/>
      <c r="C125" s="140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ht="15.75" customHeight="1">
      <c r="A126" s="139"/>
      <c r="B126" s="140"/>
      <c r="C126" s="140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ht="15.75" customHeight="1">
      <c r="A127" s="139"/>
      <c r="B127" s="140"/>
      <c r="C127" s="140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ht="15.75" customHeight="1">
      <c r="A128" s="139"/>
      <c r="B128" s="140"/>
      <c r="C128" s="140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ht="15.75" customHeight="1">
      <c r="A129" s="139"/>
      <c r="B129" s="140"/>
      <c r="C129" s="140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ht="15.75" customHeight="1">
      <c r="A130" s="139"/>
      <c r="B130" s="140"/>
      <c r="C130" s="140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ht="15.75" customHeight="1">
      <c r="A131" s="139"/>
      <c r="B131" s="140"/>
      <c r="C131" s="140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ht="15.75" customHeight="1">
      <c r="A132" s="139"/>
      <c r="B132" s="140"/>
      <c r="C132" s="140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ht="15.75" customHeight="1">
      <c r="A133" s="139"/>
      <c r="B133" s="140"/>
      <c r="C133" s="140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ht="15.75" customHeight="1">
      <c r="A134" s="139"/>
      <c r="B134" s="140"/>
      <c r="C134" s="140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ht="15.75" customHeight="1">
      <c r="A135" s="139"/>
      <c r="B135" s="140"/>
      <c r="C135" s="140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ht="15.75" customHeight="1">
      <c r="A136" s="139"/>
      <c r="B136" s="140"/>
      <c r="C136" s="140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ht="15.75" customHeight="1">
      <c r="A137" s="139"/>
      <c r="B137" s="140"/>
      <c r="C137" s="140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ht="15.75" customHeight="1">
      <c r="A138" s="139"/>
      <c r="B138" s="140"/>
      <c r="C138" s="140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ht="15.75" customHeight="1">
      <c r="A139" s="139"/>
      <c r="B139" s="140"/>
      <c r="C139" s="140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ht="15.75" customHeight="1">
      <c r="A140" s="139"/>
      <c r="B140" s="140"/>
      <c r="C140" s="140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ht="15.75" customHeight="1">
      <c r="A141" s="139"/>
      <c r="B141" s="140"/>
      <c r="C141" s="140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ht="15.75" customHeight="1">
      <c r="A142" s="139"/>
      <c r="B142" s="140"/>
      <c r="C142" s="140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ht="15.75" customHeight="1">
      <c r="A143" s="139"/>
      <c r="B143" s="140"/>
      <c r="C143" s="140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ht="15.75" customHeight="1">
      <c r="A144" s="139"/>
      <c r="B144" s="140"/>
      <c r="C144" s="140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ht="15.75" customHeight="1">
      <c r="A145" s="139"/>
      <c r="B145" s="140"/>
      <c r="C145" s="140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ht="15.75" customHeight="1">
      <c r="A146" s="139"/>
      <c r="B146" s="140"/>
      <c r="C146" s="140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ht="15.75" customHeight="1">
      <c r="A147" s="139"/>
      <c r="B147" s="140"/>
      <c r="C147" s="140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ht="15.75" customHeight="1">
      <c r="A148" s="139"/>
      <c r="B148" s="140"/>
      <c r="C148" s="140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ht="15.75" customHeight="1">
      <c r="A149" s="139"/>
      <c r="B149" s="140"/>
      <c r="C149" s="140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ht="15.75" customHeight="1">
      <c r="A150" s="139"/>
      <c r="B150" s="140"/>
      <c r="C150" s="140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ht="15.75" customHeight="1">
      <c r="A151" s="139"/>
      <c r="B151" s="140"/>
      <c r="C151" s="140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ht="15.75" customHeight="1">
      <c r="A152" s="139"/>
      <c r="B152" s="140"/>
      <c r="C152" s="140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ht="15.75" customHeight="1">
      <c r="A153" s="139"/>
      <c r="B153" s="140"/>
      <c r="C153" s="140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ht="15.75" customHeight="1">
      <c r="A154" s="139"/>
      <c r="B154" s="140"/>
      <c r="C154" s="140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ht="15.75" customHeight="1">
      <c r="A155" s="139"/>
      <c r="B155" s="140"/>
      <c r="C155" s="140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ht="15.75" customHeight="1">
      <c r="A156" s="139"/>
      <c r="B156" s="140"/>
      <c r="C156" s="140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ht="15.75" customHeight="1">
      <c r="A157" s="139"/>
      <c r="B157" s="140"/>
      <c r="C157" s="140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ht="15.75" customHeight="1">
      <c r="A158" s="139"/>
      <c r="B158" s="140"/>
      <c r="C158" s="140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ht="15.75" customHeight="1">
      <c r="A159" s="139"/>
      <c r="B159" s="140"/>
      <c r="C159" s="140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ht="15.75" customHeight="1">
      <c r="A160" s="139"/>
      <c r="B160" s="140"/>
      <c r="C160" s="140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ht="15.75" customHeight="1">
      <c r="A161" s="139"/>
      <c r="B161" s="140"/>
      <c r="C161" s="140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ht="15.75" customHeight="1">
      <c r="A162" s="139"/>
      <c r="B162" s="140"/>
      <c r="C162" s="140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ht="15.75" customHeight="1">
      <c r="A163" s="139"/>
      <c r="B163" s="140"/>
      <c r="C163" s="140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ht="15.75" customHeight="1">
      <c r="A164" s="139"/>
      <c r="B164" s="140"/>
      <c r="C164" s="140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ht="15.75" customHeight="1">
      <c r="A165" s="139"/>
      <c r="B165" s="140"/>
      <c r="C165" s="140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ht="15.75" customHeight="1">
      <c r="A166" s="139"/>
      <c r="B166" s="140"/>
      <c r="C166" s="140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ht="15.75" customHeight="1">
      <c r="A167" s="139"/>
      <c r="B167" s="140"/>
      <c r="C167" s="140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ht="15.75" customHeight="1">
      <c r="A168" s="139"/>
      <c r="B168" s="140"/>
      <c r="C168" s="140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ht="15.75" customHeight="1">
      <c r="A169" s="139"/>
      <c r="B169" s="140"/>
      <c r="C169" s="140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ht="15.75" customHeight="1">
      <c r="A170" s="139"/>
      <c r="B170" s="140"/>
      <c r="C170" s="140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ht="15.75" customHeight="1">
      <c r="A171" s="139"/>
      <c r="B171" s="140"/>
      <c r="C171" s="140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ht="15.75" customHeight="1">
      <c r="A172" s="139"/>
      <c r="B172" s="140"/>
      <c r="C172" s="140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ht="15.75" customHeight="1">
      <c r="A173" s="139"/>
      <c r="B173" s="140"/>
      <c r="C173" s="140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ht="15.75" customHeight="1">
      <c r="A174" s="139"/>
      <c r="B174" s="140"/>
      <c r="C174" s="140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ht="15.75" customHeight="1">
      <c r="A175" s="139"/>
      <c r="B175" s="140"/>
      <c r="C175" s="140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ht="15.75" customHeight="1">
      <c r="A176" s="139"/>
      <c r="B176" s="140"/>
      <c r="C176" s="140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ht="15.75" customHeight="1">
      <c r="A177" s="139"/>
      <c r="B177" s="140"/>
      <c r="C177" s="140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ht="15.75" customHeight="1">
      <c r="A178" s="139"/>
      <c r="B178" s="140"/>
      <c r="C178" s="140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ht="15.75" customHeight="1">
      <c r="A179" s="139"/>
      <c r="B179" s="140"/>
      <c r="C179" s="140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ht="15.75" customHeight="1">
      <c r="A180" s="139"/>
      <c r="B180" s="140"/>
      <c r="C180" s="140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ht="15.75" customHeight="1">
      <c r="A181" s="139"/>
      <c r="B181" s="140"/>
      <c r="C181" s="140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ht="15.75" customHeight="1">
      <c r="A182" s="139"/>
      <c r="B182" s="140"/>
      <c r="C182" s="140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ht="15.75" customHeight="1">
      <c r="A183" s="139"/>
      <c r="B183" s="140"/>
      <c r="C183" s="140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ht="15.75" customHeight="1">
      <c r="A184" s="139"/>
      <c r="B184" s="140"/>
      <c r="C184" s="140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ht="15.75" customHeight="1">
      <c r="A185" s="139"/>
      <c r="B185" s="140"/>
      <c r="C185" s="140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ht="15.75" customHeight="1">
      <c r="A186" s="139"/>
      <c r="B186" s="140"/>
      <c r="C186" s="140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ht="15.75" customHeight="1">
      <c r="A187" s="139"/>
      <c r="B187" s="140"/>
      <c r="C187" s="140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ht="15.75" customHeight="1">
      <c r="A188" s="139"/>
      <c r="B188" s="140"/>
      <c r="C188" s="140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ht="15.75" customHeight="1">
      <c r="A189" s="139"/>
      <c r="B189" s="140"/>
      <c r="C189" s="140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ht="15.75" customHeight="1">
      <c r="A190" s="139"/>
      <c r="B190" s="140"/>
      <c r="C190" s="140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ht="15.75" customHeight="1">
      <c r="A191" s="139"/>
      <c r="B191" s="140"/>
      <c r="C191" s="140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ht="15.75" customHeight="1">
      <c r="A192" s="139"/>
      <c r="B192" s="140"/>
      <c r="C192" s="140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ht="15.75" customHeight="1">
      <c r="A193" s="139"/>
      <c r="B193" s="140"/>
      <c r="C193" s="140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ht="15.75" customHeight="1">
      <c r="A194" s="139"/>
      <c r="B194" s="140"/>
      <c r="C194" s="140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ht="15.75" customHeight="1">
      <c r="A195" s="139"/>
      <c r="B195" s="140"/>
      <c r="C195" s="140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ht="15.75" customHeight="1">
      <c r="A196" s="139"/>
      <c r="B196" s="140"/>
      <c r="C196" s="140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ht="15.75" customHeight="1">
      <c r="A197" s="139"/>
      <c r="B197" s="140"/>
      <c r="C197" s="140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ht="15.75" customHeight="1">
      <c r="A198" s="139"/>
      <c r="B198" s="140"/>
      <c r="C198" s="140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ht="15.75" customHeight="1">
      <c r="A199" s="139"/>
      <c r="B199" s="140"/>
      <c r="C199" s="140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ht="15.75" customHeight="1">
      <c r="A200" s="139"/>
      <c r="B200" s="140"/>
      <c r="C200" s="140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ht="15.75" customHeight="1">
      <c r="A201" s="139"/>
      <c r="B201" s="140"/>
      <c r="C201" s="140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ht="15.75" customHeight="1">
      <c r="A202" s="139"/>
      <c r="B202" s="140"/>
      <c r="C202" s="140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ht="15.75" customHeight="1">
      <c r="A203" s="139"/>
      <c r="B203" s="140"/>
      <c r="C203" s="140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ht="15.75" customHeight="1">
      <c r="A204" s="139"/>
      <c r="B204" s="140"/>
      <c r="C204" s="140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ht="15.75" customHeight="1">
      <c r="A205" s="139"/>
      <c r="B205" s="140"/>
      <c r="C205" s="140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ht="15.75" customHeight="1">
      <c r="A206" s="139"/>
      <c r="B206" s="140"/>
      <c r="C206" s="140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ht="15.75" customHeight="1">
      <c r="A207" s="139"/>
      <c r="B207" s="140"/>
      <c r="C207" s="140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ht="15.75" customHeight="1">
      <c r="A208" s="139"/>
      <c r="B208" s="140"/>
      <c r="C208" s="140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ht="15.75" customHeight="1">
      <c r="A209" s="139"/>
      <c r="B209" s="140"/>
      <c r="C209" s="140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ht="15.75" customHeight="1">
      <c r="A210" s="139"/>
      <c r="B210" s="140"/>
      <c r="C210" s="140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ht="15.75" customHeight="1">
      <c r="A211" s="139"/>
      <c r="B211" s="140"/>
      <c r="C211" s="140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ht="15.75" customHeight="1">
      <c r="A212" s="139"/>
      <c r="B212" s="140"/>
      <c r="C212" s="140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ht="15.75" customHeight="1">
      <c r="A213" s="139"/>
      <c r="B213" s="140"/>
      <c r="C213" s="140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ht="15.75" customHeight="1">
      <c r="A214" s="139"/>
      <c r="B214" s="140"/>
      <c r="C214" s="140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ht="15.75" customHeight="1">
      <c r="A215" s="139"/>
      <c r="B215" s="140"/>
      <c r="C215" s="140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ht="15.75" customHeight="1">
      <c r="A216" s="139"/>
      <c r="B216" s="140"/>
      <c r="C216" s="140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ht="15.75" customHeight="1">
      <c r="A217" s="139"/>
      <c r="B217" s="140"/>
      <c r="C217" s="140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ht="15.75" customHeight="1">
      <c r="A218" s="139"/>
      <c r="B218" s="140"/>
      <c r="C218" s="140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ht="15.75" customHeight="1">
      <c r="A219" s="139"/>
      <c r="B219" s="140"/>
      <c r="C219" s="140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ht="15.75" customHeight="1">
      <c r="A220" s="139"/>
      <c r="B220" s="140"/>
      <c r="C220" s="140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ht="15.75" customHeight="1">
      <c r="A221" s="139"/>
      <c r="B221" s="140"/>
      <c r="C221" s="140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ht="15.75" customHeight="1">
      <c r="A222" s="139"/>
      <c r="B222" s="140"/>
      <c r="C222" s="140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ht="15.75" customHeight="1">
      <c r="A223" s="139"/>
      <c r="B223" s="140"/>
      <c r="C223" s="140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ht="15.75" customHeight="1">
      <c r="A224" s="139"/>
      <c r="B224" s="140"/>
      <c r="C224" s="140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ht="15.75" customHeight="1">
      <c r="A225" s="139"/>
      <c r="B225" s="140"/>
      <c r="C225" s="140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ht="15.75" customHeight="1">
      <c r="A226" s="139"/>
      <c r="B226" s="140"/>
      <c r="C226" s="140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ht="15.75" customHeight="1">
      <c r="A227" s="139"/>
      <c r="B227" s="140"/>
      <c r="C227" s="140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ht="15.75" customHeight="1">
      <c r="A228" s="139"/>
      <c r="B228" s="140"/>
      <c r="C228" s="140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ht="15.75" customHeight="1">
      <c r="A229" s="139"/>
      <c r="B229" s="140"/>
      <c r="C229" s="140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ht="15.75" customHeight="1">
      <c r="A230" s="139"/>
      <c r="B230" s="140"/>
      <c r="C230" s="140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ht="15.75" customHeight="1">
      <c r="A231" s="139"/>
      <c r="B231" s="140"/>
      <c r="C231" s="140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ht="15.75" customHeight="1">
      <c r="A232" s="139"/>
      <c r="B232" s="140"/>
      <c r="C232" s="140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ht="15.75" customHeight="1">
      <c r="A233" s="139"/>
      <c r="B233" s="140"/>
      <c r="C233" s="140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ht="15.75" customHeight="1">
      <c r="A234" s="139"/>
      <c r="B234" s="140"/>
      <c r="C234" s="140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ht="15.75" customHeight="1">
      <c r="A235" s="139"/>
      <c r="B235" s="140"/>
      <c r="C235" s="140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ht="15.75" customHeight="1">
      <c r="A236" s="139"/>
      <c r="B236" s="140"/>
      <c r="C236" s="140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ht="15.75" customHeight="1">
      <c r="A237" s="139"/>
      <c r="B237" s="140"/>
      <c r="C237" s="140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ht="15.75" customHeight="1">
      <c r="A238" s="139"/>
      <c r="B238" s="140"/>
      <c r="C238" s="140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ht="15.75" customHeight="1">
      <c r="A239" s="139"/>
      <c r="B239" s="140"/>
      <c r="C239" s="140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ht="15.75" customHeight="1">
      <c r="A240" s="139"/>
      <c r="B240" s="140"/>
      <c r="C240" s="140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ht="15.75" customHeight="1">
      <c r="A241" s="139"/>
      <c r="B241" s="140"/>
      <c r="C241" s="140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ht="15.75" customHeight="1">
      <c r="A242" s="139"/>
      <c r="B242" s="140"/>
      <c r="C242" s="140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ht="15.75" customHeight="1">
      <c r="A243" s="139"/>
      <c r="B243" s="140"/>
      <c r="C243" s="140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ht="15.75" customHeight="1">
      <c r="A244" s="139"/>
      <c r="B244" s="140"/>
      <c r="C244" s="140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ht="15.75" customHeight="1">
      <c r="A245" s="139"/>
      <c r="B245" s="140"/>
      <c r="C245" s="140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ht="15.75" customHeight="1">
      <c r="A246" s="139"/>
      <c r="B246" s="140"/>
      <c r="C246" s="140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ht="15.75" customHeight="1">
      <c r="A247" s="139"/>
      <c r="B247" s="140"/>
      <c r="C247" s="140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ht="15.75" customHeight="1">
      <c r="A248" s="139"/>
      <c r="B248" s="140"/>
      <c r="C248" s="140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ht="15.75" customHeight="1">
      <c r="A249" s="139"/>
      <c r="B249" s="140"/>
      <c r="C249" s="140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ht="15.75" customHeight="1">
      <c r="A250" s="139"/>
      <c r="B250" s="140"/>
      <c r="C250" s="140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ht="15.75" customHeight="1">
      <c r="A251" s="139"/>
      <c r="B251" s="140"/>
      <c r="C251" s="140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ht="15.75" customHeight="1">
      <c r="A252" s="139"/>
      <c r="B252" s="140"/>
      <c r="C252" s="140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ht="15.75" customHeight="1">
      <c r="A253" s="139"/>
      <c r="B253" s="140"/>
      <c r="C253" s="140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ht="15.75" customHeight="1">
      <c r="A254" s="139"/>
      <c r="B254" s="140"/>
      <c r="C254" s="140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ht="15.75" customHeight="1">
      <c r="A255" s="139"/>
      <c r="B255" s="140"/>
      <c r="C255" s="140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ht="15.75" customHeight="1">
      <c r="A256" s="139"/>
      <c r="B256" s="140"/>
      <c r="C256" s="140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ht="15.75" customHeight="1">
      <c r="A257" s="139"/>
      <c r="B257" s="140"/>
      <c r="C257" s="140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ht="15.75" customHeight="1">
      <c r="A258" s="139"/>
      <c r="B258" s="140"/>
      <c r="C258" s="140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ht="15.75" customHeight="1">
      <c r="A259" s="139"/>
      <c r="B259" s="140"/>
      <c r="C259" s="140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ht="15.75" customHeight="1">
      <c r="A260" s="139"/>
      <c r="B260" s="140"/>
      <c r="C260" s="140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ht="15.75" customHeight="1">
      <c r="A261" s="139"/>
      <c r="B261" s="140"/>
      <c r="C261" s="140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ht="15.75" customHeight="1">
      <c r="A262" s="139"/>
      <c r="B262" s="140"/>
      <c r="C262" s="140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ht="15.75" customHeight="1">
      <c r="A263" s="139"/>
      <c r="B263" s="140"/>
      <c r="C263" s="140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ht="15.75" customHeight="1">
      <c r="A264" s="139"/>
      <c r="B264" s="140"/>
      <c r="C264" s="140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ht="15.75" customHeight="1">
      <c r="A265" s="139"/>
      <c r="B265" s="140"/>
      <c r="C265" s="140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ht="15.75" customHeight="1">
      <c r="A266" s="139"/>
      <c r="B266" s="140"/>
      <c r="C266" s="140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ht="15.75" customHeight="1">
      <c r="A267" s="139"/>
      <c r="B267" s="140"/>
      <c r="C267" s="140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ht="15.75" customHeight="1">
      <c r="A268" s="139"/>
      <c r="B268" s="140"/>
      <c r="C268" s="140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ht="15.75" customHeight="1">
      <c r="A269" s="139"/>
      <c r="B269" s="140"/>
      <c r="C269" s="140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ht="15.75" customHeight="1">
      <c r="A270" s="139"/>
      <c r="B270" s="140"/>
      <c r="C270" s="140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ht="15.75" customHeight="1">
      <c r="A271" s="139"/>
      <c r="B271" s="140"/>
      <c r="C271" s="140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ht="15.75" customHeight="1">
      <c r="A272" s="139"/>
      <c r="B272" s="140"/>
      <c r="C272" s="140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ht="15.75" customHeight="1">
      <c r="A273" s="139"/>
      <c r="B273" s="140"/>
      <c r="C273" s="140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ht="15.75" customHeight="1">
      <c r="A274" s="139"/>
      <c r="B274" s="140"/>
      <c r="C274" s="140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ht="15.75" customHeight="1">
      <c r="A275" s="139"/>
      <c r="B275" s="140"/>
      <c r="C275" s="140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ht="15.75" customHeight="1">
      <c r="A276" s="139"/>
      <c r="B276" s="140"/>
      <c r="C276" s="140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ht="15.75" customHeight="1">
      <c r="A277" s="139"/>
      <c r="B277" s="140"/>
      <c r="C277" s="140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ht="15.75" customHeight="1">
      <c r="A278" s="139"/>
      <c r="B278" s="140"/>
      <c r="C278" s="140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ht="15.75" customHeight="1">
      <c r="A279" s="139"/>
      <c r="B279" s="140"/>
      <c r="C279" s="140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ht="15.75" customHeight="1">
      <c r="A280" s="139"/>
      <c r="B280" s="140"/>
      <c r="C280" s="140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ht="15.75" customHeight="1">
      <c r="A281" s="139"/>
      <c r="B281" s="140"/>
      <c r="C281" s="140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ht="15.75" customHeight="1">
      <c r="A282" s="139"/>
      <c r="B282" s="140"/>
      <c r="C282" s="140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ht="15.75" customHeight="1">
      <c r="A283" s="139"/>
      <c r="B283" s="140"/>
      <c r="C283" s="140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ht="15.75" customHeight="1">
      <c r="A284" s="139"/>
      <c r="B284" s="140"/>
      <c r="C284" s="140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ht="15.75" customHeight="1">
      <c r="A285" s="139"/>
      <c r="B285" s="140"/>
      <c r="C285" s="140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ht="15.75" customHeight="1">
      <c r="A286" s="139"/>
      <c r="B286" s="140"/>
      <c r="C286" s="140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ht="15.75" customHeight="1">
      <c r="A287" s="139"/>
      <c r="B287" s="140"/>
      <c r="C287" s="140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ht="15.75" customHeight="1">
      <c r="A288" s="139"/>
      <c r="B288" s="140"/>
      <c r="C288" s="140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ht="15.75" customHeight="1">
      <c r="A289" s="139"/>
      <c r="B289" s="140"/>
      <c r="C289" s="140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ht="15.75" customHeight="1">
      <c r="A290" s="139"/>
      <c r="B290" s="140"/>
      <c r="C290" s="140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ht="15.75" customHeight="1">
      <c r="A291" s="139"/>
      <c r="B291" s="140"/>
      <c r="C291" s="140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ht="15.75" customHeight="1">
      <c r="A292" s="139"/>
      <c r="B292" s="140"/>
      <c r="C292" s="140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ht="15.75" customHeight="1">
      <c r="A293" s="139"/>
      <c r="B293" s="140"/>
      <c r="C293" s="140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ht="15.75" customHeight="1">
      <c r="A294" s="139"/>
      <c r="B294" s="140"/>
      <c r="C294" s="140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ht="15.75" customHeight="1">
      <c r="A295" s="139"/>
      <c r="B295" s="140"/>
      <c r="C295" s="140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ht="15.75" customHeight="1">
      <c r="A296" s="139"/>
      <c r="B296" s="140"/>
      <c r="C296" s="140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ht="15.75" customHeight="1">
      <c r="A297" s="139"/>
      <c r="B297" s="140"/>
      <c r="C297" s="140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ht="15.75" customHeight="1">
      <c r="A298" s="139"/>
      <c r="B298" s="140"/>
      <c r="C298" s="140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ht="15.75" customHeight="1">
      <c r="A299" s="139"/>
      <c r="B299" s="140"/>
      <c r="C299" s="140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ht="15.75" customHeight="1">
      <c r="A300" s="139"/>
      <c r="B300" s="140"/>
      <c r="C300" s="140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ht="15.75" customHeight="1">
      <c r="A301" s="139"/>
      <c r="B301" s="140"/>
      <c r="C301" s="140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ht="15.75" customHeight="1">
      <c r="A302" s="139"/>
      <c r="B302" s="140"/>
      <c r="C302" s="140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ht="15.75" customHeight="1">
      <c r="A303" s="139"/>
      <c r="B303" s="140"/>
      <c r="C303" s="140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ht="15.75" customHeight="1">
      <c r="A304" s="139"/>
      <c r="B304" s="140"/>
      <c r="C304" s="140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ht="15.75" customHeight="1">
      <c r="A305" s="139"/>
      <c r="B305" s="140"/>
      <c r="C305" s="140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ht="15.75" customHeight="1">
      <c r="A306" s="139"/>
      <c r="B306" s="140"/>
      <c r="C306" s="140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ht="15.75" customHeight="1">
      <c r="A307" s="139"/>
      <c r="B307" s="140"/>
      <c r="C307" s="140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ht="15.75" customHeight="1">
      <c r="A308" s="139"/>
      <c r="B308" s="140"/>
      <c r="C308" s="140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ht="15.75" customHeight="1">
      <c r="A309" s="139"/>
      <c r="B309" s="140"/>
      <c r="C309" s="140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ht="15.75" customHeight="1">
      <c r="A310" s="139"/>
      <c r="B310" s="140"/>
      <c r="C310" s="140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ht="15.75" customHeight="1">
      <c r="A311" s="139"/>
      <c r="B311" s="140"/>
      <c r="C311" s="140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ht="15.75" customHeight="1">
      <c r="A312" s="139"/>
      <c r="B312" s="140"/>
      <c r="C312" s="140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ht="15.75" customHeight="1">
      <c r="A313" s="139"/>
      <c r="B313" s="140"/>
      <c r="C313" s="140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ht="15.75" customHeight="1">
      <c r="A314" s="139"/>
      <c r="B314" s="140"/>
      <c r="C314" s="140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ht="15.75" customHeight="1">
      <c r="A315" s="139"/>
      <c r="B315" s="140"/>
      <c r="C315" s="140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ht="15.75" customHeight="1">
      <c r="A316" s="139"/>
      <c r="B316" s="140"/>
      <c r="C316" s="140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ht="15.75" customHeight="1">
      <c r="A317" s="139"/>
      <c r="B317" s="140"/>
      <c r="C317" s="140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ht="15.75" customHeight="1">
      <c r="A318" s="139"/>
      <c r="B318" s="140"/>
      <c r="C318" s="140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ht="15.75" customHeight="1">
      <c r="A319" s="139"/>
      <c r="B319" s="140"/>
      <c r="C319" s="140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ht="15.75" customHeight="1">
      <c r="A320" s="139"/>
      <c r="B320" s="140"/>
      <c r="C320" s="140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ht="15.75" customHeight="1">
      <c r="A321" s="139"/>
      <c r="B321" s="140"/>
      <c r="C321" s="140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ht="15.75" customHeight="1">
      <c r="A322" s="139"/>
      <c r="B322" s="140"/>
      <c r="C322" s="140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ht="15.75" customHeight="1">
      <c r="A323" s="139"/>
      <c r="B323" s="140"/>
      <c r="C323" s="140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ht="15.75" customHeight="1">
      <c r="A324" s="139"/>
      <c r="B324" s="140"/>
      <c r="C324" s="140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ht="15.75" customHeight="1">
      <c r="A325" s="139"/>
      <c r="B325" s="140"/>
      <c r="C325" s="140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ht="15.75" customHeight="1">
      <c r="A326" s="139"/>
      <c r="B326" s="140"/>
      <c r="C326" s="140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ht="15.75" customHeight="1">
      <c r="A327" s="139"/>
      <c r="B327" s="140"/>
      <c r="C327" s="140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ht="15.75" customHeight="1">
      <c r="A328" s="139"/>
      <c r="B328" s="140"/>
      <c r="C328" s="140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ht="15.75" customHeight="1">
      <c r="A329" s="139"/>
      <c r="B329" s="140"/>
      <c r="C329" s="140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ht="15.75" customHeight="1">
      <c r="A330" s="139"/>
      <c r="B330" s="140"/>
      <c r="C330" s="140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ht="15.75" customHeight="1">
      <c r="A331" s="139"/>
      <c r="B331" s="140"/>
      <c r="C331" s="140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ht="15.75" customHeight="1">
      <c r="A332" s="139"/>
      <c r="B332" s="140"/>
      <c r="C332" s="140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ht="15.75" customHeight="1">
      <c r="A333" s="139"/>
      <c r="B333" s="140"/>
      <c r="C333" s="140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ht="15.75" customHeight="1">
      <c r="A334" s="139"/>
      <c r="B334" s="140"/>
      <c r="C334" s="140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ht="15.75" customHeight="1">
      <c r="A335" s="139"/>
      <c r="B335" s="140"/>
      <c r="C335" s="140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ht="15.75" customHeight="1">
      <c r="A336" s="139"/>
      <c r="B336" s="140"/>
      <c r="C336" s="140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ht="15.75" customHeight="1">
      <c r="A337" s="139"/>
      <c r="B337" s="140"/>
      <c r="C337" s="140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ht="15.75" customHeight="1">
      <c r="A338" s="139"/>
      <c r="B338" s="140"/>
      <c r="C338" s="140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ht="15.75" customHeight="1">
      <c r="A339" s="139"/>
      <c r="B339" s="140"/>
      <c r="C339" s="140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ht="15.75" customHeight="1">
      <c r="A340" s="139"/>
      <c r="B340" s="140"/>
      <c r="C340" s="140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ht="15.75" customHeight="1">
      <c r="A341" s="139"/>
      <c r="B341" s="140"/>
      <c r="C341" s="140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ht="15.75" customHeight="1">
      <c r="A342" s="139"/>
      <c r="B342" s="140"/>
      <c r="C342" s="140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ht="15.75" customHeight="1">
      <c r="A343" s="139"/>
      <c r="B343" s="140"/>
      <c r="C343" s="140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ht="15.75" customHeight="1">
      <c r="A344" s="139"/>
      <c r="B344" s="140"/>
      <c r="C344" s="140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ht="15.75" customHeight="1">
      <c r="A345" s="139"/>
      <c r="B345" s="140"/>
      <c r="C345" s="140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ht="15.75" customHeight="1">
      <c r="A346" s="139"/>
      <c r="B346" s="140"/>
      <c r="C346" s="140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ht="15.75" customHeight="1">
      <c r="A347" s="139"/>
      <c r="B347" s="140"/>
      <c r="C347" s="140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ht="15.75" customHeight="1">
      <c r="A348" s="139"/>
      <c r="B348" s="140"/>
      <c r="C348" s="140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ht="15.75" customHeight="1">
      <c r="A349" s="139"/>
      <c r="B349" s="140"/>
      <c r="C349" s="140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ht="15.75" customHeight="1">
      <c r="A350" s="139"/>
      <c r="B350" s="140"/>
      <c r="C350" s="140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ht="15.75" customHeight="1">
      <c r="A351" s="139"/>
      <c r="B351" s="140"/>
      <c r="C351" s="140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ht="15.75" customHeight="1">
      <c r="A352" s="139"/>
      <c r="B352" s="140"/>
      <c r="C352" s="140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ht="15.75" customHeight="1">
      <c r="A353" s="139"/>
      <c r="B353" s="140"/>
      <c r="C353" s="140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ht="15.75" customHeight="1">
      <c r="A354" s="139"/>
      <c r="B354" s="140"/>
      <c r="C354" s="140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ht="15.75" customHeight="1">
      <c r="A355" s="139"/>
      <c r="B355" s="140"/>
      <c r="C355" s="140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ht="15.75" customHeight="1">
      <c r="A356" s="139"/>
      <c r="B356" s="140"/>
      <c r="C356" s="140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ht="15.75" customHeight="1">
      <c r="A357" s="139"/>
      <c r="B357" s="140"/>
      <c r="C357" s="140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ht="15.75" customHeight="1">
      <c r="A358" s="139"/>
      <c r="B358" s="140"/>
      <c r="C358" s="140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ht="15.75" customHeight="1">
      <c r="A359" s="139"/>
      <c r="B359" s="140"/>
      <c r="C359" s="140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ht="15.75" customHeight="1">
      <c r="A360" s="139"/>
      <c r="B360" s="140"/>
      <c r="C360" s="140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ht="15.75" customHeight="1">
      <c r="A361" s="139"/>
      <c r="B361" s="140"/>
      <c r="C361" s="140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ht="15.75" customHeight="1">
      <c r="A362" s="139"/>
      <c r="B362" s="140"/>
      <c r="C362" s="140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ht="15.75" customHeight="1">
      <c r="A363" s="139"/>
      <c r="B363" s="140"/>
      <c r="C363" s="140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ht="15.75" customHeight="1">
      <c r="A364" s="139"/>
      <c r="B364" s="140"/>
      <c r="C364" s="140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ht="15.75" customHeight="1">
      <c r="A365" s="139"/>
      <c r="B365" s="140"/>
      <c r="C365" s="140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ht="15.75" customHeight="1">
      <c r="A366" s="139"/>
      <c r="B366" s="140"/>
      <c r="C366" s="140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ht="15.75" customHeight="1">
      <c r="A367" s="139"/>
      <c r="B367" s="140"/>
      <c r="C367" s="140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ht="15.75" customHeight="1">
      <c r="A368" s="139"/>
      <c r="B368" s="140"/>
      <c r="C368" s="140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ht="15.75" customHeight="1">
      <c r="A369" s="139"/>
      <c r="B369" s="140"/>
      <c r="C369" s="140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ht="15.75" customHeight="1">
      <c r="A370" s="139"/>
      <c r="B370" s="140"/>
      <c r="C370" s="140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ht="15.75" customHeight="1">
      <c r="A371" s="139"/>
      <c r="B371" s="140"/>
      <c r="C371" s="140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ht="15.75" customHeight="1">
      <c r="A372" s="139"/>
      <c r="B372" s="140"/>
      <c r="C372" s="140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ht="15.75" customHeight="1">
      <c r="A373" s="139"/>
      <c r="B373" s="140"/>
      <c r="C373" s="140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ht="15.75" customHeight="1">
      <c r="A374" s="139"/>
      <c r="B374" s="140"/>
      <c r="C374" s="140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ht="15.75" customHeight="1">
      <c r="A375" s="139"/>
      <c r="B375" s="140"/>
      <c r="C375" s="140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ht="15.75" customHeight="1">
      <c r="A376" s="139"/>
      <c r="B376" s="140"/>
      <c r="C376" s="140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ht="15.75" customHeight="1">
      <c r="A377" s="139"/>
      <c r="B377" s="140"/>
      <c r="C377" s="140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ht="15.75" customHeight="1">
      <c r="A378" s="139"/>
      <c r="B378" s="140"/>
      <c r="C378" s="140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ht="15.75" customHeight="1">
      <c r="A379" s="139"/>
      <c r="B379" s="140"/>
      <c r="C379" s="140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ht="15.75" customHeight="1">
      <c r="A380" s="139"/>
      <c r="B380" s="140"/>
      <c r="C380" s="140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ht="15.75" customHeight="1">
      <c r="A381" s="139"/>
      <c r="B381" s="140"/>
      <c r="C381" s="140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ht="15.75" customHeight="1">
      <c r="A382" s="139"/>
      <c r="B382" s="140"/>
      <c r="C382" s="140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ht="15.75" customHeight="1">
      <c r="A383" s="139"/>
      <c r="B383" s="140"/>
      <c r="C383" s="140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ht="15.75" customHeight="1">
      <c r="A384" s="139"/>
      <c r="B384" s="140"/>
      <c r="C384" s="140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ht="15.75" customHeight="1">
      <c r="A385" s="139"/>
      <c r="B385" s="140"/>
      <c r="C385" s="140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ht="15.75" customHeight="1">
      <c r="A386" s="139"/>
      <c r="B386" s="140"/>
      <c r="C386" s="140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ht="15.75" customHeight="1">
      <c r="A387" s="139"/>
      <c r="B387" s="140"/>
      <c r="C387" s="140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ht="15.75" customHeight="1">
      <c r="A388" s="139"/>
      <c r="B388" s="140"/>
      <c r="C388" s="140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ht="15.75" customHeight="1">
      <c r="A389" s="139"/>
      <c r="B389" s="140"/>
      <c r="C389" s="140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ht="15.75" customHeight="1">
      <c r="A390" s="139"/>
      <c r="B390" s="140"/>
      <c r="C390" s="140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ht="15.75" customHeight="1">
      <c r="A391" s="139"/>
      <c r="B391" s="140"/>
      <c r="C391" s="140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ht="15.75" customHeight="1">
      <c r="A392" s="139"/>
      <c r="B392" s="140"/>
      <c r="C392" s="140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ht="15.75" customHeight="1">
      <c r="A393" s="139"/>
      <c r="B393" s="140"/>
      <c r="C393" s="140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ht="15.75" customHeight="1">
      <c r="A394" s="139"/>
      <c r="B394" s="140"/>
      <c r="C394" s="140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ht="15.75" customHeight="1">
      <c r="A395" s="139"/>
      <c r="B395" s="140"/>
      <c r="C395" s="140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ht="15.75" customHeight="1">
      <c r="A396" s="139"/>
      <c r="B396" s="140"/>
      <c r="C396" s="140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ht="15.75" customHeight="1">
      <c r="A397" s="139"/>
      <c r="B397" s="140"/>
      <c r="C397" s="140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ht="15.75" customHeight="1">
      <c r="A398" s="139"/>
      <c r="B398" s="140"/>
      <c r="C398" s="140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ht="15.75" customHeight="1">
      <c r="A399" s="139"/>
      <c r="B399" s="140"/>
      <c r="C399" s="140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ht="15.75" customHeight="1">
      <c r="A400" s="139"/>
      <c r="B400" s="140"/>
      <c r="C400" s="140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ht="15.75" customHeight="1">
      <c r="A401" s="139"/>
      <c r="B401" s="140"/>
      <c r="C401" s="140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ht="15.75" customHeight="1">
      <c r="A402" s="139"/>
      <c r="B402" s="140"/>
      <c r="C402" s="140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ht="15.75" customHeight="1">
      <c r="A403" s="139"/>
      <c r="B403" s="140"/>
      <c r="C403" s="140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ht="15.75" customHeight="1">
      <c r="A404" s="139"/>
      <c r="B404" s="140"/>
      <c r="C404" s="140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ht="15.75" customHeight="1">
      <c r="A405" s="139"/>
      <c r="B405" s="140"/>
      <c r="C405" s="140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ht="15.75" customHeight="1">
      <c r="A406" s="139"/>
      <c r="B406" s="140"/>
      <c r="C406" s="140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ht="15.75" customHeight="1">
      <c r="A407" s="139"/>
      <c r="B407" s="140"/>
      <c r="C407" s="140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ht="15.75" customHeight="1">
      <c r="A408" s="139"/>
      <c r="B408" s="140"/>
      <c r="C408" s="140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ht="15.75" customHeight="1">
      <c r="A409" s="139"/>
      <c r="B409" s="140"/>
      <c r="C409" s="140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ht="15.75" customHeight="1">
      <c r="A410" s="139"/>
      <c r="B410" s="140"/>
      <c r="C410" s="140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ht="15.75" customHeight="1">
      <c r="A411" s="139"/>
      <c r="B411" s="140"/>
      <c r="C411" s="140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ht="15.75" customHeight="1">
      <c r="A412" s="139"/>
      <c r="B412" s="140"/>
      <c r="C412" s="140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ht="15.75" customHeight="1">
      <c r="A413" s="139"/>
      <c r="B413" s="140"/>
      <c r="C413" s="140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ht="15.75" customHeight="1">
      <c r="A414" s="139"/>
      <c r="B414" s="140"/>
      <c r="C414" s="140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ht="15.75" customHeight="1">
      <c r="A415" s="139"/>
      <c r="B415" s="140"/>
      <c r="C415" s="140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ht="15.75" customHeight="1">
      <c r="A416" s="139"/>
      <c r="B416" s="140"/>
      <c r="C416" s="140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ht="15.75" customHeight="1">
      <c r="A417" s="139"/>
      <c r="B417" s="140"/>
      <c r="C417" s="140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ht="15.75" customHeight="1">
      <c r="A418" s="139"/>
      <c r="B418" s="140"/>
      <c r="C418" s="140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ht="15.75" customHeight="1">
      <c r="A419" s="139"/>
      <c r="B419" s="140"/>
      <c r="C419" s="140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ht="15.75" customHeight="1">
      <c r="A420" s="139"/>
      <c r="B420" s="140"/>
      <c r="C420" s="140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ht="15.75" customHeight="1">
      <c r="A421" s="139"/>
      <c r="B421" s="140"/>
      <c r="C421" s="140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ht="15.75" customHeight="1">
      <c r="A422" s="139"/>
      <c r="B422" s="140"/>
      <c r="C422" s="140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ht="15.75" customHeight="1">
      <c r="A423" s="139"/>
      <c r="B423" s="140"/>
      <c r="C423" s="140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ht="15.75" customHeight="1">
      <c r="A424" s="139"/>
      <c r="B424" s="140"/>
      <c r="C424" s="140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ht="15.75" customHeight="1">
      <c r="A425" s="139"/>
      <c r="B425" s="140"/>
      <c r="C425" s="140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ht="15.75" customHeight="1">
      <c r="A426" s="139"/>
      <c r="B426" s="140"/>
      <c r="C426" s="140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ht="15.75" customHeight="1">
      <c r="A427" s="139"/>
      <c r="B427" s="140"/>
      <c r="C427" s="140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ht="15.75" customHeight="1">
      <c r="A428" s="139"/>
      <c r="B428" s="140"/>
      <c r="C428" s="140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ht="15.75" customHeight="1">
      <c r="A429" s="139"/>
      <c r="B429" s="140"/>
      <c r="C429" s="140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ht="15.75" customHeight="1">
      <c r="A430" s="139"/>
      <c r="B430" s="140"/>
      <c r="C430" s="140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ht="15.75" customHeight="1">
      <c r="A431" s="139"/>
      <c r="B431" s="140"/>
      <c r="C431" s="140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ht="15.75" customHeight="1">
      <c r="A432" s="139"/>
      <c r="B432" s="140"/>
      <c r="C432" s="140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ht="15.75" customHeight="1">
      <c r="A433" s="139"/>
      <c r="B433" s="140"/>
      <c r="C433" s="140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ht="15.75" customHeight="1">
      <c r="A434" s="139"/>
      <c r="B434" s="140"/>
      <c r="C434" s="140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ht="15.75" customHeight="1">
      <c r="A435" s="139"/>
      <c r="B435" s="140"/>
      <c r="C435" s="140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ht="15.75" customHeight="1">
      <c r="A436" s="139"/>
      <c r="B436" s="140"/>
      <c r="C436" s="140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ht="15.75" customHeight="1">
      <c r="A437" s="139"/>
      <c r="B437" s="140"/>
      <c r="C437" s="140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ht="15.75" customHeight="1">
      <c r="A438" s="139"/>
      <c r="B438" s="140"/>
      <c r="C438" s="140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ht="15.75" customHeight="1">
      <c r="A439" s="139"/>
      <c r="B439" s="140"/>
      <c r="C439" s="140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ht="15.75" customHeight="1">
      <c r="A440" s="139"/>
      <c r="B440" s="140"/>
      <c r="C440" s="140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ht="15.75" customHeight="1">
      <c r="A441" s="139"/>
      <c r="B441" s="140"/>
      <c r="C441" s="140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ht="15.75" customHeight="1">
      <c r="A442" s="139"/>
      <c r="B442" s="140"/>
      <c r="C442" s="140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ht="15.75" customHeight="1">
      <c r="A443" s="139"/>
      <c r="B443" s="140"/>
      <c r="C443" s="140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ht="15.75" customHeight="1">
      <c r="A444" s="139"/>
      <c r="B444" s="140"/>
      <c r="C444" s="140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ht="15.75" customHeight="1">
      <c r="A445" s="139"/>
      <c r="B445" s="140"/>
      <c r="C445" s="140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ht="15.75" customHeight="1">
      <c r="A446" s="139"/>
      <c r="B446" s="140"/>
      <c r="C446" s="140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ht="15.75" customHeight="1">
      <c r="A447" s="139"/>
      <c r="B447" s="140"/>
      <c r="C447" s="140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ht="15.75" customHeight="1">
      <c r="A448" s="139"/>
      <c r="B448" s="140"/>
      <c r="C448" s="140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ht="15.75" customHeight="1">
      <c r="A449" s="139"/>
      <c r="B449" s="140"/>
      <c r="C449" s="140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ht="15.75" customHeight="1">
      <c r="A450" s="139"/>
      <c r="B450" s="140"/>
      <c r="C450" s="140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ht="15.75" customHeight="1">
      <c r="A451" s="139"/>
      <c r="B451" s="140"/>
      <c r="C451" s="140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ht="15.75" customHeight="1">
      <c r="A452" s="139"/>
      <c r="B452" s="140"/>
      <c r="C452" s="140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ht="15.75" customHeight="1">
      <c r="A453" s="139"/>
      <c r="B453" s="140"/>
      <c r="C453" s="140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ht="15.75" customHeight="1">
      <c r="A454" s="139"/>
      <c r="B454" s="140"/>
      <c r="C454" s="140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ht="15.75" customHeight="1">
      <c r="A455" s="139"/>
      <c r="B455" s="140"/>
      <c r="C455" s="140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ht="15.75" customHeight="1">
      <c r="A456" s="139"/>
      <c r="B456" s="140"/>
      <c r="C456" s="140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ht="15.75" customHeight="1">
      <c r="A457" s="139"/>
      <c r="B457" s="140"/>
      <c r="C457" s="140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ht="15.75" customHeight="1">
      <c r="A458" s="139"/>
      <c r="B458" s="140"/>
      <c r="C458" s="140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ht="15.75" customHeight="1">
      <c r="A459" s="139"/>
      <c r="B459" s="140"/>
      <c r="C459" s="140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ht="15.75" customHeight="1">
      <c r="A460" s="139"/>
      <c r="B460" s="140"/>
      <c r="C460" s="140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ht="15.75" customHeight="1">
      <c r="A461" s="139"/>
      <c r="B461" s="140"/>
      <c r="C461" s="140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ht="15.75" customHeight="1">
      <c r="A462" s="139"/>
      <c r="B462" s="140"/>
      <c r="C462" s="140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ht="15.75" customHeight="1">
      <c r="A463" s="139"/>
      <c r="B463" s="140"/>
      <c r="C463" s="140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ht="15.75" customHeight="1">
      <c r="A464" s="139"/>
      <c r="B464" s="140"/>
      <c r="C464" s="140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ht="15.75" customHeight="1">
      <c r="A465" s="139"/>
      <c r="B465" s="140"/>
      <c r="C465" s="140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ht="15.75" customHeight="1">
      <c r="A466" s="139"/>
      <c r="B466" s="140"/>
      <c r="C466" s="140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ht="15.75" customHeight="1">
      <c r="A467" s="139"/>
      <c r="B467" s="140"/>
      <c r="C467" s="140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ht="15.75" customHeight="1">
      <c r="A468" s="139"/>
      <c r="B468" s="140"/>
      <c r="C468" s="140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ht="15.75" customHeight="1">
      <c r="A469" s="139"/>
      <c r="B469" s="140"/>
      <c r="C469" s="140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ht="15.75" customHeight="1">
      <c r="A470" s="139"/>
      <c r="B470" s="140"/>
      <c r="C470" s="140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ht="15.75" customHeight="1">
      <c r="A471" s="139"/>
      <c r="B471" s="140"/>
      <c r="C471" s="140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ht="15.75" customHeight="1">
      <c r="A472" s="139"/>
      <c r="B472" s="140"/>
      <c r="C472" s="140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ht="15.75" customHeight="1">
      <c r="A473" s="139"/>
      <c r="B473" s="140"/>
      <c r="C473" s="140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ht="15.75" customHeight="1">
      <c r="A474" s="139"/>
      <c r="B474" s="140"/>
      <c r="C474" s="140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ht="15.75" customHeight="1">
      <c r="A475" s="139"/>
      <c r="B475" s="140"/>
      <c r="C475" s="140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ht="15.75" customHeight="1">
      <c r="A476" s="139"/>
      <c r="B476" s="140"/>
      <c r="C476" s="140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ht="15.75" customHeight="1">
      <c r="A477" s="139"/>
      <c r="B477" s="140"/>
      <c r="C477" s="140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ht="15.75" customHeight="1">
      <c r="A478" s="139"/>
      <c r="B478" s="140"/>
      <c r="C478" s="140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ht="15.75" customHeight="1">
      <c r="A479" s="139"/>
      <c r="B479" s="140"/>
      <c r="C479" s="140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ht="15.75" customHeight="1">
      <c r="A480" s="139"/>
      <c r="B480" s="140"/>
      <c r="C480" s="140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ht="15.75" customHeight="1">
      <c r="A481" s="139"/>
      <c r="B481" s="140"/>
      <c r="C481" s="140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ht="15.75" customHeight="1">
      <c r="A482" s="139"/>
      <c r="B482" s="140"/>
      <c r="C482" s="140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ht="15.75" customHeight="1">
      <c r="A483" s="139"/>
      <c r="B483" s="140"/>
      <c r="C483" s="140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ht="15.75" customHeight="1">
      <c r="A484" s="139"/>
      <c r="B484" s="140"/>
      <c r="C484" s="140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ht="15.75" customHeight="1">
      <c r="A485" s="139"/>
      <c r="B485" s="140"/>
      <c r="C485" s="140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ht="15.75" customHeight="1">
      <c r="A486" s="139"/>
      <c r="B486" s="140"/>
      <c r="C486" s="140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ht="15.75" customHeight="1">
      <c r="A487" s="139"/>
      <c r="B487" s="140"/>
      <c r="C487" s="140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ht="15.75" customHeight="1">
      <c r="A488" s="139"/>
      <c r="B488" s="140"/>
      <c r="C488" s="140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ht="15.75" customHeight="1">
      <c r="A489" s="139"/>
      <c r="B489" s="140"/>
      <c r="C489" s="140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ht="15.75" customHeight="1">
      <c r="A490" s="139"/>
      <c r="B490" s="140"/>
      <c r="C490" s="140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ht="15.75" customHeight="1">
      <c r="A491" s="139"/>
      <c r="B491" s="140"/>
      <c r="C491" s="140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ht="15.75" customHeight="1">
      <c r="A492" s="139"/>
      <c r="B492" s="140"/>
      <c r="C492" s="140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ht="15.75" customHeight="1">
      <c r="A493" s="139"/>
      <c r="B493" s="140"/>
      <c r="C493" s="140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ht="15.75" customHeight="1">
      <c r="A494" s="139"/>
      <c r="B494" s="140"/>
      <c r="C494" s="140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ht="15.75" customHeight="1">
      <c r="A495" s="139"/>
      <c r="B495" s="140"/>
      <c r="C495" s="140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ht="15.75" customHeight="1">
      <c r="A496" s="139"/>
      <c r="B496" s="140"/>
      <c r="C496" s="140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ht="15.75" customHeight="1">
      <c r="A497" s="139"/>
      <c r="B497" s="140"/>
      <c r="C497" s="140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ht="15.75" customHeight="1">
      <c r="A498" s="139"/>
      <c r="B498" s="140"/>
      <c r="C498" s="140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ht="15.75" customHeight="1">
      <c r="A499" s="139"/>
      <c r="B499" s="140"/>
      <c r="C499" s="140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ht="15.75" customHeight="1">
      <c r="A500" s="139"/>
      <c r="B500" s="140"/>
      <c r="C500" s="140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ht="15.75" customHeight="1">
      <c r="A501" s="139"/>
      <c r="B501" s="140"/>
      <c r="C501" s="140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ht="15.75" customHeight="1">
      <c r="A502" s="139"/>
      <c r="B502" s="140"/>
      <c r="C502" s="140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ht="15.75" customHeight="1">
      <c r="A503" s="139"/>
      <c r="B503" s="140"/>
      <c r="C503" s="140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ht="15.75" customHeight="1">
      <c r="A504" s="139"/>
      <c r="B504" s="140"/>
      <c r="C504" s="140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ht="15.75" customHeight="1">
      <c r="A505" s="139"/>
      <c r="B505" s="140"/>
      <c r="C505" s="140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ht="15.75" customHeight="1">
      <c r="A506" s="139"/>
      <c r="B506" s="140"/>
      <c r="C506" s="140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ht="15.75" customHeight="1">
      <c r="A507" s="139"/>
      <c r="B507" s="140"/>
      <c r="C507" s="140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ht="15.75" customHeight="1">
      <c r="A508" s="139"/>
      <c r="B508" s="140"/>
      <c r="C508" s="140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ht="15.75" customHeight="1">
      <c r="A509" s="139"/>
      <c r="B509" s="140"/>
      <c r="C509" s="140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ht="15.75" customHeight="1">
      <c r="A510" s="139"/>
      <c r="B510" s="140"/>
      <c r="C510" s="140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ht="15.75" customHeight="1">
      <c r="A511" s="139"/>
      <c r="B511" s="140"/>
      <c r="C511" s="140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ht="15.75" customHeight="1">
      <c r="A512" s="139"/>
      <c r="B512" s="140"/>
      <c r="C512" s="140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ht="15.75" customHeight="1">
      <c r="A513" s="139"/>
      <c r="B513" s="140"/>
      <c r="C513" s="140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ht="15.75" customHeight="1">
      <c r="A514" s="139"/>
      <c r="B514" s="140"/>
      <c r="C514" s="140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ht="15.75" customHeight="1">
      <c r="A515" s="139"/>
      <c r="B515" s="140"/>
      <c r="C515" s="140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ht="15.75" customHeight="1">
      <c r="A516" s="139"/>
      <c r="B516" s="140"/>
      <c r="C516" s="140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ht="15.75" customHeight="1">
      <c r="A517" s="139"/>
      <c r="B517" s="140"/>
      <c r="C517" s="140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ht="15.75" customHeight="1">
      <c r="A518" s="139"/>
      <c r="B518" s="140"/>
      <c r="C518" s="140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ht="15.75" customHeight="1">
      <c r="A519" s="139"/>
      <c r="B519" s="140"/>
      <c r="C519" s="140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ht="15.75" customHeight="1">
      <c r="A520" s="139"/>
      <c r="B520" s="140"/>
      <c r="C520" s="140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ht="15.75" customHeight="1">
      <c r="A521" s="139"/>
      <c r="B521" s="140"/>
      <c r="C521" s="140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ht="15.75" customHeight="1">
      <c r="A522" s="139"/>
      <c r="B522" s="140"/>
      <c r="C522" s="140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ht="15.75" customHeight="1">
      <c r="A523" s="139"/>
      <c r="B523" s="140"/>
      <c r="C523" s="140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ht="15.75" customHeight="1">
      <c r="A524" s="139"/>
      <c r="B524" s="140"/>
      <c r="C524" s="140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ht="15.75" customHeight="1">
      <c r="A525" s="139"/>
      <c r="B525" s="140"/>
      <c r="C525" s="140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ht="15.75" customHeight="1">
      <c r="A526" s="139"/>
      <c r="B526" s="140"/>
      <c r="C526" s="140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ht="15.75" customHeight="1">
      <c r="A527" s="139"/>
      <c r="B527" s="140"/>
      <c r="C527" s="140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ht="15.75" customHeight="1">
      <c r="A528" s="139"/>
      <c r="B528" s="140"/>
      <c r="C528" s="140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ht="15.75" customHeight="1">
      <c r="A529" s="139"/>
      <c r="B529" s="140"/>
      <c r="C529" s="140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ht="15.75" customHeight="1">
      <c r="A530" s="139"/>
      <c r="B530" s="140"/>
      <c r="C530" s="140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ht="15.75" customHeight="1">
      <c r="A531" s="139"/>
      <c r="B531" s="140"/>
      <c r="C531" s="140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ht="15.75" customHeight="1">
      <c r="A532" s="139"/>
      <c r="B532" s="140"/>
      <c r="C532" s="140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ht="15.75" customHeight="1">
      <c r="A533" s="139"/>
      <c r="B533" s="140"/>
      <c r="C533" s="140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ht="15.75" customHeight="1">
      <c r="A534" s="139"/>
      <c r="B534" s="140"/>
      <c r="C534" s="140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ht="15.75" customHeight="1">
      <c r="A535" s="139"/>
      <c r="B535" s="140"/>
      <c r="C535" s="140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ht="15.75" customHeight="1">
      <c r="A536" s="139"/>
      <c r="B536" s="140"/>
      <c r="C536" s="140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ht="15.75" customHeight="1">
      <c r="A537" s="139"/>
      <c r="B537" s="140"/>
      <c r="C537" s="140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ht="15.75" customHeight="1">
      <c r="A538" s="139"/>
      <c r="B538" s="140"/>
      <c r="C538" s="140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ht="15.75" customHeight="1">
      <c r="A539" s="139"/>
      <c r="B539" s="140"/>
      <c r="C539" s="140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ht="15.75" customHeight="1">
      <c r="A540" s="139"/>
      <c r="B540" s="140"/>
      <c r="C540" s="140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ht="15.75" customHeight="1">
      <c r="A541" s="139"/>
      <c r="B541" s="140"/>
      <c r="C541" s="140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ht="15.75" customHeight="1">
      <c r="A542" s="139"/>
      <c r="B542" s="140"/>
      <c r="C542" s="140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ht="15.75" customHeight="1">
      <c r="A543" s="139"/>
      <c r="B543" s="140"/>
      <c r="C543" s="140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ht="15.75" customHeight="1">
      <c r="A544" s="139"/>
      <c r="B544" s="140"/>
      <c r="C544" s="140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ht="15.75" customHeight="1">
      <c r="A545" s="139"/>
      <c r="B545" s="140"/>
      <c r="C545" s="140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ht="15.75" customHeight="1">
      <c r="A546" s="139"/>
      <c r="B546" s="140"/>
      <c r="C546" s="140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ht="15.75" customHeight="1">
      <c r="A547" s="139"/>
      <c r="B547" s="140"/>
      <c r="C547" s="140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ht="15.75" customHeight="1">
      <c r="A548" s="139"/>
      <c r="B548" s="140"/>
      <c r="C548" s="140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ht="15.75" customHeight="1">
      <c r="A549" s="139"/>
      <c r="B549" s="140"/>
      <c r="C549" s="140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ht="15.75" customHeight="1">
      <c r="A550" s="139"/>
      <c r="B550" s="140"/>
      <c r="C550" s="140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ht="15.75" customHeight="1">
      <c r="A551" s="139"/>
      <c r="B551" s="140"/>
      <c r="C551" s="140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ht="15.75" customHeight="1">
      <c r="A552" s="139"/>
      <c r="B552" s="140"/>
      <c r="C552" s="140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ht="15.75" customHeight="1">
      <c r="A553" s="139"/>
      <c r="B553" s="140"/>
      <c r="C553" s="140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ht="15.75" customHeight="1">
      <c r="A554" s="139"/>
      <c r="B554" s="140"/>
      <c r="C554" s="140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ht="15.75" customHeight="1">
      <c r="A555" s="139"/>
      <c r="B555" s="140"/>
      <c r="C555" s="140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ht="15.75" customHeight="1">
      <c r="A556" s="139"/>
      <c r="B556" s="140"/>
      <c r="C556" s="140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ht="15.75" customHeight="1">
      <c r="A557" s="139"/>
      <c r="B557" s="140"/>
      <c r="C557" s="140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ht="15.75" customHeight="1">
      <c r="A558" s="139"/>
      <c r="B558" s="140"/>
      <c r="C558" s="140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ht="15.75" customHeight="1">
      <c r="A559" s="139"/>
      <c r="B559" s="140"/>
      <c r="C559" s="140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ht="15.75" customHeight="1">
      <c r="A560" s="139"/>
      <c r="B560" s="140"/>
      <c r="C560" s="140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ht="15.75" customHeight="1">
      <c r="A561" s="139"/>
      <c r="B561" s="140"/>
      <c r="C561" s="140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ht="15.75" customHeight="1">
      <c r="A562" s="139"/>
      <c r="B562" s="140"/>
      <c r="C562" s="140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ht="15.75" customHeight="1">
      <c r="A563" s="139"/>
      <c r="B563" s="140"/>
      <c r="C563" s="140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ht="15.75" customHeight="1">
      <c r="A564" s="139"/>
      <c r="B564" s="140"/>
      <c r="C564" s="140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ht="15.75" customHeight="1">
      <c r="A565" s="139"/>
      <c r="B565" s="140"/>
      <c r="C565" s="140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ht="15.75" customHeight="1">
      <c r="A566" s="139"/>
      <c r="B566" s="140"/>
      <c r="C566" s="140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ht="15.75" customHeight="1">
      <c r="A567" s="139"/>
      <c r="B567" s="140"/>
      <c r="C567" s="140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ht="15.75" customHeight="1">
      <c r="A568" s="139"/>
      <c r="B568" s="140"/>
      <c r="C568" s="140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ht="15.75" customHeight="1">
      <c r="A569" s="139"/>
      <c r="B569" s="140"/>
      <c r="C569" s="140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ht="15.75" customHeight="1">
      <c r="A570" s="139"/>
      <c r="B570" s="140"/>
      <c r="C570" s="140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ht="15.75" customHeight="1">
      <c r="A571" s="139"/>
      <c r="B571" s="140"/>
      <c r="C571" s="140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ht="15.75" customHeight="1">
      <c r="A572" s="139"/>
      <c r="B572" s="140"/>
      <c r="C572" s="140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ht="15.75" customHeight="1">
      <c r="A573" s="139"/>
      <c r="B573" s="140"/>
      <c r="C573" s="140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ht="15.75" customHeight="1">
      <c r="A574" s="139"/>
      <c r="B574" s="140"/>
      <c r="C574" s="140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ht="15.75" customHeight="1">
      <c r="A575" s="139"/>
      <c r="B575" s="140"/>
      <c r="C575" s="140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ht="15.75" customHeight="1">
      <c r="A576" s="139"/>
      <c r="B576" s="140"/>
      <c r="C576" s="140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ht="15.75" customHeight="1">
      <c r="A577" s="139"/>
      <c r="B577" s="140"/>
      <c r="C577" s="140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ht="15.75" customHeight="1">
      <c r="A578" s="139"/>
      <c r="B578" s="140"/>
      <c r="C578" s="140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ht="15.75" customHeight="1">
      <c r="A579" s="139"/>
      <c r="B579" s="140"/>
      <c r="C579" s="140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ht="15.75" customHeight="1">
      <c r="A580" s="139"/>
      <c r="B580" s="140"/>
      <c r="C580" s="140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ht="15.75" customHeight="1">
      <c r="A581" s="139"/>
      <c r="B581" s="140"/>
      <c r="C581" s="140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ht="15.75" customHeight="1">
      <c r="A582" s="139"/>
      <c r="B582" s="140"/>
      <c r="C582" s="140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ht="15.75" customHeight="1">
      <c r="A583" s="139"/>
      <c r="B583" s="140"/>
      <c r="C583" s="140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ht="15.75" customHeight="1">
      <c r="A584" s="139"/>
      <c r="B584" s="140"/>
      <c r="C584" s="140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ht="15.75" customHeight="1">
      <c r="A585" s="139"/>
      <c r="B585" s="140"/>
      <c r="C585" s="140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ht="15.75" customHeight="1">
      <c r="A586" s="139"/>
      <c r="B586" s="140"/>
      <c r="C586" s="140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ht="15.75" customHeight="1">
      <c r="A587" s="139"/>
      <c r="B587" s="140"/>
      <c r="C587" s="140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ht="15.75" customHeight="1">
      <c r="A588" s="139"/>
      <c r="B588" s="140"/>
      <c r="C588" s="140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ht="15.75" customHeight="1">
      <c r="A589" s="139"/>
      <c r="B589" s="140"/>
      <c r="C589" s="140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ht="15.75" customHeight="1">
      <c r="A590" s="139"/>
      <c r="B590" s="140"/>
      <c r="C590" s="140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ht="15.75" customHeight="1">
      <c r="A591" s="139"/>
      <c r="B591" s="140"/>
      <c r="C591" s="140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ht="15.75" customHeight="1">
      <c r="A592" s="139"/>
      <c r="B592" s="140"/>
      <c r="C592" s="140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ht="15.75" customHeight="1">
      <c r="A593" s="139"/>
      <c r="B593" s="140"/>
      <c r="C593" s="140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ht="15.75" customHeight="1">
      <c r="A594" s="139"/>
      <c r="B594" s="140"/>
      <c r="C594" s="140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ht="15.75" customHeight="1">
      <c r="A595" s="139"/>
      <c r="B595" s="140"/>
      <c r="C595" s="140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ht="15.75" customHeight="1">
      <c r="A596" s="139"/>
      <c r="B596" s="140"/>
      <c r="C596" s="140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ht="15.75" customHeight="1">
      <c r="A597" s="139"/>
      <c r="B597" s="140"/>
      <c r="C597" s="140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ht="15.75" customHeight="1">
      <c r="A598" s="139"/>
      <c r="B598" s="140"/>
      <c r="C598" s="140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ht="15.75" customHeight="1">
      <c r="A599" s="139"/>
      <c r="B599" s="140"/>
      <c r="C599" s="140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ht="15.75" customHeight="1">
      <c r="A600" s="139"/>
      <c r="B600" s="140"/>
      <c r="C600" s="140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ht="15.75" customHeight="1">
      <c r="A601" s="139"/>
      <c r="B601" s="140"/>
      <c r="C601" s="140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ht="15.75" customHeight="1">
      <c r="A602" s="139"/>
      <c r="B602" s="140"/>
      <c r="C602" s="140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ht="15.75" customHeight="1">
      <c r="A603" s="139"/>
      <c r="B603" s="140"/>
      <c r="C603" s="140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ht="15.75" customHeight="1">
      <c r="A604" s="139"/>
      <c r="B604" s="140"/>
      <c r="C604" s="140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ht="15.75" customHeight="1">
      <c r="A605" s="139"/>
      <c r="B605" s="140"/>
      <c r="C605" s="140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ht="15.75" customHeight="1">
      <c r="A606" s="139"/>
      <c r="B606" s="140"/>
      <c r="C606" s="140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ht="15.75" customHeight="1">
      <c r="A607" s="139"/>
      <c r="B607" s="140"/>
      <c r="C607" s="140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ht="15.75" customHeight="1">
      <c r="A608" s="139"/>
      <c r="B608" s="140"/>
      <c r="C608" s="140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ht="15.75" customHeight="1">
      <c r="A609" s="139"/>
      <c r="B609" s="140"/>
      <c r="C609" s="140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ht="15.75" customHeight="1">
      <c r="A610" s="139"/>
      <c r="B610" s="140"/>
      <c r="C610" s="140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ht="15.75" customHeight="1">
      <c r="A611" s="139"/>
      <c r="B611" s="140"/>
      <c r="C611" s="140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ht="15.75" customHeight="1">
      <c r="A612" s="139"/>
      <c r="B612" s="140"/>
      <c r="C612" s="140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ht="15.75" customHeight="1">
      <c r="A613" s="139"/>
      <c r="B613" s="140"/>
      <c r="C613" s="140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ht="15.75" customHeight="1">
      <c r="A614" s="139"/>
      <c r="B614" s="140"/>
      <c r="C614" s="140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ht="15.75" customHeight="1">
      <c r="A615" s="139"/>
      <c r="B615" s="140"/>
      <c r="C615" s="140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ht="15.75" customHeight="1">
      <c r="A616" s="139"/>
      <c r="B616" s="140"/>
      <c r="C616" s="140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ht="15.75" customHeight="1">
      <c r="A617" s="139"/>
      <c r="B617" s="140"/>
      <c r="C617" s="140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ht="15.75" customHeight="1">
      <c r="A618" s="139"/>
      <c r="B618" s="140"/>
      <c r="C618" s="140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ht="15.75" customHeight="1">
      <c r="A619" s="139"/>
      <c r="B619" s="140"/>
      <c r="C619" s="140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ht="15.75" customHeight="1">
      <c r="A620" s="139"/>
      <c r="B620" s="140"/>
      <c r="C620" s="140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ht="15.75" customHeight="1">
      <c r="A621" s="139"/>
      <c r="B621" s="140"/>
      <c r="C621" s="140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ht="15.75" customHeight="1">
      <c r="A622" s="139"/>
      <c r="B622" s="140"/>
      <c r="C622" s="140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ht="15.75" customHeight="1">
      <c r="A623" s="139"/>
      <c r="B623" s="140"/>
      <c r="C623" s="140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ht="15.75" customHeight="1">
      <c r="A624" s="139"/>
      <c r="B624" s="140"/>
      <c r="C624" s="140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ht="15.75" customHeight="1">
      <c r="A625" s="139"/>
      <c r="B625" s="140"/>
      <c r="C625" s="140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ht="15.75" customHeight="1">
      <c r="A626" s="139"/>
      <c r="B626" s="140"/>
      <c r="C626" s="140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ht="15.75" customHeight="1">
      <c r="A627" s="139"/>
      <c r="B627" s="140"/>
      <c r="C627" s="140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ht="15.75" customHeight="1">
      <c r="A628" s="139"/>
      <c r="B628" s="140"/>
      <c r="C628" s="140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ht="15.75" customHeight="1">
      <c r="A629" s="139"/>
      <c r="B629" s="140"/>
      <c r="C629" s="140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ht="15.75" customHeight="1">
      <c r="A630" s="139"/>
      <c r="B630" s="140"/>
      <c r="C630" s="140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ht="15.75" customHeight="1">
      <c r="A631" s="139"/>
      <c r="B631" s="140"/>
      <c r="C631" s="140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ht="15.75" customHeight="1">
      <c r="A632" s="139"/>
      <c r="B632" s="140"/>
      <c r="C632" s="140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ht="15.75" customHeight="1">
      <c r="A633" s="139"/>
      <c r="B633" s="140"/>
      <c r="C633" s="140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ht="15.75" customHeight="1">
      <c r="A634" s="139"/>
      <c r="B634" s="140"/>
      <c r="C634" s="140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ht="15.75" customHeight="1">
      <c r="A635" s="139"/>
      <c r="B635" s="140"/>
      <c r="C635" s="140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ht="15.75" customHeight="1">
      <c r="A636" s="139"/>
      <c r="B636" s="140"/>
      <c r="C636" s="140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ht="15.75" customHeight="1">
      <c r="A637" s="139"/>
      <c r="B637" s="140"/>
      <c r="C637" s="140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ht="15.75" customHeight="1">
      <c r="A638" s="139"/>
      <c r="B638" s="140"/>
      <c r="C638" s="140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ht="15.75" customHeight="1">
      <c r="A639" s="139"/>
      <c r="B639" s="140"/>
      <c r="C639" s="140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ht="15.75" customHeight="1">
      <c r="A640" s="139"/>
      <c r="B640" s="140"/>
      <c r="C640" s="140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ht="15.75" customHeight="1">
      <c r="A641" s="139"/>
      <c r="B641" s="140"/>
      <c r="C641" s="140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ht="15.75" customHeight="1">
      <c r="A642" s="139"/>
      <c r="B642" s="140"/>
      <c r="C642" s="140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ht="15.75" customHeight="1">
      <c r="A643" s="139"/>
      <c r="B643" s="140"/>
      <c r="C643" s="140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ht="15.75" customHeight="1">
      <c r="A644" s="139"/>
      <c r="B644" s="140"/>
      <c r="C644" s="140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ht="15.75" customHeight="1">
      <c r="A645" s="139"/>
      <c r="B645" s="140"/>
      <c r="C645" s="140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ht="15.75" customHeight="1">
      <c r="A646" s="139"/>
      <c r="B646" s="140"/>
      <c r="C646" s="140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ht="15.75" customHeight="1">
      <c r="A647" s="139"/>
      <c r="B647" s="140"/>
      <c r="C647" s="140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ht="15.75" customHeight="1">
      <c r="A648" s="139"/>
      <c r="B648" s="140"/>
      <c r="C648" s="140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ht="15.75" customHeight="1">
      <c r="A649" s="139"/>
      <c r="B649" s="140"/>
      <c r="C649" s="140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ht="15.75" customHeight="1">
      <c r="A650" s="139"/>
      <c r="B650" s="140"/>
      <c r="C650" s="140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ht="15.75" customHeight="1">
      <c r="A651" s="139"/>
      <c r="B651" s="140"/>
      <c r="C651" s="140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ht="15.75" customHeight="1">
      <c r="A652" s="139"/>
      <c r="B652" s="140"/>
      <c r="C652" s="140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ht="15.75" customHeight="1">
      <c r="A653" s="139"/>
      <c r="B653" s="140"/>
      <c r="C653" s="140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ht="15.75" customHeight="1">
      <c r="A654" s="139"/>
      <c r="B654" s="140"/>
      <c r="C654" s="140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ht="15.75" customHeight="1">
      <c r="A655" s="139"/>
      <c r="B655" s="140"/>
      <c r="C655" s="140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ht="15.75" customHeight="1">
      <c r="A656" s="139"/>
      <c r="B656" s="140"/>
      <c r="C656" s="140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ht="15.75" customHeight="1">
      <c r="A657" s="139"/>
      <c r="B657" s="140"/>
      <c r="C657" s="140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ht="15.75" customHeight="1">
      <c r="A658" s="139"/>
      <c r="B658" s="140"/>
      <c r="C658" s="140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ht="15.75" customHeight="1">
      <c r="A659" s="139"/>
      <c r="B659" s="140"/>
      <c r="C659" s="140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ht="15.75" customHeight="1">
      <c r="A660" s="139"/>
      <c r="B660" s="140"/>
      <c r="C660" s="140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ht="15.75" customHeight="1">
      <c r="A661" s="139"/>
      <c r="B661" s="140"/>
      <c r="C661" s="140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ht="15.75" customHeight="1">
      <c r="A662" s="139"/>
      <c r="B662" s="140"/>
      <c r="C662" s="140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ht="15.75" customHeight="1">
      <c r="A663" s="139"/>
      <c r="B663" s="140"/>
      <c r="C663" s="140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ht="15.75" customHeight="1">
      <c r="A664" s="139"/>
      <c r="B664" s="140"/>
      <c r="C664" s="140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ht="15.75" customHeight="1">
      <c r="A665" s="139"/>
      <c r="B665" s="140"/>
      <c r="C665" s="140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ht="15.75" customHeight="1">
      <c r="A666" s="139"/>
      <c r="B666" s="140"/>
      <c r="C666" s="140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ht="15.75" customHeight="1">
      <c r="A667" s="139"/>
      <c r="B667" s="140"/>
      <c r="C667" s="140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ht="15.75" customHeight="1">
      <c r="A668" s="139"/>
      <c r="B668" s="140"/>
      <c r="C668" s="140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ht="15.75" customHeight="1">
      <c r="A669" s="139"/>
      <c r="B669" s="140"/>
      <c r="C669" s="140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ht="15.75" customHeight="1">
      <c r="A670" s="139"/>
      <c r="B670" s="140"/>
      <c r="C670" s="140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ht="15.75" customHeight="1">
      <c r="A671" s="139"/>
      <c r="B671" s="140"/>
      <c r="C671" s="140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ht="15.75" customHeight="1">
      <c r="A672" s="139"/>
      <c r="B672" s="140"/>
      <c r="C672" s="140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ht="15.75" customHeight="1">
      <c r="A673" s="139"/>
      <c r="B673" s="140"/>
      <c r="C673" s="140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ht="15.75" customHeight="1">
      <c r="A674" s="139"/>
      <c r="B674" s="140"/>
      <c r="C674" s="140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ht="15.75" customHeight="1">
      <c r="A675" s="139"/>
      <c r="B675" s="140"/>
      <c r="C675" s="140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ht="15.75" customHeight="1">
      <c r="A676" s="139"/>
      <c r="B676" s="140"/>
      <c r="C676" s="140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ht="15.75" customHeight="1">
      <c r="A677" s="139"/>
      <c r="B677" s="140"/>
      <c r="C677" s="140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ht="15.75" customHeight="1">
      <c r="A678" s="139"/>
      <c r="B678" s="140"/>
      <c r="C678" s="140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ht="15.75" customHeight="1">
      <c r="A679" s="139"/>
      <c r="B679" s="140"/>
      <c r="C679" s="140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ht="15.75" customHeight="1">
      <c r="A680" s="139"/>
      <c r="B680" s="140"/>
      <c r="C680" s="140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ht="15.75" customHeight="1">
      <c r="A681" s="139"/>
      <c r="B681" s="140"/>
      <c r="C681" s="140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ht="15.75" customHeight="1">
      <c r="A682" s="139"/>
      <c r="B682" s="140"/>
      <c r="C682" s="140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ht="15.75" customHeight="1">
      <c r="A683" s="139"/>
      <c r="B683" s="140"/>
      <c r="C683" s="140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ht="15.75" customHeight="1">
      <c r="A684" s="139"/>
      <c r="B684" s="140"/>
      <c r="C684" s="140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ht="15.75" customHeight="1">
      <c r="A685" s="139"/>
      <c r="B685" s="140"/>
      <c r="C685" s="140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ht="15.75" customHeight="1">
      <c r="A686" s="139"/>
      <c r="B686" s="140"/>
      <c r="C686" s="140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ht="15.75" customHeight="1">
      <c r="A687" s="139"/>
      <c r="B687" s="140"/>
      <c r="C687" s="140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ht="15.75" customHeight="1">
      <c r="A688" s="139"/>
      <c r="B688" s="140"/>
      <c r="C688" s="140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ht="15.75" customHeight="1">
      <c r="A689" s="139"/>
      <c r="B689" s="140"/>
      <c r="C689" s="140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ht="15.75" customHeight="1">
      <c r="A690" s="139"/>
      <c r="B690" s="140"/>
      <c r="C690" s="140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ht="15.75" customHeight="1">
      <c r="A691" s="139"/>
      <c r="B691" s="140"/>
      <c r="C691" s="140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ht="15.75" customHeight="1">
      <c r="A692" s="139"/>
      <c r="B692" s="140"/>
      <c r="C692" s="140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ht="15.75" customHeight="1">
      <c r="A693" s="139"/>
      <c r="B693" s="140"/>
      <c r="C693" s="140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ht="15.75" customHeight="1">
      <c r="A694" s="139"/>
      <c r="B694" s="140"/>
      <c r="C694" s="140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ht="15.75" customHeight="1">
      <c r="A695" s="139"/>
      <c r="B695" s="140"/>
      <c r="C695" s="140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ht="15.75" customHeight="1">
      <c r="A696" s="139"/>
      <c r="B696" s="140"/>
      <c r="C696" s="140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ht="15.75" customHeight="1">
      <c r="A697" s="139"/>
      <c r="B697" s="140"/>
      <c r="C697" s="140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ht="15.75" customHeight="1">
      <c r="A698" s="139"/>
      <c r="B698" s="140"/>
      <c r="C698" s="140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ht="15.75" customHeight="1">
      <c r="A699" s="139"/>
      <c r="B699" s="140"/>
      <c r="C699" s="140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ht="15.75" customHeight="1">
      <c r="A700" s="139"/>
      <c r="B700" s="140"/>
      <c r="C700" s="140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ht="15.75" customHeight="1">
      <c r="A701" s="139"/>
      <c r="B701" s="140"/>
      <c r="C701" s="140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ht="15.75" customHeight="1">
      <c r="A702" s="139"/>
      <c r="B702" s="140"/>
      <c r="C702" s="140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ht="15.75" customHeight="1">
      <c r="A703" s="139"/>
      <c r="B703" s="140"/>
      <c r="C703" s="140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ht="15.75" customHeight="1">
      <c r="A704" s="139"/>
      <c r="B704" s="140"/>
      <c r="C704" s="140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ht="15.75" customHeight="1">
      <c r="A705" s="139"/>
      <c r="B705" s="140"/>
      <c r="C705" s="140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ht="15.75" customHeight="1">
      <c r="A706" s="139"/>
      <c r="B706" s="140"/>
      <c r="C706" s="140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ht="15.75" customHeight="1">
      <c r="A707" s="139"/>
      <c r="B707" s="140"/>
      <c r="C707" s="140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ht="15.75" customHeight="1">
      <c r="A708" s="139"/>
      <c r="B708" s="140"/>
      <c r="C708" s="140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ht="15.75" customHeight="1">
      <c r="A709" s="139"/>
      <c r="B709" s="140"/>
      <c r="C709" s="140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ht="15.75" customHeight="1">
      <c r="A710" s="139"/>
      <c r="B710" s="140"/>
      <c r="C710" s="140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ht="15.75" customHeight="1">
      <c r="A711" s="139"/>
      <c r="B711" s="140"/>
      <c r="C711" s="140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ht="15.75" customHeight="1">
      <c r="A712" s="139"/>
      <c r="B712" s="140"/>
      <c r="C712" s="140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ht="15.75" customHeight="1">
      <c r="A713" s="139"/>
      <c r="B713" s="140"/>
      <c r="C713" s="140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ht="15.75" customHeight="1">
      <c r="A714" s="139"/>
      <c r="B714" s="140"/>
      <c r="C714" s="140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ht="15.75" customHeight="1">
      <c r="A715" s="139"/>
      <c r="B715" s="140"/>
      <c r="C715" s="140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ht="15.75" customHeight="1">
      <c r="A716" s="139"/>
      <c r="B716" s="140"/>
      <c r="C716" s="140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ht="15.75" customHeight="1">
      <c r="A717" s="139"/>
      <c r="B717" s="140"/>
      <c r="C717" s="140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ht="15.75" customHeight="1">
      <c r="A718" s="139"/>
      <c r="B718" s="140"/>
      <c r="C718" s="140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ht="15.75" customHeight="1">
      <c r="A719" s="139"/>
      <c r="B719" s="140"/>
      <c r="C719" s="140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ht="15.75" customHeight="1">
      <c r="A720" s="139"/>
      <c r="B720" s="140"/>
      <c r="C720" s="140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ht="15.75" customHeight="1">
      <c r="A721" s="139"/>
      <c r="B721" s="140"/>
      <c r="C721" s="140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ht="15.75" customHeight="1">
      <c r="A722" s="139"/>
      <c r="B722" s="140"/>
      <c r="C722" s="140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ht="15.75" customHeight="1">
      <c r="A723" s="139"/>
      <c r="B723" s="140"/>
      <c r="C723" s="140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ht="15.75" customHeight="1">
      <c r="A724" s="139"/>
      <c r="B724" s="140"/>
      <c r="C724" s="140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ht="15.75" customHeight="1">
      <c r="A725" s="139"/>
      <c r="B725" s="140"/>
      <c r="C725" s="140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ht="15.75" customHeight="1">
      <c r="A726" s="139"/>
      <c r="B726" s="140"/>
      <c r="C726" s="140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ht="15.75" customHeight="1">
      <c r="A727" s="139"/>
      <c r="B727" s="140"/>
      <c r="C727" s="140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ht="15.75" customHeight="1">
      <c r="A728" s="139"/>
      <c r="B728" s="140"/>
      <c r="C728" s="140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ht="15.75" customHeight="1">
      <c r="A729" s="139"/>
      <c r="B729" s="140"/>
      <c r="C729" s="140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ht="15.75" customHeight="1">
      <c r="A730" s="139"/>
      <c r="B730" s="140"/>
      <c r="C730" s="140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ht="15.75" customHeight="1">
      <c r="A731" s="139"/>
      <c r="B731" s="140"/>
      <c r="C731" s="140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ht="15.75" customHeight="1">
      <c r="A732" s="139"/>
      <c r="B732" s="140"/>
      <c r="C732" s="140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ht="15.75" customHeight="1">
      <c r="A733" s="139"/>
      <c r="B733" s="140"/>
      <c r="C733" s="140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ht="15.75" customHeight="1">
      <c r="A734" s="139"/>
      <c r="B734" s="140"/>
      <c r="C734" s="140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ht="15.75" customHeight="1">
      <c r="A735" s="139"/>
      <c r="B735" s="140"/>
      <c r="C735" s="140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ht="15.75" customHeight="1">
      <c r="A736" s="139"/>
      <c r="B736" s="140"/>
      <c r="C736" s="140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ht="15.75" customHeight="1">
      <c r="A737" s="139"/>
      <c r="B737" s="140"/>
      <c r="C737" s="140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ht="15.75" customHeight="1">
      <c r="A738" s="139"/>
      <c r="B738" s="140"/>
      <c r="C738" s="140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ht="15.75" customHeight="1">
      <c r="A739" s="139"/>
      <c r="B739" s="140"/>
      <c r="C739" s="140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ht="15.75" customHeight="1">
      <c r="A740" s="139"/>
      <c r="B740" s="140"/>
      <c r="C740" s="140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ht="15.75" customHeight="1">
      <c r="A741" s="139"/>
      <c r="B741" s="140"/>
      <c r="C741" s="140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ht="15.75" customHeight="1">
      <c r="A742" s="139"/>
      <c r="B742" s="140"/>
      <c r="C742" s="140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ht="15.75" customHeight="1">
      <c r="A743" s="139"/>
      <c r="B743" s="140"/>
      <c r="C743" s="140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ht="15.75" customHeight="1">
      <c r="A744" s="139"/>
      <c r="B744" s="140"/>
      <c r="C744" s="140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ht="15.75" customHeight="1">
      <c r="A745" s="139"/>
      <c r="B745" s="140"/>
      <c r="C745" s="140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ht="15.75" customHeight="1">
      <c r="A746" s="139"/>
      <c r="B746" s="140"/>
      <c r="C746" s="140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ht="15.75" customHeight="1">
      <c r="A747" s="139"/>
      <c r="B747" s="140"/>
      <c r="C747" s="140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ht="15.75" customHeight="1">
      <c r="A748" s="139"/>
      <c r="B748" s="140"/>
      <c r="C748" s="140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ht="15.75" customHeight="1">
      <c r="A749" s="139"/>
      <c r="B749" s="140"/>
      <c r="C749" s="140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ht="15.75" customHeight="1">
      <c r="A750" s="139"/>
      <c r="B750" s="140"/>
      <c r="C750" s="140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ht="15.75" customHeight="1">
      <c r="A751" s="139"/>
      <c r="B751" s="140"/>
      <c r="C751" s="140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ht="15.75" customHeight="1">
      <c r="A752" s="139"/>
      <c r="B752" s="140"/>
      <c r="C752" s="140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ht="15.75" customHeight="1">
      <c r="A753" s="139"/>
      <c r="B753" s="140"/>
      <c r="C753" s="140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ht="15.75" customHeight="1">
      <c r="A754" s="139"/>
      <c r="B754" s="140"/>
      <c r="C754" s="140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ht="15.75" customHeight="1">
      <c r="A755" s="139"/>
      <c r="B755" s="140"/>
      <c r="C755" s="140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ht="15.75" customHeight="1">
      <c r="A756" s="139"/>
      <c r="B756" s="140"/>
      <c r="C756" s="140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ht="15.75" customHeight="1">
      <c r="A757" s="139"/>
      <c r="B757" s="140"/>
      <c r="C757" s="140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ht="15.75" customHeight="1">
      <c r="A758" s="139"/>
      <c r="B758" s="140"/>
      <c r="C758" s="140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ht="15.75" customHeight="1">
      <c r="A759" s="139"/>
      <c r="B759" s="140"/>
      <c r="C759" s="140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ht="15.75" customHeight="1">
      <c r="A760" s="139"/>
      <c r="B760" s="140"/>
      <c r="C760" s="140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ht="15.75" customHeight="1">
      <c r="A761" s="139"/>
      <c r="B761" s="140"/>
      <c r="C761" s="140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ht="15.75" customHeight="1">
      <c r="A762" s="139"/>
      <c r="B762" s="140"/>
      <c r="C762" s="140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ht="15.75" customHeight="1">
      <c r="A763" s="139"/>
      <c r="B763" s="140"/>
      <c r="C763" s="140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ht="15.75" customHeight="1">
      <c r="A764" s="139"/>
      <c r="B764" s="140"/>
      <c r="C764" s="140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ht="15.75" customHeight="1">
      <c r="A765" s="139"/>
      <c r="B765" s="140"/>
      <c r="C765" s="140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ht="15.75" customHeight="1">
      <c r="A766" s="139"/>
      <c r="B766" s="140"/>
      <c r="C766" s="140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ht="15.75" customHeight="1">
      <c r="A767" s="139"/>
      <c r="B767" s="140"/>
      <c r="C767" s="140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ht="15.75" customHeight="1">
      <c r="A768" s="139"/>
      <c r="B768" s="140"/>
      <c r="C768" s="140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ht="15.75" customHeight="1">
      <c r="A769" s="139"/>
      <c r="B769" s="140"/>
      <c r="C769" s="140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ht="15.75" customHeight="1">
      <c r="A770" s="139"/>
      <c r="B770" s="140"/>
      <c r="C770" s="140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ht="15.75" customHeight="1">
      <c r="A771" s="139"/>
      <c r="B771" s="140"/>
      <c r="C771" s="140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ht="15.75" customHeight="1">
      <c r="A772" s="139"/>
      <c r="B772" s="140"/>
      <c r="C772" s="140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ht="15.75" customHeight="1">
      <c r="A773" s="139"/>
      <c r="B773" s="140"/>
      <c r="C773" s="140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ht="15.75" customHeight="1">
      <c r="A774" s="139"/>
      <c r="B774" s="140"/>
      <c r="C774" s="140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ht="15.75" customHeight="1">
      <c r="A775" s="139"/>
      <c r="B775" s="140"/>
      <c r="C775" s="140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ht="15.75" customHeight="1">
      <c r="A776" s="139"/>
      <c r="B776" s="140"/>
      <c r="C776" s="140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ht="15.75" customHeight="1">
      <c r="A777" s="139"/>
      <c r="B777" s="140"/>
      <c r="C777" s="140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ht="15.75" customHeight="1">
      <c r="A778" s="139"/>
      <c r="B778" s="140"/>
      <c r="C778" s="140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ht="15.75" customHeight="1">
      <c r="A779" s="139"/>
      <c r="B779" s="140"/>
      <c r="C779" s="140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ht="15.75" customHeight="1">
      <c r="A780" s="139"/>
      <c r="B780" s="140"/>
      <c r="C780" s="140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ht="15.75" customHeight="1">
      <c r="A781" s="139"/>
      <c r="B781" s="140"/>
      <c r="C781" s="140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ht="15.75" customHeight="1">
      <c r="A782" s="139"/>
      <c r="B782" s="140"/>
      <c r="C782" s="140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ht="15.75" customHeight="1">
      <c r="A783" s="139"/>
      <c r="B783" s="140"/>
      <c r="C783" s="140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ht="15.75" customHeight="1">
      <c r="A784" s="139"/>
      <c r="B784" s="140"/>
      <c r="C784" s="140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ht="15.75" customHeight="1">
      <c r="A785" s="139"/>
      <c r="B785" s="140"/>
      <c r="C785" s="140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ht="15.75" customHeight="1">
      <c r="A786" s="139"/>
      <c r="B786" s="140"/>
      <c r="C786" s="140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ht="15.75" customHeight="1">
      <c r="A787" s="139"/>
      <c r="B787" s="140"/>
      <c r="C787" s="140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ht="15.75" customHeight="1">
      <c r="A788" s="139"/>
      <c r="B788" s="140"/>
      <c r="C788" s="140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ht="15.75" customHeight="1">
      <c r="A789" s="139"/>
      <c r="B789" s="140"/>
      <c r="C789" s="140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ht="15.75" customHeight="1">
      <c r="A790" s="139"/>
      <c r="B790" s="140"/>
      <c r="C790" s="140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ht="15.75" customHeight="1">
      <c r="A791" s="139"/>
      <c r="B791" s="140"/>
      <c r="C791" s="140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ht="15.75" customHeight="1">
      <c r="A792" s="139"/>
      <c r="B792" s="140"/>
      <c r="C792" s="140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ht="15.75" customHeight="1">
      <c r="A793" s="139"/>
      <c r="B793" s="140"/>
      <c r="C793" s="140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ht="15.75" customHeight="1">
      <c r="A794" s="139"/>
      <c r="B794" s="140"/>
      <c r="C794" s="140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ht="15.75" customHeight="1">
      <c r="A795" s="139"/>
      <c r="B795" s="140"/>
      <c r="C795" s="140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ht="15.75" customHeight="1">
      <c r="A796" s="139"/>
      <c r="B796" s="140"/>
      <c r="C796" s="140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ht="15.75" customHeight="1">
      <c r="A797" s="139"/>
      <c r="B797" s="140"/>
      <c r="C797" s="140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ht="15.75" customHeight="1">
      <c r="A798" s="139"/>
      <c r="B798" s="140"/>
      <c r="C798" s="140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ht="15.75" customHeight="1">
      <c r="A799" s="139"/>
      <c r="B799" s="140"/>
      <c r="C799" s="140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ht="15.75" customHeight="1">
      <c r="A800" s="139"/>
      <c r="B800" s="140"/>
      <c r="C800" s="140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ht="15.75" customHeight="1">
      <c r="A801" s="139"/>
      <c r="B801" s="140"/>
      <c r="C801" s="140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ht="15.75" customHeight="1">
      <c r="A802" s="139"/>
      <c r="B802" s="140"/>
      <c r="C802" s="140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ht="15.75" customHeight="1">
      <c r="A803" s="139"/>
      <c r="B803" s="140"/>
      <c r="C803" s="140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ht="15.75" customHeight="1">
      <c r="A804" s="139"/>
      <c r="B804" s="140"/>
      <c r="C804" s="140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ht="15.75" customHeight="1">
      <c r="A805" s="139"/>
      <c r="B805" s="140"/>
      <c r="C805" s="140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ht="15.75" customHeight="1">
      <c r="A806" s="139"/>
      <c r="B806" s="140"/>
      <c r="C806" s="140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ht="15.75" customHeight="1">
      <c r="A807" s="139"/>
      <c r="B807" s="140"/>
      <c r="C807" s="140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ht="15.75" customHeight="1">
      <c r="A808" s="139"/>
      <c r="B808" s="140"/>
      <c r="C808" s="140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ht="15.75" customHeight="1">
      <c r="A809" s="139"/>
      <c r="B809" s="140"/>
      <c r="C809" s="140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ht="15.75" customHeight="1">
      <c r="A810" s="139"/>
      <c r="B810" s="140"/>
      <c r="C810" s="140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ht="15.75" customHeight="1">
      <c r="A811" s="139"/>
      <c r="B811" s="140"/>
      <c r="C811" s="140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ht="15.75" customHeight="1">
      <c r="A812" s="139"/>
      <c r="B812" s="140"/>
      <c r="C812" s="140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ht="15.75" customHeight="1">
      <c r="A813" s="139"/>
      <c r="B813" s="140"/>
      <c r="C813" s="140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ht="15.75" customHeight="1">
      <c r="A814" s="139"/>
      <c r="B814" s="140"/>
      <c r="C814" s="140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ht="15.75" customHeight="1">
      <c r="A815" s="139"/>
      <c r="B815" s="140"/>
      <c r="C815" s="140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ht="15.75" customHeight="1">
      <c r="A816" s="139"/>
      <c r="B816" s="140"/>
      <c r="C816" s="140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ht="15.75" customHeight="1">
      <c r="A817" s="139"/>
      <c r="B817" s="140"/>
      <c r="C817" s="140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ht="15.75" customHeight="1">
      <c r="A818" s="139"/>
      <c r="B818" s="140"/>
      <c r="C818" s="140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ht="15.75" customHeight="1">
      <c r="A819" s="139"/>
      <c r="B819" s="140"/>
      <c r="C819" s="140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ht="15.75" customHeight="1">
      <c r="A820" s="139"/>
      <c r="B820" s="140"/>
      <c r="C820" s="140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ht="15.75" customHeight="1">
      <c r="A821" s="139"/>
      <c r="B821" s="140"/>
      <c r="C821" s="140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ht="15.75" customHeight="1">
      <c r="A822" s="139"/>
      <c r="B822" s="140"/>
      <c r="C822" s="140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ht="15.75" customHeight="1">
      <c r="A823" s="139"/>
      <c r="B823" s="140"/>
      <c r="C823" s="140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ht="15.75" customHeight="1">
      <c r="A824" s="139"/>
      <c r="B824" s="140"/>
      <c r="C824" s="140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ht="15.75" customHeight="1">
      <c r="A825" s="139"/>
      <c r="B825" s="140"/>
      <c r="C825" s="140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ht="15.75" customHeight="1">
      <c r="A826" s="139"/>
      <c r="B826" s="140"/>
      <c r="C826" s="140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ht="15.75" customHeight="1">
      <c r="A827" s="139"/>
      <c r="B827" s="140"/>
      <c r="C827" s="140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ht="15.75" customHeight="1">
      <c r="A828" s="139"/>
      <c r="B828" s="140"/>
      <c r="C828" s="140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ht="15.75" customHeight="1">
      <c r="A829" s="139"/>
      <c r="B829" s="140"/>
      <c r="C829" s="140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ht="15.75" customHeight="1">
      <c r="A830" s="139"/>
      <c r="B830" s="140"/>
      <c r="C830" s="140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ht="15.75" customHeight="1">
      <c r="A831" s="139"/>
      <c r="B831" s="140"/>
      <c r="C831" s="140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ht="15.75" customHeight="1">
      <c r="A832" s="139"/>
      <c r="B832" s="140"/>
      <c r="C832" s="140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ht="15.75" customHeight="1">
      <c r="A833" s="139"/>
      <c r="B833" s="140"/>
      <c r="C833" s="140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ht="15.75" customHeight="1">
      <c r="A834" s="139"/>
      <c r="B834" s="140"/>
      <c r="C834" s="140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ht="15.75" customHeight="1">
      <c r="A835" s="139"/>
      <c r="B835" s="140"/>
      <c r="C835" s="140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ht="15.75" customHeight="1">
      <c r="A836" s="139"/>
      <c r="B836" s="140"/>
      <c r="C836" s="140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ht="15.75" customHeight="1">
      <c r="A837" s="139"/>
      <c r="B837" s="140"/>
      <c r="C837" s="140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ht="15.75" customHeight="1">
      <c r="A838" s="139"/>
      <c r="B838" s="140"/>
      <c r="C838" s="140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ht="15.75" customHeight="1">
      <c r="A839" s="139"/>
      <c r="B839" s="140"/>
      <c r="C839" s="140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ht="15.75" customHeight="1">
      <c r="A840" s="139"/>
      <c r="B840" s="140"/>
      <c r="C840" s="140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ht="15.75" customHeight="1">
      <c r="A841" s="139"/>
      <c r="B841" s="140"/>
      <c r="C841" s="140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ht="15.75" customHeight="1">
      <c r="A842" s="139"/>
      <c r="B842" s="140"/>
      <c r="C842" s="140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ht="15.75" customHeight="1">
      <c r="A843" s="139"/>
      <c r="B843" s="140"/>
      <c r="C843" s="140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ht="15.75" customHeight="1">
      <c r="A844" s="139"/>
      <c r="B844" s="140"/>
      <c r="C844" s="140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ht="15.75" customHeight="1">
      <c r="A845" s="139"/>
      <c r="B845" s="140"/>
      <c r="C845" s="140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ht="15.75" customHeight="1">
      <c r="A846" s="139"/>
      <c r="B846" s="140"/>
      <c r="C846" s="140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ht="15.75" customHeight="1">
      <c r="A847" s="139"/>
      <c r="B847" s="140"/>
      <c r="C847" s="140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ht="15.75" customHeight="1">
      <c r="A848" s="139"/>
      <c r="B848" s="140"/>
      <c r="C848" s="140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ht="15.75" customHeight="1">
      <c r="A849" s="139"/>
      <c r="B849" s="140"/>
      <c r="C849" s="140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ht="15.75" customHeight="1">
      <c r="A850" s="139"/>
      <c r="B850" s="140"/>
      <c r="C850" s="140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ht="15.75" customHeight="1">
      <c r="A851" s="139"/>
      <c r="B851" s="140"/>
      <c r="C851" s="140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ht="15.75" customHeight="1">
      <c r="A852" s="139"/>
      <c r="B852" s="140"/>
      <c r="C852" s="140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ht="15.75" customHeight="1">
      <c r="A853" s="139"/>
      <c r="B853" s="140"/>
      <c r="C853" s="140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ht="15.75" customHeight="1">
      <c r="A854" s="139"/>
      <c r="B854" s="140"/>
      <c r="C854" s="140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ht="15.75" customHeight="1">
      <c r="A855" s="139"/>
      <c r="B855" s="140"/>
      <c r="C855" s="140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ht="15.75" customHeight="1">
      <c r="A856" s="139"/>
      <c r="B856" s="140"/>
      <c r="C856" s="140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ht="15.75" customHeight="1">
      <c r="A857" s="139"/>
      <c r="B857" s="140"/>
      <c r="C857" s="140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ht="15.75" customHeight="1">
      <c r="A858" s="139"/>
      <c r="B858" s="140"/>
      <c r="C858" s="140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ht="15.75" customHeight="1">
      <c r="A859" s="139"/>
      <c r="B859" s="140"/>
      <c r="C859" s="140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ht="15.75" customHeight="1">
      <c r="A860" s="139"/>
      <c r="B860" s="140"/>
      <c r="C860" s="140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ht="15.75" customHeight="1">
      <c r="A861" s="139"/>
      <c r="B861" s="140"/>
      <c r="C861" s="140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ht="15.75" customHeight="1">
      <c r="A862" s="139"/>
      <c r="B862" s="140"/>
      <c r="C862" s="140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ht="15.75" customHeight="1">
      <c r="A863" s="139"/>
      <c r="B863" s="140"/>
      <c r="C863" s="140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ht="15.75" customHeight="1">
      <c r="A864" s="139"/>
      <c r="B864" s="140"/>
      <c r="C864" s="140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ht="15.75" customHeight="1">
      <c r="A865" s="139"/>
      <c r="B865" s="140"/>
      <c r="C865" s="140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ht="15.75" customHeight="1">
      <c r="A866" s="139"/>
      <c r="B866" s="140"/>
      <c r="C866" s="140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ht="15.75" customHeight="1">
      <c r="A867" s="139"/>
      <c r="B867" s="140"/>
      <c r="C867" s="140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ht="15.75" customHeight="1">
      <c r="A868" s="139"/>
      <c r="B868" s="140"/>
      <c r="C868" s="140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ht="15.75" customHeight="1">
      <c r="A869" s="139"/>
      <c r="B869" s="140"/>
      <c r="C869" s="140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ht="15.75" customHeight="1">
      <c r="A870" s="139"/>
      <c r="B870" s="140"/>
      <c r="C870" s="140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ht="15.75" customHeight="1">
      <c r="A871" s="139"/>
      <c r="B871" s="140"/>
      <c r="C871" s="140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ht="15.75" customHeight="1">
      <c r="A872" s="139"/>
      <c r="B872" s="140"/>
      <c r="C872" s="140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ht="15.75" customHeight="1">
      <c r="A873" s="139"/>
      <c r="B873" s="140"/>
      <c r="C873" s="140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ht="15.75" customHeight="1">
      <c r="A874" s="139"/>
      <c r="B874" s="140"/>
      <c r="C874" s="140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ht="15.75" customHeight="1">
      <c r="A875" s="139"/>
      <c r="B875" s="140"/>
      <c r="C875" s="140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ht="15.75" customHeight="1">
      <c r="A876" s="139"/>
      <c r="B876" s="140"/>
      <c r="C876" s="140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ht="15.75" customHeight="1">
      <c r="A877" s="139"/>
      <c r="B877" s="140"/>
      <c r="C877" s="140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ht="15.75" customHeight="1">
      <c r="A878" s="139"/>
      <c r="B878" s="140"/>
      <c r="C878" s="140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ht="15.75" customHeight="1">
      <c r="A879" s="139"/>
      <c r="B879" s="140"/>
      <c r="C879" s="140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ht="15.75" customHeight="1">
      <c r="A880" s="139"/>
      <c r="B880" s="140"/>
      <c r="C880" s="140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ht="15.75" customHeight="1">
      <c r="A881" s="139"/>
      <c r="B881" s="140"/>
      <c r="C881" s="140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ht="15.75" customHeight="1">
      <c r="A882" s="139"/>
      <c r="B882" s="140"/>
      <c r="C882" s="140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ht="15.75" customHeight="1">
      <c r="A883" s="139"/>
      <c r="B883" s="140"/>
      <c r="C883" s="140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ht="15.75" customHeight="1">
      <c r="A884" s="139"/>
      <c r="B884" s="140"/>
      <c r="C884" s="140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ht="15.75" customHeight="1">
      <c r="A885" s="139"/>
      <c r="B885" s="140"/>
      <c r="C885" s="140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ht="15.75" customHeight="1">
      <c r="A886" s="139"/>
      <c r="B886" s="140"/>
      <c r="C886" s="140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ht="15.75" customHeight="1">
      <c r="A887" s="139"/>
      <c r="B887" s="140"/>
      <c r="C887" s="140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ht="15.75" customHeight="1">
      <c r="A888" s="139"/>
      <c r="B888" s="140"/>
      <c r="C888" s="140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ht="15.75" customHeight="1">
      <c r="A889" s="139"/>
      <c r="B889" s="140"/>
      <c r="C889" s="140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ht="15.75" customHeight="1">
      <c r="A890" s="139"/>
      <c r="B890" s="140"/>
      <c r="C890" s="140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ht="15.75" customHeight="1">
      <c r="A891" s="139"/>
      <c r="B891" s="140"/>
      <c r="C891" s="140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ht="15.75" customHeight="1">
      <c r="A892" s="139"/>
      <c r="B892" s="140"/>
      <c r="C892" s="140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ht="15.75" customHeight="1">
      <c r="A893" s="139"/>
      <c r="B893" s="140"/>
      <c r="C893" s="140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ht="15.75" customHeight="1">
      <c r="A894" s="139"/>
      <c r="B894" s="140"/>
      <c r="C894" s="140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ht="15.75" customHeight="1">
      <c r="A895" s="139"/>
      <c r="B895" s="140"/>
      <c r="C895" s="140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ht="15.75" customHeight="1">
      <c r="A896" s="139"/>
      <c r="B896" s="140"/>
      <c r="C896" s="140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ht="15.75" customHeight="1">
      <c r="A897" s="139"/>
      <c r="B897" s="140"/>
      <c r="C897" s="140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ht="15.75" customHeight="1">
      <c r="A898" s="139"/>
      <c r="B898" s="140"/>
      <c r="C898" s="140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ht="15.75" customHeight="1">
      <c r="A899" s="139"/>
      <c r="B899" s="140"/>
      <c r="C899" s="140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ht="15.75" customHeight="1">
      <c r="A900" s="139"/>
      <c r="B900" s="140"/>
      <c r="C900" s="140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ht="15.75" customHeight="1">
      <c r="A901" s="139"/>
      <c r="B901" s="140"/>
      <c r="C901" s="140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ht="15.75" customHeight="1">
      <c r="A902" s="139"/>
      <c r="B902" s="140"/>
      <c r="C902" s="140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ht="15.75" customHeight="1">
      <c r="A903" s="139"/>
      <c r="B903" s="140"/>
      <c r="C903" s="140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ht="15.75" customHeight="1">
      <c r="A904" s="139"/>
      <c r="B904" s="140"/>
      <c r="C904" s="140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ht="15.75" customHeight="1">
      <c r="A905" s="139"/>
      <c r="B905" s="140"/>
      <c r="C905" s="140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ht="15.75" customHeight="1">
      <c r="A906" s="139"/>
      <c r="B906" s="140"/>
      <c r="C906" s="140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ht="15.75" customHeight="1">
      <c r="A907" s="139"/>
      <c r="B907" s="140"/>
      <c r="C907" s="140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ht="15.75" customHeight="1">
      <c r="A908" s="139"/>
      <c r="B908" s="140"/>
      <c r="C908" s="140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ht="15.75" customHeight="1">
      <c r="A909" s="139"/>
      <c r="B909" s="140"/>
      <c r="C909" s="140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ht="15.75" customHeight="1">
      <c r="A910" s="139"/>
      <c r="B910" s="140"/>
      <c r="C910" s="140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ht="15.75" customHeight="1">
      <c r="A911" s="139"/>
      <c r="B911" s="140"/>
      <c r="C911" s="140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ht="15.75" customHeight="1">
      <c r="A912" s="139"/>
      <c r="B912" s="140"/>
      <c r="C912" s="140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ht="15.75" customHeight="1">
      <c r="A913" s="139"/>
      <c r="B913" s="140"/>
      <c r="C913" s="140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ht="15.75" customHeight="1">
      <c r="A914" s="139"/>
      <c r="B914" s="140"/>
      <c r="C914" s="140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ht="15.75" customHeight="1">
      <c r="A915" s="139"/>
      <c r="B915" s="140"/>
      <c r="C915" s="140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ht="15.75" customHeight="1">
      <c r="A916" s="139"/>
      <c r="B916" s="140"/>
      <c r="C916" s="140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ht="15.75" customHeight="1">
      <c r="A917" s="139"/>
      <c r="B917" s="140"/>
      <c r="C917" s="140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ht="15.75" customHeight="1">
      <c r="A918" s="139"/>
      <c r="B918" s="140"/>
      <c r="C918" s="140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ht="15.75" customHeight="1">
      <c r="A919" s="139"/>
      <c r="B919" s="140"/>
      <c r="C919" s="140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ht="15.75" customHeight="1">
      <c r="A920" s="139"/>
      <c r="B920" s="140"/>
      <c r="C920" s="140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ht="15.75" customHeight="1">
      <c r="A921" s="139"/>
      <c r="B921" s="140"/>
      <c r="C921" s="140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ht="15.75" customHeight="1">
      <c r="A922" s="139"/>
      <c r="B922" s="140"/>
      <c r="C922" s="140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ht="15.75" customHeight="1">
      <c r="A923" s="139"/>
      <c r="B923" s="140"/>
      <c r="C923" s="140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ht="15.75" customHeight="1">
      <c r="A924" s="139"/>
      <c r="B924" s="140"/>
      <c r="C924" s="140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ht="15.75" customHeight="1">
      <c r="A925" s="139"/>
      <c r="B925" s="140"/>
      <c r="C925" s="140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ht="15.75" customHeight="1">
      <c r="A926" s="139"/>
      <c r="B926" s="140"/>
      <c r="C926" s="140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ht="15.75" customHeight="1">
      <c r="A927" s="139"/>
      <c r="B927" s="140"/>
      <c r="C927" s="140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ht="15.75" customHeight="1">
      <c r="A928" s="139"/>
      <c r="B928" s="140"/>
      <c r="C928" s="140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ht="15.75" customHeight="1">
      <c r="A929" s="139"/>
      <c r="B929" s="140"/>
      <c r="C929" s="140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ht="15.75" customHeight="1">
      <c r="A930" s="139"/>
      <c r="B930" s="140"/>
      <c r="C930" s="140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ht="15.75" customHeight="1">
      <c r="A931" s="139"/>
      <c r="B931" s="140"/>
      <c r="C931" s="140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ht="15.75" customHeight="1">
      <c r="A932" s="139"/>
      <c r="B932" s="140"/>
      <c r="C932" s="140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ht="15.75" customHeight="1">
      <c r="A933" s="139"/>
      <c r="B933" s="140"/>
      <c r="C933" s="140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ht="15.75" customHeight="1">
      <c r="A934" s="139"/>
      <c r="B934" s="140"/>
      <c r="C934" s="140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ht="15.75" customHeight="1">
      <c r="A935" s="139"/>
      <c r="B935" s="140"/>
      <c r="C935" s="140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ht="15.75" customHeight="1">
      <c r="A936" s="139"/>
      <c r="B936" s="140"/>
      <c r="C936" s="140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ht="15.75" customHeight="1">
      <c r="A937" s="139"/>
      <c r="B937" s="140"/>
      <c r="C937" s="140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ht="15.75" customHeight="1">
      <c r="A938" s="139"/>
      <c r="B938" s="140"/>
      <c r="C938" s="140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ht="15.75" customHeight="1">
      <c r="A939" s="139"/>
      <c r="B939" s="140"/>
      <c r="C939" s="140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ht="15.75" customHeight="1">
      <c r="A940" s="139"/>
      <c r="B940" s="140"/>
      <c r="C940" s="140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ht="15.75" customHeight="1">
      <c r="A941" s="139"/>
      <c r="B941" s="140"/>
      <c r="C941" s="140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ht="15.75" customHeight="1">
      <c r="A942" s="139"/>
      <c r="B942" s="140"/>
      <c r="C942" s="140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ht="15.75" customHeight="1">
      <c r="A943" s="139"/>
      <c r="B943" s="140"/>
      <c r="C943" s="140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ht="15.75" customHeight="1">
      <c r="A944" s="139"/>
      <c r="B944" s="140"/>
      <c r="C944" s="140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ht="15.75" customHeight="1">
      <c r="A945" s="139"/>
      <c r="B945" s="140"/>
      <c r="C945" s="140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ht="15.75" customHeight="1">
      <c r="A946" s="139"/>
      <c r="B946" s="140"/>
      <c r="C946" s="140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ht="15.75" customHeight="1">
      <c r="A947" s="139"/>
      <c r="B947" s="140"/>
      <c r="C947" s="140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ht="15.75" customHeight="1">
      <c r="A948" s="139"/>
      <c r="B948" s="140"/>
      <c r="C948" s="140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ht="15.75" customHeight="1">
      <c r="A949" s="139"/>
      <c r="B949" s="140"/>
      <c r="C949" s="140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ht="15.75" customHeight="1">
      <c r="A950" s="139"/>
      <c r="B950" s="140"/>
      <c r="C950" s="140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ht="15.75" customHeight="1">
      <c r="A951" s="139"/>
      <c r="B951" s="140"/>
      <c r="C951" s="140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ht="15.75" customHeight="1">
      <c r="A952" s="139"/>
      <c r="B952" s="140"/>
      <c r="C952" s="140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ht="15.75" customHeight="1">
      <c r="A953" s="139"/>
      <c r="B953" s="140"/>
      <c r="C953" s="140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ht="15.75" customHeight="1">
      <c r="A954" s="139"/>
      <c r="B954" s="140"/>
      <c r="C954" s="140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ht="15.75" customHeight="1">
      <c r="A955" s="139"/>
      <c r="B955" s="140"/>
      <c r="C955" s="140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ht="15.75" customHeight="1">
      <c r="A956" s="139"/>
      <c r="B956" s="140"/>
      <c r="C956" s="140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ht="15.75" customHeight="1">
      <c r="A957" s="139"/>
      <c r="B957" s="140"/>
      <c r="C957" s="140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ht="15.75" customHeight="1">
      <c r="A958" s="139"/>
      <c r="B958" s="140"/>
      <c r="C958" s="140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ht="15.75" customHeight="1">
      <c r="A959" s="139"/>
      <c r="B959" s="140"/>
      <c r="C959" s="140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ht="15.75" customHeight="1">
      <c r="A960" s="139"/>
      <c r="B960" s="140"/>
      <c r="C960" s="140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ht="15.75" customHeight="1">
      <c r="A961" s="139"/>
      <c r="B961" s="140"/>
      <c r="C961" s="140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ht="15.75" customHeight="1">
      <c r="A962" s="139"/>
      <c r="B962" s="140"/>
      <c r="C962" s="140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ht="15.75" customHeight="1">
      <c r="A963" s="139"/>
      <c r="B963" s="140"/>
      <c r="C963" s="140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ht="15.75" customHeight="1">
      <c r="A964" s="139"/>
      <c r="B964" s="140"/>
      <c r="C964" s="140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ht="15.75" customHeight="1">
      <c r="A965" s="139"/>
      <c r="B965" s="140"/>
      <c r="C965" s="140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ht="15.75" customHeight="1">
      <c r="A966" s="139"/>
      <c r="B966" s="140"/>
      <c r="C966" s="140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ht="15.75" customHeight="1">
      <c r="A967" s="139"/>
      <c r="B967" s="140"/>
      <c r="C967" s="140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ht="15.75" customHeight="1">
      <c r="A968" s="139"/>
      <c r="B968" s="140"/>
      <c r="C968" s="140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ht="15.75" customHeight="1">
      <c r="A969" s="139"/>
      <c r="B969" s="140"/>
      <c r="C969" s="140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ht="15.75" customHeight="1">
      <c r="A970" s="139"/>
      <c r="B970" s="140"/>
      <c r="C970" s="140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ht="15.75" customHeight="1">
      <c r="A971" s="139"/>
      <c r="B971" s="140"/>
      <c r="C971" s="140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ht="15.75" customHeight="1">
      <c r="A972" s="139"/>
      <c r="B972" s="140"/>
      <c r="C972" s="140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ht="15.75" customHeight="1">
      <c r="A973" s="139"/>
      <c r="B973" s="140"/>
      <c r="C973" s="140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ht="15.75" customHeight="1">
      <c r="A974" s="139"/>
      <c r="B974" s="140"/>
      <c r="C974" s="140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ht="15.75" customHeight="1">
      <c r="A975" s="139"/>
      <c r="B975" s="140"/>
      <c r="C975" s="140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ht="15.75" customHeight="1">
      <c r="A976" s="139"/>
      <c r="B976" s="140"/>
      <c r="C976" s="140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ht="15.75" customHeight="1">
      <c r="A977" s="139"/>
      <c r="B977" s="140"/>
      <c r="C977" s="140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ht="15.75" customHeight="1">
      <c r="A978" s="139"/>
      <c r="B978" s="140"/>
      <c r="C978" s="140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ht="15.75" customHeight="1">
      <c r="A979" s="139"/>
      <c r="B979" s="140"/>
      <c r="C979" s="140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ht="15.75" customHeight="1">
      <c r="A980" s="139"/>
      <c r="B980" s="140"/>
      <c r="C980" s="140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ht="15.75" customHeight="1">
      <c r="A981" s="139"/>
      <c r="B981" s="140"/>
      <c r="C981" s="140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ht="15.75" customHeight="1">
      <c r="A982" s="139"/>
      <c r="B982" s="140"/>
      <c r="C982" s="140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ht="15.75" customHeight="1">
      <c r="A983" s="139"/>
      <c r="B983" s="140"/>
      <c r="C983" s="140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ht="15.75" customHeight="1">
      <c r="A984" s="139"/>
      <c r="B984" s="140"/>
      <c r="C984" s="140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ht="15.75" customHeight="1">
      <c r="A985" s="139"/>
      <c r="B985" s="140"/>
      <c r="C985" s="140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ht="15.75" customHeight="1">
      <c r="A986" s="139"/>
      <c r="B986" s="140"/>
      <c r="C986" s="140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ht="15.75" customHeight="1">
      <c r="A987" s="139"/>
      <c r="B987" s="140"/>
      <c r="C987" s="140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ht="15.75" customHeight="1">
      <c r="A988" s="139"/>
      <c r="B988" s="140"/>
      <c r="C988" s="140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ht="15.75" customHeight="1">
      <c r="A989" s="139"/>
      <c r="B989" s="140"/>
      <c r="C989" s="140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ht="15.75" customHeight="1">
      <c r="A990" s="139"/>
      <c r="B990" s="140"/>
      <c r="C990" s="140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ht="15.75" customHeight="1">
      <c r="A991" s="139"/>
      <c r="B991" s="140"/>
      <c r="C991" s="140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ht="15.75" customHeight="1">
      <c r="A992" s="139"/>
      <c r="B992" s="140"/>
      <c r="C992" s="140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ht="15.75" customHeight="1">
      <c r="A993" s="139"/>
      <c r="B993" s="140"/>
      <c r="C993" s="140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ht="15.75" customHeight="1">
      <c r="A994" s="139"/>
      <c r="B994" s="140"/>
      <c r="C994" s="140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ht="15.75" customHeight="1">
      <c r="A995" s="139"/>
      <c r="B995" s="140"/>
      <c r="C995" s="140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ht="15.75" customHeight="1">
      <c r="A996" s="139"/>
      <c r="B996" s="140"/>
      <c r="C996" s="140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ht="15.75" customHeight="1">
      <c r="A997" s="139"/>
      <c r="B997" s="140"/>
      <c r="C997" s="140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ht="15.75" customHeight="1">
      <c r="A998" s="139"/>
      <c r="B998" s="140"/>
      <c r="C998" s="140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ht="15.75" customHeight="1">
      <c r="A999" s="139"/>
      <c r="B999" s="140"/>
      <c r="C999" s="140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ht="15.75" customHeight="1">
      <c r="A1000" s="139"/>
      <c r="B1000" s="140"/>
      <c r="C1000" s="140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mergeCells count="3">
    <mergeCell ref="D1:F1"/>
    <mergeCell ref="H1:K1"/>
    <mergeCell ref="L1:O1"/>
  </mergeCells>
  <conditionalFormatting sqref="D1:D25 D26:G77 D82:G1000 E2:G25 G15:G76">
    <cfRule type="cellIs" dxfId="0" priority="1" operator="lessThan">
      <formula>-0.0001</formula>
    </cfRule>
  </conditionalFormatting>
  <conditionalFormatting sqref="D3:G77 D82:G1000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2.63" defaultRowHeight="15.0"/>
  <cols>
    <col customWidth="1" min="1" max="1" width="27.63"/>
    <col customWidth="1" min="2" max="2" width="10.13"/>
    <col customWidth="1" min="3" max="3" width="10.38"/>
    <col customWidth="1" min="4" max="4" width="10.75"/>
    <col customWidth="1" min="5" max="5" width="11.0"/>
    <col customWidth="1" min="6" max="6" width="11.75"/>
    <col customWidth="1" min="7" max="7" width="13.63"/>
    <col customWidth="1" min="8" max="8" width="14.75"/>
    <col customWidth="1" min="9" max="9" width="13.63"/>
    <col customWidth="1" min="10" max="10" width="15.0"/>
    <col customWidth="1" min="11" max="11" width="16.13"/>
    <col customWidth="1" min="12" max="12" width="15.0"/>
    <col customWidth="1" min="13" max="13" width="13.63"/>
    <col customWidth="1" min="14" max="15" width="16.38"/>
    <col customWidth="1" min="16" max="26" width="27.75"/>
  </cols>
  <sheetData>
    <row r="1" ht="15.75" customHeight="1">
      <c r="A1" s="98"/>
      <c r="B1" s="98"/>
      <c r="C1" s="98"/>
      <c r="D1" s="143" t="s">
        <v>4</v>
      </c>
      <c r="E1" s="106"/>
      <c r="F1" s="107"/>
      <c r="G1" s="108"/>
      <c r="H1" s="109" t="s">
        <v>130</v>
      </c>
      <c r="I1" s="106"/>
      <c r="J1" s="106"/>
      <c r="K1" s="107"/>
      <c r="L1" s="110" t="s">
        <v>131</v>
      </c>
      <c r="M1" s="111"/>
      <c r="N1" s="111"/>
      <c r="O1" s="112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15.75" customHeight="1">
      <c r="A2" s="114" t="s">
        <v>61</v>
      </c>
      <c r="B2" s="115" t="s">
        <v>62</v>
      </c>
      <c r="C2" s="115" t="s">
        <v>63</v>
      </c>
      <c r="D2" s="116" t="s">
        <v>6</v>
      </c>
      <c r="E2" s="116" t="s">
        <v>10</v>
      </c>
      <c r="F2" s="116" t="s">
        <v>11</v>
      </c>
      <c r="G2" s="116" t="s">
        <v>9</v>
      </c>
      <c r="H2" s="117" t="s">
        <v>6</v>
      </c>
      <c r="I2" s="117" t="s">
        <v>10</v>
      </c>
      <c r="J2" s="117" t="s">
        <v>8</v>
      </c>
      <c r="K2" s="117" t="s">
        <v>9</v>
      </c>
      <c r="L2" s="118" t="s">
        <v>6</v>
      </c>
      <c r="M2" s="118" t="s">
        <v>7</v>
      </c>
      <c r="N2" s="118" t="s">
        <v>8</v>
      </c>
      <c r="O2" s="118" t="s">
        <v>12</v>
      </c>
      <c r="P2" s="119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15.75" customHeight="1">
      <c r="A3" s="98" t="s">
        <v>53</v>
      </c>
      <c r="B3" s="98" t="s">
        <v>25</v>
      </c>
      <c r="C3" s="98" t="s">
        <v>13</v>
      </c>
      <c r="D3" s="88">
        <f t="shared" ref="D3:E3" si="1">IF(H3=0,0%,IF(L3=0,100%,H3/L3-1))</f>
        <v>0.07882951351</v>
      </c>
      <c r="E3" s="88">
        <f t="shared" si="1"/>
        <v>-0.7366990862</v>
      </c>
      <c r="F3" s="88">
        <f t="shared" ref="F3:G3" si="2">IF(J3=0,0%,IF(N3=G29,100%,J3/N3-1))</f>
        <v>5.188214012</v>
      </c>
      <c r="G3" s="88">
        <f t="shared" si="2"/>
        <v>0.1945232449</v>
      </c>
      <c r="H3" s="120">
        <v>667115.5882876031</v>
      </c>
      <c r="I3" s="120">
        <v>34313.30933657603</v>
      </c>
      <c r="J3" s="120">
        <v>4261223.32943102</v>
      </c>
      <c r="K3" s="120">
        <v>3501586.280000001</v>
      </c>
      <c r="L3" s="121">
        <v>618369.7979480042</v>
      </c>
      <c r="M3" s="121">
        <v>130319.75029129861</v>
      </c>
      <c r="N3" s="121">
        <v>688603.0963020017</v>
      </c>
      <c r="O3" s="121">
        <v>2931367.216892004</v>
      </c>
      <c r="P3" s="122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15.75" customHeight="1">
      <c r="A4" s="98" t="s">
        <v>64</v>
      </c>
      <c r="B4" s="98" t="s">
        <v>25</v>
      </c>
      <c r="C4" s="98" t="s">
        <v>13</v>
      </c>
      <c r="D4" s="88">
        <f t="shared" ref="D4:F4" si="3">IF(H4=0,0%,IF(L4=0,100%,H4/L4-1))</f>
        <v>-2.65042488</v>
      </c>
      <c r="E4" s="88">
        <f t="shared" si="3"/>
        <v>-1.000010382</v>
      </c>
      <c r="F4" s="88">
        <f t="shared" si="3"/>
        <v>0.6210985369</v>
      </c>
      <c r="G4" s="88">
        <f t="shared" ref="G4:G5" si="5">IF(K4=0,0%,IF(O4=H30,100%,K4/O4-1))</f>
        <v>-0.2895126914</v>
      </c>
      <c r="H4" s="120">
        <v>28437.100000000035</v>
      </c>
      <c r="I4" s="120">
        <v>-0.01999999999998181</v>
      </c>
      <c r="J4" s="120">
        <v>423733.1105999998</v>
      </c>
      <c r="K4" s="120">
        <v>267337.6600000006</v>
      </c>
      <c r="L4" s="121">
        <v>-17230.169241999974</v>
      </c>
      <c r="M4" s="121">
        <v>1926.3883004714953</v>
      </c>
      <c r="N4" s="121">
        <v>261386.39999999944</v>
      </c>
      <c r="O4" s="121">
        <v>376273.66000000015</v>
      </c>
      <c r="P4" s="122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15.75" customHeight="1">
      <c r="A5" s="98" t="s">
        <v>37</v>
      </c>
      <c r="B5" s="98" t="s">
        <v>25</v>
      </c>
      <c r="C5" s="98" t="s">
        <v>13</v>
      </c>
      <c r="D5" s="88">
        <f t="shared" ref="D5:F5" si="4">IF(H5=0,0%,IF(L5=0,100%,H5/L5-1))</f>
        <v>0</v>
      </c>
      <c r="E5" s="88">
        <f t="shared" si="4"/>
        <v>1</v>
      </c>
      <c r="F5" s="88">
        <f t="shared" si="4"/>
        <v>1</v>
      </c>
      <c r="G5" s="88">
        <f t="shared" si="5"/>
        <v>0</v>
      </c>
      <c r="H5" s="120">
        <v>0.0</v>
      </c>
      <c r="I5" s="120">
        <v>-619.571520865531</v>
      </c>
      <c r="J5" s="120">
        <v>300000.0</v>
      </c>
      <c r="K5" s="120">
        <v>0.0</v>
      </c>
      <c r="L5" s="121"/>
      <c r="M5" s="121"/>
      <c r="N5" s="121"/>
      <c r="O5" s="121"/>
      <c r="P5" s="122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15.75" customHeight="1">
      <c r="A6" s="123" t="s">
        <v>65</v>
      </c>
      <c r="B6" s="98" t="s">
        <v>25</v>
      </c>
      <c r="C6" s="123" t="s">
        <v>13</v>
      </c>
      <c r="D6" s="124">
        <f t="shared" ref="D6:F6" si="6">IF(H6=0,0%,IF(L6=0,100%,H6/L6-1))</f>
        <v>1</v>
      </c>
      <c r="E6" s="124">
        <f t="shared" si="6"/>
        <v>1</v>
      </c>
      <c r="F6" s="124">
        <f t="shared" si="6"/>
        <v>1</v>
      </c>
      <c r="G6" s="88">
        <v>-1.0</v>
      </c>
      <c r="H6" s="120">
        <v>-172176.73722238434</v>
      </c>
      <c r="I6" s="120">
        <v>-5219.437148058176</v>
      </c>
      <c r="J6" s="120">
        <v>13531.01000000001</v>
      </c>
      <c r="K6" s="120">
        <v>-95073.94999999995</v>
      </c>
      <c r="L6" s="121"/>
      <c r="M6" s="121"/>
      <c r="N6" s="121"/>
      <c r="O6" s="121"/>
      <c r="P6" s="122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15.75" customHeight="1">
      <c r="A7" s="98" t="s">
        <v>66</v>
      </c>
      <c r="B7" s="98" t="s">
        <v>25</v>
      </c>
      <c r="C7" s="125" t="s">
        <v>13</v>
      </c>
      <c r="D7" s="88">
        <f t="shared" ref="D7:F7" si="7">IF(H7=0,0%,IF(L7=0,100%,H7/L7-1))</f>
        <v>-1.320046893</v>
      </c>
      <c r="E7" s="88">
        <f t="shared" si="7"/>
        <v>-1.000408891</v>
      </c>
      <c r="F7" s="88">
        <f t="shared" si="7"/>
        <v>29.45741453</v>
      </c>
      <c r="G7" s="88">
        <f t="shared" ref="G7:G8" si="9">IF(K7=0,0%,IF(O7=H74,100%,K7/O7-1))</f>
        <v>-1.804193664</v>
      </c>
      <c r="H7" s="120">
        <v>-24.56999999999971</v>
      </c>
      <c r="I7" s="120">
        <v>-1.1800000000000637</v>
      </c>
      <c r="J7" s="120">
        <v>3011.0199999999986</v>
      </c>
      <c r="K7" s="120">
        <v>-157.62999999999738</v>
      </c>
      <c r="L7" s="121">
        <v>76.77000000000407</v>
      </c>
      <c r="M7" s="121">
        <v>2885.85676</v>
      </c>
      <c r="N7" s="121">
        <v>98.86000000000058</v>
      </c>
      <c r="O7" s="121">
        <v>196.0099999999802</v>
      </c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ht="26.25" customHeight="1">
      <c r="A8" s="126" t="s">
        <v>67</v>
      </c>
      <c r="B8" s="127"/>
      <c r="C8" s="127"/>
      <c r="D8" s="128">
        <f t="shared" ref="D8:F8" si="8">IF(H8=0,0%,IF(L8=0,100%,H8/L8-1))</f>
        <v>-0.1295124647</v>
      </c>
      <c r="E8" s="128">
        <f t="shared" si="8"/>
        <v>-0.7892941594</v>
      </c>
      <c r="F8" s="128">
        <f t="shared" si="8"/>
        <v>4.264245622</v>
      </c>
      <c r="G8" s="88">
        <f t="shared" si="9"/>
        <v>0.1106026342</v>
      </c>
      <c r="H8" s="129">
        <f t="shared" ref="H8:O8" si="10">SUM(H3:H7)</f>
        <v>523351.3811</v>
      </c>
      <c r="I8" s="129">
        <f t="shared" si="10"/>
        <v>28473.10067</v>
      </c>
      <c r="J8" s="129">
        <f t="shared" si="10"/>
        <v>5001498.47</v>
      </c>
      <c r="K8" s="129">
        <f t="shared" si="10"/>
        <v>3673692.36</v>
      </c>
      <c r="L8" s="129">
        <f t="shared" si="10"/>
        <v>601216.3987</v>
      </c>
      <c r="M8" s="129">
        <f t="shared" si="10"/>
        <v>135131.9954</v>
      </c>
      <c r="N8" s="129">
        <f t="shared" si="10"/>
        <v>950088.3563</v>
      </c>
      <c r="O8" s="129">
        <f t="shared" si="10"/>
        <v>3307836.887</v>
      </c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ht="15.75" customHeight="1">
      <c r="A9" s="125" t="s">
        <v>68</v>
      </c>
      <c r="B9" s="98" t="s">
        <v>25</v>
      </c>
      <c r="C9" s="125" t="s">
        <v>69</v>
      </c>
      <c r="D9" s="130">
        <f t="shared" ref="D9:F9" si="11">IF(H9=0,0%,IF(L9=0,100%,H9/L9-1))</f>
        <v>-1.002599339</v>
      </c>
      <c r="E9" s="130">
        <f t="shared" si="11"/>
        <v>-1.006372255</v>
      </c>
      <c r="F9" s="130">
        <f t="shared" si="11"/>
        <v>0</v>
      </c>
      <c r="G9" s="130">
        <f t="shared" ref="G9:G11" si="13">IF(K9=0,0%,IF(O9=H33,100%,K9/O9-1))</f>
        <v>0.8560490083</v>
      </c>
      <c r="H9" s="120">
        <v>-0.3899999999994179</v>
      </c>
      <c r="I9" s="120">
        <v>-3.48700000000008</v>
      </c>
      <c r="J9" s="120">
        <v>0.0</v>
      </c>
      <c r="K9" s="120">
        <v>-91826.27999999997</v>
      </c>
      <c r="L9" s="121">
        <v>150.03813544668583</v>
      </c>
      <c r="M9" s="121">
        <v>547.216</v>
      </c>
      <c r="N9" s="121">
        <v>0.0</v>
      </c>
      <c r="O9" s="121">
        <v>-49474.05999999994</v>
      </c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15.75" customHeight="1">
      <c r="A10" s="98" t="s">
        <v>39</v>
      </c>
      <c r="B10" s="98" t="s">
        <v>25</v>
      </c>
      <c r="C10" s="98" t="s">
        <v>69</v>
      </c>
      <c r="D10" s="88">
        <f t="shared" ref="D10:F10" si="12">IF(H10=0,0%,IF(L10=0,100%,H10/L10-1))</f>
        <v>-0.3292930774</v>
      </c>
      <c r="E10" s="88">
        <f t="shared" si="12"/>
        <v>-0.07311941447</v>
      </c>
      <c r="F10" s="88">
        <f t="shared" si="12"/>
        <v>-4.583450374</v>
      </c>
      <c r="G10" s="88">
        <f t="shared" si="13"/>
        <v>0.1932971761</v>
      </c>
      <c r="H10" s="120">
        <v>124141.77132493933</v>
      </c>
      <c r="I10" s="120">
        <v>93476.65508192568</v>
      </c>
      <c r="J10" s="120">
        <v>11747.0</v>
      </c>
      <c r="K10" s="120">
        <v>102265.20999999996</v>
      </c>
      <c r="L10" s="121">
        <v>185090.9348604175</v>
      </c>
      <c r="M10" s="121">
        <v>100850.80704119161</v>
      </c>
      <c r="N10" s="121">
        <v>-3278.1254861614143</v>
      </c>
      <c r="O10" s="121">
        <v>85699.70000000007</v>
      </c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ht="15.75" customHeight="1">
      <c r="A11" s="98" t="s">
        <v>70</v>
      </c>
      <c r="B11" s="98" t="s">
        <v>25</v>
      </c>
      <c r="C11" s="98" t="s">
        <v>69</v>
      </c>
      <c r="D11" s="88">
        <f t="shared" ref="D11:F11" si="14">IF(H11=0,0%,IF(L11=0,100%,H11/L11-1))</f>
        <v>-0.7366192105</v>
      </c>
      <c r="E11" s="88">
        <f t="shared" si="14"/>
        <v>-0.5031969361</v>
      </c>
      <c r="F11" s="88">
        <f t="shared" si="14"/>
        <v>20.09850412</v>
      </c>
      <c r="G11" s="88">
        <f t="shared" si="13"/>
        <v>-1.054213333</v>
      </c>
      <c r="H11" s="120">
        <v>22581.72604203153</v>
      </c>
      <c r="I11" s="120">
        <v>17497.380414030486</v>
      </c>
      <c r="J11" s="120">
        <v>161738.06602002628</v>
      </c>
      <c r="K11" s="120">
        <v>3833.0800000000745</v>
      </c>
      <c r="L11" s="121">
        <v>85737.93892281673</v>
      </c>
      <c r="M11" s="121">
        <v>35219.95270501303</v>
      </c>
      <c r="N11" s="121">
        <v>7665.854655481933</v>
      </c>
      <c r="O11" s="121">
        <v>-70703.64000000001</v>
      </c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ht="15.75" customHeight="1">
      <c r="A12" s="98" t="s">
        <v>71</v>
      </c>
      <c r="B12" s="98" t="s">
        <v>25</v>
      </c>
      <c r="C12" s="98" t="s">
        <v>69</v>
      </c>
      <c r="D12" s="88">
        <f t="shared" ref="D12:F12" si="15">IF(H12=0,0%,IF(L12=0,100%,H12/L12-1))</f>
        <v>16262</v>
      </c>
      <c r="E12" s="88">
        <f t="shared" si="15"/>
        <v>9953.536024</v>
      </c>
      <c r="F12" s="88">
        <f t="shared" si="15"/>
        <v>1</v>
      </c>
      <c r="G12" s="88">
        <v>1.0</v>
      </c>
      <c r="H12" s="120">
        <v>4065.75</v>
      </c>
      <c r="I12" s="120">
        <v>3284.9968879999997</v>
      </c>
      <c r="J12" s="120">
        <v>260023.05000000005</v>
      </c>
      <c r="K12" s="120">
        <v>56590.59</v>
      </c>
      <c r="L12" s="121">
        <v>0.25</v>
      </c>
      <c r="M12" s="121">
        <v>0.3300000000000125</v>
      </c>
      <c r="N12" s="121">
        <v>0.0</v>
      </c>
      <c r="O12" s="121">
        <v>0.0</v>
      </c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ht="15.75" customHeight="1">
      <c r="A13" s="98" t="s">
        <v>58</v>
      </c>
      <c r="B13" s="98" t="s">
        <v>25</v>
      </c>
      <c r="C13" s="98" t="s">
        <v>69</v>
      </c>
      <c r="D13" s="88">
        <f t="shared" ref="D13:F13" si="16">IF(H13=0,0%,IF(L13=0,100%,H13/L13-1))</f>
        <v>1</v>
      </c>
      <c r="E13" s="88">
        <f t="shared" si="16"/>
        <v>2.529181349</v>
      </c>
      <c r="F13" s="88">
        <f t="shared" si="16"/>
        <v>0</v>
      </c>
      <c r="G13" s="88">
        <f t="shared" ref="G13:G14" si="18">IF(K13=0,0%,IF(O13=H37,100%,K13/O13-1))</f>
        <v>0</v>
      </c>
      <c r="H13" s="120">
        <v>16949.803313</v>
      </c>
      <c r="I13" s="120">
        <v>24218.126626273952</v>
      </c>
      <c r="J13" s="120">
        <v>0.0</v>
      </c>
      <c r="K13" s="120">
        <v>0.0</v>
      </c>
      <c r="L13" s="121">
        <v>0.0</v>
      </c>
      <c r="M13" s="121">
        <v>6862.250543265109</v>
      </c>
      <c r="N13" s="121">
        <v>1479.7399999999907</v>
      </c>
      <c r="O13" s="121">
        <v>203.10000000000582</v>
      </c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ht="15.75" customHeight="1">
      <c r="A14" s="98" t="s">
        <v>72</v>
      </c>
      <c r="B14" s="98" t="s">
        <v>25</v>
      </c>
      <c r="C14" s="98" t="s">
        <v>69</v>
      </c>
      <c r="D14" s="88">
        <f t="shared" ref="D14:F14" si="17">IF(H14=0,0%,IF(L14=0,100%,H14/L14-1))</f>
        <v>-1.004444575</v>
      </c>
      <c r="E14" s="88">
        <f t="shared" si="17"/>
        <v>-1.004291675</v>
      </c>
      <c r="F14" s="88">
        <f t="shared" si="17"/>
        <v>-8.471396078</v>
      </c>
      <c r="G14" s="88">
        <f t="shared" si="18"/>
        <v>-1.001992831</v>
      </c>
      <c r="H14" s="120">
        <v>-532.75</v>
      </c>
      <c r="I14" s="120">
        <v>-62.19600000000355</v>
      </c>
      <c r="J14" s="120">
        <v>-192124.8500000001</v>
      </c>
      <c r="K14" s="120">
        <v>-1678.6900000000605</v>
      </c>
      <c r="L14" s="121">
        <v>119865.21549507073</v>
      </c>
      <c r="M14" s="121">
        <v>14492.243493922528</v>
      </c>
      <c r="N14" s="121">
        <v>25714.71890800004</v>
      </c>
      <c r="O14" s="121">
        <v>842364.3471319997</v>
      </c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15.75" customHeight="1">
      <c r="A15" s="98" t="s">
        <v>73</v>
      </c>
      <c r="B15" s="98" t="s">
        <v>25</v>
      </c>
      <c r="C15" s="98" t="s">
        <v>69</v>
      </c>
      <c r="D15" s="88">
        <f t="shared" ref="D15:F15" si="19">IF(H15=0,0%,IF(L15=0,100%,H15/L15-1))</f>
        <v>1848.817783</v>
      </c>
      <c r="E15" s="88">
        <f t="shared" si="19"/>
        <v>0</v>
      </c>
      <c r="F15" s="88">
        <f t="shared" si="19"/>
        <v>1</v>
      </c>
      <c r="G15" s="88">
        <v>1.0</v>
      </c>
      <c r="H15" s="120">
        <v>130856.11</v>
      </c>
      <c r="I15" s="120">
        <v>0.0</v>
      </c>
      <c r="J15" s="120">
        <v>54243.74999999997</v>
      </c>
      <c r="K15" s="120">
        <v>113643.55</v>
      </c>
      <c r="L15" s="121">
        <v>70.73999999999796</v>
      </c>
      <c r="M15" s="121">
        <v>0.0</v>
      </c>
      <c r="N15" s="121">
        <v>0.0</v>
      </c>
      <c r="O15" s="121">
        <v>0.0</v>
      </c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ht="15.75" customHeight="1">
      <c r="A16" s="98" t="s">
        <v>74</v>
      </c>
      <c r="B16" s="98" t="s">
        <v>25</v>
      </c>
      <c r="C16" s="98" t="s">
        <v>69</v>
      </c>
      <c r="D16" s="88">
        <f t="shared" ref="D16:F16" si="20">IF(H16=0,0%,IF(L16=0,100%,H16/L16-1))</f>
        <v>-3.509624647</v>
      </c>
      <c r="E16" s="88">
        <f t="shared" si="20"/>
        <v>55.02351989</v>
      </c>
      <c r="F16" s="88">
        <f t="shared" si="20"/>
        <v>0.4996110254</v>
      </c>
      <c r="G16" s="88">
        <f t="shared" ref="G16:G20" si="22">IF(K16=0,0%,IF(O16=H40,100%,K16/O16-1))</f>
        <v>-1.042161249</v>
      </c>
      <c r="H16" s="120">
        <v>23274.727589999995</v>
      </c>
      <c r="I16" s="120">
        <v>2077.072</v>
      </c>
      <c r="J16" s="120">
        <v>6094.0</v>
      </c>
      <c r="K16" s="120">
        <v>-218.22999999999593</v>
      </c>
      <c r="L16" s="121">
        <v>-9274.186728000008</v>
      </c>
      <c r="M16" s="121">
        <v>37.07500000000073</v>
      </c>
      <c r="N16" s="121">
        <v>4063.720456</v>
      </c>
      <c r="O16" s="121">
        <v>5176.080052</v>
      </c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15.75" customHeight="1">
      <c r="A17" s="98" t="s">
        <v>33</v>
      </c>
      <c r="B17" s="98" t="s">
        <v>25</v>
      </c>
      <c r="C17" s="98" t="s">
        <v>69</v>
      </c>
      <c r="D17" s="88">
        <f t="shared" ref="D17:F17" si="21">IF(H17=0,0%,IF(L17=0,100%,H17/L17-1))</f>
        <v>-0.8165576229</v>
      </c>
      <c r="E17" s="88">
        <f t="shared" si="21"/>
        <v>-0.8066138373</v>
      </c>
      <c r="F17" s="88">
        <f t="shared" si="21"/>
        <v>0.7245470777</v>
      </c>
      <c r="G17" s="88">
        <f t="shared" si="22"/>
        <v>-4.226751268</v>
      </c>
      <c r="H17" s="120">
        <v>15504.103799999983</v>
      </c>
      <c r="I17" s="120">
        <v>10696.09054199999</v>
      </c>
      <c r="J17" s="120">
        <v>174699.2200000002</v>
      </c>
      <c r="K17" s="120">
        <v>-8609.649999999907</v>
      </c>
      <c r="L17" s="121">
        <v>84517.56921560218</v>
      </c>
      <c r="M17" s="121">
        <v>55309.492636797964</v>
      </c>
      <c r="N17" s="121">
        <v>101301.50823599938</v>
      </c>
      <c r="O17" s="121">
        <v>2668.2099999999627</v>
      </c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ht="15.75" customHeight="1">
      <c r="A18" s="98" t="s">
        <v>75</v>
      </c>
      <c r="B18" s="98" t="s">
        <v>25</v>
      </c>
      <c r="C18" s="98" t="s">
        <v>69</v>
      </c>
      <c r="D18" s="88">
        <f t="shared" ref="D18:F18" si="23">IF(H18=0,0%,IF(L18=0,100%,H18/L18-1))</f>
        <v>1.524688108</v>
      </c>
      <c r="E18" s="88">
        <f t="shared" si="23"/>
        <v>-0.5770030922</v>
      </c>
      <c r="F18" s="88">
        <f t="shared" si="23"/>
        <v>4.126731029</v>
      </c>
      <c r="G18" s="88">
        <f t="shared" si="22"/>
        <v>-0.8230321081</v>
      </c>
      <c r="H18" s="120">
        <v>191593.87139999995</v>
      </c>
      <c r="I18" s="120">
        <v>35280.552639999994</v>
      </c>
      <c r="J18" s="120">
        <v>814779.455000001</v>
      </c>
      <c r="K18" s="120">
        <v>305448.7049999996</v>
      </c>
      <c r="L18" s="121">
        <v>75888.13477763569</v>
      </c>
      <c r="M18" s="121">
        <v>83406.17151065213</v>
      </c>
      <c r="N18" s="121">
        <v>158927.6773919994</v>
      </c>
      <c r="O18" s="121">
        <v>1726012.0</v>
      </c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t="15.75" customHeight="1">
      <c r="A19" s="98" t="s">
        <v>41</v>
      </c>
      <c r="B19" s="98" t="s">
        <v>25</v>
      </c>
      <c r="C19" s="98" t="s">
        <v>69</v>
      </c>
      <c r="D19" s="88">
        <f t="shared" ref="D19:F19" si="24">IF(H19=0,0%,IF(L19=0,100%,H19/L19-1))</f>
        <v>8886.484168</v>
      </c>
      <c r="E19" s="88">
        <f t="shared" si="24"/>
        <v>6.868781393</v>
      </c>
      <c r="F19" s="88">
        <f t="shared" si="24"/>
        <v>0</v>
      </c>
      <c r="G19" s="88">
        <f t="shared" si="22"/>
        <v>0</v>
      </c>
      <c r="H19" s="120">
        <v>1198477.2400000002</v>
      </c>
      <c r="I19" s="120">
        <v>61195.24599999999</v>
      </c>
      <c r="J19" s="120">
        <v>0.0</v>
      </c>
      <c r="K19" s="120">
        <v>0.0</v>
      </c>
      <c r="L19" s="121">
        <v>134.85000000000014</v>
      </c>
      <c r="M19" s="121">
        <v>7776.9660817603935</v>
      </c>
      <c r="N19" s="121">
        <v>2216.616704</v>
      </c>
      <c r="O19" s="121">
        <v>38422.42</v>
      </c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ht="15.75" customHeight="1">
      <c r="A20" s="123" t="s">
        <v>76</v>
      </c>
      <c r="B20" s="98" t="s">
        <v>25</v>
      </c>
      <c r="C20" s="98" t="s">
        <v>69</v>
      </c>
      <c r="D20" s="88">
        <f t="shared" ref="D20:F20" si="25">IF(H20=0,0%,IF(L20=0,100%,H20/L20-1))</f>
        <v>0</v>
      </c>
      <c r="E20" s="88">
        <f t="shared" si="25"/>
        <v>0</v>
      </c>
      <c r="F20" s="88">
        <f t="shared" si="25"/>
        <v>0</v>
      </c>
      <c r="G20" s="88">
        <f t="shared" si="22"/>
        <v>0</v>
      </c>
      <c r="H20" s="120"/>
      <c r="I20" s="120"/>
      <c r="J20" s="120"/>
      <c r="K20" s="120"/>
      <c r="L20" s="121"/>
      <c r="M20" s="121"/>
      <c r="N20" s="121"/>
      <c r="O20" s="121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t="15.75" customHeight="1">
      <c r="A21" s="123" t="s">
        <v>77</v>
      </c>
      <c r="B21" s="98" t="s">
        <v>25</v>
      </c>
      <c r="C21" s="123" t="s">
        <v>69</v>
      </c>
      <c r="D21" s="124">
        <f t="shared" ref="D21:F21" si="26">IF(H21=0,0%,IF(L21=0,100%,H21/L21-1))</f>
        <v>0</v>
      </c>
      <c r="E21" s="124">
        <f t="shared" si="26"/>
        <v>0</v>
      </c>
      <c r="F21" s="124">
        <f t="shared" si="26"/>
        <v>0</v>
      </c>
      <c r="G21" s="88">
        <f t="shared" ref="G21:G30" si="28">IF(K21=0,0%,IF(O21=H44,100%,K21/O21-1))</f>
        <v>0</v>
      </c>
      <c r="H21" s="120">
        <v>0.0</v>
      </c>
      <c r="I21" s="120">
        <v>0.0</v>
      </c>
      <c r="J21" s="120">
        <v>0.0</v>
      </c>
      <c r="K21" s="120">
        <v>0.0</v>
      </c>
      <c r="L21" s="121">
        <v>0.0</v>
      </c>
      <c r="M21" s="121">
        <v>2426.631373767682</v>
      </c>
      <c r="N21" s="121">
        <v>124964.59</v>
      </c>
      <c r="O21" s="121">
        <v>0.0</v>
      </c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t="18.0" customHeight="1">
      <c r="A22" s="126" t="s">
        <v>78</v>
      </c>
      <c r="B22" s="127"/>
      <c r="C22" s="127"/>
      <c r="D22" s="128">
        <f t="shared" ref="D22:F22" si="27">IF(H22=0,0%,IF(L22=0,100%,H22/L22-1))</f>
        <v>2.185117921</v>
      </c>
      <c r="E22" s="128">
        <f t="shared" si="27"/>
        <v>-0.1931022251</v>
      </c>
      <c r="F22" s="128">
        <f t="shared" si="27"/>
        <v>2.052075311</v>
      </c>
      <c r="G22" s="88">
        <f t="shared" si="28"/>
        <v>-0.8141938453</v>
      </c>
      <c r="H22" s="129">
        <f t="shared" ref="H22:O22" si="29">SUM(H9:H21)</f>
        <v>1726911.963</v>
      </c>
      <c r="I22" s="129">
        <f t="shared" si="29"/>
        <v>247660.4372</v>
      </c>
      <c r="J22" s="129">
        <f t="shared" si="29"/>
        <v>1291199.691</v>
      </c>
      <c r="K22" s="129">
        <f t="shared" si="29"/>
        <v>479448.285</v>
      </c>
      <c r="L22" s="129">
        <f t="shared" si="29"/>
        <v>542181.4847</v>
      </c>
      <c r="M22" s="129">
        <f t="shared" si="29"/>
        <v>306929.1364</v>
      </c>
      <c r="N22" s="129">
        <f t="shared" si="29"/>
        <v>423056.3009</v>
      </c>
      <c r="O22" s="129">
        <f t="shared" si="29"/>
        <v>2580368.157</v>
      </c>
      <c r="P22" s="131"/>
      <c r="Q22" s="131"/>
      <c r="R22" s="131"/>
      <c r="S22" s="113"/>
      <c r="T22" s="113"/>
      <c r="U22" s="113"/>
      <c r="V22" s="113"/>
      <c r="W22" s="113"/>
      <c r="X22" s="113"/>
      <c r="Y22" s="113"/>
      <c r="Z22" s="113"/>
    </row>
    <row r="23" ht="15.75" customHeight="1">
      <c r="A23" s="125" t="s">
        <v>79</v>
      </c>
      <c r="B23" s="125" t="s">
        <v>23</v>
      </c>
      <c r="C23" s="125" t="s">
        <v>80</v>
      </c>
      <c r="D23" s="130">
        <f t="shared" ref="D23:F23" si="30">IF(H23=0,0%,IF(L23=0,100%,H23/L23-1))</f>
        <v>-0.2871722668</v>
      </c>
      <c r="E23" s="130">
        <f t="shared" si="30"/>
        <v>1.962782173</v>
      </c>
      <c r="F23" s="130">
        <f t="shared" si="30"/>
        <v>0.2020095911</v>
      </c>
      <c r="G23" s="88">
        <f t="shared" si="28"/>
        <v>0</v>
      </c>
      <c r="H23" s="120">
        <v>85062.36222000007</v>
      </c>
      <c r="I23" s="120">
        <v>29635.78</v>
      </c>
      <c r="J23" s="120">
        <v>114282.83999999997</v>
      </c>
      <c r="K23" s="120">
        <v>0.0</v>
      </c>
      <c r="L23" s="121">
        <v>119330.88215199998</v>
      </c>
      <c r="M23" s="121">
        <v>10002.686079843086</v>
      </c>
      <c r="N23" s="121">
        <v>95076.47929199971</v>
      </c>
      <c r="O23" s="121">
        <v>518057.26063199993</v>
      </c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15.75" customHeight="1">
      <c r="A24" s="99" t="s">
        <v>81</v>
      </c>
      <c r="B24" s="98" t="s">
        <v>23</v>
      </c>
      <c r="C24" s="125" t="s">
        <v>80</v>
      </c>
      <c r="D24" s="88">
        <f t="shared" ref="D24:F24" si="31">IF(H24=0,0%,IF(L24=0,100%,H24/L24-1))</f>
        <v>0</v>
      </c>
      <c r="E24" s="88">
        <f t="shared" si="31"/>
        <v>0</v>
      </c>
      <c r="F24" s="88">
        <f t="shared" si="31"/>
        <v>0</v>
      </c>
      <c r="G24" s="88">
        <f t="shared" si="28"/>
        <v>0</v>
      </c>
      <c r="H24" s="120">
        <v>0.0</v>
      </c>
      <c r="I24" s="120">
        <v>0.0</v>
      </c>
      <c r="J24" s="120">
        <v>0.0</v>
      </c>
      <c r="K24" s="120">
        <v>0.0</v>
      </c>
      <c r="L24" s="121">
        <v>-15574.276898031672</v>
      </c>
      <c r="M24" s="121">
        <v>0.0</v>
      </c>
      <c r="N24" s="121">
        <v>6300.0</v>
      </c>
      <c r="O24" s="121">
        <v>0.0</v>
      </c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15.75" customHeight="1">
      <c r="A25" s="99" t="s">
        <v>82</v>
      </c>
      <c r="B25" s="98" t="s">
        <v>23</v>
      </c>
      <c r="C25" s="125" t="s">
        <v>80</v>
      </c>
      <c r="D25" s="88">
        <f t="shared" ref="D25:F25" si="32">IF(H25=0,0%,IF(L25=0,100%,H25/L25-1))</f>
        <v>0</v>
      </c>
      <c r="E25" s="88">
        <f t="shared" si="32"/>
        <v>174.9094013</v>
      </c>
      <c r="F25" s="88">
        <f t="shared" si="32"/>
        <v>-0.423031147</v>
      </c>
      <c r="G25" s="88">
        <f t="shared" si="28"/>
        <v>0</v>
      </c>
      <c r="H25" s="120">
        <v>0.0</v>
      </c>
      <c r="I25" s="120">
        <v>4403.0</v>
      </c>
      <c r="J25" s="120">
        <v>3961.350288042715</v>
      </c>
      <c r="K25" s="120">
        <v>0.0</v>
      </c>
      <c r="L25" s="121">
        <v>-283.440621577618</v>
      </c>
      <c r="M25" s="121">
        <v>25.029929999996966</v>
      </c>
      <c r="N25" s="121">
        <v>6865.7957308186815</v>
      </c>
      <c r="O25" s="121">
        <v>0.0</v>
      </c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ht="15.75" customHeight="1">
      <c r="A26" s="99" t="s">
        <v>83</v>
      </c>
      <c r="B26" s="98" t="s">
        <v>23</v>
      </c>
      <c r="C26" s="125" t="s">
        <v>80</v>
      </c>
      <c r="D26" s="88">
        <f t="shared" ref="D26:F26" si="33">IF(H26=0,0%,IF(L26=0,100%,H26/L26-1))</f>
        <v>-0.9414825386</v>
      </c>
      <c r="E26" s="88">
        <f t="shared" si="33"/>
        <v>-0.6788411714</v>
      </c>
      <c r="F26" s="88">
        <f t="shared" si="33"/>
        <v>11.94926218</v>
      </c>
      <c r="G26" s="88">
        <f t="shared" si="28"/>
        <v>-2.477497357</v>
      </c>
      <c r="H26" s="120">
        <v>18646.53269999998</v>
      </c>
      <c r="I26" s="120">
        <v>3927.704429999998</v>
      </c>
      <c r="J26" s="120">
        <v>182485.14639999997</v>
      </c>
      <c r="K26" s="120">
        <v>186982.58000000007</v>
      </c>
      <c r="L26" s="121">
        <v>318649.03654200025</v>
      </c>
      <c r="M26" s="121">
        <v>12229.78813200003</v>
      </c>
      <c r="N26" s="121">
        <v>14092.319999999832</v>
      </c>
      <c r="O26" s="121">
        <v>-126553.58000000007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ht="15.75" customHeight="1">
      <c r="A27" s="99" t="s">
        <v>84</v>
      </c>
      <c r="B27" s="98" t="s">
        <v>23</v>
      </c>
      <c r="C27" s="125" t="s">
        <v>80</v>
      </c>
      <c r="D27" s="88">
        <f t="shared" ref="D27:F27" si="34">IF(H27=0,0%,IF(L27=0,100%,H27/L27-1))</f>
        <v>-0.5831785765</v>
      </c>
      <c r="E27" s="88">
        <f t="shared" si="34"/>
        <v>-1.521597952</v>
      </c>
      <c r="F27" s="88">
        <f t="shared" si="34"/>
        <v>-0.7192096185</v>
      </c>
      <c r="G27" s="88">
        <f t="shared" si="28"/>
        <v>0</v>
      </c>
      <c r="H27" s="120">
        <v>20188.657978161318</v>
      </c>
      <c r="I27" s="120">
        <v>-4920.5639638570065</v>
      </c>
      <c r="J27" s="120">
        <v>590.0136995925277</v>
      </c>
      <c r="K27" s="120">
        <v>0.0</v>
      </c>
      <c r="L27" s="121">
        <v>48434.789670053025</v>
      </c>
      <c r="M27" s="121">
        <v>9433.63360188969</v>
      </c>
      <c r="N27" s="121">
        <v>2101.260365196058</v>
      </c>
      <c r="O27" s="121">
        <v>21406.758022000067</v>
      </c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ht="15.75" customHeight="1">
      <c r="A28" s="99" t="s">
        <v>85</v>
      </c>
      <c r="B28" s="98" t="s">
        <v>23</v>
      </c>
      <c r="C28" s="125" t="s">
        <v>80</v>
      </c>
      <c r="D28" s="88">
        <f t="shared" ref="D28:F28" si="35">IF(H28=0,0%,IF(L28=0,100%,H28/L28-1))</f>
        <v>-0.2273255694</v>
      </c>
      <c r="E28" s="88">
        <f t="shared" si="35"/>
        <v>1.275149054</v>
      </c>
      <c r="F28" s="88">
        <f t="shared" si="35"/>
        <v>-25.85284016</v>
      </c>
      <c r="G28" s="88">
        <f t="shared" si="28"/>
        <v>-1.001007427</v>
      </c>
      <c r="H28" s="120">
        <v>16848.9</v>
      </c>
      <c r="I28" s="120">
        <v>8773.625339999999</v>
      </c>
      <c r="J28" s="120">
        <v>30092.320000000007</v>
      </c>
      <c r="K28" s="120">
        <v>-175.27999999999884</v>
      </c>
      <c r="L28" s="121">
        <v>21805.949999999997</v>
      </c>
      <c r="M28" s="121">
        <v>3856.285953999999</v>
      </c>
      <c r="N28" s="121">
        <v>-1210.8201640000043</v>
      </c>
      <c r="O28" s="121">
        <v>173987.73</v>
      </c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ht="15.75" customHeight="1">
      <c r="A29" s="98" t="s">
        <v>86</v>
      </c>
      <c r="B29" s="98" t="s">
        <v>23</v>
      </c>
      <c r="C29" s="125" t="s">
        <v>80</v>
      </c>
      <c r="D29" s="88">
        <f t="shared" ref="D29:F29" si="36">IF(H29=0,0%,IF(L29=0,100%,H29/L29-1))</f>
        <v>-0.3776533803</v>
      </c>
      <c r="E29" s="88">
        <f t="shared" si="36"/>
        <v>5.919071763</v>
      </c>
      <c r="F29" s="88">
        <f t="shared" si="36"/>
        <v>4.717276385</v>
      </c>
      <c r="G29" s="88">
        <f t="shared" si="28"/>
        <v>17.86680638</v>
      </c>
      <c r="H29" s="120">
        <v>127775.32875656738</v>
      </c>
      <c r="I29" s="120">
        <v>11476.489999999998</v>
      </c>
      <c r="J29" s="120">
        <v>388646.67000000004</v>
      </c>
      <c r="K29" s="120">
        <v>152868.10999999987</v>
      </c>
      <c r="L29" s="121">
        <v>205312.16000000061</v>
      </c>
      <c r="M29" s="121">
        <v>1658.6748039999802</v>
      </c>
      <c r="N29" s="121">
        <v>67977.59000000008</v>
      </c>
      <c r="O29" s="121">
        <v>8102.4900000002235</v>
      </c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ht="15.75" customHeight="1">
      <c r="A30" s="98" t="s">
        <v>87</v>
      </c>
      <c r="B30" s="98" t="s">
        <v>23</v>
      </c>
      <c r="C30" s="125" t="s">
        <v>80</v>
      </c>
      <c r="D30" s="88">
        <f t="shared" ref="D30:F30" si="37">IF(H30=0,0%,IF(L30=0,100%,H30/L30-1))</f>
        <v>0.06553306882</v>
      </c>
      <c r="E30" s="88">
        <f t="shared" si="37"/>
        <v>-0.8988255554</v>
      </c>
      <c r="F30" s="88">
        <f t="shared" si="37"/>
        <v>4.330235552</v>
      </c>
      <c r="G30" s="88">
        <f t="shared" si="28"/>
        <v>-1.071031637</v>
      </c>
      <c r="H30" s="120">
        <v>55386.45000000007</v>
      </c>
      <c r="I30" s="120">
        <v>2646.9406988497794</v>
      </c>
      <c r="J30" s="120">
        <v>482722.9900000002</v>
      </c>
      <c r="K30" s="120">
        <v>-84066.34000000032</v>
      </c>
      <c r="L30" s="121">
        <v>51980.038555999985</v>
      </c>
      <c r="M30" s="121">
        <v>26162.147054271583</v>
      </c>
      <c r="N30" s="121">
        <v>90563.16278799996</v>
      </c>
      <c r="O30" s="121">
        <v>1183505.596377999</v>
      </c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ht="15.75" customHeight="1">
      <c r="A31" s="98" t="s">
        <v>88</v>
      </c>
      <c r="B31" s="98" t="s">
        <v>23</v>
      </c>
      <c r="C31" s="125" t="s">
        <v>80</v>
      </c>
      <c r="D31" s="88">
        <f t="shared" ref="D31:F31" si="38">IF(H31=0,0%,IF(L31=0,100%,H31/L31-1))</f>
        <v>1</v>
      </c>
      <c r="E31" s="88">
        <f t="shared" si="38"/>
        <v>-1.009247842</v>
      </c>
      <c r="F31" s="88">
        <f t="shared" si="38"/>
        <v>0</v>
      </c>
      <c r="G31" s="88">
        <f t="shared" ref="G31:G38" si="40">IF(K31=0,0%,IF(O31=H55,100%,K31/O31-1))</f>
        <v>0</v>
      </c>
      <c r="H31" s="120">
        <v>-3534.26</v>
      </c>
      <c r="I31" s="120">
        <v>-0.02999999999999936</v>
      </c>
      <c r="J31" s="120">
        <v>0.0</v>
      </c>
      <c r="K31" s="120">
        <v>0.0</v>
      </c>
      <c r="L31" s="121">
        <v>0.0</v>
      </c>
      <c r="M31" s="121">
        <v>3.244000000000142</v>
      </c>
      <c r="N31" s="121">
        <v>0.0</v>
      </c>
      <c r="O31" s="121">
        <v>0.0</v>
      </c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ht="15.75" customHeight="1">
      <c r="A32" s="98" t="s">
        <v>89</v>
      </c>
      <c r="B32" s="98" t="s">
        <v>23</v>
      </c>
      <c r="C32" s="125" t="s">
        <v>80</v>
      </c>
      <c r="D32" s="88">
        <f t="shared" ref="D32:F32" si="39">IF(H32=0,0%,IF(L32=0,100%,H32/L32-1))</f>
        <v>-1.464919261</v>
      </c>
      <c r="E32" s="88">
        <f t="shared" si="39"/>
        <v>-0.1912588067</v>
      </c>
      <c r="F32" s="88">
        <f t="shared" si="39"/>
        <v>1</v>
      </c>
      <c r="G32" s="88">
        <f t="shared" si="40"/>
        <v>0</v>
      </c>
      <c r="H32" s="120">
        <v>38955.94</v>
      </c>
      <c r="I32" s="120">
        <v>894.96</v>
      </c>
      <c r="J32" s="120">
        <v>32540.540000000005</v>
      </c>
      <c r="K32" s="120">
        <v>0.0</v>
      </c>
      <c r="L32" s="121">
        <v>-83790.7638177053</v>
      </c>
      <c r="M32" s="121">
        <v>1106.608649807115</v>
      </c>
      <c r="N32" s="121">
        <v>0.0</v>
      </c>
      <c r="O32" s="121">
        <v>0.0</v>
      </c>
      <c r="P32" s="119"/>
      <c r="Q32" s="132"/>
      <c r="R32" s="113"/>
      <c r="S32" s="113"/>
      <c r="T32" s="113"/>
      <c r="U32" s="113"/>
      <c r="V32" s="113"/>
      <c r="W32" s="113"/>
      <c r="X32" s="113"/>
      <c r="Y32" s="113"/>
      <c r="Z32" s="113"/>
    </row>
    <row r="33" ht="15.75" customHeight="1">
      <c r="A33" s="98" t="s">
        <v>90</v>
      </c>
      <c r="B33" s="98" t="s">
        <v>23</v>
      </c>
      <c r="C33" s="125" t="s">
        <v>80</v>
      </c>
      <c r="D33" s="88">
        <f t="shared" ref="D33:F33" si="41">IF(H33=0,0%,IF(L33=0,100%,H33/L33-1))</f>
        <v>0</v>
      </c>
      <c r="E33" s="88">
        <f t="shared" si="41"/>
        <v>0</v>
      </c>
      <c r="F33" s="88">
        <f t="shared" si="41"/>
        <v>0</v>
      </c>
      <c r="G33" s="88">
        <f t="shared" si="40"/>
        <v>0</v>
      </c>
      <c r="H33" s="120">
        <v>0.0</v>
      </c>
      <c r="I33" s="120">
        <v>0.0</v>
      </c>
      <c r="J33" s="120">
        <v>0.0</v>
      </c>
      <c r="K33" s="120">
        <v>0.0</v>
      </c>
      <c r="L33" s="121">
        <v>0.0</v>
      </c>
      <c r="M33" s="121">
        <v>0.009999999999999787</v>
      </c>
      <c r="N33" s="121">
        <v>0.0</v>
      </c>
      <c r="O33" s="121">
        <v>0.0</v>
      </c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ht="15.75" customHeight="1">
      <c r="A34" s="98" t="s">
        <v>91</v>
      </c>
      <c r="B34" s="98" t="s">
        <v>23</v>
      </c>
      <c r="C34" s="125" t="s">
        <v>80</v>
      </c>
      <c r="D34" s="88">
        <f t="shared" ref="D34:F34" si="42">IF(H34=0,0%,IF(L34=0,100%,H34/L34-1))</f>
        <v>0</v>
      </c>
      <c r="E34" s="88">
        <f t="shared" si="42"/>
        <v>63.17659923</v>
      </c>
      <c r="F34" s="88">
        <f t="shared" si="42"/>
        <v>0</v>
      </c>
      <c r="G34" s="88">
        <f t="shared" si="40"/>
        <v>0</v>
      </c>
      <c r="H34" s="120">
        <v>0.0</v>
      </c>
      <c r="I34" s="120">
        <v>-117.3789999999999</v>
      </c>
      <c r="J34" s="120">
        <v>0.0</v>
      </c>
      <c r="K34" s="120">
        <v>0.0</v>
      </c>
      <c r="L34" s="121">
        <v>0.0</v>
      </c>
      <c r="M34" s="121">
        <v>-1.8290000000000077</v>
      </c>
      <c r="N34" s="121">
        <v>0.0</v>
      </c>
      <c r="O34" s="121">
        <v>0.0</v>
      </c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ht="15.75" customHeight="1">
      <c r="A35" s="99" t="s">
        <v>51</v>
      </c>
      <c r="B35" s="98" t="s">
        <v>23</v>
      </c>
      <c r="C35" s="125" t="s">
        <v>80</v>
      </c>
      <c r="D35" s="88">
        <f t="shared" ref="D35:F35" si="43">IF(H35=0,0%,IF(L35=0,100%,H35/L35-1))</f>
        <v>0.8701781028</v>
      </c>
      <c r="E35" s="88">
        <f t="shared" si="43"/>
        <v>-0.856427341</v>
      </c>
      <c r="F35" s="88">
        <f t="shared" si="43"/>
        <v>-0.5551161842</v>
      </c>
      <c r="G35" s="88">
        <f t="shared" si="40"/>
        <v>-1.155563594</v>
      </c>
      <c r="H35" s="120">
        <v>310177.022411807</v>
      </c>
      <c r="I35" s="120">
        <v>8625.250000000087</v>
      </c>
      <c r="J35" s="120">
        <v>160784.41229906003</v>
      </c>
      <c r="K35" s="120">
        <v>-314529.6000000001</v>
      </c>
      <c r="L35" s="121">
        <v>165854.26914615766</v>
      </c>
      <c r="M35" s="121">
        <v>60075.85330186342</v>
      </c>
      <c r="N35" s="121">
        <v>361407.6452849684</v>
      </c>
      <c r="O35" s="121">
        <v>2021871.5199999958</v>
      </c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ht="15.75" customHeight="1">
      <c r="A36" s="98" t="s">
        <v>92</v>
      </c>
      <c r="B36" s="98" t="s">
        <v>23</v>
      </c>
      <c r="C36" s="125" t="s">
        <v>80</v>
      </c>
      <c r="D36" s="88">
        <f t="shared" ref="D36:F36" si="44">IF(H36=0,0%,IF(L36=0,100%,H36/L36-1))</f>
        <v>-5.568958552</v>
      </c>
      <c r="E36" s="88">
        <f t="shared" si="44"/>
        <v>0</v>
      </c>
      <c r="F36" s="88">
        <f t="shared" si="44"/>
        <v>0</v>
      </c>
      <c r="G36" s="88">
        <f t="shared" si="40"/>
        <v>0</v>
      </c>
      <c r="H36" s="120">
        <v>2262.0</v>
      </c>
      <c r="I36" s="120">
        <v>0.0</v>
      </c>
      <c r="J36" s="120">
        <v>0.0</v>
      </c>
      <c r="K36" s="120">
        <v>0.0</v>
      </c>
      <c r="L36" s="121">
        <v>-495.0799999999999</v>
      </c>
      <c r="M36" s="121">
        <v>5.360000000000127</v>
      </c>
      <c r="N36" s="121">
        <v>0.0</v>
      </c>
      <c r="O36" s="121">
        <v>0.0</v>
      </c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ht="15.75" customHeight="1">
      <c r="A37" s="98" t="s">
        <v>93</v>
      </c>
      <c r="B37" s="98" t="s">
        <v>23</v>
      </c>
      <c r="C37" s="125" t="s">
        <v>80</v>
      </c>
      <c r="D37" s="88">
        <f t="shared" ref="D37:F37" si="45">IF(H37=0,0%,IF(L37=0,100%,H37/L37-1))</f>
        <v>0</v>
      </c>
      <c r="E37" s="88">
        <f t="shared" si="45"/>
        <v>-2.009270217</v>
      </c>
      <c r="F37" s="88">
        <f t="shared" si="45"/>
        <v>1</v>
      </c>
      <c r="G37" s="88">
        <f t="shared" si="40"/>
        <v>0</v>
      </c>
      <c r="H37" s="120">
        <v>0.0</v>
      </c>
      <c r="I37" s="120">
        <v>10.233999999999924</v>
      </c>
      <c r="J37" s="120">
        <v>1000.0</v>
      </c>
      <c r="K37" s="120">
        <v>0.0</v>
      </c>
      <c r="L37" s="121">
        <v>-239.16405400000076</v>
      </c>
      <c r="M37" s="121">
        <v>-10.139999999999418</v>
      </c>
      <c r="N37" s="121">
        <v>0.0</v>
      </c>
      <c r="O37" s="121">
        <v>-210753.40592400005</v>
      </c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ht="15.75" customHeight="1">
      <c r="A38" s="98" t="s">
        <v>94</v>
      </c>
      <c r="B38" s="98" t="s">
        <v>23</v>
      </c>
      <c r="C38" s="125" t="s">
        <v>80</v>
      </c>
      <c r="D38" s="88">
        <f t="shared" ref="D38:F38" si="46">IF(H38=0,0%,IF(L38=0,100%,H38/L38-1))</f>
        <v>0</v>
      </c>
      <c r="E38" s="88">
        <f t="shared" si="46"/>
        <v>0</v>
      </c>
      <c r="F38" s="88">
        <f t="shared" si="46"/>
        <v>0</v>
      </c>
      <c r="G38" s="88">
        <f t="shared" si="40"/>
        <v>0</v>
      </c>
      <c r="H38" s="120">
        <v>0.0</v>
      </c>
      <c r="I38" s="120">
        <v>0.0</v>
      </c>
      <c r="J38" s="120">
        <v>0.0</v>
      </c>
      <c r="K38" s="120">
        <v>0.0</v>
      </c>
      <c r="L38" s="121">
        <v>0.0</v>
      </c>
      <c r="M38" s="121">
        <v>0.0</v>
      </c>
      <c r="N38" s="121">
        <v>0.0</v>
      </c>
      <c r="O38" s="121">
        <v>0.0</v>
      </c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ht="15.75" customHeight="1">
      <c r="A39" s="98" t="s">
        <v>95</v>
      </c>
      <c r="B39" s="98" t="s">
        <v>23</v>
      </c>
      <c r="C39" s="125" t="s">
        <v>80</v>
      </c>
      <c r="D39" s="88">
        <f t="shared" ref="D39:F39" si="47">IF(H39=0,0%,IF(L39=0,100%,H39/L39-1))</f>
        <v>-985.2131218</v>
      </c>
      <c r="E39" s="88">
        <f t="shared" si="47"/>
        <v>-1.010196832</v>
      </c>
      <c r="F39" s="88">
        <f t="shared" si="47"/>
        <v>1</v>
      </c>
      <c r="G39" s="88">
        <f t="shared" ref="G39:G45" si="49">IF(K39=0,0%,IF(O39=H65,100%,K39/O39-1))</f>
        <v>1</v>
      </c>
      <c r="H39" s="120">
        <v>-79068.15000000001</v>
      </c>
      <c r="I39" s="120">
        <v>-7.75</v>
      </c>
      <c r="J39" s="120">
        <v>7519.890000000014</v>
      </c>
      <c r="K39" s="120">
        <v>-682.1199999999953</v>
      </c>
      <c r="L39" s="121">
        <v>80.33641113961039</v>
      </c>
      <c r="M39" s="121">
        <v>760.04</v>
      </c>
      <c r="N39" s="121">
        <v>0.0</v>
      </c>
      <c r="O39" s="121">
        <v>0.0</v>
      </c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ht="15.75" customHeight="1">
      <c r="A40" s="99" t="s">
        <v>96</v>
      </c>
      <c r="B40" s="98" t="s">
        <v>23</v>
      </c>
      <c r="C40" s="125" t="s">
        <v>80</v>
      </c>
      <c r="D40" s="88">
        <f t="shared" ref="D40:F40" si="48">IF(H40=0,0%,IF(L40=0,100%,H40/L40-1))</f>
        <v>0.3951808157</v>
      </c>
      <c r="E40" s="88">
        <f t="shared" si="48"/>
        <v>-0.9539503985</v>
      </c>
      <c r="F40" s="88">
        <f t="shared" si="48"/>
        <v>0.9343327899</v>
      </c>
      <c r="G40" s="88">
        <f t="shared" si="49"/>
        <v>-1.001999634</v>
      </c>
      <c r="H40" s="120">
        <v>89685.84999999998</v>
      </c>
      <c r="I40" s="120">
        <v>682.9205230000007</v>
      </c>
      <c r="J40" s="120">
        <v>167213.96966538858</v>
      </c>
      <c r="K40" s="120">
        <v>-787.0</v>
      </c>
      <c r="L40" s="121">
        <v>64282.599782390695</v>
      </c>
      <c r="M40" s="121">
        <v>14830.107103105867</v>
      </c>
      <c r="N40" s="121">
        <v>86445.29552631662</v>
      </c>
      <c r="O40" s="121">
        <v>393572.1037600001</v>
      </c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ht="15.75" customHeight="1">
      <c r="A41" s="98" t="s">
        <v>97</v>
      </c>
      <c r="B41" s="98" t="s">
        <v>23</v>
      </c>
      <c r="C41" s="125" t="s">
        <v>80</v>
      </c>
      <c r="D41" s="88">
        <f t="shared" ref="D41:F41" si="50">IF(H41=0,0%,IF(L41=0,100%,H41/L41-1))</f>
        <v>0</v>
      </c>
      <c r="E41" s="88">
        <f t="shared" si="50"/>
        <v>-1.024360266</v>
      </c>
      <c r="F41" s="88">
        <f t="shared" si="50"/>
        <v>-1.0002625</v>
      </c>
      <c r="G41" s="88">
        <f t="shared" si="49"/>
        <v>0</v>
      </c>
      <c r="H41" s="120">
        <v>0.0</v>
      </c>
      <c r="I41" s="120">
        <v>-50.92099999999846</v>
      </c>
      <c r="J41" s="120">
        <v>-0.42000000000007276</v>
      </c>
      <c r="K41" s="120">
        <v>0.0</v>
      </c>
      <c r="L41" s="121">
        <v>107562.84857200005</v>
      </c>
      <c r="M41" s="121">
        <v>2090.3301778028326</v>
      </c>
      <c r="N41" s="121">
        <v>1600.0</v>
      </c>
      <c r="O41" s="121">
        <v>54298.19503999999</v>
      </c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ht="15.75" customHeight="1">
      <c r="A42" s="98" t="s">
        <v>98</v>
      </c>
      <c r="B42" s="98" t="s">
        <v>23</v>
      </c>
      <c r="C42" s="125" t="s">
        <v>80</v>
      </c>
      <c r="D42" s="88">
        <f t="shared" ref="D42:F42" si="51">IF(H42=0,0%,IF(L42=0,100%,H42/L42-1))</f>
        <v>1</v>
      </c>
      <c r="E42" s="88">
        <f t="shared" si="51"/>
        <v>12.71428771</v>
      </c>
      <c r="F42" s="88">
        <f t="shared" si="51"/>
        <v>0</v>
      </c>
      <c r="G42" s="88">
        <f t="shared" si="49"/>
        <v>0</v>
      </c>
      <c r="H42" s="120">
        <v>1882.0339754816114</v>
      </c>
      <c r="I42" s="120">
        <v>19281.05423992995</v>
      </c>
      <c r="J42" s="120">
        <v>0.0</v>
      </c>
      <c r="K42" s="120">
        <v>0.0</v>
      </c>
      <c r="L42" s="121">
        <v>0.0</v>
      </c>
      <c r="M42" s="121">
        <v>1405.91</v>
      </c>
      <c r="N42" s="121">
        <v>119323.02</v>
      </c>
      <c r="O42" s="121">
        <v>0.0</v>
      </c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ht="15.75" customHeight="1">
      <c r="A43" s="123" t="s">
        <v>99</v>
      </c>
      <c r="B43" s="98" t="s">
        <v>23</v>
      </c>
      <c r="C43" s="125" t="s">
        <v>80</v>
      </c>
      <c r="D43" s="88">
        <f t="shared" ref="D43:F43" si="52">IF(H43=0,0%,IF(L43=0,100%,H43/L43-1))</f>
        <v>0</v>
      </c>
      <c r="E43" s="88">
        <f t="shared" si="52"/>
        <v>1</v>
      </c>
      <c r="F43" s="88">
        <f t="shared" si="52"/>
        <v>0</v>
      </c>
      <c r="G43" s="88">
        <f t="shared" si="49"/>
        <v>0</v>
      </c>
      <c r="H43" s="120">
        <v>0.0</v>
      </c>
      <c r="I43" s="120">
        <v>-16.639000000000124</v>
      </c>
      <c r="J43" s="120">
        <v>0.0</v>
      </c>
      <c r="K43" s="120">
        <v>0.0</v>
      </c>
      <c r="L43" s="121">
        <v>0.0</v>
      </c>
      <c r="M43" s="121">
        <v>0.0</v>
      </c>
      <c r="N43" s="121">
        <v>0.0</v>
      </c>
      <c r="O43" s="121">
        <v>0.0</v>
      </c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ht="15.75" customHeight="1">
      <c r="A44" s="123" t="s">
        <v>100</v>
      </c>
      <c r="B44" s="98" t="s">
        <v>23</v>
      </c>
      <c r="C44" s="125" t="s">
        <v>80</v>
      </c>
      <c r="D44" s="88">
        <f t="shared" ref="D44:F44" si="53">IF(H44=0,0%,IF(L44=0,100%,H44/L44-1))</f>
        <v>0</v>
      </c>
      <c r="E44" s="88">
        <f t="shared" si="53"/>
        <v>-628.2944012</v>
      </c>
      <c r="F44" s="88">
        <f t="shared" si="53"/>
        <v>-0.9103761457</v>
      </c>
      <c r="G44" s="88">
        <f t="shared" si="49"/>
        <v>0</v>
      </c>
      <c r="H44" s="120">
        <v>0.0</v>
      </c>
      <c r="I44" s="120">
        <v>-4033.503</v>
      </c>
      <c r="J44" s="120">
        <v>23212.52000000002</v>
      </c>
      <c r="K44" s="120">
        <v>0.0</v>
      </c>
      <c r="L44" s="121">
        <v>-74.5</v>
      </c>
      <c r="M44" s="121">
        <v>6.429999999999836</v>
      </c>
      <c r="N44" s="121">
        <v>258999.34999999998</v>
      </c>
      <c r="O44" s="121">
        <v>0.0</v>
      </c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ht="15.75" customHeight="1">
      <c r="A45" s="98" t="s">
        <v>101</v>
      </c>
      <c r="B45" s="98" t="s">
        <v>23</v>
      </c>
      <c r="C45" s="98" t="s">
        <v>80</v>
      </c>
      <c r="D45" s="88">
        <f t="shared" ref="D45:F45" si="54">IF(H45=0,0%,IF(L45=0,100%,H45/L45-1))</f>
        <v>-0.3992274345</v>
      </c>
      <c r="E45" s="88">
        <f t="shared" si="54"/>
        <v>-3.089361702</v>
      </c>
      <c r="F45" s="88">
        <f t="shared" si="54"/>
        <v>2.28780335</v>
      </c>
      <c r="G45" s="88">
        <f t="shared" si="49"/>
        <v>0.760790252</v>
      </c>
      <c r="H45" s="120">
        <v>2771.0417799999996</v>
      </c>
      <c r="I45" s="120">
        <v>-4.910000000000082</v>
      </c>
      <c r="J45" s="120">
        <v>62033.090000000084</v>
      </c>
      <c r="K45" s="120">
        <v>370212.19</v>
      </c>
      <c r="L45" s="121">
        <v>4612.463915999993</v>
      </c>
      <c r="M45" s="121">
        <v>2.3500000000001364</v>
      </c>
      <c r="N45" s="121">
        <v>18867.640000000014</v>
      </c>
      <c r="O45" s="121">
        <v>210253.42999999993</v>
      </c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ht="15.75" customHeight="1">
      <c r="A46" s="98" t="s">
        <v>102</v>
      </c>
      <c r="B46" s="98" t="s">
        <v>23</v>
      </c>
      <c r="C46" s="98" t="s">
        <v>80</v>
      </c>
      <c r="D46" s="88">
        <f t="shared" ref="D46:F46" si="55">IF(H46=0,0%,IF(L46=0,100%,H46/L46-1))</f>
        <v>-51.13419946</v>
      </c>
      <c r="E46" s="88">
        <f t="shared" si="55"/>
        <v>1.988887577</v>
      </c>
      <c r="F46" s="88">
        <f t="shared" si="55"/>
        <v>0</v>
      </c>
      <c r="G46" s="88">
        <v>-1.0</v>
      </c>
      <c r="H46" s="120">
        <v>-79068.15000000001</v>
      </c>
      <c r="I46" s="120">
        <v>2278.1600000000035</v>
      </c>
      <c r="J46" s="120">
        <v>0.0</v>
      </c>
      <c r="K46" s="120">
        <v>-417.5699999999779</v>
      </c>
      <c r="L46" s="121">
        <v>1577.1300000000047</v>
      </c>
      <c r="M46" s="121">
        <v>762.21</v>
      </c>
      <c r="N46" s="121">
        <v>40.840000000000146</v>
      </c>
      <c r="O46" s="121">
        <v>0.0</v>
      </c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ht="15.75" customHeight="1">
      <c r="A47" s="98" t="s">
        <v>103</v>
      </c>
      <c r="B47" s="98" t="s">
        <v>23</v>
      </c>
      <c r="C47" s="98" t="s">
        <v>80</v>
      </c>
      <c r="D47" s="88">
        <f t="shared" ref="D47:F47" si="56">IF(H47=0,0%,IF(L47=0,100%,H47/L47-1))</f>
        <v>-0.9148379007</v>
      </c>
      <c r="E47" s="88">
        <f t="shared" si="56"/>
        <v>-1.205301007</v>
      </c>
      <c r="F47" s="88">
        <f t="shared" si="56"/>
        <v>-47.61954217</v>
      </c>
      <c r="G47" s="88">
        <f t="shared" ref="G47:G54" si="58">IF(K47=0,0%,IF(O47=H73,100%,K47/O47-1))</f>
        <v>-0.851306138</v>
      </c>
      <c r="H47" s="120">
        <v>3796.4494000000122</v>
      </c>
      <c r="I47" s="120">
        <v>-4.996000000000095</v>
      </c>
      <c r="J47" s="120">
        <v>40958.11</v>
      </c>
      <c r="K47" s="120">
        <v>22898.39000000013</v>
      </c>
      <c r="L47" s="121">
        <v>44579.095994</v>
      </c>
      <c r="M47" s="121">
        <v>24.334999999999127</v>
      </c>
      <c r="N47" s="121">
        <v>-878.5609660000191</v>
      </c>
      <c r="O47" s="121">
        <v>153996.87446399988</v>
      </c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ht="15.75" customHeight="1">
      <c r="A48" s="98" t="s">
        <v>104</v>
      </c>
      <c r="B48" s="98" t="s">
        <v>23</v>
      </c>
      <c r="C48" s="98" t="s">
        <v>80</v>
      </c>
      <c r="D48" s="88">
        <f t="shared" ref="D48:F48" si="57">IF(H48=0,0%,IF(L48=0,100%,H48/L48-1))</f>
        <v>0</v>
      </c>
      <c r="E48" s="88">
        <f t="shared" si="57"/>
        <v>-0.9970771304</v>
      </c>
      <c r="F48" s="88">
        <f t="shared" si="57"/>
        <v>0</v>
      </c>
      <c r="G48" s="88">
        <f t="shared" si="58"/>
        <v>0</v>
      </c>
      <c r="H48" s="120">
        <v>0.0</v>
      </c>
      <c r="I48" s="120">
        <v>-2.580000000000041</v>
      </c>
      <c r="J48" s="120">
        <v>0.0</v>
      </c>
      <c r="K48" s="120">
        <v>0.0</v>
      </c>
      <c r="L48" s="121">
        <v>0.0</v>
      </c>
      <c r="M48" s="121">
        <v>-882.6941876145102</v>
      </c>
      <c r="N48" s="121">
        <v>0.0</v>
      </c>
      <c r="O48" s="121">
        <v>0.0</v>
      </c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ht="15.75" customHeight="1">
      <c r="A49" s="123" t="s">
        <v>105</v>
      </c>
      <c r="B49" s="123" t="s">
        <v>23</v>
      </c>
      <c r="C49" s="98" t="s">
        <v>80</v>
      </c>
      <c r="D49" s="124">
        <f t="shared" ref="D49:F49" si="59">IF(H49=0,0%,IF(L49=0,100%,H49/L49-1))</f>
        <v>0</v>
      </c>
      <c r="E49" s="124">
        <f t="shared" si="59"/>
        <v>1</v>
      </c>
      <c r="F49" s="124">
        <f t="shared" si="59"/>
        <v>0</v>
      </c>
      <c r="G49" s="88">
        <f t="shared" si="58"/>
        <v>0</v>
      </c>
      <c r="H49" s="120">
        <v>0.0</v>
      </c>
      <c r="I49" s="120">
        <v>-5.25</v>
      </c>
      <c r="J49" s="120">
        <v>0.0</v>
      </c>
      <c r="K49" s="120">
        <v>0.0</v>
      </c>
      <c r="L49" s="121">
        <v>-47.25</v>
      </c>
      <c r="M49" s="121">
        <v>0.0</v>
      </c>
      <c r="N49" s="121">
        <v>0.7535060000000158</v>
      </c>
      <c r="O49" s="121">
        <v>8.889113999999608</v>
      </c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ht="15.75" customHeight="1">
      <c r="A50" s="98" t="s">
        <v>106</v>
      </c>
      <c r="B50" s="98" t="s">
        <v>24</v>
      </c>
      <c r="C50" s="98" t="s">
        <v>80</v>
      </c>
      <c r="D50" s="88">
        <f t="shared" ref="D50:F50" si="60">IF(H50=0,0%,IF(L50=0,100%,H50/L50-1))</f>
        <v>0</v>
      </c>
      <c r="E50" s="88">
        <f t="shared" si="60"/>
        <v>0</v>
      </c>
      <c r="F50" s="88">
        <f t="shared" si="60"/>
        <v>0</v>
      </c>
      <c r="G50" s="88">
        <f t="shared" si="58"/>
        <v>0</v>
      </c>
      <c r="H50" s="120">
        <v>0.0</v>
      </c>
      <c r="I50" s="120">
        <v>0.0</v>
      </c>
      <c r="J50" s="120">
        <v>0.0</v>
      </c>
      <c r="K50" s="120">
        <v>0.0</v>
      </c>
      <c r="L50" s="121">
        <v>0.0</v>
      </c>
      <c r="M50" s="121">
        <v>0.0</v>
      </c>
      <c r="N50" s="121">
        <v>0.0</v>
      </c>
      <c r="O50" s="121">
        <v>0.0</v>
      </c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ht="15.75" customHeight="1">
      <c r="A51" s="98" t="s">
        <v>107</v>
      </c>
      <c r="B51" s="98" t="s">
        <v>24</v>
      </c>
      <c r="C51" s="98" t="s">
        <v>80</v>
      </c>
      <c r="D51" s="88">
        <f t="shared" ref="D51:F51" si="61">IF(H51=0,0%,IF(L51=0,100%,H51/L51-1))</f>
        <v>0</v>
      </c>
      <c r="E51" s="88">
        <f t="shared" si="61"/>
        <v>0</v>
      </c>
      <c r="F51" s="88">
        <f t="shared" si="61"/>
        <v>0</v>
      </c>
      <c r="G51" s="88">
        <f t="shared" si="58"/>
        <v>0</v>
      </c>
      <c r="H51" s="120">
        <v>0.0</v>
      </c>
      <c r="I51" s="120">
        <v>0.0</v>
      </c>
      <c r="J51" s="120">
        <v>0.0</v>
      </c>
      <c r="K51" s="120">
        <v>0.0</v>
      </c>
      <c r="L51" s="121">
        <v>0.0</v>
      </c>
      <c r="M51" s="121">
        <v>0.0</v>
      </c>
      <c r="N51" s="121">
        <v>0.0</v>
      </c>
      <c r="O51" s="121">
        <v>0.0</v>
      </c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ht="15.75" customHeight="1">
      <c r="A52" s="98" t="s">
        <v>108</v>
      </c>
      <c r="B52" s="98" t="s">
        <v>24</v>
      </c>
      <c r="C52" s="98" t="s">
        <v>80</v>
      </c>
      <c r="D52" s="88">
        <f t="shared" ref="D52:F52" si="62">IF(H52=0,0%,IF(L52=0,100%,H52/L52-1))</f>
        <v>0</v>
      </c>
      <c r="E52" s="88">
        <f t="shared" si="62"/>
        <v>0</v>
      </c>
      <c r="F52" s="88">
        <f t="shared" si="62"/>
        <v>0</v>
      </c>
      <c r="G52" s="88">
        <f t="shared" si="58"/>
        <v>0</v>
      </c>
      <c r="H52" s="120">
        <v>0.0</v>
      </c>
      <c r="I52" s="120">
        <v>0.0</v>
      </c>
      <c r="J52" s="120">
        <v>0.0</v>
      </c>
      <c r="K52" s="120">
        <v>0.0</v>
      </c>
      <c r="L52" s="121">
        <v>221.54159199999998</v>
      </c>
      <c r="M52" s="121">
        <v>2537.822872</v>
      </c>
      <c r="N52" s="121">
        <v>0.0</v>
      </c>
      <c r="O52" s="121">
        <v>0.0</v>
      </c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ht="15.75" customHeight="1">
      <c r="A53" s="98" t="s">
        <v>109</v>
      </c>
      <c r="B53" s="98" t="s">
        <v>24</v>
      </c>
      <c r="C53" s="125" t="s">
        <v>80</v>
      </c>
      <c r="D53" s="88">
        <f t="shared" ref="D53:F53" si="63">IF(H53=0,0%,IF(L53=0,100%,H53/L53-1))</f>
        <v>1</v>
      </c>
      <c r="E53" s="88">
        <f t="shared" si="63"/>
        <v>1</v>
      </c>
      <c r="F53" s="88">
        <f t="shared" si="63"/>
        <v>0</v>
      </c>
      <c r="G53" s="88">
        <f t="shared" si="58"/>
        <v>0</v>
      </c>
      <c r="H53" s="120">
        <v>-140.0600000000013</v>
      </c>
      <c r="I53" s="120">
        <v>153.45000000000073</v>
      </c>
      <c r="J53" s="120">
        <v>0.0</v>
      </c>
      <c r="K53" s="120">
        <v>0.0</v>
      </c>
      <c r="L53" s="121">
        <v>0.0</v>
      </c>
      <c r="M53" s="121">
        <v>0.0</v>
      </c>
      <c r="N53" s="121">
        <v>0.0</v>
      </c>
      <c r="O53" s="121">
        <v>-52867.72</v>
      </c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ht="15.75" customHeight="1">
      <c r="A54" s="98" t="s">
        <v>110</v>
      </c>
      <c r="B54" s="98" t="s">
        <v>25</v>
      </c>
      <c r="C54" s="125" t="s">
        <v>80</v>
      </c>
      <c r="D54" s="88">
        <f t="shared" ref="D54:F54" si="64">IF(H54=0,0%,IF(L54=0,100%,H54/L54-1))</f>
        <v>0</v>
      </c>
      <c r="E54" s="88">
        <f t="shared" si="64"/>
        <v>0</v>
      </c>
      <c r="F54" s="88">
        <f t="shared" si="64"/>
        <v>0</v>
      </c>
      <c r="G54" s="88">
        <f t="shared" si="58"/>
        <v>0</v>
      </c>
      <c r="H54" s="120"/>
      <c r="I54" s="120"/>
      <c r="J54" s="120"/>
      <c r="K54" s="120"/>
      <c r="L54" s="121"/>
      <c r="M54" s="121"/>
      <c r="N54" s="121"/>
      <c r="O54" s="121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ht="15.75" customHeight="1">
      <c r="A55" s="98" t="s">
        <v>111</v>
      </c>
      <c r="B55" s="98" t="s">
        <v>24</v>
      </c>
      <c r="C55" s="125" t="s">
        <v>80</v>
      </c>
      <c r="D55" s="88">
        <f t="shared" ref="D55:F55" si="65">IF(H55=0,0%,IF(L55=0,100%,H55/L55-1))</f>
        <v>0</v>
      </c>
      <c r="E55" s="88">
        <f t="shared" si="65"/>
        <v>0</v>
      </c>
      <c r="F55" s="88">
        <f t="shared" si="65"/>
        <v>0</v>
      </c>
      <c r="G55" s="88">
        <f t="shared" ref="G55:G64" si="67">IF(K55=0,0%,IF(O55=H80,100%,K55/O55-1))</f>
        <v>0</v>
      </c>
      <c r="H55" s="120">
        <v>0.0</v>
      </c>
      <c r="I55" s="120">
        <v>0.0</v>
      </c>
      <c r="J55" s="120">
        <v>0.0</v>
      </c>
      <c r="K55" s="120">
        <v>0.0</v>
      </c>
      <c r="L55" s="121">
        <v>0.23999999999999488</v>
      </c>
      <c r="M55" s="121">
        <v>0.0</v>
      </c>
      <c r="N55" s="121">
        <v>0.0</v>
      </c>
      <c r="O55" s="121">
        <v>0.0</v>
      </c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ht="27.0" customHeight="1">
      <c r="A56" s="133" t="s">
        <v>16</v>
      </c>
      <c r="B56" s="127"/>
      <c r="C56" s="127"/>
      <c r="D56" s="88">
        <f t="shared" ref="D56:F56" si="66">IF(H56=0,0%,IF(L56=0,100%,H56/L56-1))</f>
        <v>-0.4195860771</v>
      </c>
      <c r="E56" s="88">
        <f t="shared" si="66"/>
        <v>-0.4275558137</v>
      </c>
      <c r="F56" s="88">
        <f t="shared" si="66"/>
        <v>0.5059293656</v>
      </c>
      <c r="G56" s="88">
        <f t="shared" si="67"/>
        <v>-0.9235888572</v>
      </c>
      <c r="H56" s="134">
        <f t="shared" ref="H56:O56" si="68">SUM(H23:H55)</f>
        <v>611627.9492</v>
      </c>
      <c r="I56" s="134">
        <f t="shared" si="68"/>
        <v>83625.04727</v>
      </c>
      <c r="J56" s="134">
        <f t="shared" si="68"/>
        <v>1698043.442</v>
      </c>
      <c r="K56" s="134">
        <f t="shared" si="68"/>
        <v>332303.36</v>
      </c>
      <c r="L56" s="134">
        <f t="shared" si="68"/>
        <v>1053778.907</v>
      </c>
      <c r="M56" s="134">
        <f t="shared" si="68"/>
        <v>146084.1935</v>
      </c>
      <c r="N56" s="134">
        <f t="shared" si="68"/>
        <v>1127571.771</v>
      </c>
      <c r="O56" s="134">
        <f t="shared" si="68"/>
        <v>4348886.141</v>
      </c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ht="15.75" customHeight="1">
      <c r="A57" s="98" t="s">
        <v>112</v>
      </c>
      <c r="B57" s="98" t="s">
        <v>26</v>
      </c>
      <c r="C57" s="125" t="s">
        <v>80</v>
      </c>
      <c r="D57" s="88">
        <f t="shared" ref="D57:F57" si="69">IF(H57=0,0%,IF(L57=0,100%,H57/L57-1))</f>
        <v>-2.602425876</v>
      </c>
      <c r="E57" s="88">
        <f t="shared" si="69"/>
        <v>0</v>
      </c>
      <c r="F57" s="88">
        <f t="shared" si="69"/>
        <v>1.2870374</v>
      </c>
      <c r="G57" s="88">
        <f t="shared" si="67"/>
        <v>0</v>
      </c>
      <c r="H57" s="120">
        <v>-178.35000000000218</v>
      </c>
      <c r="I57" s="120">
        <v>0.0</v>
      </c>
      <c r="J57" s="120">
        <v>582.76</v>
      </c>
      <c r="K57" s="120">
        <v>0.0</v>
      </c>
      <c r="L57" s="121">
        <v>111.30000000000291</v>
      </c>
      <c r="M57" s="121">
        <v>4.570000000000164</v>
      </c>
      <c r="N57" s="121">
        <v>254.80999999999767</v>
      </c>
      <c r="O57" s="121">
        <v>0.0</v>
      </c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ht="15.75" customHeight="1">
      <c r="A58" s="125" t="s">
        <v>55</v>
      </c>
      <c r="B58" s="125" t="s">
        <v>26</v>
      </c>
      <c r="C58" s="125" t="s">
        <v>80</v>
      </c>
      <c r="D58" s="88">
        <f t="shared" ref="D58:F58" si="70">IF(H58=0,0%,IF(L58=0,100%,H58/L58-1))</f>
        <v>-1.046275471</v>
      </c>
      <c r="E58" s="88">
        <f t="shared" si="70"/>
        <v>-0.8445582442</v>
      </c>
      <c r="F58" s="88">
        <f t="shared" si="70"/>
        <v>8.296301519</v>
      </c>
      <c r="G58" s="88">
        <f t="shared" si="67"/>
        <v>-0.6506641295</v>
      </c>
      <c r="H58" s="120">
        <v>-23685.29999999999</v>
      </c>
      <c r="I58" s="120">
        <v>4128.829999999998</v>
      </c>
      <c r="J58" s="120">
        <v>760604.5800000001</v>
      </c>
      <c r="K58" s="120">
        <v>144297.87999999942</v>
      </c>
      <c r="L58" s="121">
        <v>511832.71999999986</v>
      </c>
      <c r="M58" s="121">
        <v>26561.91046388926</v>
      </c>
      <c r="N58" s="121">
        <v>81817.97658037022</v>
      </c>
      <c r="O58" s="121">
        <v>413063.4503219994</v>
      </c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ht="15.75" customHeight="1">
      <c r="A59" s="98" t="s">
        <v>57</v>
      </c>
      <c r="B59" s="98" t="s">
        <v>26</v>
      </c>
      <c r="C59" s="125" t="s">
        <v>80</v>
      </c>
      <c r="D59" s="88">
        <f t="shared" ref="D59:F59" si="71">IF(H59=0,0%,IF(L59=0,100%,H59/L59-1))</f>
        <v>-3.902812014</v>
      </c>
      <c r="E59" s="88">
        <f t="shared" si="71"/>
        <v>-3.881562155</v>
      </c>
      <c r="F59" s="88">
        <f t="shared" si="71"/>
        <v>0.1856824126</v>
      </c>
      <c r="G59" s="88">
        <f t="shared" si="67"/>
        <v>0</v>
      </c>
      <c r="H59" s="120">
        <v>-730722.51799</v>
      </c>
      <c r="I59" s="120">
        <v>-55765.494999999995</v>
      </c>
      <c r="J59" s="120">
        <v>88360.0</v>
      </c>
      <c r="K59" s="120">
        <v>0.0</v>
      </c>
      <c r="L59" s="121">
        <v>251729.19031800004</v>
      </c>
      <c r="M59" s="121">
        <v>19352.521999999997</v>
      </c>
      <c r="N59" s="121">
        <v>74522.48516399984</v>
      </c>
      <c r="O59" s="121">
        <v>-160672.1514740006</v>
      </c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ht="15.75" customHeight="1">
      <c r="A60" s="99" t="s">
        <v>113</v>
      </c>
      <c r="B60" s="98" t="s">
        <v>26</v>
      </c>
      <c r="C60" s="98" t="s">
        <v>80</v>
      </c>
      <c r="D60" s="88">
        <f t="shared" ref="D60:F60" si="72">IF(H60=0,0%,IF(L60=0,100%,H60/L60-1))</f>
        <v>-18.91916049</v>
      </c>
      <c r="E60" s="88">
        <f t="shared" si="72"/>
        <v>-0.9996421389</v>
      </c>
      <c r="F60" s="88">
        <f t="shared" si="72"/>
        <v>-0.9127826888</v>
      </c>
      <c r="G60" s="88">
        <f t="shared" si="67"/>
        <v>-35.06820688</v>
      </c>
      <c r="H60" s="120">
        <v>54909.67999999999</v>
      </c>
      <c r="I60" s="120">
        <v>1.800000000000182</v>
      </c>
      <c r="J60" s="120">
        <v>88401.09000000008</v>
      </c>
      <c r="K60" s="120">
        <v>274690.93</v>
      </c>
      <c r="L60" s="121">
        <v>-3064.299804620656</v>
      </c>
      <c r="M60" s="121">
        <v>5029.884412773254</v>
      </c>
      <c r="N60" s="121">
        <v>1013572.7504757822</v>
      </c>
      <c r="O60" s="121">
        <v>-8062.970000000003</v>
      </c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ht="15.75" customHeight="1">
      <c r="A61" s="98" t="s">
        <v>114</v>
      </c>
      <c r="B61" s="98" t="s">
        <v>26</v>
      </c>
      <c r="C61" s="98" t="s">
        <v>80</v>
      </c>
      <c r="D61" s="88">
        <f t="shared" ref="D61:F61" si="73">IF(H61=0,0%,IF(L61=0,100%,H61/L61-1))</f>
        <v>0.5922972849</v>
      </c>
      <c r="E61" s="88">
        <f t="shared" si="73"/>
        <v>-0.745214505</v>
      </c>
      <c r="F61" s="88">
        <f t="shared" si="73"/>
        <v>-0.02275544964</v>
      </c>
      <c r="G61" s="88">
        <f t="shared" si="67"/>
        <v>-13.23861614</v>
      </c>
      <c r="H61" s="120">
        <v>168103.83073</v>
      </c>
      <c r="I61" s="120">
        <v>3391.522118999994</v>
      </c>
      <c r="J61" s="120">
        <v>395034.8700000001</v>
      </c>
      <c r="K61" s="120">
        <v>308691.7999999998</v>
      </c>
      <c r="L61" s="121">
        <v>105573.14411471877</v>
      </c>
      <c r="M61" s="121">
        <v>13311.284139112258</v>
      </c>
      <c r="N61" s="121">
        <v>404233.3823751062</v>
      </c>
      <c r="O61" s="121">
        <v>-25222.769999999902</v>
      </c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ht="15.75" customHeight="1">
      <c r="A62" s="135" t="s">
        <v>115</v>
      </c>
      <c r="B62" s="98" t="s">
        <v>26</v>
      </c>
      <c r="C62" s="125" t="s">
        <v>80</v>
      </c>
      <c r="D62" s="88">
        <f t="shared" ref="D62:F62" si="74">IF(H62=0,0%,IF(L62=0,100%,H62/L62-1))</f>
        <v>1</v>
      </c>
      <c r="E62" s="88">
        <f t="shared" si="74"/>
        <v>1</v>
      </c>
      <c r="F62" s="88">
        <f t="shared" si="74"/>
        <v>1</v>
      </c>
      <c r="G62" s="88">
        <f t="shared" si="67"/>
        <v>1</v>
      </c>
      <c r="H62" s="120">
        <v>68221.29999999999</v>
      </c>
      <c r="I62" s="120">
        <v>2777.7502379999996</v>
      </c>
      <c r="J62" s="120">
        <v>-114041.58000000002</v>
      </c>
      <c r="K62" s="120">
        <v>224916.7599999999</v>
      </c>
      <c r="L62" s="121"/>
      <c r="M62" s="121"/>
      <c r="N62" s="121"/>
      <c r="O62" s="121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ht="15.75" customHeight="1">
      <c r="A63" s="136" t="s">
        <v>116</v>
      </c>
      <c r="B63" s="98" t="s">
        <v>26</v>
      </c>
      <c r="C63" s="125" t="s">
        <v>80</v>
      </c>
      <c r="D63" s="88">
        <f t="shared" ref="D63:F63" si="75">IF(H63=0,0%,IF(L63=0,100%,H63/L63-1))</f>
        <v>0</v>
      </c>
      <c r="E63" s="88">
        <f t="shared" si="75"/>
        <v>0</v>
      </c>
      <c r="F63" s="88">
        <f t="shared" si="75"/>
        <v>0</v>
      </c>
      <c r="G63" s="88">
        <f t="shared" si="67"/>
        <v>0</v>
      </c>
      <c r="H63" s="120"/>
      <c r="I63" s="120"/>
      <c r="J63" s="120"/>
      <c r="K63" s="120"/>
      <c r="L63" s="121"/>
      <c r="M63" s="121"/>
      <c r="N63" s="121"/>
      <c r="O63" s="121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ht="15.75" customHeight="1">
      <c r="A64" s="137" t="s">
        <v>117</v>
      </c>
      <c r="B64" s="98" t="s">
        <v>26</v>
      </c>
      <c r="C64" s="125" t="s">
        <v>80</v>
      </c>
      <c r="D64" s="88">
        <f t="shared" ref="D64:F64" si="76">IF(H64=0,0%,IF(L64=0,100%,H64/L64-1))</f>
        <v>0</v>
      </c>
      <c r="E64" s="88">
        <f t="shared" si="76"/>
        <v>0</v>
      </c>
      <c r="F64" s="88">
        <f t="shared" si="76"/>
        <v>0</v>
      </c>
      <c r="G64" s="88">
        <f t="shared" si="67"/>
        <v>0</v>
      </c>
      <c r="H64" s="120"/>
      <c r="I64" s="120"/>
      <c r="J64" s="120"/>
      <c r="K64" s="120"/>
      <c r="L64" s="121"/>
      <c r="M64" s="121"/>
      <c r="N64" s="121"/>
      <c r="O64" s="12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ht="15.75" customHeight="1">
      <c r="A65" s="99" t="s">
        <v>118</v>
      </c>
      <c r="B65" s="98" t="s">
        <v>26</v>
      </c>
      <c r="C65" s="125" t="s">
        <v>80</v>
      </c>
      <c r="D65" s="88">
        <f t="shared" ref="D65:F65" si="77">IF(H65=0,0%,IF(L65=0,100%,H65/L65-1))</f>
        <v>0</v>
      </c>
      <c r="E65" s="88">
        <f t="shared" si="77"/>
        <v>0</v>
      </c>
      <c r="F65" s="88">
        <f t="shared" si="77"/>
        <v>0</v>
      </c>
      <c r="G65" s="88">
        <f t="shared" ref="G65:G76" si="79">IF(K65=0,0%,IF(O65=H88,100%,K65/O65-1))</f>
        <v>0</v>
      </c>
      <c r="H65" s="120">
        <v>0.0</v>
      </c>
      <c r="I65" s="120">
        <v>0.0</v>
      </c>
      <c r="J65" s="120">
        <v>0.0</v>
      </c>
      <c r="K65" s="120">
        <v>0.0</v>
      </c>
      <c r="L65" s="121">
        <v>0.0</v>
      </c>
      <c r="M65" s="121">
        <v>0.0</v>
      </c>
      <c r="N65" s="121">
        <v>0.0</v>
      </c>
      <c r="O65" s="121">
        <v>0.0</v>
      </c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ht="24.0" customHeight="1">
      <c r="A66" s="133" t="s">
        <v>17</v>
      </c>
      <c r="B66" s="127"/>
      <c r="C66" s="127"/>
      <c r="D66" s="128">
        <f t="shared" ref="D66:F66" si="78">IF(H66=0,0%,IF(L66=0,100%,H66/L66-1))</f>
        <v>-1.5349353</v>
      </c>
      <c r="E66" s="128">
        <f t="shared" si="78"/>
        <v>-1.70752368</v>
      </c>
      <c r="F66" s="128">
        <f t="shared" si="78"/>
        <v>-0.2257744966</v>
      </c>
      <c r="G66" s="88">
        <f t="shared" si="79"/>
        <v>3.347664089</v>
      </c>
      <c r="H66" s="134">
        <f t="shared" ref="H66:O66" si="80">SUM(H57:H65)</f>
        <v>-463351.3573</v>
      </c>
      <c r="I66" s="134">
        <f t="shared" si="80"/>
        <v>-45465.59264</v>
      </c>
      <c r="J66" s="134">
        <f t="shared" si="80"/>
        <v>1218941.72</v>
      </c>
      <c r="K66" s="134">
        <f t="shared" si="80"/>
        <v>952597.37</v>
      </c>
      <c r="L66" s="134">
        <f t="shared" si="80"/>
        <v>866182.0546</v>
      </c>
      <c r="M66" s="134">
        <f t="shared" si="80"/>
        <v>64260.17102</v>
      </c>
      <c r="N66" s="134">
        <f t="shared" si="80"/>
        <v>1574401.405</v>
      </c>
      <c r="O66" s="134">
        <f t="shared" si="80"/>
        <v>219105.5588</v>
      </c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ht="15.75" customHeight="1">
      <c r="A67" s="98" t="s">
        <v>119</v>
      </c>
      <c r="B67" s="98" t="s">
        <v>25</v>
      </c>
      <c r="C67" s="125" t="s">
        <v>120</v>
      </c>
      <c r="D67" s="130">
        <f t="shared" ref="D67:F67" si="81">IF(H67=0,0%,IF(L67=0,100%,H67/L67-1))</f>
        <v>-6.722188482</v>
      </c>
      <c r="E67" s="130">
        <f t="shared" si="81"/>
        <v>0.8637776075</v>
      </c>
      <c r="F67" s="130">
        <f t="shared" si="81"/>
        <v>-0.2679814527</v>
      </c>
      <c r="G67" s="88">
        <f t="shared" si="79"/>
        <v>1254.942447</v>
      </c>
      <c r="H67" s="120">
        <v>84889.87947884703</v>
      </c>
      <c r="I67" s="120">
        <v>6063.764750999995</v>
      </c>
      <c r="J67" s="120">
        <v>431444.48336518183</v>
      </c>
      <c r="K67" s="120">
        <v>277168.9400000004</v>
      </c>
      <c r="L67" s="121">
        <v>-14835.212044000044</v>
      </c>
      <c r="M67" s="121">
        <v>3253.480848000001</v>
      </c>
      <c r="N67" s="121">
        <v>589390.0980759999</v>
      </c>
      <c r="O67" s="121">
        <v>220.68602000002284</v>
      </c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ht="15.75" customHeight="1">
      <c r="A68" s="99" t="s">
        <v>35</v>
      </c>
      <c r="B68" s="98" t="s">
        <v>23</v>
      </c>
      <c r="C68" s="98" t="s">
        <v>121</v>
      </c>
      <c r="D68" s="88">
        <f t="shared" ref="D68:F68" si="82">IF(H68=0,0%,IF(L68=0,100%,H68/L68-1))</f>
        <v>-0.6662982422</v>
      </c>
      <c r="E68" s="88">
        <f t="shared" si="82"/>
        <v>-0.1881321837</v>
      </c>
      <c r="F68" s="88">
        <f t="shared" si="82"/>
        <v>0.09291554264</v>
      </c>
      <c r="G68" s="88">
        <f t="shared" si="79"/>
        <v>1.251909497</v>
      </c>
      <c r="H68" s="120">
        <v>131126.40971999988</v>
      </c>
      <c r="I68" s="120">
        <v>54792.70700000011</v>
      </c>
      <c r="J68" s="120">
        <v>1124041.88</v>
      </c>
      <c r="K68" s="120">
        <v>1246958.2200000007</v>
      </c>
      <c r="L68" s="121">
        <v>392944.917585216</v>
      </c>
      <c r="M68" s="121">
        <v>67489.68969807832</v>
      </c>
      <c r="N68" s="121">
        <v>1028480.0939739998</v>
      </c>
      <c r="O68" s="121">
        <v>553733.7188240001</v>
      </c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ht="15.75" customHeight="1">
      <c r="A69" s="98" t="s">
        <v>122</v>
      </c>
      <c r="B69" s="98" t="s">
        <v>25</v>
      </c>
      <c r="C69" s="98" t="s">
        <v>121</v>
      </c>
      <c r="D69" s="88">
        <f t="shared" ref="D69:F69" si="83">IF(H69=0,0%,IF(L69=0,100%,H69/L69-1))</f>
        <v>0</v>
      </c>
      <c r="E69" s="88">
        <f t="shared" si="83"/>
        <v>-1.134841321</v>
      </c>
      <c r="F69" s="88">
        <f t="shared" si="83"/>
        <v>1</v>
      </c>
      <c r="G69" s="88">
        <f t="shared" si="79"/>
        <v>0</v>
      </c>
      <c r="H69" s="120">
        <v>0.0</v>
      </c>
      <c r="I69" s="120">
        <v>-6.1460000000001855</v>
      </c>
      <c r="J69" s="120">
        <v>0.3600000000005821</v>
      </c>
      <c r="K69" s="120">
        <v>0.0</v>
      </c>
      <c r="L69" s="121">
        <v>-865.4099999999889</v>
      </c>
      <c r="M69" s="121">
        <v>45.579499999999825</v>
      </c>
      <c r="N69" s="121">
        <v>0.0</v>
      </c>
      <c r="O69" s="121">
        <v>532754.05</v>
      </c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ht="15.75" customHeight="1">
      <c r="A70" s="98" t="s">
        <v>123</v>
      </c>
      <c r="B70" s="98" t="s">
        <v>23</v>
      </c>
      <c r="C70" s="98" t="s">
        <v>121</v>
      </c>
      <c r="D70" s="88">
        <f t="shared" ref="D70:F70" si="84">IF(H70=0,0%,IF(L70=0,100%,H70/L70-1))</f>
        <v>-0.5069110835</v>
      </c>
      <c r="E70" s="88">
        <f t="shared" si="84"/>
        <v>52.08024708</v>
      </c>
      <c r="F70" s="88">
        <f t="shared" si="84"/>
        <v>-0.9999859236</v>
      </c>
      <c r="G70" s="88">
        <f t="shared" si="79"/>
        <v>1</v>
      </c>
      <c r="H70" s="120">
        <v>19757.030620000034</v>
      </c>
      <c r="I70" s="120">
        <v>183.95999999999998</v>
      </c>
      <c r="J70" s="120">
        <v>-0.37000000000261934</v>
      </c>
      <c r="K70" s="120">
        <v>-4450.680000000168</v>
      </c>
      <c r="L70" s="121">
        <v>40067.886256</v>
      </c>
      <c r="M70" s="121">
        <v>3.465695999999298</v>
      </c>
      <c r="N70" s="121">
        <v>-26285.214768000005</v>
      </c>
      <c r="O70" s="121">
        <v>0.0</v>
      </c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ht="15.75" customHeight="1">
      <c r="A71" s="98" t="s">
        <v>124</v>
      </c>
      <c r="B71" s="98" t="s">
        <v>23</v>
      </c>
      <c r="C71" s="98" t="s">
        <v>121</v>
      </c>
      <c r="D71" s="88">
        <f t="shared" ref="D71:F71" si="85">IF(H71=0,0%,IF(L71=0,100%,H71/L71-1))</f>
        <v>0</v>
      </c>
      <c r="E71" s="88">
        <f t="shared" si="85"/>
        <v>80.80566303</v>
      </c>
      <c r="F71" s="88">
        <f t="shared" si="85"/>
        <v>0</v>
      </c>
      <c r="G71" s="88">
        <f t="shared" si="79"/>
        <v>0</v>
      </c>
      <c r="H71" s="120">
        <v>0.0</v>
      </c>
      <c r="I71" s="120">
        <v>8784.207999999984</v>
      </c>
      <c r="J71" s="120">
        <v>0.0</v>
      </c>
      <c r="K71" s="120">
        <v>0.0</v>
      </c>
      <c r="L71" s="121">
        <v>-63.777202000001125</v>
      </c>
      <c r="M71" s="121">
        <v>107.37897199999134</v>
      </c>
      <c r="N71" s="121">
        <v>0.0</v>
      </c>
      <c r="O71" s="121">
        <v>0.0</v>
      </c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ht="15.75" customHeight="1">
      <c r="A72" s="98" t="s">
        <v>125</v>
      </c>
      <c r="B72" s="98" t="s">
        <v>23</v>
      </c>
      <c r="C72" s="98" t="s">
        <v>121</v>
      </c>
      <c r="D72" s="88">
        <f t="shared" ref="D72:F72" si="86">IF(H72=0,0%,IF(L72=0,100%,H72/L72-1))</f>
        <v>1.789644117</v>
      </c>
      <c r="E72" s="88">
        <f t="shared" si="86"/>
        <v>0.005614170025</v>
      </c>
      <c r="F72" s="88">
        <f t="shared" si="86"/>
        <v>1.038006706</v>
      </c>
      <c r="G72" s="88">
        <f t="shared" si="79"/>
        <v>9.935488511</v>
      </c>
      <c r="H72" s="120">
        <v>167345.78597000003</v>
      </c>
      <c r="I72" s="120">
        <v>13152.251405999996</v>
      </c>
      <c r="J72" s="120">
        <v>1758918.0900000003</v>
      </c>
      <c r="K72" s="120">
        <v>1857925.6099999999</v>
      </c>
      <c r="L72" s="121">
        <v>59988.22033599997</v>
      </c>
      <c r="M72" s="121">
        <v>13078.824660623693</v>
      </c>
      <c r="N72" s="121">
        <v>863058.0483340002</v>
      </c>
      <c r="O72" s="121">
        <v>169898.72999999952</v>
      </c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ht="15.75" customHeight="1">
      <c r="A73" s="138" t="s">
        <v>126</v>
      </c>
      <c r="B73" s="98" t="s">
        <v>23</v>
      </c>
      <c r="C73" s="98" t="s">
        <v>121</v>
      </c>
      <c r="D73" s="88">
        <f t="shared" ref="D73:F73" si="87">IF(H73=0,0%,IF(L73=0,100%,H73/L73-1))</f>
        <v>0.7704154743</v>
      </c>
      <c r="E73" s="88">
        <f t="shared" si="87"/>
        <v>-0.4518839288</v>
      </c>
      <c r="F73" s="88">
        <f t="shared" si="87"/>
        <v>0.1391979228</v>
      </c>
      <c r="G73" s="88">
        <f t="shared" si="79"/>
        <v>-0.4726995694</v>
      </c>
      <c r="H73" s="120">
        <v>396131.15709899995</v>
      </c>
      <c r="I73" s="120">
        <v>25322.086473000032</v>
      </c>
      <c r="J73" s="120">
        <v>2415709.7300000004</v>
      </c>
      <c r="K73" s="120">
        <v>1365147.1400000006</v>
      </c>
      <c r="L73" s="121">
        <v>223750.3924015737</v>
      </c>
      <c r="M73" s="121">
        <v>46198.401771297984</v>
      </c>
      <c r="N73" s="121">
        <v>2120535.5817220006</v>
      </c>
      <c r="O73" s="121">
        <v>2588936.137488</v>
      </c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ht="15.75" customHeight="1">
      <c r="A74" s="98" t="s">
        <v>127</v>
      </c>
      <c r="B74" s="98" t="s">
        <v>23</v>
      </c>
      <c r="C74" s="123" t="s">
        <v>121</v>
      </c>
      <c r="D74" s="124">
        <f t="shared" ref="D74:F74" si="88">IF(H74=0,0%,IF(L74=0,100%,H74/L74-1))</f>
        <v>-1.045654832</v>
      </c>
      <c r="E74" s="124">
        <f t="shared" si="88"/>
        <v>2.010976617</v>
      </c>
      <c r="F74" s="124">
        <f t="shared" si="88"/>
        <v>0</v>
      </c>
      <c r="G74" s="88">
        <f t="shared" si="79"/>
        <v>0</v>
      </c>
      <c r="H74" s="120">
        <v>-925.8800000000047</v>
      </c>
      <c r="I74" s="120">
        <v>7747.562</v>
      </c>
      <c r="J74" s="120">
        <v>0.0</v>
      </c>
      <c r="K74" s="120">
        <v>0.0</v>
      </c>
      <c r="L74" s="121">
        <v>20280.0</v>
      </c>
      <c r="M74" s="121">
        <v>2573.1059999999998</v>
      </c>
      <c r="N74" s="121">
        <v>0.0</v>
      </c>
      <c r="O74" s="121">
        <v>0.0</v>
      </c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ht="27.75" customHeight="1">
      <c r="A75" s="126" t="s">
        <v>128</v>
      </c>
      <c r="B75" s="127"/>
      <c r="C75" s="127"/>
      <c r="D75" s="128">
        <f t="shared" ref="D75:F75" si="89">IF(H75=0,0%,IF(L75=0,100%,H75/L75-1))</f>
        <v>0.1068361144</v>
      </c>
      <c r="E75" s="128">
        <f t="shared" si="89"/>
        <v>-0.1258722613</v>
      </c>
      <c r="F75" s="128">
        <f t="shared" si="89"/>
        <v>0.2524350774</v>
      </c>
      <c r="G75" s="88">
        <f t="shared" si="79"/>
        <v>0.2333105708</v>
      </c>
      <c r="H75" s="129">
        <f t="shared" ref="H75:O75" si="90">SUM(H67:H74)</f>
        <v>798324.3829</v>
      </c>
      <c r="I75" s="129">
        <f t="shared" si="90"/>
        <v>116040.3936</v>
      </c>
      <c r="J75" s="129">
        <f t="shared" si="90"/>
        <v>5730114.173</v>
      </c>
      <c r="K75" s="129">
        <f t="shared" si="90"/>
        <v>4742749.23</v>
      </c>
      <c r="L75" s="129">
        <f t="shared" si="90"/>
        <v>721267.0173</v>
      </c>
      <c r="M75" s="129">
        <f t="shared" si="90"/>
        <v>132749.9271</v>
      </c>
      <c r="N75" s="129">
        <f t="shared" si="90"/>
        <v>4575178.607</v>
      </c>
      <c r="O75" s="129">
        <f t="shared" si="90"/>
        <v>3845543.322</v>
      </c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ht="30.0" customHeight="1">
      <c r="A76" s="126" t="s">
        <v>129</v>
      </c>
      <c r="B76" s="127"/>
      <c r="C76" s="127"/>
      <c r="D76" s="128">
        <f t="shared" ref="D76:F76" si="91">IF(H76=0,0%,IF(L76=0,100%,H76/L76-1))</f>
        <v>-0.1553024167</v>
      </c>
      <c r="E76" s="128">
        <f t="shared" si="91"/>
        <v>-0.4519131203</v>
      </c>
      <c r="F76" s="128">
        <f t="shared" si="91"/>
        <v>0.7270850311</v>
      </c>
      <c r="G76" s="88">
        <f t="shared" si="79"/>
        <v>-0.2881432219</v>
      </c>
      <c r="H76" s="129">
        <f t="shared" ref="H76:O76" si="92">H75+H66+H56+H22+H8</f>
        <v>3196864.319</v>
      </c>
      <c r="I76" s="129">
        <f t="shared" si="92"/>
        <v>430333.3861</v>
      </c>
      <c r="J76" s="129">
        <f t="shared" si="92"/>
        <v>14939797.5</v>
      </c>
      <c r="K76" s="129">
        <f t="shared" si="92"/>
        <v>10180790.61</v>
      </c>
      <c r="L76" s="129">
        <f t="shared" si="92"/>
        <v>3784625.862</v>
      </c>
      <c r="M76" s="129">
        <f t="shared" si="92"/>
        <v>785155.4234</v>
      </c>
      <c r="N76" s="129">
        <f t="shared" si="92"/>
        <v>8650296.44</v>
      </c>
      <c r="O76" s="129">
        <f t="shared" si="92"/>
        <v>14301740.07</v>
      </c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ht="15.75" customHeight="1">
      <c r="A77" s="139"/>
      <c r="B77" s="140"/>
      <c r="C77" s="140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ht="15.75" customHeight="1">
      <c r="A78" s="4"/>
      <c r="B78" s="140"/>
      <c r="C78" s="140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ht="15.75" customHeight="1">
      <c r="A79" s="4"/>
      <c r="B79" s="140"/>
      <c r="C79" s="140"/>
      <c r="D79" s="113"/>
      <c r="E79" s="113"/>
      <c r="F79" s="113"/>
      <c r="G79" s="113"/>
      <c r="H79" s="141"/>
      <c r="I79" s="141"/>
      <c r="J79" s="141"/>
      <c r="K79" s="141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ht="15.75" customHeight="1">
      <c r="A80" s="4"/>
      <c r="B80" s="140"/>
      <c r="C80" s="140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ht="15.75" customHeight="1">
      <c r="A81" s="4"/>
      <c r="B81" s="140"/>
      <c r="C81" s="140"/>
      <c r="D81" s="113"/>
      <c r="E81" s="113"/>
      <c r="F81" s="113"/>
      <c r="G81" s="113"/>
      <c r="H81" s="141"/>
      <c r="I81" s="141"/>
      <c r="J81" s="141"/>
      <c r="K81" s="141"/>
      <c r="L81" s="113"/>
      <c r="M81" s="113"/>
      <c r="N81" s="142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ht="15.75" customHeight="1">
      <c r="A82" s="139"/>
      <c r="B82" s="140"/>
      <c r="C82" s="140"/>
      <c r="D82" s="113"/>
      <c r="E82" s="113"/>
      <c r="F82" s="113"/>
      <c r="G82" s="113"/>
      <c r="H82" s="119"/>
      <c r="I82" s="119"/>
      <c r="J82" s="119"/>
      <c r="K82" s="119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ht="20.25" customHeight="1">
      <c r="A83" s="139"/>
      <c r="B83" s="140"/>
      <c r="C83" s="140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ht="20.25" customHeight="1">
      <c r="A84" s="139"/>
      <c r="B84" s="140"/>
      <c r="C84" s="140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ht="20.25" customHeight="1">
      <c r="A85" s="139"/>
      <c r="B85" s="140"/>
      <c r="C85" s="140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ht="20.25" customHeight="1">
      <c r="A86" s="139"/>
      <c r="B86" s="140"/>
      <c r="C86" s="140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ht="20.25" customHeight="1">
      <c r="A87" s="139"/>
      <c r="B87" s="140"/>
      <c r="C87" s="140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ht="20.25" customHeight="1">
      <c r="A88" s="139"/>
      <c r="B88" s="140"/>
      <c r="C88" s="140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ht="20.25" customHeight="1">
      <c r="A89" s="139"/>
      <c r="B89" s="140"/>
      <c r="C89" s="140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ht="20.25" customHeight="1">
      <c r="A90" s="139"/>
      <c r="B90" s="140"/>
      <c r="C90" s="140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ht="20.25" customHeight="1">
      <c r="A91" s="139"/>
      <c r="B91" s="140"/>
      <c r="C91" s="140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ht="20.25" customHeight="1">
      <c r="A92" s="139"/>
      <c r="B92" s="140"/>
      <c r="C92" s="140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ht="20.25" customHeight="1">
      <c r="A93" s="139"/>
      <c r="B93" s="140"/>
      <c r="C93" s="140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ht="20.25" customHeight="1">
      <c r="A94" s="139"/>
      <c r="B94" s="140"/>
      <c r="C94" s="140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ht="20.25" customHeight="1">
      <c r="A95" s="139"/>
      <c r="B95" s="140"/>
      <c r="C95" s="140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ht="20.25" customHeight="1">
      <c r="A96" s="139"/>
      <c r="B96" s="140"/>
      <c r="C96" s="140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ht="20.25" customHeight="1">
      <c r="A97" s="139"/>
      <c r="B97" s="140"/>
      <c r="C97" s="140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ht="20.25" customHeight="1">
      <c r="A98" s="139"/>
      <c r="B98" s="140"/>
      <c r="C98" s="140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ht="20.25" customHeight="1">
      <c r="A99" s="139"/>
      <c r="B99" s="140"/>
      <c r="C99" s="140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ht="20.25" customHeight="1">
      <c r="A100" s="139"/>
      <c r="B100" s="140"/>
      <c r="C100" s="140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ht="20.25" customHeight="1">
      <c r="A101" s="139"/>
      <c r="B101" s="140"/>
      <c r="C101" s="140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ht="20.25" customHeight="1">
      <c r="A102" s="139"/>
      <c r="B102" s="140"/>
      <c r="C102" s="140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ht="20.25" customHeight="1">
      <c r="A103" s="139"/>
      <c r="B103" s="140"/>
      <c r="C103" s="140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ht="20.25" customHeight="1">
      <c r="A104" s="139"/>
      <c r="B104" s="140"/>
      <c r="C104" s="140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ht="20.25" customHeight="1">
      <c r="A105" s="139"/>
      <c r="B105" s="140"/>
      <c r="C105" s="140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ht="20.25" customHeight="1">
      <c r="A106" s="139"/>
      <c r="B106" s="140"/>
      <c r="C106" s="140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ht="20.25" customHeight="1">
      <c r="A107" s="139"/>
      <c r="B107" s="140"/>
      <c r="C107" s="140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ht="20.25" customHeight="1">
      <c r="A108" s="139"/>
      <c r="B108" s="140"/>
      <c r="C108" s="140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ht="20.25" customHeight="1">
      <c r="A109" s="139"/>
      <c r="B109" s="140"/>
      <c r="C109" s="140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ht="20.25" customHeight="1">
      <c r="A110" s="139"/>
      <c r="B110" s="140"/>
      <c r="C110" s="140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ht="20.25" customHeight="1">
      <c r="A111" s="139"/>
      <c r="B111" s="140"/>
      <c r="C111" s="140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ht="20.25" customHeight="1">
      <c r="A112" s="139"/>
      <c r="B112" s="140"/>
      <c r="C112" s="140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ht="20.25" customHeight="1">
      <c r="A113" s="139"/>
      <c r="B113" s="140"/>
      <c r="C113" s="140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ht="20.25" customHeight="1">
      <c r="A114" s="139"/>
      <c r="B114" s="140"/>
      <c r="C114" s="140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ht="20.25" customHeight="1">
      <c r="A115" s="139"/>
      <c r="B115" s="140"/>
      <c r="C115" s="140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ht="20.25" customHeight="1">
      <c r="A116" s="139"/>
      <c r="B116" s="140"/>
      <c r="C116" s="140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ht="20.25" customHeight="1">
      <c r="A117" s="139"/>
      <c r="B117" s="140"/>
      <c r="C117" s="140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ht="20.25" customHeight="1">
      <c r="A118" s="139"/>
      <c r="B118" s="140"/>
      <c r="C118" s="140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ht="20.25" customHeight="1">
      <c r="A119" s="139"/>
      <c r="B119" s="140"/>
      <c r="C119" s="140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ht="20.25" customHeight="1">
      <c r="A120" s="139"/>
      <c r="B120" s="140"/>
      <c r="C120" s="140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ht="20.25" customHeight="1">
      <c r="A121" s="139"/>
      <c r="B121" s="140"/>
      <c r="C121" s="140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ht="20.25" customHeight="1">
      <c r="A122" s="139"/>
      <c r="B122" s="140"/>
      <c r="C122" s="140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ht="20.25" customHeight="1">
      <c r="A123" s="139"/>
      <c r="B123" s="140"/>
      <c r="C123" s="140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ht="20.25" customHeight="1">
      <c r="A124" s="139"/>
      <c r="B124" s="140"/>
      <c r="C124" s="140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ht="20.25" customHeight="1">
      <c r="A125" s="139"/>
      <c r="B125" s="140"/>
      <c r="C125" s="140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ht="20.25" customHeight="1">
      <c r="A126" s="139"/>
      <c r="B126" s="140"/>
      <c r="C126" s="140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ht="20.25" customHeight="1">
      <c r="A127" s="139"/>
      <c r="B127" s="140"/>
      <c r="C127" s="140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ht="20.25" customHeight="1">
      <c r="A128" s="139"/>
      <c r="B128" s="140"/>
      <c r="C128" s="140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ht="20.25" customHeight="1">
      <c r="A129" s="139"/>
      <c r="B129" s="140"/>
      <c r="C129" s="140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ht="20.25" customHeight="1">
      <c r="A130" s="139"/>
      <c r="B130" s="140"/>
      <c r="C130" s="140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ht="20.25" customHeight="1">
      <c r="A131" s="139"/>
      <c r="B131" s="140"/>
      <c r="C131" s="140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ht="20.25" customHeight="1">
      <c r="A132" s="139"/>
      <c r="B132" s="140"/>
      <c r="C132" s="140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ht="20.25" customHeight="1">
      <c r="A133" s="139"/>
      <c r="B133" s="140"/>
      <c r="C133" s="140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ht="20.25" customHeight="1">
      <c r="A134" s="139"/>
      <c r="B134" s="140"/>
      <c r="C134" s="140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ht="20.25" customHeight="1">
      <c r="A135" s="139"/>
      <c r="B135" s="140"/>
      <c r="C135" s="140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ht="20.25" customHeight="1">
      <c r="A136" s="139"/>
      <c r="B136" s="140"/>
      <c r="C136" s="140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ht="20.25" customHeight="1">
      <c r="A137" s="139"/>
      <c r="B137" s="140"/>
      <c r="C137" s="140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ht="20.25" customHeight="1">
      <c r="A138" s="139"/>
      <c r="B138" s="140"/>
      <c r="C138" s="140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ht="20.25" customHeight="1">
      <c r="A139" s="139"/>
      <c r="B139" s="140"/>
      <c r="C139" s="140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ht="20.25" customHeight="1">
      <c r="A140" s="139"/>
      <c r="B140" s="140"/>
      <c r="C140" s="140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ht="20.25" customHeight="1">
      <c r="A141" s="139"/>
      <c r="B141" s="140"/>
      <c r="C141" s="140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ht="20.25" customHeight="1">
      <c r="A142" s="139"/>
      <c r="B142" s="140"/>
      <c r="C142" s="140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ht="20.25" customHeight="1">
      <c r="A143" s="139"/>
      <c r="B143" s="140"/>
      <c r="C143" s="140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ht="20.25" customHeight="1">
      <c r="A144" s="139"/>
      <c r="B144" s="140"/>
      <c r="C144" s="140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ht="20.25" customHeight="1">
      <c r="A145" s="139"/>
      <c r="B145" s="140"/>
      <c r="C145" s="140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ht="20.25" customHeight="1">
      <c r="A146" s="139"/>
      <c r="B146" s="140"/>
      <c r="C146" s="140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ht="20.25" customHeight="1">
      <c r="A147" s="139"/>
      <c r="B147" s="140"/>
      <c r="C147" s="140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ht="20.25" customHeight="1">
      <c r="A148" s="139"/>
      <c r="B148" s="140"/>
      <c r="C148" s="140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ht="20.25" customHeight="1">
      <c r="A149" s="139"/>
      <c r="B149" s="140"/>
      <c r="C149" s="140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ht="20.25" customHeight="1">
      <c r="A150" s="139"/>
      <c r="B150" s="140"/>
      <c r="C150" s="140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ht="20.25" customHeight="1">
      <c r="A151" s="139"/>
      <c r="B151" s="140"/>
      <c r="C151" s="140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ht="20.25" customHeight="1">
      <c r="A152" s="139"/>
      <c r="B152" s="140"/>
      <c r="C152" s="140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ht="20.25" customHeight="1">
      <c r="A153" s="139"/>
      <c r="B153" s="140"/>
      <c r="C153" s="140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ht="20.25" customHeight="1">
      <c r="A154" s="139"/>
      <c r="B154" s="140"/>
      <c r="C154" s="140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ht="20.25" customHeight="1">
      <c r="A155" s="139"/>
      <c r="B155" s="140"/>
      <c r="C155" s="140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ht="20.25" customHeight="1">
      <c r="A156" s="139"/>
      <c r="B156" s="140"/>
      <c r="C156" s="140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ht="20.25" customHeight="1">
      <c r="A157" s="139"/>
      <c r="B157" s="140"/>
      <c r="C157" s="140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ht="20.25" customHeight="1">
      <c r="A158" s="139"/>
      <c r="B158" s="140"/>
      <c r="C158" s="140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ht="20.25" customHeight="1">
      <c r="A159" s="139"/>
      <c r="B159" s="140"/>
      <c r="C159" s="140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ht="20.25" customHeight="1">
      <c r="A160" s="139"/>
      <c r="B160" s="140"/>
      <c r="C160" s="140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ht="20.25" customHeight="1">
      <c r="A161" s="139"/>
      <c r="B161" s="140"/>
      <c r="C161" s="140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ht="20.25" customHeight="1">
      <c r="A162" s="139"/>
      <c r="B162" s="140"/>
      <c r="C162" s="140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ht="20.25" customHeight="1">
      <c r="A163" s="139"/>
      <c r="B163" s="140"/>
      <c r="C163" s="140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ht="20.25" customHeight="1">
      <c r="A164" s="139"/>
      <c r="B164" s="140"/>
      <c r="C164" s="140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ht="20.25" customHeight="1">
      <c r="A165" s="139"/>
      <c r="B165" s="140"/>
      <c r="C165" s="140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ht="20.25" customHeight="1">
      <c r="A166" s="139"/>
      <c r="B166" s="140"/>
      <c r="C166" s="140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ht="20.25" customHeight="1">
      <c r="A167" s="139"/>
      <c r="B167" s="140"/>
      <c r="C167" s="140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ht="20.25" customHeight="1">
      <c r="A168" s="139"/>
      <c r="B168" s="140"/>
      <c r="C168" s="140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ht="20.25" customHeight="1">
      <c r="A169" s="139"/>
      <c r="B169" s="140"/>
      <c r="C169" s="140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ht="20.25" customHeight="1">
      <c r="A170" s="139"/>
      <c r="B170" s="140"/>
      <c r="C170" s="140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ht="20.25" customHeight="1">
      <c r="A171" s="139"/>
      <c r="B171" s="140"/>
      <c r="C171" s="140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ht="20.25" customHeight="1">
      <c r="A172" s="139"/>
      <c r="B172" s="140"/>
      <c r="C172" s="140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ht="20.25" customHeight="1">
      <c r="A173" s="139"/>
      <c r="B173" s="140"/>
      <c r="C173" s="140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ht="20.25" customHeight="1">
      <c r="A174" s="139"/>
      <c r="B174" s="140"/>
      <c r="C174" s="140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ht="20.25" customHeight="1">
      <c r="A175" s="139"/>
      <c r="B175" s="140"/>
      <c r="C175" s="140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ht="20.25" customHeight="1">
      <c r="A176" s="139"/>
      <c r="B176" s="140"/>
      <c r="C176" s="140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ht="20.25" customHeight="1">
      <c r="A177" s="139"/>
      <c r="B177" s="140"/>
      <c r="C177" s="140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ht="20.25" customHeight="1">
      <c r="A178" s="139"/>
      <c r="B178" s="140"/>
      <c r="C178" s="140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ht="20.25" customHeight="1">
      <c r="A179" s="139"/>
      <c r="B179" s="140"/>
      <c r="C179" s="140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ht="20.25" customHeight="1">
      <c r="A180" s="139"/>
      <c r="B180" s="140"/>
      <c r="C180" s="140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ht="20.25" customHeight="1">
      <c r="A181" s="139"/>
      <c r="B181" s="140"/>
      <c r="C181" s="140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ht="20.25" customHeight="1">
      <c r="A182" s="139"/>
      <c r="B182" s="140"/>
      <c r="C182" s="140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ht="20.25" customHeight="1">
      <c r="A183" s="139"/>
      <c r="B183" s="140"/>
      <c r="C183" s="140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ht="20.25" customHeight="1">
      <c r="A184" s="139"/>
      <c r="B184" s="140"/>
      <c r="C184" s="140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ht="20.25" customHeight="1">
      <c r="A185" s="139"/>
      <c r="B185" s="140"/>
      <c r="C185" s="140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ht="20.25" customHeight="1">
      <c r="A186" s="139"/>
      <c r="B186" s="140"/>
      <c r="C186" s="140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ht="20.25" customHeight="1">
      <c r="A187" s="139"/>
      <c r="B187" s="140"/>
      <c r="C187" s="140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ht="20.25" customHeight="1">
      <c r="A188" s="139"/>
      <c r="B188" s="140"/>
      <c r="C188" s="140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ht="20.25" customHeight="1">
      <c r="A189" s="139"/>
      <c r="B189" s="140"/>
      <c r="C189" s="140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ht="20.25" customHeight="1">
      <c r="A190" s="139"/>
      <c r="B190" s="140"/>
      <c r="C190" s="140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ht="20.25" customHeight="1">
      <c r="A191" s="139"/>
      <c r="B191" s="140"/>
      <c r="C191" s="140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ht="20.25" customHeight="1">
      <c r="A192" s="139"/>
      <c r="B192" s="140"/>
      <c r="C192" s="140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ht="20.25" customHeight="1">
      <c r="A193" s="139"/>
      <c r="B193" s="140"/>
      <c r="C193" s="140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ht="20.25" customHeight="1">
      <c r="A194" s="139"/>
      <c r="B194" s="140"/>
      <c r="C194" s="140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ht="20.25" customHeight="1">
      <c r="A195" s="139"/>
      <c r="B195" s="140"/>
      <c r="C195" s="140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ht="20.25" customHeight="1">
      <c r="A196" s="139"/>
      <c r="B196" s="140"/>
      <c r="C196" s="140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ht="20.25" customHeight="1">
      <c r="A197" s="139"/>
      <c r="B197" s="140"/>
      <c r="C197" s="140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ht="20.25" customHeight="1">
      <c r="A198" s="139"/>
      <c r="B198" s="140"/>
      <c r="C198" s="140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ht="20.25" customHeight="1">
      <c r="A199" s="139"/>
      <c r="B199" s="140"/>
      <c r="C199" s="140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ht="20.25" customHeight="1">
      <c r="A200" s="139"/>
      <c r="B200" s="140"/>
      <c r="C200" s="140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ht="20.25" customHeight="1">
      <c r="A201" s="139"/>
      <c r="B201" s="140"/>
      <c r="C201" s="140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ht="20.25" customHeight="1">
      <c r="A202" s="139"/>
      <c r="B202" s="140"/>
      <c r="C202" s="140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ht="20.25" customHeight="1">
      <c r="A203" s="139"/>
      <c r="B203" s="140"/>
      <c r="C203" s="140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ht="20.25" customHeight="1">
      <c r="A204" s="139"/>
      <c r="B204" s="140"/>
      <c r="C204" s="140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ht="20.25" customHeight="1">
      <c r="A205" s="139"/>
      <c r="B205" s="140"/>
      <c r="C205" s="140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ht="20.25" customHeight="1">
      <c r="A206" s="139"/>
      <c r="B206" s="140"/>
      <c r="C206" s="140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ht="20.25" customHeight="1">
      <c r="A207" s="139"/>
      <c r="B207" s="140"/>
      <c r="C207" s="140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ht="20.25" customHeight="1">
      <c r="A208" s="139"/>
      <c r="B208" s="140"/>
      <c r="C208" s="140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ht="20.25" customHeight="1">
      <c r="A209" s="139"/>
      <c r="B209" s="140"/>
      <c r="C209" s="140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ht="20.25" customHeight="1">
      <c r="A210" s="139"/>
      <c r="B210" s="140"/>
      <c r="C210" s="140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ht="20.25" customHeight="1">
      <c r="A211" s="139"/>
      <c r="B211" s="140"/>
      <c r="C211" s="140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ht="20.25" customHeight="1">
      <c r="A212" s="139"/>
      <c r="B212" s="140"/>
      <c r="C212" s="140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ht="20.25" customHeight="1">
      <c r="A213" s="139"/>
      <c r="B213" s="140"/>
      <c r="C213" s="140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ht="20.25" customHeight="1">
      <c r="A214" s="139"/>
      <c r="B214" s="140"/>
      <c r="C214" s="140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ht="20.25" customHeight="1">
      <c r="A215" s="139"/>
      <c r="B215" s="140"/>
      <c r="C215" s="140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ht="20.25" customHeight="1">
      <c r="A216" s="139"/>
      <c r="B216" s="140"/>
      <c r="C216" s="140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ht="20.25" customHeight="1">
      <c r="A217" s="139"/>
      <c r="B217" s="140"/>
      <c r="C217" s="140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ht="20.25" customHeight="1">
      <c r="A218" s="139"/>
      <c r="B218" s="140"/>
      <c r="C218" s="140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ht="20.25" customHeight="1">
      <c r="A219" s="139"/>
      <c r="B219" s="140"/>
      <c r="C219" s="140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ht="20.25" customHeight="1">
      <c r="A220" s="139"/>
      <c r="B220" s="140"/>
      <c r="C220" s="140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ht="20.25" customHeight="1">
      <c r="A221" s="139"/>
      <c r="B221" s="140"/>
      <c r="C221" s="140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ht="20.25" customHeight="1">
      <c r="A222" s="139"/>
      <c r="B222" s="140"/>
      <c r="C222" s="140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ht="20.25" customHeight="1">
      <c r="A223" s="139"/>
      <c r="B223" s="140"/>
      <c r="C223" s="140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ht="20.25" customHeight="1">
      <c r="A224" s="139"/>
      <c r="B224" s="140"/>
      <c r="C224" s="140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ht="20.25" customHeight="1">
      <c r="A225" s="139"/>
      <c r="B225" s="140"/>
      <c r="C225" s="140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ht="20.25" customHeight="1">
      <c r="A226" s="139"/>
      <c r="B226" s="140"/>
      <c r="C226" s="140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ht="20.25" customHeight="1">
      <c r="A227" s="139"/>
      <c r="B227" s="140"/>
      <c r="C227" s="140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ht="20.25" customHeight="1">
      <c r="A228" s="139"/>
      <c r="B228" s="140"/>
      <c r="C228" s="140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ht="20.25" customHeight="1">
      <c r="A229" s="139"/>
      <c r="B229" s="140"/>
      <c r="C229" s="140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ht="20.25" customHeight="1">
      <c r="A230" s="139"/>
      <c r="B230" s="140"/>
      <c r="C230" s="140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ht="20.25" customHeight="1">
      <c r="A231" s="139"/>
      <c r="B231" s="140"/>
      <c r="C231" s="140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ht="20.25" customHeight="1">
      <c r="A232" s="139"/>
      <c r="B232" s="140"/>
      <c r="C232" s="140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ht="20.25" customHeight="1">
      <c r="A233" s="139"/>
      <c r="B233" s="140"/>
      <c r="C233" s="140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ht="20.25" customHeight="1">
      <c r="A234" s="139"/>
      <c r="B234" s="140"/>
      <c r="C234" s="140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ht="20.25" customHeight="1">
      <c r="A235" s="139"/>
      <c r="B235" s="140"/>
      <c r="C235" s="140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ht="20.25" customHeight="1">
      <c r="A236" s="139"/>
      <c r="B236" s="140"/>
      <c r="C236" s="140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ht="20.25" customHeight="1">
      <c r="A237" s="139"/>
      <c r="B237" s="140"/>
      <c r="C237" s="140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ht="20.25" customHeight="1">
      <c r="A238" s="139"/>
      <c r="B238" s="140"/>
      <c r="C238" s="140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ht="20.25" customHeight="1">
      <c r="A239" s="139"/>
      <c r="B239" s="140"/>
      <c r="C239" s="140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ht="20.25" customHeight="1">
      <c r="A240" s="139"/>
      <c r="B240" s="140"/>
      <c r="C240" s="140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ht="20.25" customHeight="1">
      <c r="A241" s="139"/>
      <c r="B241" s="140"/>
      <c r="C241" s="140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ht="20.25" customHeight="1">
      <c r="A242" s="139"/>
      <c r="B242" s="140"/>
      <c r="C242" s="140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ht="20.25" customHeight="1">
      <c r="A243" s="139"/>
      <c r="B243" s="140"/>
      <c r="C243" s="140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ht="20.25" customHeight="1">
      <c r="A244" s="139"/>
      <c r="B244" s="140"/>
      <c r="C244" s="140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ht="20.25" customHeight="1">
      <c r="A245" s="139"/>
      <c r="B245" s="140"/>
      <c r="C245" s="140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ht="20.25" customHeight="1">
      <c r="A246" s="139"/>
      <c r="B246" s="140"/>
      <c r="C246" s="140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ht="20.25" customHeight="1">
      <c r="A247" s="139"/>
      <c r="B247" s="140"/>
      <c r="C247" s="140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ht="20.25" customHeight="1">
      <c r="A248" s="139"/>
      <c r="B248" s="140"/>
      <c r="C248" s="140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ht="20.25" customHeight="1">
      <c r="A249" s="139"/>
      <c r="B249" s="140"/>
      <c r="C249" s="140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ht="20.25" customHeight="1">
      <c r="A250" s="139"/>
      <c r="B250" s="140"/>
      <c r="C250" s="140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ht="20.25" customHeight="1">
      <c r="A251" s="139"/>
      <c r="B251" s="140"/>
      <c r="C251" s="140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ht="20.25" customHeight="1">
      <c r="A252" s="139"/>
      <c r="B252" s="140"/>
      <c r="C252" s="140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ht="20.25" customHeight="1">
      <c r="A253" s="139"/>
      <c r="B253" s="140"/>
      <c r="C253" s="140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ht="20.25" customHeight="1">
      <c r="A254" s="139"/>
      <c r="B254" s="140"/>
      <c r="C254" s="140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ht="20.25" customHeight="1">
      <c r="A255" s="139"/>
      <c r="B255" s="140"/>
      <c r="C255" s="140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ht="20.25" customHeight="1">
      <c r="A256" s="139"/>
      <c r="B256" s="140"/>
      <c r="C256" s="140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ht="20.25" customHeight="1">
      <c r="A257" s="139"/>
      <c r="B257" s="140"/>
      <c r="C257" s="140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ht="20.25" customHeight="1">
      <c r="A258" s="139"/>
      <c r="B258" s="140"/>
      <c r="C258" s="140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ht="20.25" customHeight="1">
      <c r="A259" s="139"/>
      <c r="B259" s="140"/>
      <c r="C259" s="140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ht="20.25" customHeight="1">
      <c r="A260" s="139"/>
      <c r="B260" s="140"/>
      <c r="C260" s="140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ht="20.25" customHeight="1">
      <c r="A261" s="139"/>
      <c r="B261" s="140"/>
      <c r="C261" s="140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ht="20.25" customHeight="1">
      <c r="A262" s="139"/>
      <c r="B262" s="140"/>
      <c r="C262" s="140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ht="20.25" customHeight="1">
      <c r="A263" s="139"/>
      <c r="B263" s="140"/>
      <c r="C263" s="140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ht="20.25" customHeight="1">
      <c r="A264" s="139"/>
      <c r="B264" s="140"/>
      <c r="C264" s="140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ht="20.25" customHeight="1">
      <c r="A265" s="139"/>
      <c r="B265" s="140"/>
      <c r="C265" s="140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ht="20.25" customHeight="1">
      <c r="A266" s="139"/>
      <c r="B266" s="140"/>
      <c r="C266" s="140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ht="20.25" customHeight="1">
      <c r="A267" s="139"/>
      <c r="B267" s="140"/>
      <c r="C267" s="140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ht="20.25" customHeight="1">
      <c r="A268" s="139"/>
      <c r="B268" s="140"/>
      <c r="C268" s="140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ht="20.25" customHeight="1">
      <c r="A269" s="139"/>
      <c r="B269" s="140"/>
      <c r="C269" s="140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ht="20.25" customHeight="1">
      <c r="A270" s="139"/>
      <c r="B270" s="140"/>
      <c r="C270" s="140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ht="20.25" customHeight="1">
      <c r="A271" s="139"/>
      <c r="B271" s="140"/>
      <c r="C271" s="140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ht="20.25" customHeight="1">
      <c r="A272" s="139"/>
      <c r="B272" s="140"/>
      <c r="C272" s="140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ht="20.25" customHeight="1">
      <c r="A273" s="139"/>
      <c r="B273" s="140"/>
      <c r="C273" s="140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ht="20.25" customHeight="1">
      <c r="A274" s="139"/>
      <c r="B274" s="140"/>
      <c r="C274" s="140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ht="20.25" customHeight="1">
      <c r="A275" s="139"/>
      <c r="B275" s="140"/>
      <c r="C275" s="140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ht="20.25" customHeight="1">
      <c r="A276" s="139"/>
      <c r="B276" s="140"/>
      <c r="C276" s="140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ht="20.25" customHeight="1">
      <c r="A277" s="139"/>
      <c r="B277" s="140"/>
      <c r="C277" s="140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ht="20.25" customHeight="1">
      <c r="A278" s="139"/>
      <c r="B278" s="140"/>
      <c r="C278" s="140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ht="20.25" customHeight="1">
      <c r="A279" s="139"/>
      <c r="B279" s="140"/>
      <c r="C279" s="140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ht="20.25" customHeight="1">
      <c r="A280" s="139"/>
      <c r="B280" s="140"/>
      <c r="C280" s="140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ht="20.25" customHeight="1">
      <c r="A281" s="139"/>
      <c r="B281" s="140"/>
      <c r="C281" s="140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ht="20.25" customHeight="1">
      <c r="A282" s="139"/>
      <c r="B282" s="140"/>
      <c r="C282" s="140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ht="20.25" customHeight="1">
      <c r="A283" s="139"/>
      <c r="B283" s="140"/>
      <c r="C283" s="140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ht="20.25" customHeight="1">
      <c r="A284" s="139"/>
      <c r="B284" s="140"/>
      <c r="C284" s="140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ht="20.25" customHeight="1">
      <c r="A285" s="139"/>
      <c r="B285" s="140"/>
      <c r="C285" s="140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ht="20.25" customHeight="1">
      <c r="A286" s="139"/>
      <c r="B286" s="140"/>
      <c r="C286" s="140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ht="20.25" customHeight="1">
      <c r="A287" s="139"/>
      <c r="B287" s="140"/>
      <c r="C287" s="140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ht="20.25" customHeight="1">
      <c r="A288" s="139"/>
      <c r="B288" s="140"/>
      <c r="C288" s="140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ht="20.25" customHeight="1">
      <c r="A289" s="139"/>
      <c r="B289" s="140"/>
      <c r="C289" s="140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ht="20.25" customHeight="1">
      <c r="A290" s="139"/>
      <c r="B290" s="140"/>
      <c r="C290" s="140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ht="20.25" customHeight="1">
      <c r="A291" s="139"/>
      <c r="B291" s="140"/>
      <c r="C291" s="140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ht="20.25" customHeight="1">
      <c r="A292" s="139"/>
      <c r="B292" s="140"/>
      <c r="C292" s="140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ht="20.25" customHeight="1">
      <c r="A293" s="139"/>
      <c r="B293" s="140"/>
      <c r="C293" s="140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ht="20.25" customHeight="1">
      <c r="A294" s="139"/>
      <c r="B294" s="140"/>
      <c r="C294" s="140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ht="20.25" customHeight="1">
      <c r="A295" s="139"/>
      <c r="B295" s="140"/>
      <c r="C295" s="140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ht="20.25" customHeight="1">
      <c r="A296" s="139"/>
      <c r="B296" s="140"/>
      <c r="C296" s="140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ht="20.25" customHeight="1">
      <c r="A297" s="139"/>
      <c r="B297" s="140"/>
      <c r="C297" s="140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ht="20.25" customHeight="1">
      <c r="A298" s="139"/>
      <c r="B298" s="140"/>
      <c r="C298" s="140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ht="20.25" customHeight="1">
      <c r="A299" s="139"/>
      <c r="B299" s="140"/>
      <c r="C299" s="140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ht="20.25" customHeight="1">
      <c r="A300" s="139"/>
      <c r="B300" s="140"/>
      <c r="C300" s="140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ht="20.25" customHeight="1">
      <c r="A301" s="139"/>
      <c r="B301" s="140"/>
      <c r="C301" s="140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ht="20.25" customHeight="1">
      <c r="A302" s="139"/>
      <c r="B302" s="140"/>
      <c r="C302" s="140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ht="20.25" customHeight="1">
      <c r="A303" s="139"/>
      <c r="B303" s="140"/>
      <c r="C303" s="140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ht="20.25" customHeight="1">
      <c r="A304" s="139"/>
      <c r="B304" s="140"/>
      <c r="C304" s="140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ht="20.25" customHeight="1">
      <c r="A305" s="139"/>
      <c r="B305" s="140"/>
      <c r="C305" s="140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ht="20.25" customHeight="1">
      <c r="A306" s="139"/>
      <c r="B306" s="140"/>
      <c r="C306" s="140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ht="20.25" customHeight="1">
      <c r="A307" s="139"/>
      <c r="B307" s="140"/>
      <c r="C307" s="140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ht="20.25" customHeight="1">
      <c r="A308" s="139"/>
      <c r="B308" s="140"/>
      <c r="C308" s="140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ht="20.25" customHeight="1">
      <c r="A309" s="139"/>
      <c r="B309" s="140"/>
      <c r="C309" s="140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ht="20.25" customHeight="1">
      <c r="A310" s="139"/>
      <c r="B310" s="140"/>
      <c r="C310" s="140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ht="20.25" customHeight="1">
      <c r="A311" s="139"/>
      <c r="B311" s="140"/>
      <c r="C311" s="140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ht="20.25" customHeight="1">
      <c r="A312" s="139"/>
      <c r="B312" s="140"/>
      <c r="C312" s="140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ht="20.25" customHeight="1">
      <c r="A313" s="139"/>
      <c r="B313" s="140"/>
      <c r="C313" s="140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ht="20.25" customHeight="1">
      <c r="A314" s="139"/>
      <c r="B314" s="140"/>
      <c r="C314" s="140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ht="20.25" customHeight="1">
      <c r="A315" s="139"/>
      <c r="B315" s="140"/>
      <c r="C315" s="140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ht="20.25" customHeight="1">
      <c r="A316" s="139"/>
      <c r="B316" s="140"/>
      <c r="C316" s="140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ht="20.25" customHeight="1">
      <c r="A317" s="139"/>
      <c r="B317" s="140"/>
      <c r="C317" s="140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ht="20.25" customHeight="1">
      <c r="A318" s="139"/>
      <c r="B318" s="140"/>
      <c r="C318" s="140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ht="20.25" customHeight="1">
      <c r="A319" s="139"/>
      <c r="B319" s="140"/>
      <c r="C319" s="140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ht="20.25" customHeight="1">
      <c r="A320" s="139"/>
      <c r="B320" s="140"/>
      <c r="C320" s="140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ht="20.25" customHeight="1">
      <c r="A321" s="139"/>
      <c r="B321" s="140"/>
      <c r="C321" s="140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ht="20.25" customHeight="1">
      <c r="A322" s="139"/>
      <c r="B322" s="140"/>
      <c r="C322" s="140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ht="20.25" customHeight="1">
      <c r="A323" s="139"/>
      <c r="B323" s="140"/>
      <c r="C323" s="140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ht="20.25" customHeight="1">
      <c r="A324" s="139"/>
      <c r="B324" s="140"/>
      <c r="C324" s="140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ht="20.25" customHeight="1">
      <c r="A325" s="139"/>
      <c r="B325" s="140"/>
      <c r="C325" s="140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ht="20.25" customHeight="1">
      <c r="A326" s="139"/>
      <c r="B326" s="140"/>
      <c r="C326" s="140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ht="20.25" customHeight="1">
      <c r="A327" s="139"/>
      <c r="B327" s="140"/>
      <c r="C327" s="140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ht="20.25" customHeight="1">
      <c r="A328" s="139"/>
      <c r="B328" s="140"/>
      <c r="C328" s="140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ht="20.25" customHeight="1">
      <c r="A329" s="139"/>
      <c r="B329" s="140"/>
      <c r="C329" s="140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ht="20.25" customHeight="1">
      <c r="A330" s="139"/>
      <c r="B330" s="140"/>
      <c r="C330" s="140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ht="20.25" customHeight="1">
      <c r="A331" s="139"/>
      <c r="B331" s="140"/>
      <c r="C331" s="140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ht="20.25" customHeight="1">
      <c r="A332" s="139"/>
      <c r="B332" s="140"/>
      <c r="C332" s="140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ht="20.25" customHeight="1">
      <c r="A333" s="139"/>
      <c r="B333" s="140"/>
      <c r="C333" s="140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ht="20.25" customHeight="1">
      <c r="A334" s="139"/>
      <c r="B334" s="140"/>
      <c r="C334" s="140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ht="20.25" customHeight="1">
      <c r="A335" s="139"/>
      <c r="B335" s="140"/>
      <c r="C335" s="140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ht="20.25" customHeight="1">
      <c r="A336" s="139"/>
      <c r="B336" s="140"/>
      <c r="C336" s="140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ht="20.25" customHeight="1">
      <c r="A337" s="139"/>
      <c r="B337" s="140"/>
      <c r="C337" s="140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ht="20.25" customHeight="1">
      <c r="A338" s="139"/>
      <c r="B338" s="140"/>
      <c r="C338" s="140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ht="20.25" customHeight="1">
      <c r="A339" s="139"/>
      <c r="B339" s="140"/>
      <c r="C339" s="140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ht="20.25" customHeight="1">
      <c r="A340" s="139"/>
      <c r="B340" s="140"/>
      <c r="C340" s="140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ht="20.25" customHeight="1">
      <c r="A341" s="139"/>
      <c r="B341" s="140"/>
      <c r="C341" s="140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ht="20.25" customHeight="1">
      <c r="A342" s="139"/>
      <c r="B342" s="140"/>
      <c r="C342" s="140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ht="20.25" customHeight="1">
      <c r="A343" s="139"/>
      <c r="B343" s="140"/>
      <c r="C343" s="140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ht="20.25" customHeight="1">
      <c r="A344" s="139"/>
      <c r="B344" s="140"/>
      <c r="C344" s="140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ht="20.25" customHeight="1">
      <c r="A345" s="139"/>
      <c r="B345" s="140"/>
      <c r="C345" s="140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ht="20.25" customHeight="1">
      <c r="A346" s="139"/>
      <c r="B346" s="140"/>
      <c r="C346" s="140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ht="20.25" customHeight="1">
      <c r="A347" s="139"/>
      <c r="B347" s="140"/>
      <c r="C347" s="140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ht="20.25" customHeight="1">
      <c r="A348" s="139"/>
      <c r="B348" s="140"/>
      <c r="C348" s="140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ht="20.25" customHeight="1">
      <c r="A349" s="139"/>
      <c r="B349" s="140"/>
      <c r="C349" s="140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ht="20.25" customHeight="1">
      <c r="A350" s="139"/>
      <c r="B350" s="140"/>
      <c r="C350" s="140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ht="20.25" customHeight="1">
      <c r="A351" s="139"/>
      <c r="B351" s="140"/>
      <c r="C351" s="140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ht="20.25" customHeight="1">
      <c r="A352" s="139"/>
      <c r="B352" s="140"/>
      <c r="C352" s="140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ht="20.25" customHeight="1">
      <c r="A353" s="139"/>
      <c r="B353" s="140"/>
      <c r="C353" s="140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ht="20.25" customHeight="1">
      <c r="A354" s="139"/>
      <c r="B354" s="140"/>
      <c r="C354" s="140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ht="20.25" customHeight="1">
      <c r="A355" s="139"/>
      <c r="B355" s="140"/>
      <c r="C355" s="140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ht="20.25" customHeight="1">
      <c r="A356" s="139"/>
      <c r="B356" s="140"/>
      <c r="C356" s="140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ht="20.25" customHeight="1">
      <c r="A357" s="139"/>
      <c r="B357" s="140"/>
      <c r="C357" s="140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ht="20.25" customHeight="1">
      <c r="A358" s="139"/>
      <c r="B358" s="140"/>
      <c r="C358" s="140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ht="20.25" customHeight="1">
      <c r="A359" s="139"/>
      <c r="B359" s="140"/>
      <c r="C359" s="140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ht="20.25" customHeight="1">
      <c r="A360" s="139"/>
      <c r="B360" s="140"/>
      <c r="C360" s="140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ht="20.25" customHeight="1">
      <c r="A361" s="139"/>
      <c r="B361" s="140"/>
      <c r="C361" s="140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ht="20.25" customHeight="1">
      <c r="A362" s="139"/>
      <c r="B362" s="140"/>
      <c r="C362" s="140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ht="20.25" customHeight="1">
      <c r="A363" s="139"/>
      <c r="B363" s="140"/>
      <c r="C363" s="140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ht="20.25" customHeight="1">
      <c r="A364" s="139"/>
      <c r="B364" s="140"/>
      <c r="C364" s="140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ht="20.25" customHeight="1">
      <c r="A365" s="139"/>
      <c r="B365" s="140"/>
      <c r="C365" s="140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ht="20.25" customHeight="1">
      <c r="A366" s="139"/>
      <c r="B366" s="140"/>
      <c r="C366" s="140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ht="20.25" customHeight="1">
      <c r="A367" s="139"/>
      <c r="B367" s="140"/>
      <c r="C367" s="140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ht="20.25" customHeight="1">
      <c r="A368" s="139"/>
      <c r="B368" s="140"/>
      <c r="C368" s="140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ht="20.25" customHeight="1">
      <c r="A369" s="139"/>
      <c r="B369" s="140"/>
      <c r="C369" s="140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ht="20.25" customHeight="1">
      <c r="A370" s="139"/>
      <c r="B370" s="140"/>
      <c r="C370" s="140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ht="20.25" customHeight="1">
      <c r="A371" s="139"/>
      <c r="B371" s="140"/>
      <c r="C371" s="140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ht="20.25" customHeight="1">
      <c r="A372" s="139"/>
      <c r="B372" s="140"/>
      <c r="C372" s="140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ht="20.25" customHeight="1">
      <c r="A373" s="139"/>
      <c r="B373" s="140"/>
      <c r="C373" s="140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ht="20.25" customHeight="1">
      <c r="A374" s="139"/>
      <c r="B374" s="140"/>
      <c r="C374" s="140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ht="20.25" customHeight="1">
      <c r="A375" s="139"/>
      <c r="B375" s="140"/>
      <c r="C375" s="140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ht="20.25" customHeight="1">
      <c r="A376" s="139"/>
      <c r="B376" s="140"/>
      <c r="C376" s="140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ht="20.25" customHeight="1">
      <c r="A377" s="139"/>
      <c r="B377" s="140"/>
      <c r="C377" s="140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ht="20.25" customHeight="1">
      <c r="A378" s="139"/>
      <c r="B378" s="140"/>
      <c r="C378" s="140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ht="20.25" customHeight="1">
      <c r="A379" s="139"/>
      <c r="B379" s="140"/>
      <c r="C379" s="140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ht="20.25" customHeight="1">
      <c r="A380" s="139"/>
      <c r="B380" s="140"/>
      <c r="C380" s="140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ht="20.25" customHeight="1">
      <c r="A381" s="139"/>
      <c r="B381" s="140"/>
      <c r="C381" s="140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ht="20.25" customHeight="1">
      <c r="A382" s="139"/>
      <c r="B382" s="140"/>
      <c r="C382" s="140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ht="20.25" customHeight="1">
      <c r="A383" s="139"/>
      <c r="B383" s="140"/>
      <c r="C383" s="140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ht="20.25" customHeight="1">
      <c r="A384" s="139"/>
      <c r="B384" s="140"/>
      <c r="C384" s="140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ht="20.25" customHeight="1">
      <c r="A385" s="139"/>
      <c r="B385" s="140"/>
      <c r="C385" s="140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ht="20.25" customHeight="1">
      <c r="A386" s="139"/>
      <c r="B386" s="140"/>
      <c r="C386" s="140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ht="20.25" customHeight="1">
      <c r="A387" s="139"/>
      <c r="B387" s="140"/>
      <c r="C387" s="140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ht="20.25" customHeight="1">
      <c r="A388" s="139"/>
      <c r="B388" s="140"/>
      <c r="C388" s="140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ht="20.25" customHeight="1">
      <c r="A389" s="139"/>
      <c r="B389" s="140"/>
      <c r="C389" s="140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ht="20.25" customHeight="1">
      <c r="A390" s="139"/>
      <c r="B390" s="140"/>
      <c r="C390" s="140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ht="20.25" customHeight="1">
      <c r="A391" s="139"/>
      <c r="B391" s="140"/>
      <c r="C391" s="140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ht="20.25" customHeight="1">
      <c r="A392" s="139"/>
      <c r="B392" s="140"/>
      <c r="C392" s="140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ht="20.25" customHeight="1">
      <c r="A393" s="139"/>
      <c r="B393" s="140"/>
      <c r="C393" s="140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ht="20.25" customHeight="1">
      <c r="A394" s="139"/>
      <c r="B394" s="140"/>
      <c r="C394" s="140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ht="20.25" customHeight="1">
      <c r="A395" s="139"/>
      <c r="B395" s="140"/>
      <c r="C395" s="140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ht="20.25" customHeight="1">
      <c r="A396" s="139"/>
      <c r="B396" s="140"/>
      <c r="C396" s="140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ht="20.25" customHeight="1">
      <c r="A397" s="139"/>
      <c r="B397" s="140"/>
      <c r="C397" s="140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ht="20.25" customHeight="1">
      <c r="A398" s="139"/>
      <c r="B398" s="140"/>
      <c r="C398" s="140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ht="20.25" customHeight="1">
      <c r="A399" s="139"/>
      <c r="B399" s="140"/>
      <c r="C399" s="140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ht="20.25" customHeight="1">
      <c r="A400" s="139"/>
      <c r="B400" s="140"/>
      <c r="C400" s="140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ht="20.25" customHeight="1">
      <c r="A401" s="139"/>
      <c r="B401" s="140"/>
      <c r="C401" s="140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ht="20.25" customHeight="1">
      <c r="A402" s="139"/>
      <c r="B402" s="140"/>
      <c r="C402" s="140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ht="20.25" customHeight="1">
      <c r="A403" s="139"/>
      <c r="B403" s="140"/>
      <c r="C403" s="140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ht="20.25" customHeight="1">
      <c r="A404" s="139"/>
      <c r="B404" s="140"/>
      <c r="C404" s="140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ht="20.25" customHeight="1">
      <c r="A405" s="139"/>
      <c r="B405" s="140"/>
      <c r="C405" s="140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ht="20.25" customHeight="1">
      <c r="A406" s="139"/>
      <c r="B406" s="140"/>
      <c r="C406" s="140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ht="20.25" customHeight="1">
      <c r="A407" s="139"/>
      <c r="B407" s="140"/>
      <c r="C407" s="140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ht="20.25" customHeight="1">
      <c r="A408" s="139"/>
      <c r="B408" s="140"/>
      <c r="C408" s="140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ht="20.25" customHeight="1">
      <c r="A409" s="139"/>
      <c r="B409" s="140"/>
      <c r="C409" s="140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ht="20.25" customHeight="1">
      <c r="A410" s="139"/>
      <c r="B410" s="140"/>
      <c r="C410" s="140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ht="20.25" customHeight="1">
      <c r="A411" s="139"/>
      <c r="B411" s="140"/>
      <c r="C411" s="140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ht="20.25" customHeight="1">
      <c r="A412" s="139"/>
      <c r="B412" s="140"/>
      <c r="C412" s="140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ht="20.25" customHeight="1">
      <c r="A413" s="139"/>
      <c r="B413" s="140"/>
      <c r="C413" s="140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ht="20.25" customHeight="1">
      <c r="A414" s="139"/>
      <c r="B414" s="140"/>
      <c r="C414" s="140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ht="20.25" customHeight="1">
      <c r="A415" s="139"/>
      <c r="B415" s="140"/>
      <c r="C415" s="140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ht="20.25" customHeight="1">
      <c r="A416" s="139"/>
      <c r="B416" s="140"/>
      <c r="C416" s="140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ht="20.25" customHeight="1">
      <c r="A417" s="139"/>
      <c r="B417" s="140"/>
      <c r="C417" s="140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ht="20.25" customHeight="1">
      <c r="A418" s="139"/>
      <c r="B418" s="140"/>
      <c r="C418" s="140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ht="20.25" customHeight="1">
      <c r="A419" s="139"/>
      <c r="B419" s="140"/>
      <c r="C419" s="140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ht="20.25" customHeight="1">
      <c r="A420" s="139"/>
      <c r="B420" s="140"/>
      <c r="C420" s="140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ht="20.25" customHeight="1">
      <c r="A421" s="139"/>
      <c r="B421" s="140"/>
      <c r="C421" s="140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ht="20.25" customHeight="1">
      <c r="A422" s="139"/>
      <c r="B422" s="140"/>
      <c r="C422" s="140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ht="20.25" customHeight="1">
      <c r="A423" s="139"/>
      <c r="B423" s="140"/>
      <c r="C423" s="140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ht="20.25" customHeight="1">
      <c r="A424" s="139"/>
      <c r="B424" s="140"/>
      <c r="C424" s="140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ht="20.25" customHeight="1">
      <c r="A425" s="139"/>
      <c r="B425" s="140"/>
      <c r="C425" s="140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ht="20.25" customHeight="1">
      <c r="A426" s="139"/>
      <c r="B426" s="140"/>
      <c r="C426" s="140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ht="20.25" customHeight="1">
      <c r="A427" s="139"/>
      <c r="B427" s="140"/>
      <c r="C427" s="140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ht="20.25" customHeight="1">
      <c r="A428" s="139"/>
      <c r="B428" s="140"/>
      <c r="C428" s="140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ht="20.25" customHeight="1">
      <c r="A429" s="139"/>
      <c r="B429" s="140"/>
      <c r="C429" s="140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ht="20.25" customHeight="1">
      <c r="A430" s="139"/>
      <c r="B430" s="140"/>
      <c r="C430" s="140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ht="20.25" customHeight="1">
      <c r="A431" s="139"/>
      <c r="B431" s="140"/>
      <c r="C431" s="140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ht="20.25" customHeight="1">
      <c r="A432" s="139"/>
      <c r="B432" s="140"/>
      <c r="C432" s="140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ht="20.25" customHeight="1">
      <c r="A433" s="139"/>
      <c r="B433" s="140"/>
      <c r="C433" s="140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ht="20.25" customHeight="1">
      <c r="A434" s="139"/>
      <c r="B434" s="140"/>
      <c r="C434" s="140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ht="20.25" customHeight="1">
      <c r="A435" s="139"/>
      <c r="B435" s="140"/>
      <c r="C435" s="140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ht="20.25" customHeight="1">
      <c r="A436" s="139"/>
      <c r="B436" s="140"/>
      <c r="C436" s="140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ht="20.25" customHeight="1">
      <c r="A437" s="139"/>
      <c r="B437" s="140"/>
      <c r="C437" s="140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ht="20.25" customHeight="1">
      <c r="A438" s="139"/>
      <c r="B438" s="140"/>
      <c r="C438" s="140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ht="20.25" customHeight="1">
      <c r="A439" s="139"/>
      <c r="B439" s="140"/>
      <c r="C439" s="140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ht="20.25" customHeight="1">
      <c r="A440" s="139"/>
      <c r="B440" s="140"/>
      <c r="C440" s="140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ht="20.25" customHeight="1">
      <c r="A441" s="139"/>
      <c r="B441" s="140"/>
      <c r="C441" s="140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ht="20.25" customHeight="1">
      <c r="A442" s="139"/>
      <c r="B442" s="140"/>
      <c r="C442" s="140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ht="20.25" customHeight="1">
      <c r="A443" s="139"/>
      <c r="B443" s="140"/>
      <c r="C443" s="140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ht="20.25" customHeight="1">
      <c r="A444" s="139"/>
      <c r="B444" s="140"/>
      <c r="C444" s="140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ht="20.25" customHeight="1">
      <c r="A445" s="139"/>
      <c r="B445" s="140"/>
      <c r="C445" s="140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ht="20.25" customHeight="1">
      <c r="A446" s="139"/>
      <c r="B446" s="140"/>
      <c r="C446" s="140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ht="20.25" customHeight="1">
      <c r="A447" s="139"/>
      <c r="B447" s="140"/>
      <c r="C447" s="140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ht="20.25" customHeight="1">
      <c r="A448" s="139"/>
      <c r="B448" s="140"/>
      <c r="C448" s="140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ht="20.25" customHeight="1">
      <c r="A449" s="139"/>
      <c r="B449" s="140"/>
      <c r="C449" s="140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ht="20.25" customHeight="1">
      <c r="A450" s="139"/>
      <c r="B450" s="140"/>
      <c r="C450" s="140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ht="20.25" customHeight="1">
      <c r="A451" s="139"/>
      <c r="B451" s="140"/>
      <c r="C451" s="140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ht="20.25" customHeight="1">
      <c r="A452" s="139"/>
      <c r="B452" s="140"/>
      <c r="C452" s="140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ht="20.25" customHeight="1">
      <c r="A453" s="139"/>
      <c r="B453" s="140"/>
      <c r="C453" s="140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ht="20.25" customHeight="1">
      <c r="A454" s="139"/>
      <c r="B454" s="140"/>
      <c r="C454" s="140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ht="20.25" customHeight="1">
      <c r="A455" s="139"/>
      <c r="B455" s="140"/>
      <c r="C455" s="140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ht="20.25" customHeight="1">
      <c r="A456" s="139"/>
      <c r="B456" s="140"/>
      <c r="C456" s="140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ht="20.25" customHeight="1">
      <c r="A457" s="139"/>
      <c r="B457" s="140"/>
      <c r="C457" s="140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ht="20.25" customHeight="1">
      <c r="A458" s="139"/>
      <c r="B458" s="140"/>
      <c r="C458" s="140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ht="20.25" customHeight="1">
      <c r="A459" s="139"/>
      <c r="B459" s="140"/>
      <c r="C459" s="140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ht="20.25" customHeight="1">
      <c r="A460" s="139"/>
      <c r="B460" s="140"/>
      <c r="C460" s="140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ht="20.25" customHeight="1">
      <c r="A461" s="139"/>
      <c r="B461" s="140"/>
      <c r="C461" s="140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ht="20.25" customHeight="1">
      <c r="A462" s="139"/>
      <c r="B462" s="140"/>
      <c r="C462" s="140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ht="20.25" customHeight="1">
      <c r="A463" s="139"/>
      <c r="B463" s="140"/>
      <c r="C463" s="140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ht="20.25" customHeight="1">
      <c r="A464" s="139"/>
      <c r="B464" s="140"/>
      <c r="C464" s="140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ht="20.25" customHeight="1">
      <c r="A465" s="139"/>
      <c r="B465" s="140"/>
      <c r="C465" s="140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ht="20.25" customHeight="1">
      <c r="A466" s="139"/>
      <c r="B466" s="140"/>
      <c r="C466" s="140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ht="20.25" customHeight="1">
      <c r="A467" s="139"/>
      <c r="B467" s="140"/>
      <c r="C467" s="140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ht="20.25" customHeight="1">
      <c r="A468" s="139"/>
      <c r="B468" s="140"/>
      <c r="C468" s="140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ht="20.25" customHeight="1">
      <c r="A469" s="139"/>
      <c r="B469" s="140"/>
      <c r="C469" s="140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ht="20.25" customHeight="1">
      <c r="A470" s="139"/>
      <c r="B470" s="140"/>
      <c r="C470" s="140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ht="20.25" customHeight="1">
      <c r="A471" s="139"/>
      <c r="B471" s="140"/>
      <c r="C471" s="140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ht="20.25" customHeight="1">
      <c r="A472" s="139"/>
      <c r="B472" s="140"/>
      <c r="C472" s="140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ht="20.25" customHeight="1">
      <c r="A473" s="139"/>
      <c r="B473" s="140"/>
      <c r="C473" s="140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ht="20.25" customHeight="1">
      <c r="A474" s="139"/>
      <c r="B474" s="140"/>
      <c r="C474" s="140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ht="20.25" customHeight="1">
      <c r="A475" s="139"/>
      <c r="B475" s="140"/>
      <c r="C475" s="140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ht="20.25" customHeight="1">
      <c r="A476" s="139"/>
      <c r="B476" s="140"/>
      <c r="C476" s="140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ht="20.25" customHeight="1">
      <c r="A477" s="139"/>
      <c r="B477" s="140"/>
      <c r="C477" s="140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ht="20.25" customHeight="1">
      <c r="A478" s="139"/>
      <c r="B478" s="140"/>
      <c r="C478" s="140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ht="20.25" customHeight="1">
      <c r="A479" s="139"/>
      <c r="B479" s="140"/>
      <c r="C479" s="140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ht="20.25" customHeight="1">
      <c r="A480" s="139"/>
      <c r="B480" s="140"/>
      <c r="C480" s="140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ht="20.25" customHeight="1">
      <c r="A481" s="139"/>
      <c r="B481" s="140"/>
      <c r="C481" s="140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ht="20.25" customHeight="1">
      <c r="A482" s="139"/>
      <c r="B482" s="140"/>
      <c r="C482" s="140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ht="20.25" customHeight="1">
      <c r="A483" s="139"/>
      <c r="B483" s="140"/>
      <c r="C483" s="140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ht="20.25" customHeight="1">
      <c r="A484" s="139"/>
      <c r="B484" s="140"/>
      <c r="C484" s="140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ht="20.25" customHeight="1">
      <c r="A485" s="139"/>
      <c r="B485" s="140"/>
      <c r="C485" s="140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ht="20.25" customHeight="1">
      <c r="A486" s="139"/>
      <c r="B486" s="140"/>
      <c r="C486" s="140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ht="20.25" customHeight="1">
      <c r="A487" s="139"/>
      <c r="B487" s="140"/>
      <c r="C487" s="140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ht="20.25" customHeight="1">
      <c r="A488" s="139"/>
      <c r="B488" s="140"/>
      <c r="C488" s="140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ht="20.25" customHeight="1">
      <c r="A489" s="139"/>
      <c r="B489" s="140"/>
      <c r="C489" s="140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ht="20.25" customHeight="1">
      <c r="A490" s="139"/>
      <c r="B490" s="140"/>
      <c r="C490" s="140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ht="20.25" customHeight="1">
      <c r="A491" s="139"/>
      <c r="B491" s="140"/>
      <c r="C491" s="140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ht="20.25" customHeight="1">
      <c r="A492" s="139"/>
      <c r="B492" s="140"/>
      <c r="C492" s="140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ht="20.25" customHeight="1">
      <c r="A493" s="139"/>
      <c r="B493" s="140"/>
      <c r="C493" s="140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ht="20.25" customHeight="1">
      <c r="A494" s="139"/>
      <c r="B494" s="140"/>
      <c r="C494" s="140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ht="20.25" customHeight="1">
      <c r="A495" s="139"/>
      <c r="B495" s="140"/>
      <c r="C495" s="140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ht="20.25" customHeight="1">
      <c r="A496" s="139"/>
      <c r="B496" s="140"/>
      <c r="C496" s="140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ht="20.25" customHeight="1">
      <c r="A497" s="139"/>
      <c r="B497" s="140"/>
      <c r="C497" s="140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ht="20.25" customHeight="1">
      <c r="A498" s="139"/>
      <c r="B498" s="140"/>
      <c r="C498" s="140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ht="20.25" customHeight="1">
      <c r="A499" s="139"/>
      <c r="B499" s="140"/>
      <c r="C499" s="140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ht="20.25" customHeight="1">
      <c r="A500" s="139"/>
      <c r="B500" s="140"/>
      <c r="C500" s="140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ht="20.25" customHeight="1">
      <c r="A501" s="139"/>
      <c r="B501" s="140"/>
      <c r="C501" s="140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ht="20.25" customHeight="1">
      <c r="A502" s="139"/>
      <c r="B502" s="140"/>
      <c r="C502" s="140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ht="20.25" customHeight="1">
      <c r="A503" s="139"/>
      <c r="B503" s="140"/>
      <c r="C503" s="140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ht="20.25" customHeight="1">
      <c r="A504" s="139"/>
      <c r="B504" s="140"/>
      <c r="C504" s="140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ht="20.25" customHeight="1">
      <c r="A505" s="139"/>
      <c r="B505" s="140"/>
      <c r="C505" s="140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ht="20.25" customHeight="1">
      <c r="A506" s="139"/>
      <c r="B506" s="140"/>
      <c r="C506" s="140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ht="20.25" customHeight="1">
      <c r="A507" s="139"/>
      <c r="B507" s="140"/>
      <c r="C507" s="140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ht="20.25" customHeight="1">
      <c r="A508" s="139"/>
      <c r="B508" s="140"/>
      <c r="C508" s="140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ht="20.25" customHeight="1">
      <c r="A509" s="139"/>
      <c r="B509" s="140"/>
      <c r="C509" s="140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ht="20.25" customHeight="1">
      <c r="A510" s="139"/>
      <c r="B510" s="140"/>
      <c r="C510" s="140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ht="20.25" customHeight="1">
      <c r="A511" s="139"/>
      <c r="B511" s="140"/>
      <c r="C511" s="140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ht="20.25" customHeight="1">
      <c r="A512" s="139"/>
      <c r="B512" s="140"/>
      <c r="C512" s="140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ht="20.25" customHeight="1">
      <c r="A513" s="139"/>
      <c r="B513" s="140"/>
      <c r="C513" s="140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ht="20.25" customHeight="1">
      <c r="A514" s="139"/>
      <c r="B514" s="140"/>
      <c r="C514" s="140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ht="20.25" customHeight="1">
      <c r="A515" s="139"/>
      <c r="B515" s="140"/>
      <c r="C515" s="140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ht="20.25" customHeight="1">
      <c r="A516" s="139"/>
      <c r="B516" s="140"/>
      <c r="C516" s="140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ht="20.25" customHeight="1">
      <c r="A517" s="139"/>
      <c r="B517" s="140"/>
      <c r="C517" s="140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ht="20.25" customHeight="1">
      <c r="A518" s="139"/>
      <c r="B518" s="140"/>
      <c r="C518" s="140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ht="20.25" customHeight="1">
      <c r="A519" s="139"/>
      <c r="B519" s="140"/>
      <c r="C519" s="140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ht="20.25" customHeight="1">
      <c r="A520" s="139"/>
      <c r="B520" s="140"/>
      <c r="C520" s="140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ht="20.25" customHeight="1">
      <c r="A521" s="139"/>
      <c r="B521" s="140"/>
      <c r="C521" s="140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ht="20.25" customHeight="1">
      <c r="A522" s="139"/>
      <c r="B522" s="140"/>
      <c r="C522" s="140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ht="20.25" customHeight="1">
      <c r="A523" s="139"/>
      <c r="B523" s="140"/>
      <c r="C523" s="140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ht="20.25" customHeight="1">
      <c r="A524" s="139"/>
      <c r="B524" s="140"/>
      <c r="C524" s="140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ht="20.25" customHeight="1">
      <c r="A525" s="139"/>
      <c r="B525" s="140"/>
      <c r="C525" s="140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ht="20.25" customHeight="1">
      <c r="A526" s="139"/>
      <c r="B526" s="140"/>
      <c r="C526" s="140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ht="20.25" customHeight="1">
      <c r="A527" s="139"/>
      <c r="B527" s="140"/>
      <c r="C527" s="140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ht="20.25" customHeight="1">
      <c r="A528" s="139"/>
      <c r="B528" s="140"/>
      <c r="C528" s="140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ht="20.25" customHeight="1">
      <c r="A529" s="139"/>
      <c r="B529" s="140"/>
      <c r="C529" s="140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ht="20.25" customHeight="1">
      <c r="A530" s="139"/>
      <c r="B530" s="140"/>
      <c r="C530" s="140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ht="20.25" customHeight="1">
      <c r="A531" s="139"/>
      <c r="B531" s="140"/>
      <c r="C531" s="140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ht="20.25" customHeight="1">
      <c r="A532" s="139"/>
      <c r="B532" s="140"/>
      <c r="C532" s="140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ht="20.25" customHeight="1">
      <c r="A533" s="139"/>
      <c r="B533" s="140"/>
      <c r="C533" s="140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ht="20.25" customHeight="1">
      <c r="A534" s="139"/>
      <c r="B534" s="140"/>
      <c r="C534" s="140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ht="20.25" customHeight="1">
      <c r="A535" s="139"/>
      <c r="B535" s="140"/>
      <c r="C535" s="140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ht="20.25" customHeight="1">
      <c r="A536" s="139"/>
      <c r="B536" s="140"/>
      <c r="C536" s="140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ht="20.25" customHeight="1">
      <c r="A537" s="139"/>
      <c r="B537" s="140"/>
      <c r="C537" s="140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ht="20.25" customHeight="1">
      <c r="A538" s="139"/>
      <c r="B538" s="140"/>
      <c r="C538" s="140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ht="20.25" customHeight="1">
      <c r="A539" s="139"/>
      <c r="B539" s="140"/>
      <c r="C539" s="140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ht="20.25" customHeight="1">
      <c r="A540" s="139"/>
      <c r="B540" s="140"/>
      <c r="C540" s="140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ht="20.25" customHeight="1">
      <c r="A541" s="139"/>
      <c r="B541" s="140"/>
      <c r="C541" s="140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ht="20.25" customHeight="1">
      <c r="A542" s="139"/>
      <c r="B542" s="140"/>
      <c r="C542" s="140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ht="20.25" customHeight="1">
      <c r="A543" s="139"/>
      <c r="B543" s="140"/>
      <c r="C543" s="140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ht="20.25" customHeight="1">
      <c r="A544" s="139"/>
      <c r="B544" s="140"/>
      <c r="C544" s="140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ht="20.25" customHeight="1">
      <c r="A545" s="139"/>
      <c r="B545" s="140"/>
      <c r="C545" s="140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ht="20.25" customHeight="1">
      <c r="A546" s="139"/>
      <c r="B546" s="140"/>
      <c r="C546" s="140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ht="20.25" customHeight="1">
      <c r="A547" s="139"/>
      <c r="B547" s="140"/>
      <c r="C547" s="140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ht="20.25" customHeight="1">
      <c r="A548" s="139"/>
      <c r="B548" s="140"/>
      <c r="C548" s="140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ht="20.25" customHeight="1">
      <c r="A549" s="139"/>
      <c r="B549" s="140"/>
      <c r="C549" s="140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ht="20.25" customHeight="1">
      <c r="A550" s="139"/>
      <c r="B550" s="140"/>
      <c r="C550" s="140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ht="20.25" customHeight="1">
      <c r="A551" s="139"/>
      <c r="B551" s="140"/>
      <c r="C551" s="140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ht="20.25" customHeight="1">
      <c r="A552" s="139"/>
      <c r="B552" s="140"/>
      <c r="C552" s="140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ht="20.25" customHeight="1">
      <c r="A553" s="139"/>
      <c r="B553" s="140"/>
      <c r="C553" s="140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ht="20.25" customHeight="1">
      <c r="A554" s="139"/>
      <c r="B554" s="140"/>
      <c r="C554" s="140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ht="20.25" customHeight="1">
      <c r="A555" s="139"/>
      <c r="B555" s="140"/>
      <c r="C555" s="140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ht="20.25" customHeight="1">
      <c r="A556" s="139"/>
      <c r="B556" s="140"/>
      <c r="C556" s="140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ht="20.25" customHeight="1">
      <c r="A557" s="139"/>
      <c r="B557" s="140"/>
      <c r="C557" s="140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ht="20.25" customHeight="1">
      <c r="A558" s="139"/>
      <c r="B558" s="140"/>
      <c r="C558" s="140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ht="20.25" customHeight="1">
      <c r="A559" s="139"/>
      <c r="B559" s="140"/>
      <c r="C559" s="140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ht="20.25" customHeight="1">
      <c r="A560" s="139"/>
      <c r="B560" s="140"/>
      <c r="C560" s="140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ht="20.25" customHeight="1">
      <c r="A561" s="139"/>
      <c r="B561" s="140"/>
      <c r="C561" s="140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ht="20.25" customHeight="1">
      <c r="A562" s="139"/>
      <c r="B562" s="140"/>
      <c r="C562" s="140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ht="20.25" customHeight="1">
      <c r="A563" s="139"/>
      <c r="B563" s="140"/>
      <c r="C563" s="140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ht="20.25" customHeight="1">
      <c r="A564" s="139"/>
      <c r="B564" s="140"/>
      <c r="C564" s="140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ht="20.25" customHeight="1">
      <c r="A565" s="139"/>
      <c r="B565" s="140"/>
      <c r="C565" s="140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ht="20.25" customHeight="1">
      <c r="A566" s="139"/>
      <c r="B566" s="140"/>
      <c r="C566" s="140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ht="20.25" customHeight="1">
      <c r="A567" s="139"/>
      <c r="B567" s="140"/>
      <c r="C567" s="140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ht="20.25" customHeight="1">
      <c r="A568" s="139"/>
      <c r="B568" s="140"/>
      <c r="C568" s="140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ht="20.25" customHeight="1">
      <c r="A569" s="139"/>
      <c r="B569" s="140"/>
      <c r="C569" s="140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ht="20.25" customHeight="1">
      <c r="A570" s="139"/>
      <c r="B570" s="140"/>
      <c r="C570" s="140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ht="20.25" customHeight="1">
      <c r="A571" s="139"/>
      <c r="B571" s="140"/>
      <c r="C571" s="140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ht="20.25" customHeight="1">
      <c r="A572" s="139"/>
      <c r="B572" s="140"/>
      <c r="C572" s="140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ht="20.25" customHeight="1">
      <c r="A573" s="139"/>
      <c r="B573" s="140"/>
      <c r="C573" s="140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ht="20.25" customHeight="1">
      <c r="A574" s="139"/>
      <c r="B574" s="140"/>
      <c r="C574" s="140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ht="20.25" customHeight="1">
      <c r="A575" s="139"/>
      <c r="B575" s="140"/>
      <c r="C575" s="140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ht="20.25" customHeight="1">
      <c r="A576" s="139"/>
      <c r="B576" s="140"/>
      <c r="C576" s="140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ht="20.25" customHeight="1">
      <c r="A577" s="139"/>
      <c r="B577" s="140"/>
      <c r="C577" s="140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ht="20.25" customHeight="1">
      <c r="A578" s="139"/>
      <c r="B578" s="140"/>
      <c r="C578" s="140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ht="20.25" customHeight="1">
      <c r="A579" s="139"/>
      <c r="B579" s="140"/>
      <c r="C579" s="140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ht="20.25" customHeight="1">
      <c r="A580" s="139"/>
      <c r="B580" s="140"/>
      <c r="C580" s="140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ht="20.25" customHeight="1">
      <c r="A581" s="139"/>
      <c r="B581" s="140"/>
      <c r="C581" s="140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ht="20.25" customHeight="1">
      <c r="A582" s="139"/>
      <c r="B582" s="140"/>
      <c r="C582" s="140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ht="20.25" customHeight="1">
      <c r="A583" s="139"/>
      <c r="B583" s="140"/>
      <c r="C583" s="140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ht="20.25" customHeight="1">
      <c r="A584" s="139"/>
      <c r="B584" s="140"/>
      <c r="C584" s="140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ht="20.25" customHeight="1">
      <c r="A585" s="139"/>
      <c r="B585" s="140"/>
      <c r="C585" s="140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ht="20.25" customHeight="1">
      <c r="A586" s="139"/>
      <c r="B586" s="140"/>
      <c r="C586" s="140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ht="20.25" customHeight="1">
      <c r="A587" s="139"/>
      <c r="B587" s="140"/>
      <c r="C587" s="140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ht="20.25" customHeight="1">
      <c r="A588" s="139"/>
      <c r="B588" s="140"/>
      <c r="C588" s="140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ht="20.25" customHeight="1">
      <c r="A589" s="139"/>
      <c r="B589" s="140"/>
      <c r="C589" s="140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ht="20.25" customHeight="1">
      <c r="A590" s="139"/>
      <c r="B590" s="140"/>
      <c r="C590" s="140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ht="20.25" customHeight="1">
      <c r="A591" s="139"/>
      <c r="B591" s="140"/>
      <c r="C591" s="140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ht="20.25" customHeight="1">
      <c r="A592" s="139"/>
      <c r="B592" s="140"/>
      <c r="C592" s="140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ht="20.25" customHeight="1">
      <c r="A593" s="139"/>
      <c r="B593" s="140"/>
      <c r="C593" s="140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ht="20.25" customHeight="1">
      <c r="A594" s="139"/>
      <c r="B594" s="140"/>
      <c r="C594" s="140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ht="20.25" customHeight="1">
      <c r="A595" s="139"/>
      <c r="B595" s="140"/>
      <c r="C595" s="140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ht="20.25" customHeight="1">
      <c r="A596" s="139"/>
      <c r="B596" s="140"/>
      <c r="C596" s="140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ht="20.25" customHeight="1">
      <c r="A597" s="139"/>
      <c r="B597" s="140"/>
      <c r="C597" s="140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ht="20.25" customHeight="1">
      <c r="A598" s="139"/>
      <c r="B598" s="140"/>
      <c r="C598" s="140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ht="20.25" customHeight="1">
      <c r="A599" s="139"/>
      <c r="B599" s="140"/>
      <c r="C599" s="140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ht="20.25" customHeight="1">
      <c r="A600" s="139"/>
      <c r="B600" s="140"/>
      <c r="C600" s="140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ht="20.25" customHeight="1">
      <c r="A601" s="139"/>
      <c r="B601" s="140"/>
      <c r="C601" s="140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ht="20.25" customHeight="1">
      <c r="A602" s="139"/>
      <c r="B602" s="140"/>
      <c r="C602" s="140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ht="20.25" customHeight="1">
      <c r="A603" s="139"/>
      <c r="B603" s="140"/>
      <c r="C603" s="140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ht="20.25" customHeight="1">
      <c r="A604" s="139"/>
      <c r="B604" s="140"/>
      <c r="C604" s="140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ht="20.25" customHeight="1">
      <c r="A605" s="139"/>
      <c r="B605" s="140"/>
      <c r="C605" s="140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ht="20.25" customHeight="1">
      <c r="A606" s="139"/>
      <c r="B606" s="140"/>
      <c r="C606" s="140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ht="20.25" customHeight="1">
      <c r="A607" s="139"/>
      <c r="B607" s="140"/>
      <c r="C607" s="140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ht="20.25" customHeight="1">
      <c r="A608" s="139"/>
      <c r="B608" s="140"/>
      <c r="C608" s="140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ht="20.25" customHeight="1">
      <c r="A609" s="139"/>
      <c r="B609" s="140"/>
      <c r="C609" s="140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ht="20.25" customHeight="1">
      <c r="A610" s="139"/>
      <c r="B610" s="140"/>
      <c r="C610" s="140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ht="20.25" customHeight="1">
      <c r="A611" s="139"/>
      <c r="B611" s="140"/>
      <c r="C611" s="140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ht="20.25" customHeight="1">
      <c r="A612" s="139"/>
      <c r="B612" s="140"/>
      <c r="C612" s="140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ht="20.25" customHeight="1">
      <c r="A613" s="139"/>
      <c r="B613" s="140"/>
      <c r="C613" s="140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ht="20.25" customHeight="1">
      <c r="A614" s="139"/>
      <c r="B614" s="140"/>
      <c r="C614" s="140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ht="20.25" customHeight="1">
      <c r="A615" s="139"/>
      <c r="B615" s="140"/>
      <c r="C615" s="140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ht="20.25" customHeight="1">
      <c r="A616" s="139"/>
      <c r="B616" s="140"/>
      <c r="C616" s="140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ht="20.25" customHeight="1">
      <c r="A617" s="139"/>
      <c r="B617" s="140"/>
      <c r="C617" s="140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ht="20.25" customHeight="1">
      <c r="A618" s="139"/>
      <c r="B618" s="140"/>
      <c r="C618" s="140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ht="20.25" customHeight="1">
      <c r="A619" s="139"/>
      <c r="B619" s="140"/>
      <c r="C619" s="140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ht="20.25" customHeight="1">
      <c r="A620" s="139"/>
      <c r="B620" s="140"/>
      <c r="C620" s="140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ht="20.25" customHeight="1">
      <c r="A621" s="139"/>
      <c r="B621" s="140"/>
      <c r="C621" s="140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ht="20.25" customHeight="1">
      <c r="A622" s="139"/>
      <c r="B622" s="140"/>
      <c r="C622" s="140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ht="20.25" customHeight="1">
      <c r="A623" s="139"/>
      <c r="B623" s="140"/>
      <c r="C623" s="140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ht="20.25" customHeight="1">
      <c r="A624" s="139"/>
      <c r="B624" s="140"/>
      <c r="C624" s="140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ht="20.25" customHeight="1">
      <c r="A625" s="139"/>
      <c r="B625" s="140"/>
      <c r="C625" s="140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ht="20.25" customHeight="1">
      <c r="A626" s="139"/>
      <c r="B626" s="140"/>
      <c r="C626" s="140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ht="20.25" customHeight="1">
      <c r="A627" s="139"/>
      <c r="B627" s="140"/>
      <c r="C627" s="140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ht="20.25" customHeight="1">
      <c r="A628" s="139"/>
      <c r="B628" s="140"/>
      <c r="C628" s="140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ht="20.25" customHeight="1">
      <c r="A629" s="139"/>
      <c r="B629" s="140"/>
      <c r="C629" s="140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ht="20.25" customHeight="1">
      <c r="A630" s="139"/>
      <c r="B630" s="140"/>
      <c r="C630" s="140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ht="20.25" customHeight="1">
      <c r="A631" s="139"/>
      <c r="B631" s="140"/>
      <c r="C631" s="140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ht="20.25" customHeight="1">
      <c r="A632" s="139"/>
      <c r="B632" s="140"/>
      <c r="C632" s="140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ht="20.25" customHeight="1">
      <c r="A633" s="139"/>
      <c r="B633" s="140"/>
      <c r="C633" s="140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ht="20.25" customHeight="1">
      <c r="A634" s="139"/>
      <c r="B634" s="140"/>
      <c r="C634" s="140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ht="20.25" customHeight="1">
      <c r="A635" s="139"/>
      <c r="B635" s="140"/>
      <c r="C635" s="140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ht="20.25" customHeight="1">
      <c r="A636" s="139"/>
      <c r="B636" s="140"/>
      <c r="C636" s="140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ht="20.25" customHeight="1">
      <c r="A637" s="139"/>
      <c r="B637" s="140"/>
      <c r="C637" s="140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ht="20.25" customHeight="1">
      <c r="A638" s="139"/>
      <c r="B638" s="140"/>
      <c r="C638" s="140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ht="20.25" customHeight="1">
      <c r="A639" s="139"/>
      <c r="B639" s="140"/>
      <c r="C639" s="140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ht="20.25" customHeight="1">
      <c r="A640" s="139"/>
      <c r="B640" s="140"/>
      <c r="C640" s="140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ht="20.25" customHeight="1">
      <c r="A641" s="139"/>
      <c r="B641" s="140"/>
      <c r="C641" s="140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ht="20.25" customHeight="1">
      <c r="A642" s="139"/>
      <c r="B642" s="140"/>
      <c r="C642" s="140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ht="20.25" customHeight="1">
      <c r="A643" s="139"/>
      <c r="B643" s="140"/>
      <c r="C643" s="140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ht="20.25" customHeight="1">
      <c r="A644" s="139"/>
      <c r="B644" s="140"/>
      <c r="C644" s="140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ht="20.25" customHeight="1">
      <c r="A645" s="139"/>
      <c r="B645" s="140"/>
      <c r="C645" s="140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ht="20.25" customHeight="1">
      <c r="A646" s="139"/>
      <c r="B646" s="140"/>
      <c r="C646" s="140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ht="20.25" customHeight="1">
      <c r="A647" s="139"/>
      <c r="B647" s="140"/>
      <c r="C647" s="140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ht="20.25" customHeight="1">
      <c r="A648" s="139"/>
      <c r="B648" s="140"/>
      <c r="C648" s="140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ht="20.25" customHeight="1">
      <c r="A649" s="139"/>
      <c r="B649" s="140"/>
      <c r="C649" s="140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ht="20.25" customHeight="1">
      <c r="A650" s="139"/>
      <c r="B650" s="140"/>
      <c r="C650" s="140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ht="20.25" customHeight="1">
      <c r="A651" s="139"/>
      <c r="B651" s="140"/>
      <c r="C651" s="140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ht="20.25" customHeight="1">
      <c r="A652" s="139"/>
      <c r="B652" s="140"/>
      <c r="C652" s="140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ht="20.25" customHeight="1">
      <c r="A653" s="139"/>
      <c r="B653" s="140"/>
      <c r="C653" s="140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ht="20.25" customHeight="1">
      <c r="A654" s="139"/>
      <c r="B654" s="140"/>
      <c r="C654" s="140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ht="20.25" customHeight="1">
      <c r="A655" s="139"/>
      <c r="B655" s="140"/>
      <c r="C655" s="140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ht="20.25" customHeight="1">
      <c r="A656" s="139"/>
      <c r="B656" s="140"/>
      <c r="C656" s="140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ht="20.25" customHeight="1">
      <c r="A657" s="139"/>
      <c r="B657" s="140"/>
      <c r="C657" s="140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ht="20.25" customHeight="1">
      <c r="A658" s="139"/>
      <c r="B658" s="140"/>
      <c r="C658" s="140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ht="20.25" customHeight="1">
      <c r="A659" s="139"/>
      <c r="B659" s="140"/>
      <c r="C659" s="140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ht="20.25" customHeight="1">
      <c r="A660" s="139"/>
      <c r="B660" s="140"/>
      <c r="C660" s="140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ht="20.25" customHeight="1">
      <c r="A661" s="139"/>
      <c r="B661" s="140"/>
      <c r="C661" s="140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ht="20.25" customHeight="1">
      <c r="A662" s="139"/>
      <c r="B662" s="140"/>
      <c r="C662" s="140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ht="20.25" customHeight="1">
      <c r="A663" s="139"/>
      <c r="B663" s="140"/>
      <c r="C663" s="140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ht="20.25" customHeight="1">
      <c r="A664" s="139"/>
      <c r="B664" s="140"/>
      <c r="C664" s="140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ht="20.25" customHeight="1">
      <c r="A665" s="139"/>
      <c r="B665" s="140"/>
      <c r="C665" s="140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ht="20.25" customHeight="1">
      <c r="A666" s="139"/>
      <c r="B666" s="140"/>
      <c r="C666" s="140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ht="20.25" customHeight="1">
      <c r="A667" s="139"/>
      <c r="B667" s="140"/>
      <c r="C667" s="140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ht="20.25" customHeight="1">
      <c r="A668" s="139"/>
      <c r="B668" s="140"/>
      <c r="C668" s="140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ht="20.25" customHeight="1">
      <c r="A669" s="139"/>
      <c r="B669" s="140"/>
      <c r="C669" s="140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ht="20.25" customHeight="1">
      <c r="A670" s="139"/>
      <c r="B670" s="140"/>
      <c r="C670" s="140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ht="20.25" customHeight="1">
      <c r="A671" s="139"/>
      <c r="B671" s="140"/>
      <c r="C671" s="140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ht="20.25" customHeight="1">
      <c r="A672" s="139"/>
      <c r="B672" s="140"/>
      <c r="C672" s="140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ht="20.25" customHeight="1">
      <c r="A673" s="139"/>
      <c r="B673" s="140"/>
      <c r="C673" s="140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ht="20.25" customHeight="1">
      <c r="A674" s="139"/>
      <c r="B674" s="140"/>
      <c r="C674" s="140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ht="20.25" customHeight="1">
      <c r="A675" s="139"/>
      <c r="B675" s="140"/>
      <c r="C675" s="140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ht="20.25" customHeight="1">
      <c r="A676" s="139"/>
      <c r="B676" s="140"/>
      <c r="C676" s="140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ht="20.25" customHeight="1">
      <c r="A677" s="139"/>
      <c r="B677" s="140"/>
      <c r="C677" s="140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ht="20.25" customHeight="1">
      <c r="A678" s="139"/>
      <c r="B678" s="140"/>
      <c r="C678" s="140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ht="20.25" customHeight="1">
      <c r="A679" s="139"/>
      <c r="B679" s="140"/>
      <c r="C679" s="140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ht="20.25" customHeight="1">
      <c r="A680" s="139"/>
      <c r="B680" s="140"/>
      <c r="C680" s="140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ht="20.25" customHeight="1">
      <c r="A681" s="139"/>
      <c r="B681" s="140"/>
      <c r="C681" s="140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ht="20.25" customHeight="1">
      <c r="A682" s="139"/>
      <c r="B682" s="140"/>
      <c r="C682" s="140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ht="20.25" customHeight="1">
      <c r="A683" s="139"/>
      <c r="B683" s="140"/>
      <c r="C683" s="140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ht="20.25" customHeight="1">
      <c r="A684" s="139"/>
      <c r="B684" s="140"/>
      <c r="C684" s="140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ht="20.25" customHeight="1">
      <c r="A685" s="139"/>
      <c r="B685" s="140"/>
      <c r="C685" s="140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ht="20.25" customHeight="1">
      <c r="A686" s="139"/>
      <c r="B686" s="140"/>
      <c r="C686" s="140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ht="20.25" customHeight="1">
      <c r="A687" s="139"/>
      <c r="B687" s="140"/>
      <c r="C687" s="140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ht="20.25" customHeight="1">
      <c r="A688" s="139"/>
      <c r="B688" s="140"/>
      <c r="C688" s="140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ht="20.25" customHeight="1">
      <c r="A689" s="139"/>
      <c r="B689" s="140"/>
      <c r="C689" s="140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ht="20.25" customHeight="1">
      <c r="A690" s="139"/>
      <c r="B690" s="140"/>
      <c r="C690" s="140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ht="20.25" customHeight="1">
      <c r="A691" s="139"/>
      <c r="B691" s="140"/>
      <c r="C691" s="140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ht="20.25" customHeight="1">
      <c r="A692" s="139"/>
      <c r="B692" s="140"/>
      <c r="C692" s="140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ht="20.25" customHeight="1">
      <c r="A693" s="139"/>
      <c r="B693" s="140"/>
      <c r="C693" s="140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ht="20.25" customHeight="1">
      <c r="A694" s="139"/>
      <c r="B694" s="140"/>
      <c r="C694" s="140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ht="20.25" customHeight="1">
      <c r="A695" s="139"/>
      <c r="B695" s="140"/>
      <c r="C695" s="140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ht="20.25" customHeight="1">
      <c r="A696" s="139"/>
      <c r="B696" s="140"/>
      <c r="C696" s="140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ht="20.25" customHeight="1">
      <c r="A697" s="139"/>
      <c r="B697" s="140"/>
      <c r="C697" s="140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ht="20.25" customHeight="1">
      <c r="A698" s="139"/>
      <c r="B698" s="140"/>
      <c r="C698" s="140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ht="20.25" customHeight="1">
      <c r="A699" s="139"/>
      <c r="B699" s="140"/>
      <c r="C699" s="140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ht="20.25" customHeight="1">
      <c r="A700" s="139"/>
      <c r="B700" s="140"/>
      <c r="C700" s="140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ht="20.25" customHeight="1">
      <c r="A701" s="139"/>
      <c r="B701" s="140"/>
      <c r="C701" s="140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ht="20.25" customHeight="1">
      <c r="A702" s="139"/>
      <c r="B702" s="140"/>
      <c r="C702" s="140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ht="20.25" customHeight="1">
      <c r="A703" s="139"/>
      <c r="B703" s="140"/>
      <c r="C703" s="140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ht="20.25" customHeight="1">
      <c r="A704" s="139"/>
      <c r="B704" s="140"/>
      <c r="C704" s="140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ht="20.25" customHeight="1">
      <c r="A705" s="139"/>
      <c r="B705" s="140"/>
      <c r="C705" s="140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ht="20.25" customHeight="1">
      <c r="A706" s="139"/>
      <c r="B706" s="140"/>
      <c r="C706" s="140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ht="20.25" customHeight="1">
      <c r="A707" s="139"/>
      <c r="B707" s="140"/>
      <c r="C707" s="140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ht="20.25" customHeight="1">
      <c r="A708" s="139"/>
      <c r="B708" s="140"/>
      <c r="C708" s="140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ht="20.25" customHeight="1">
      <c r="A709" s="139"/>
      <c r="B709" s="140"/>
      <c r="C709" s="140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ht="20.25" customHeight="1">
      <c r="A710" s="139"/>
      <c r="B710" s="140"/>
      <c r="C710" s="140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ht="20.25" customHeight="1">
      <c r="A711" s="139"/>
      <c r="B711" s="140"/>
      <c r="C711" s="140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ht="20.25" customHeight="1">
      <c r="A712" s="139"/>
      <c r="B712" s="140"/>
      <c r="C712" s="140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ht="20.25" customHeight="1">
      <c r="A713" s="139"/>
      <c r="B713" s="140"/>
      <c r="C713" s="140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ht="20.25" customHeight="1">
      <c r="A714" s="139"/>
      <c r="B714" s="140"/>
      <c r="C714" s="140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ht="20.25" customHeight="1">
      <c r="A715" s="139"/>
      <c r="B715" s="140"/>
      <c r="C715" s="140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ht="20.25" customHeight="1">
      <c r="A716" s="139"/>
      <c r="B716" s="140"/>
      <c r="C716" s="140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ht="20.25" customHeight="1">
      <c r="A717" s="139"/>
      <c r="B717" s="140"/>
      <c r="C717" s="140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ht="20.25" customHeight="1">
      <c r="A718" s="139"/>
      <c r="B718" s="140"/>
      <c r="C718" s="140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ht="20.25" customHeight="1">
      <c r="A719" s="139"/>
      <c r="B719" s="140"/>
      <c r="C719" s="140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ht="20.25" customHeight="1">
      <c r="A720" s="139"/>
      <c r="B720" s="140"/>
      <c r="C720" s="140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ht="20.25" customHeight="1">
      <c r="A721" s="139"/>
      <c r="B721" s="140"/>
      <c r="C721" s="140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ht="20.25" customHeight="1">
      <c r="A722" s="139"/>
      <c r="B722" s="140"/>
      <c r="C722" s="140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ht="20.25" customHeight="1">
      <c r="A723" s="139"/>
      <c r="B723" s="140"/>
      <c r="C723" s="140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ht="20.25" customHeight="1">
      <c r="A724" s="139"/>
      <c r="B724" s="140"/>
      <c r="C724" s="140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ht="20.25" customHeight="1">
      <c r="A725" s="139"/>
      <c r="B725" s="140"/>
      <c r="C725" s="140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ht="20.25" customHeight="1">
      <c r="A726" s="139"/>
      <c r="B726" s="140"/>
      <c r="C726" s="140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ht="20.25" customHeight="1">
      <c r="A727" s="139"/>
      <c r="B727" s="140"/>
      <c r="C727" s="140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ht="20.25" customHeight="1">
      <c r="A728" s="139"/>
      <c r="B728" s="140"/>
      <c r="C728" s="140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ht="20.25" customHeight="1">
      <c r="A729" s="139"/>
      <c r="B729" s="140"/>
      <c r="C729" s="140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ht="20.25" customHeight="1">
      <c r="A730" s="139"/>
      <c r="B730" s="140"/>
      <c r="C730" s="140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ht="20.25" customHeight="1">
      <c r="A731" s="139"/>
      <c r="B731" s="140"/>
      <c r="C731" s="140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ht="20.25" customHeight="1">
      <c r="A732" s="139"/>
      <c r="B732" s="140"/>
      <c r="C732" s="140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ht="20.25" customHeight="1">
      <c r="A733" s="139"/>
      <c r="B733" s="140"/>
      <c r="C733" s="140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ht="20.25" customHeight="1">
      <c r="A734" s="139"/>
      <c r="B734" s="140"/>
      <c r="C734" s="140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ht="20.25" customHeight="1">
      <c r="A735" s="139"/>
      <c r="B735" s="140"/>
      <c r="C735" s="140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ht="20.25" customHeight="1">
      <c r="A736" s="139"/>
      <c r="B736" s="140"/>
      <c r="C736" s="140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ht="20.25" customHeight="1">
      <c r="A737" s="139"/>
      <c r="B737" s="140"/>
      <c r="C737" s="140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ht="20.25" customHeight="1">
      <c r="A738" s="139"/>
      <c r="B738" s="140"/>
      <c r="C738" s="140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ht="20.25" customHeight="1">
      <c r="A739" s="139"/>
      <c r="B739" s="140"/>
      <c r="C739" s="140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ht="20.25" customHeight="1">
      <c r="A740" s="139"/>
      <c r="B740" s="140"/>
      <c r="C740" s="140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ht="20.25" customHeight="1">
      <c r="A741" s="139"/>
      <c r="B741" s="140"/>
      <c r="C741" s="140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ht="20.25" customHeight="1">
      <c r="A742" s="139"/>
      <c r="B742" s="140"/>
      <c r="C742" s="140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ht="20.25" customHeight="1">
      <c r="A743" s="139"/>
      <c r="B743" s="140"/>
      <c r="C743" s="140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ht="20.25" customHeight="1">
      <c r="A744" s="139"/>
      <c r="B744" s="140"/>
      <c r="C744" s="140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ht="20.25" customHeight="1">
      <c r="A745" s="139"/>
      <c r="B745" s="140"/>
      <c r="C745" s="140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ht="20.25" customHeight="1">
      <c r="A746" s="139"/>
      <c r="B746" s="140"/>
      <c r="C746" s="140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ht="20.25" customHeight="1">
      <c r="A747" s="139"/>
      <c r="B747" s="140"/>
      <c r="C747" s="140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ht="20.25" customHeight="1">
      <c r="A748" s="139"/>
      <c r="B748" s="140"/>
      <c r="C748" s="140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ht="20.25" customHeight="1">
      <c r="A749" s="139"/>
      <c r="B749" s="140"/>
      <c r="C749" s="140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ht="20.25" customHeight="1">
      <c r="A750" s="139"/>
      <c r="B750" s="140"/>
      <c r="C750" s="140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ht="20.25" customHeight="1">
      <c r="A751" s="139"/>
      <c r="B751" s="140"/>
      <c r="C751" s="140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ht="20.25" customHeight="1">
      <c r="A752" s="139"/>
      <c r="B752" s="140"/>
      <c r="C752" s="140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ht="20.25" customHeight="1">
      <c r="A753" s="139"/>
      <c r="B753" s="140"/>
      <c r="C753" s="140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ht="20.25" customHeight="1">
      <c r="A754" s="139"/>
      <c r="B754" s="140"/>
      <c r="C754" s="140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ht="20.25" customHeight="1">
      <c r="A755" s="139"/>
      <c r="B755" s="140"/>
      <c r="C755" s="140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ht="20.25" customHeight="1">
      <c r="A756" s="139"/>
      <c r="B756" s="140"/>
      <c r="C756" s="140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ht="20.25" customHeight="1">
      <c r="A757" s="139"/>
      <c r="B757" s="140"/>
      <c r="C757" s="140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ht="20.25" customHeight="1">
      <c r="A758" s="139"/>
      <c r="B758" s="140"/>
      <c r="C758" s="140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ht="20.25" customHeight="1">
      <c r="A759" s="139"/>
      <c r="B759" s="140"/>
      <c r="C759" s="140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ht="20.25" customHeight="1">
      <c r="A760" s="139"/>
      <c r="B760" s="140"/>
      <c r="C760" s="140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ht="20.25" customHeight="1">
      <c r="A761" s="139"/>
      <c r="B761" s="140"/>
      <c r="C761" s="140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ht="20.25" customHeight="1">
      <c r="A762" s="139"/>
      <c r="B762" s="140"/>
      <c r="C762" s="140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ht="20.25" customHeight="1">
      <c r="A763" s="139"/>
      <c r="B763" s="140"/>
      <c r="C763" s="140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ht="20.25" customHeight="1">
      <c r="A764" s="139"/>
      <c r="B764" s="140"/>
      <c r="C764" s="140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ht="20.25" customHeight="1">
      <c r="A765" s="139"/>
      <c r="B765" s="140"/>
      <c r="C765" s="140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ht="20.25" customHeight="1">
      <c r="A766" s="139"/>
      <c r="B766" s="140"/>
      <c r="C766" s="140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ht="20.25" customHeight="1">
      <c r="A767" s="139"/>
      <c r="B767" s="140"/>
      <c r="C767" s="140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ht="20.25" customHeight="1">
      <c r="A768" s="139"/>
      <c r="B768" s="140"/>
      <c r="C768" s="140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ht="20.25" customHeight="1">
      <c r="A769" s="139"/>
      <c r="B769" s="140"/>
      <c r="C769" s="140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ht="20.25" customHeight="1">
      <c r="A770" s="139"/>
      <c r="B770" s="140"/>
      <c r="C770" s="140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ht="20.25" customHeight="1">
      <c r="A771" s="139"/>
      <c r="B771" s="140"/>
      <c r="C771" s="140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ht="20.25" customHeight="1">
      <c r="A772" s="139"/>
      <c r="B772" s="140"/>
      <c r="C772" s="140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ht="20.25" customHeight="1">
      <c r="A773" s="139"/>
      <c r="B773" s="140"/>
      <c r="C773" s="140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ht="20.25" customHeight="1">
      <c r="A774" s="139"/>
      <c r="B774" s="140"/>
      <c r="C774" s="140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ht="20.25" customHeight="1">
      <c r="A775" s="139"/>
      <c r="B775" s="140"/>
      <c r="C775" s="140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ht="20.25" customHeight="1">
      <c r="A776" s="139"/>
      <c r="B776" s="140"/>
      <c r="C776" s="140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ht="20.25" customHeight="1">
      <c r="A777" s="139"/>
      <c r="B777" s="140"/>
      <c r="C777" s="140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ht="20.25" customHeight="1">
      <c r="A778" s="139"/>
      <c r="B778" s="140"/>
      <c r="C778" s="140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ht="20.25" customHeight="1">
      <c r="A779" s="139"/>
      <c r="B779" s="140"/>
      <c r="C779" s="140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ht="20.25" customHeight="1">
      <c r="A780" s="139"/>
      <c r="B780" s="140"/>
      <c r="C780" s="140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ht="20.25" customHeight="1">
      <c r="A781" s="139"/>
      <c r="B781" s="140"/>
      <c r="C781" s="140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ht="20.25" customHeight="1">
      <c r="A782" s="139"/>
      <c r="B782" s="140"/>
      <c r="C782" s="140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ht="20.25" customHeight="1">
      <c r="A783" s="139"/>
      <c r="B783" s="140"/>
      <c r="C783" s="140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ht="20.25" customHeight="1">
      <c r="A784" s="139"/>
      <c r="B784" s="140"/>
      <c r="C784" s="140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ht="20.25" customHeight="1">
      <c r="A785" s="139"/>
      <c r="B785" s="140"/>
      <c r="C785" s="140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ht="20.25" customHeight="1">
      <c r="A786" s="139"/>
      <c r="B786" s="140"/>
      <c r="C786" s="140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ht="20.25" customHeight="1">
      <c r="A787" s="139"/>
      <c r="B787" s="140"/>
      <c r="C787" s="140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ht="20.25" customHeight="1">
      <c r="A788" s="139"/>
      <c r="B788" s="140"/>
      <c r="C788" s="140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ht="20.25" customHeight="1">
      <c r="A789" s="139"/>
      <c r="B789" s="140"/>
      <c r="C789" s="140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ht="20.25" customHeight="1">
      <c r="A790" s="139"/>
      <c r="B790" s="140"/>
      <c r="C790" s="140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ht="20.25" customHeight="1">
      <c r="A791" s="139"/>
      <c r="B791" s="140"/>
      <c r="C791" s="140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ht="20.25" customHeight="1">
      <c r="A792" s="139"/>
      <c r="B792" s="140"/>
      <c r="C792" s="140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ht="20.25" customHeight="1">
      <c r="A793" s="139"/>
      <c r="B793" s="140"/>
      <c r="C793" s="140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ht="20.25" customHeight="1">
      <c r="A794" s="139"/>
      <c r="B794" s="140"/>
      <c r="C794" s="140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ht="20.25" customHeight="1">
      <c r="A795" s="139"/>
      <c r="B795" s="140"/>
      <c r="C795" s="140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ht="20.25" customHeight="1">
      <c r="A796" s="139"/>
      <c r="B796" s="140"/>
      <c r="C796" s="140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ht="20.25" customHeight="1">
      <c r="A797" s="139"/>
      <c r="B797" s="140"/>
      <c r="C797" s="140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ht="20.25" customHeight="1">
      <c r="A798" s="139"/>
      <c r="B798" s="140"/>
      <c r="C798" s="140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ht="20.25" customHeight="1">
      <c r="A799" s="139"/>
      <c r="B799" s="140"/>
      <c r="C799" s="140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ht="20.25" customHeight="1">
      <c r="A800" s="139"/>
      <c r="B800" s="140"/>
      <c r="C800" s="140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ht="20.25" customHeight="1">
      <c r="A801" s="139"/>
      <c r="B801" s="140"/>
      <c r="C801" s="140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ht="20.25" customHeight="1">
      <c r="A802" s="139"/>
      <c r="B802" s="140"/>
      <c r="C802" s="140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ht="20.25" customHeight="1">
      <c r="A803" s="139"/>
      <c r="B803" s="140"/>
      <c r="C803" s="140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ht="20.25" customHeight="1">
      <c r="A804" s="139"/>
      <c r="B804" s="140"/>
      <c r="C804" s="140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ht="20.25" customHeight="1">
      <c r="A805" s="139"/>
      <c r="B805" s="140"/>
      <c r="C805" s="140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ht="20.25" customHeight="1">
      <c r="A806" s="139"/>
      <c r="B806" s="140"/>
      <c r="C806" s="140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ht="20.25" customHeight="1">
      <c r="A807" s="139"/>
      <c r="B807" s="140"/>
      <c r="C807" s="140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ht="20.25" customHeight="1">
      <c r="A808" s="139"/>
      <c r="B808" s="140"/>
      <c r="C808" s="140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ht="20.25" customHeight="1">
      <c r="A809" s="139"/>
      <c r="B809" s="140"/>
      <c r="C809" s="140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ht="20.25" customHeight="1">
      <c r="A810" s="139"/>
      <c r="B810" s="140"/>
      <c r="C810" s="140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ht="20.25" customHeight="1">
      <c r="A811" s="139"/>
      <c r="B811" s="140"/>
      <c r="C811" s="140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ht="20.25" customHeight="1">
      <c r="A812" s="139"/>
      <c r="B812" s="140"/>
      <c r="C812" s="140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ht="20.25" customHeight="1">
      <c r="A813" s="139"/>
      <c r="B813" s="140"/>
      <c r="C813" s="140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ht="20.25" customHeight="1">
      <c r="A814" s="139"/>
      <c r="B814" s="140"/>
      <c r="C814" s="140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ht="20.25" customHeight="1">
      <c r="A815" s="139"/>
      <c r="B815" s="140"/>
      <c r="C815" s="140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ht="20.25" customHeight="1">
      <c r="A816" s="139"/>
      <c r="B816" s="140"/>
      <c r="C816" s="140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ht="20.25" customHeight="1">
      <c r="A817" s="139"/>
      <c r="B817" s="140"/>
      <c r="C817" s="140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ht="20.25" customHeight="1">
      <c r="A818" s="139"/>
      <c r="B818" s="140"/>
      <c r="C818" s="140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ht="20.25" customHeight="1">
      <c r="A819" s="139"/>
      <c r="B819" s="140"/>
      <c r="C819" s="140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ht="20.25" customHeight="1">
      <c r="A820" s="139"/>
      <c r="B820" s="140"/>
      <c r="C820" s="140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ht="20.25" customHeight="1">
      <c r="A821" s="139"/>
      <c r="B821" s="140"/>
      <c r="C821" s="140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ht="20.25" customHeight="1">
      <c r="A822" s="139"/>
      <c r="B822" s="140"/>
      <c r="C822" s="140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ht="20.25" customHeight="1">
      <c r="A823" s="139"/>
      <c r="B823" s="140"/>
      <c r="C823" s="140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ht="20.25" customHeight="1">
      <c r="A824" s="139"/>
      <c r="B824" s="140"/>
      <c r="C824" s="140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ht="20.25" customHeight="1">
      <c r="A825" s="139"/>
      <c r="B825" s="140"/>
      <c r="C825" s="140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ht="20.25" customHeight="1">
      <c r="A826" s="139"/>
      <c r="B826" s="140"/>
      <c r="C826" s="140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ht="20.25" customHeight="1">
      <c r="A827" s="139"/>
      <c r="B827" s="140"/>
      <c r="C827" s="140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ht="20.25" customHeight="1">
      <c r="A828" s="139"/>
      <c r="B828" s="140"/>
      <c r="C828" s="140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ht="20.25" customHeight="1">
      <c r="A829" s="139"/>
      <c r="B829" s="140"/>
      <c r="C829" s="140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ht="20.25" customHeight="1">
      <c r="A830" s="139"/>
      <c r="B830" s="140"/>
      <c r="C830" s="140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ht="20.25" customHeight="1">
      <c r="A831" s="139"/>
      <c r="B831" s="140"/>
      <c r="C831" s="140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ht="20.25" customHeight="1">
      <c r="A832" s="139"/>
      <c r="B832" s="140"/>
      <c r="C832" s="140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ht="20.25" customHeight="1">
      <c r="A833" s="139"/>
      <c r="B833" s="140"/>
      <c r="C833" s="140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ht="20.25" customHeight="1">
      <c r="A834" s="139"/>
      <c r="B834" s="140"/>
      <c r="C834" s="140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ht="20.25" customHeight="1">
      <c r="A835" s="139"/>
      <c r="B835" s="140"/>
      <c r="C835" s="140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ht="20.25" customHeight="1">
      <c r="A836" s="139"/>
      <c r="B836" s="140"/>
      <c r="C836" s="140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ht="20.25" customHeight="1">
      <c r="A837" s="139"/>
      <c r="B837" s="140"/>
      <c r="C837" s="140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ht="20.25" customHeight="1">
      <c r="A838" s="139"/>
      <c r="B838" s="140"/>
      <c r="C838" s="140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ht="20.25" customHeight="1">
      <c r="A839" s="139"/>
      <c r="B839" s="140"/>
      <c r="C839" s="140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ht="20.25" customHeight="1">
      <c r="A840" s="139"/>
      <c r="B840" s="140"/>
      <c r="C840" s="140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ht="20.25" customHeight="1">
      <c r="A841" s="139"/>
      <c r="B841" s="140"/>
      <c r="C841" s="140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ht="20.25" customHeight="1">
      <c r="A842" s="139"/>
      <c r="B842" s="140"/>
      <c r="C842" s="140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ht="20.25" customHeight="1">
      <c r="A843" s="139"/>
      <c r="B843" s="140"/>
      <c r="C843" s="140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ht="20.25" customHeight="1">
      <c r="A844" s="139"/>
      <c r="B844" s="140"/>
      <c r="C844" s="140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ht="20.25" customHeight="1">
      <c r="A845" s="139"/>
      <c r="B845" s="140"/>
      <c r="C845" s="140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ht="20.25" customHeight="1">
      <c r="A846" s="139"/>
      <c r="B846" s="140"/>
      <c r="C846" s="140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ht="20.25" customHeight="1">
      <c r="A847" s="139"/>
      <c r="B847" s="140"/>
      <c r="C847" s="140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ht="20.25" customHeight="1">
      <c r="A848" s="139"/>
      <c r="B848" s="140"/>
      <c r="C848" s="140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ht="20.25" customHeight="1">
      <c r="A849" s="139"/>
      <c r="B849" s="140"/>
      <c r="C849" s="140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ht="20.25" customHeight="1">
      <c r="A850" s="139"/>
      <c r="B850" s="140"/>
      <c r="C850" s="140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ht="20.25" customHeight="1">
      <c r="A851" s="139"/>
      <c r="B851" s="140"/>
      <c r="C851" s="140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ht="20.25" customHeight="1">
      <c r="A852" s="139"/>
      <c r="B852" s="140"/>
      <c r="C852" s="140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ht="20.25" customHeight="1">
      <c r="A853" s="139"/>
      <c r="B853" s="140"/>
      <c r="C853" s="140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ht="20.25" customHeight="1">
      <c r="A854" s="139"/>
      <c r="B854" s="140"/>
      <c r="C854" s="140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ht="20.25" customHeight="1">
      <c r="A855" s="139"/>
      <c r="B855" s="140"/>
      <c r="C855" s="140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ht="20.25" customHeight="1">
      <c r="A856" s="139"/>
      <c r="B856" s="140"/>
      <c r="C856" s="140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ht="20.25" customHeight="1">
      <c r="A857" s="139"/>
      <c r="B857" s="140"/>
      <c r="C857" s="140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ht="20.25" customHeight="1">
      <c r="A858" s="139"/>
      <c r="B858" s="140"/>
      <c r="C858" s="140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ht="20.25" customHeight="1">
      <c r="A859" s="139"/>
      <c r="B859" s="140"/>
      <c r="C859" s="140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ht="20.25" customHeight="1">
      <c r="A860" s="139"/>
      <c r="B860" s="140"/>
      <c r="C860" s="140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ht="20.25" customHeight="1">
      <c r="A861" s="139"/>
      <c r="B861" s="140"/>
      <c r="C861" s="140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ht="20.25" customHeight="1">
      <c r="A862" s="139"/>
      <c r="B862" s="140"/>
      <c r="C862" s="140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ht="20.25" customHeight="1">
      <c r="A863" s="139"/>
      <c r="B863" s="140"/>
      <c r="C863" s="140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ht="20.25" customHeight="1">
      <c r="A864" s="139"/>
      <c r="B864" s="140"/>
      <c r="C864" s="140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ht="20.25" customHeight="1">
      <c r="A865" s="139"/>
      <c r="B865" s="140"/>
      <c r="C865" s="140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ht="20.25" customHeight="1">
      <c r="A866" s="139"/>
      <c r="B866" s="140"/>
      <c r="C866" s="140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ht="20.25" customHeight="1">
      <c r="A867" s="139"/>
      <c r="B867" s="140"/>
      <c r="C867" s="140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ht="20.25" customHeight="1">
      <c r="A868" s="139"/>
      <c r="B868" s="140"/>
      <c r="C868" s="140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ht="20.25" customHeight="1">
      <c r="A869" s="139"/>
      <c r="B869" s="140"/>
      <c r="C869" s="140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ht="20.25" customHeight="1">
      <c r="A870" s="139"/>
      <c r="B870" s="140"/>
      <c r="C870" s="140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ht="20.25" customHeight="1">
      <c r="A871" s="139"/>
      <c r="B871" s="140"/>
      <c r="C871" s="140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ht="20.25" customHeight="1">
      <c r="A872" s="139"/>
      <c r="B872" s="140"/>
      <c r="C872" s="140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ht="20.25" customHeight="1">
      <c r="A873" s="139"/>
      <c r="B873" s="140"/>
      <c r="C873" s="140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ht="20.25" customHeight="1">
      <c r="A874" s="139"/>
      <c r="B874" s="140"/>
      <c r="C874" s="140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ht="20.25" customHeight="1">
      <c r="A875" s="139"/>
      <c r="B875" s="140"/>
      <c r="C875" s="140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ht="20.25" customHeight="1">
      <c r="A876" s="139"/>
      <c r="B876" s="140"/>
      <c r="C876" s="140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ht="20.25" customHeight="1">
      <c r="A877" s="139"/>
      <c r="B877" s="140"/>
      <c r="C877" s="140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ht="20.25" customHeight="1">
      <c r="A878" s="139"/>
      <c r="B878" s="140"/>
      <c r="C878" s="140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ht="20.25" customHeight="1">
      <c r="A879" s="139"/>
      <c r="B879" s="140"/>
      <c r="C879" s="140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ht="20.25" customHeight="1">
      <c r="A880" s="139"/>
      <c r="B880" s="140"/>
      <c r="C880" s="140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ht="20.25" customHeight="1">
      <c r="A881" s="139"/>
      <c r="B881" s="140"/>
      <c r="C881" s="140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ht="20.25" customHeight="1">
      <c r="A882" s="139"/>
      <c r="B882" s="140"/>
      <c r="C882" s="140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ht="20.25" customHeight="1">
      <c r="A883" s="139"/>
      <c r="B883" s="140"/>
      <c r="C883" s="140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ht="20.25" customHeight="1">
      <c r="A884" s="139"/>
      <c r="B884" s="140"/>
      <c r="C884" s="140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ht="20.25" customHeight="1">
      <c r="A885" s="139"/>
      <c r="B885" s="140"/>
      <c r="C885" s="140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ht="20.25" customHeight="1">
      <c r="A886" s="139"/>
      <c r="B886" s="140"/>
      <c r="C886" s="140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ht="20.25" customHeight="1">
      <c r="A887" s="139"/>
      <c r="B887" s="140"/>
      <c r="C887" s="140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ht="20.25" customHeight="1">
      <c r="A888" s="139"/>
      <c r="B888" s="140"/>
      <c r="C888" s="140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ht="20.25" customHeight="1">
      <c r="A889" s="139"/>
      <c r="B889" s="140"/>
      <c r="C889" s="140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ht="20.25" customHeight="1">
      <c r="A890" s="139"/>
      <c r="B890" s="140"/>
      <c r="C890" s="140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ht="20.25" customHeight="1">
      <c r="A891" s="139"/>
      <c r="B891" s="140"/>
      <c r="C891" s="140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ht="20.25" customHeight="1">
      <c r="A892" s="139"/>
      <c r="B892" s="140"/>
      <c r="C892" s="140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ht="20.25" customHeight="1">
      <c r="A893" s="139"/>
      <c r="B893" s="140"/>
      <c r="C893" s="140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ht="20.25" customHeight="1">
      <c r="A894" s="139"/>
      <c r="B894" s="140"/>
      <c r="C894" s="140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ht="20.25" customHeight="1">
      <c r="A895" s="139"/>
      <c r="B895" s="140"/>
      <c r="C895" s="140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ht="20.25" customHeight="1">
      <c r="A896" s="139"/>
      <c r="B896" s="140"/>
      <c r="C896" s="140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ht="20.25" customHeight="1">
      <c r="A897" s="139"/>
      <c r="B897" s="140"/>
      <c r="C897" s="140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ht="20.25" customHeight="1">
      <c r="A898" s="139"/>
      <c r="B898" s="140"/>
      <c r="C898" s="140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ht="20.25" customHeight="1">
      <c r="A899" s="139"/>
      <c r="B899" s="140"/>
      <c r="C899" s="140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ht="20.25" customHeight="1">
      <c r="A900" s="139"/>
      <c r="B900" s="140"/>
      <c r="C900" s="140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ht="20.25" customHeight="1">
      <c r="A901" s="139"/>
      <c r="B901" s="140"/>
      <c r="C901" s="140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ht="20.25" customHeight="1">
      <c r="A902" s="139"/>
      <c r="B902" s="140"/>
      <c r="C902" s="140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ht="20.25" customHeight="1">
      <c r="A903" s="139"/>
      <c r="B903" s="140"/>
      <c r="C903" s="140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ht="20.25" customHeight="1">
      <c r="A904" s="139"/>
      <c r="B904" s="140"/>
      <c r="C904" s="140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ht="20.25" customHeight="1">
      <c r="A905" s="139"/>
      <c r="B905" s="140"/>
      <c r="C905" s="140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ht="20.25" customHeight="1">
      <c r="A906" s="139"/>
      <c r="B906" s="140"/>
      <c r="C906" s="140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ht="20.25" customHeight="1">
      <c r="A907" s="139"/>
      <c r="B907" s="140"/>
      <c r="C907" s="140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ht="20.25" customHeight="1">
      <c r="A908" s="139"/>
      <c r="B908" s="140"/>
      <c r="C908" s="140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ht="20.25" customHeight="1">
      <c r="A909" s="139"/>
      <c r="B909" s="140"/>
      <c r="C909" s="140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ht="20.25" customHeight="1">
      <c r="A910" s="139"/>
      <c r="B910" s="140"/>
      <c r="C910" s="140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ht="20.25" customHeight="1">
      <c r="A911" s="139"/>
      <c r="B911" s="140"/>
      <c r="C911" s="140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ht="20.25" customHeight="1">
      <c r="A912" s="139"/>
      <c r="B912" s="140"/>
      <c r="C912" s="140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ht="20.25" customHeight="1">
      <c r="A913" s="139"/>
      <c r="B913" s="140"/>
      <c r="C913" s="140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ht="20.25" customHeight="1">
      <c r="A914" s="139"/>
      <c r="B914" s="140"/>
      <c r="C914" s="140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ht="20.25" customHeight="1">
      <c r="A915" s="139"/>
      <c r="B915" s="140"/>
      <c r="C915" s="140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ht="20.25" customHeight="1">
      <c r="A916" s="139"/>
      <c r="B916" s="140"/>
      <c r="C916" s="140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ht="20.25" customHeight="1">
      <c r="A917" s="139"/>
      <c r="B917" s="140"/>
      <c r="C917" s="140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ht="20.25" customHeight="1">
      <c r="A918" s="139"/>
      <c r="B918" s="140"/>
      <c r="C918" s="140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ht="20.25" customHeight="1">
      <c r="A919" s="139"/>
      <c r="B919" s="140"/>
      <c r="C919" s="140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ht="20.25" customHeight="1">
      <c r="A920" s="139"/>
      <c r="B920" s="140"/>
      <c r="C920" s="140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ht="20.25" customHeight="1">
      <c r="A921" s="139"/>
      <c r="B921" s="140"/>
      <c r="C921" s="140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ht="20.25" customHeight="1">
      <c r="A922" s="139"/>
      <c r="B922" s="140"/>
      <c r="C922" s="140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ht="20.25" customHeight="1">
      <c r="A923" s="139"/>
      <c r="B923" s="140"/>
      <c r="C923" s="140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ht="20.25" customHeight="1">
      <c r="A924" s="139"/>
      <c r="B924" s="140"/>
      <c r="C924" s="140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ht="20.25" customHeight="1">
      <c r="A925" s="139"/>
      <c r="B925" s="140"/>
      <c r="C925" s="140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ht="20.25" customHeight="1">
      <c r="A926" s="139"/>
      <c r="B926" s="140"/>
      <c r="C926" s="140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ht="20.25" customHeight="1">
      <c r="A927" s="139"/>
      <c r="B927" s="140"/>
      <c r="C927" s="140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ht="20.25" customHeight="1">
      <c r="A928" s="139"/>
      <c r="B928" s="140"/>
      <c r="C928" s="140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ht="20.25" customHeight="1">
      <c r="A929" s="139"/>
      <c r="B929" s="140"/>
      <c r="C929" s="140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ht="20.25" customHeight="1">
      <c r="A930" s="139"/>
      <c r="B930" s="140"/>
      <c r="C930" s="140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ht="20.25" customHeight="1">
      <c r="A931" s="139"/>
      <c r="B931" s="140"/>
      <c r="C931" s="140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ht="20.25" customHeight="1">
      <c r="A932" s="139"/>
      <c r="B932" s="140"/>
      <c r="C932" s="140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ht="20.25" customHeight="1">
      <c r="A933" s="139"/>
      <c r="B933" s="140"/>
      <c r="C933" s="140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ht="20.25" customHeight="1">
      <c r="A934" s="139"/>
      <c r="B934" s="140"/>
      <c r="C934" s="140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ht="20.25" customHeight="1">
      <c r="A935" s="139"/>
      <c r="B935" s="140"/>
      <c r="C935" s="140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ht="20.25" customHeight="1">
      <c r="A936" s="139"/>
      <c r="B936" s="140"/>
      <c r="C936" s="140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ht="20.25" customHeight="1">
      <c r="A937" s="139"/>
      <c r="B937" s="140"/>
      <c r="C937" s="140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ht="20.25" customHeight="1">
      <c r="A938" s="139"/>
      <c r="B938" s="140"/>
      <c r="C938" s="140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ht="20.25" customHeight="1">
      <c r="A939" s="139"/>
      <c r="B939" s="140"/>
      <c r="C939" s="140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ht="20.25" customHeight="1">
      <c r="A940" s="139"/>
      <c r="B940" s="140"/>
      <c r="C940" s="140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ht="20.25" customHeight="1">
      <c r="A941" s="139"/>
      <c r="B941" s="140"/>
      <c r="C941" s="140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ht="20.25" customHeight="1">
      <c r="A942" s="139"/>
      <c r="B942" s="140"/>
      <c r="C942" s="140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ht="20.25" customHeight="1">
      <c r="A943" s="139"/>
      <c r="B943" s="140"/>
      <c r="C943" s="140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ht="20.25" customHeight="1">
      <c r="A944" s="139"/>
      <c r="B944" s="140"/>
      <c r="C944" s="140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ht="20.25" customHeight="1">
      <c r="A945" s="139"/>
      <c r="B945" s="140"/>
      <c r="C945" s="140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ht="20.25" customHeight="1">
      <c r="A946" s="139"/>
      <c r="B946" s="140"/>
      <c r="C946" s="140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ht="20.25" customHeight="1">
      <c r="A947" s="139"/>
      <c r="B947" s="140"/>
      <c r="C947" s="140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ht="20.25" customHeight="1">
      <c r="A948" s="139"/>
      <c r="B948" s="140"/>
      <c r="C948" s="140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ht="20.25" customHeight="1">
      <c r="A949" s="139"/>
      <c r="B949" s="140"/>
      <c r="C949" s="140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ht="20.25" customHeight="1">
      <c r="A950" s="139"/>
      <c r="B950" s="140"/>
      <c r="C950" s="140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ht="20.25" customHeight="1">
      <c r="A951" s="139"/>
      <c r="B951" s="140"/>
      <c r="C951" s="140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ht="20.25" customHeight="1">
      <c r="A952" s="139"/>
      <c r="B952" s="140"/>
      <c r="C952" s="140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ht="20.25" customHeight="1">
      <c r="A953" s="139"/>
      <c r="B953" s="140"/>
      <c r="C953" s="140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ht="20.25" customHeight="1">
      <c r="A954" s="139"/>
      <c r="B954" s="140"/>
      <c r="C954" s="140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ht="20.25" customHeight="1">
      <c r="A955" s="139"/>
      <c r="B955" s="140"/>
      <c r="C955" s="140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ht="20.25" customHeight="1">
      <c r="A956" s="139"/>
      <c r="B956" s="140"/>
      <c r="C956" s="140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ht="20.25" customHeight="1">
      <c r="A957" s="139"/>
      <c r="B957" s="140"/>
      <c r="C957" s="140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ht="20.25" customHeight="1">
      <c r="A958" s="139"/>
      <c r="B958" s="140"/>
      <c r="C958" s="140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ht="20.25" customHeight="1">
      <c r="A959" s="139"/>
      <c r="B959" s="140"/>
      <c r="C959" s="140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ht="20.25" customHeight="1">
      <c r="A960" s="139"/>
      <c r="B960" s="140"/>
      <c r="C960" s="140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ht="20.25" customHeight="1">
      <c r="A961" s="139"/>
      <c r="B961" s="140"/>
      <c r="C961" s="140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ht="20.25" customHeight="1">
      <c r="A962" s="139"/>
      <c r="B962" s="140"/>
      <c r="C962" s="140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ht="20.25" customHeight="1">
      <c r="A963" s="139"/>
      <c r="B963" s="140"/>
      <c r="C963" s="140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ht="20.25" customHeight="1">
      <c r="A964" s="139"/>
      <c r="B964" s="140"/>
      <c r="C964" s="140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ht="20.25" customHeight="1">
      <c r="A965" s="139"/>
      <c r="B965" s="140"/>
      <c r="C965" s="140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ht="20.25" customHeight="1">
      <c r="A966" s="139"/>
      <c r="B966" s="140"/>
      <c r="C966" s="140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ht="20.25" customHeight="1">
      <c r="A967" s="139"/>
      <c r="B967" s="140"/>
      <c r="C967" s="140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ht="20.25" customHeight="1">
      <c r="A968" s="139"/>
      <c r="B968" s="140"/>
      <c r="C968" s="140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ht="20.25" customHeight="1">
      <c r="A969" s="139"/>
      <c r="B969" s="140"/>
      <c r="C969" s="140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ht="20.25" customHeight="1">
      <c r="A970" s="139"/>
      <c r="B970" s="140"/>
      <c r="C970" s="140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ht="20.25" customHeight="1">
      <c r="A971" s="139"/>
      <c r="B971" s="140"/>
      <c r="C971" s="140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ht="20.25" customHeight="1">
      <c r="A972" s="139"/>
      <c r="B972" s="140"/>
      <c r="C972" s="140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ht="20.25" customHeight="1">
      <c r="A973" s="139"/>
      <c r="B973" s="140"/>
      <c r="C973" s="140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ht="20.25" customHeight="1">
      <c r="A974" s="139"/>
      <c r="B974" s="140"/>
      <c r="C974" s="140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ht="20.25" customHeight="1">
      <c r="A975" s="139"/>
      <c r="B975" s="140"/>
      <c r="C975" s="140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ht="20.25" customHeight="1">
      <c r="A976" s="139"/>
      <c r="B976" s="140"/>
      <c r="C976" s="140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ht="20.25" customHeight="1">
      <c r="A977" s="139"/>
      <c r="B977" s="140"/>
      <c r="C977" s="140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ht="20.25" customHeight="1">
      <c r="A978" s="139"/>
      <c r="B978" s="140"/>
      <c r="C978" s="140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ht="20.25" customHeight="1">
      <c r="A979" s="139"/>
      <c r="B979" s="140"/>
      <c r="C979" s="140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ht="20.25" customHeight="1">
      <c r="A980" s="139"/>
      <c r="B980" s="140"/>
      <c r="C980" s="140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ht="20.25" customHeight="1">
      <c r="A981" s="139"/>
      <c r="B981" s="140"/>
      <c r="C981" s="140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ht="20.25" customHeight="1">
      <c r="A982" s="139"/>
      <c r="B982" s="140"/>
      <c r="C982" s="140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ht="20.25" customHeight="1">
      <c r="A983" s="139"/>
      <c r="B983" s="140"/>
      <c r="C983" s="140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ht="20.25" customHeight="1">
      <c r="A984" s="139"/>
      <c r="B984" s="140"/>
      <c r="C984" s="140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ht="20.25" customHeight="1">
      <c r="A985" s="139"/>
      <c r="B985" s="140"/>
      <c r="C985" s="140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ht="20.25" customHeight="1">
      <c r="A986" s="139"/>
      <c r="B986" s="140"/>
      <c r="C986" s="140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ht="20.25" customHeight="1">
      <c r="A987" s="139"/>
      <c r="B987" s="140"/>
      <c r="C987" s="140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ht="20.25" customHeight="1">
      <c r="A988" s="139"/>
      <c r="B988" s="140"/>
      <c r="C988" s="140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ht="20.25" customHeight="1">
      <c r="A989" s="139"/>
      <c r="B989" s="140"/>
      <c r="C989" s="140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ht="20.25" customHeight="1">
      <c r="A990" s="139"/>
      <c r="B990" s="140"/>
      <c r="C990" s="140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ht="20.25" customHeight="1">
      <c r="A991" s="139"/>
      <c r="B991" s="140"/>
      <c r="C991" s="140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ht="20.25" customHeight="1">
      <c r="A992" s="139"/>
      <c r="B992" s="140"/>
      <c r="C992" s="140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ht="20.25" customHeight="1">
      <c r="A993" s="139"/>
      <c r="B993" s="140"/>
      <c r="C993" s="140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ht="20.25" customHeight="1">
      <c r="A994" s="139"/>
      <c r="B994" s="140"/>
      <c r="C994" s="140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ht="20.25" customHeight="1">
      <c r="A995" s="139"/>
      <c r="B995" s="140"/>
      <c r="C995" s="140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ht="20.25" customHeight="1">
      <c r="A996" s="139"/>
      <c r="B996" s="140"/>
      <c r="C996" s="140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ht="20.25" customHeight="1">
      <c r="A997" s="139"/>
      <c r="B997" s="140"/>
      <c r="C997" s="140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ht="20.25" customHeight="1">
      <c r="A998" s="139"/>
      <c r="B998" s="140"/>
      <c r="C998" s="140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ht="20.25" customHeight="1">
      <c r="A999" s="139"/>
      <c r="B999" s="140"/>
      <c r="C999" s="140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ht="20.25" customHeight="1">
      <c r="A1000" s="139"/>
      <c r="B1000" s="140"/>
      <c r="C1000" s="140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mergeCells count="3">
    <mergeCell ref="D1:F1"/>
    <mergeCell ref="H1:K1"/>
    <mergeCell ref="L1:O1"/>
  </mergeCells>
  <conditionalFormatting sqref="D1:D25 D26:G77 D82:G1000 E2:G25">
    <cfRule type="cellIs" dxfId="0" priority="1" operator="lessThan">
      <formula>-0.0001</formula>
    </cfRule>
  </conditionalFormatting>
  <conditionalFormatting sqref="D3:G77 D82:G1000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0.0"/>
    <col customWidth="1" min="2" max="2" width="8.75"/>
    <col customWidth="1" min="3" max="4" width="7.75"/>
    <col customWidth="1" min="5" max="5" width="8.0"/>
    <col customWidth="1" min="6" max="6" width="8.88"/>
    <col customWidth="1" min="7" max="7" width="11.0"/>
    <col customWidth="1" min="8" max="9" width="15.25"/>
    <col customWidth="1" min="10" max="11" width="16.88"/>
    <col customWidth="1" min="12" max="13" width="15.25"/>
    <col customWidth="1" min="14" max="15" width="16.88"/>
    <col customWidth="1" min="16" max="26" width="18.88"/>
  </cols>
  <sheetData>
    <row r="1">
      <c r="A1" s="98"/>
      <c r="B1" s="98"/>
      <c r="C1" s="98"/>
      <c r="D1" s="143" t="s">
        <v>132</v>
      </c>
      <c r="E1" s="106"/>
      <c r="F1" s="106"/>
      <c r="G1" s="107"/>
      <c r="H1" s="144" t="s">
        <v>133</v>
      </c>
      <c r="I1" s="106"/>
      <c r="J1" s="106"/>
      <c r="K1" s="107"/>
      <c r="L1" s="109" t="s">
        <v>60</v>
      </c>
      <c r="M1" s="106"/>
      <c r="N1" s="106"/>
      <c r="O1" s="107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>
      <c r="A2" s="114" t="s">
        <v>61</v>
      </c>
      <c r="B2" s="115" t="s">
        <v>62</v>
      </c>
      <c r="C2" s="115" t="s">
        <v>63</v>
      </c>
      <c r="D2" s="116" t="s">
        <v>6</v>
      </c>
      <c r="E2" s="116" t="s">
        <v>10</v>
      </c>
      <c r="F2" s="116" t="s">
        <v>11</v>
      </c>
      <c r="G2" s="116" t="s">
        <v>9</v>
      </c>
      <c r="H2" s="146" t="s">
        <v>6</v>
      </c>
      <c r="I2" s="146" t="s">
        <v>10</v>
      </c>
      <c r="J2" s="146" t="s">
        <v>11</v>
      </c>
      <c r="K2" s="146" t="s">
        <v>9</v>
      </c>
      <c r="L2" s="117" t="s">
        <v>6</v>
      </c>
      <c r="M2" s="117" t="s">
        <v>7</v>
      </c>
      <c r="N2" s="117" t="s">
        <v>8</v>
      </c>
      <c r="O2" s="117" t="s">
        <v>9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>
      <c r="A3" s="98" t="s">
        <v>53</v>
      </c>
      <c r="B3" s="98" t="s">
        <v>25</v>
      </c>
      <c r="C3" s="98" t="s">
        <v>13</v>
      </c>
      <c r="D3" s="147">
        <f t="shared" ref="D3:G3" si="1">IF(L3=0,0%,IF(H3=0,100%,L3/H3-1))</f>
        <v>-0.2385469668</v>
      </c>
      <c r="E3" s="147">
        <f t="shared" si="1"/>
        <v>-0.6379760721</v>
      </c>
      <c r="F3" s="147">
        <f t="shared" si="1"/>
        <v>-0.2420041638</v>
      </c>
      <c r="G3" s="147">
        <f t="shared" si="1"/>
        <v>-0.0769138979</v>
      </c>
      <c r="H3" s="121">
        <v>8874000.0</v>
      </c>
      <c r="I3" s="121">
        <v>676000.0</v>
      </c>
      <c r="J3" s="121">
        <v>2.38E7</v>
      </c>
      <c r="K3" s="121">
        <v>4.76E7</v>
      </c>
      <c r="L3" s="148">
        <f>VLOOKUP(A3,'תפוקה מצטברת מול אשתקד'!A:K,8,0)</f>
        <v>6757134.216</v>
      </c>
      <c r="M3" s="149">
        <f>VLOOKUP(A3,'תפוקה מצטברת מול אשתקד'!A:K,9,0)</f>
        <v>244728.1752</v>
      </c>
      <c r="N3" s="149">
        <f>VLOOKUP(A3,'תפוקה מצטברת מול אשתקד'!A:K,10,0)</f>
        <v>18040300.9</v>
      </c>
      <c r="O3" s="149">
        <f>VLOOKUP(A3,'תפוקה מצטברת מול אשתקד'!A:K,11,0)</f>
        <v>43938898.46</v>
      </c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>
      <c r="A4" s="98" t="s">
        <v>64</v>
      </c>
      <c r="B4" s="98" t="s">
        <v>25</v>
      </c>
      <c r="C4" s="98" t="s">
        <v>13</v>
      </c>
      <c r="D4" s="147">
        <f t="shared" ref="D4:G4" si="2">IF(L4=0,0%,IF(H4=0,100%,L4/H4-1))</f>
        <v>-0.432991255</v>
      </c>
      <c r="E4" s="147">
        <f t="shared" si="2"/>
        <v>1</v>
      </c>
      <c r="F4" s="147">
        <f t="shared" si="2"/>
        <v>-0.7869117418</v>
      </c>
      <c r="G4" s="147">
        <f t="shared" si="2"/>
        <v>-0.8434409097</v>
      </c>
      <c r="H4" s="121">
        <v>739500.0</v>
      </c>
      <c r="I4" s="121">
        <v>0.0</v>
      </c>
      <c r="J4" s="121">
        <v>1.19E7</v>
      </c>
      <c r="K4" s="121">
        <v>9520000.0</v>
      </c>
      <c r="L4" s="148">
        <f>VLOOKUP(A4,'תפוקה מצטברת מול אשתקד'!A:K,8,0)</f>
        <v>419302.9669</v>
      </c>
      <c r="M4" s="149">
        <f>VLOOKUP(A4,'תפוקה מצטברת מול אשתקד'!A:K,9,0)</f>
        <v>3936.109177</v>
      </c>
      <c r="N4" s="149">
        <f>VLOOKUP(A4,'תפוקה מצטברת מול אשתקד'!A:K,10,0)</f>
        <v>2535750.272</v>
      </c>
      <c r="O4" s="149">
        <f>VLOOKUP(A4,'תפוקה מצטברת מול אשתקד'!A:K,11,0)</f>
        <v>1490442.54</v>
      </c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>
      <c r="A5" s="98" t="s">
        <v>37</v>
      </c>
      <c r="B5" s="98" t="s">
        <v>25</v>
      </c>
      <c r="C5" s="98" t="s">
        <v>13</v>
      </c>
      <c r="D5" s="147">
        <f t="shared" ref="D5:G5" si="3">IF(L5=0,0%,IF(H5=0,100%,L5/H5-1))</f>
        <v>0</v>
      </c>
      <c r="E5" s="147">
        <f t="shared" si="3"/>
        <v>-0.6938290784</v>
      </c>
      <c r="F5" s="147">
        <f t="shared" si="3"/>
        <v>1</v>
      </c>
      <c r="G5" s="147">
        <f t="shared" si="3"/>
        <v>0</v>
      </c>
      <c r="H5" s="121">
        <v>0.0</v>
      </c>
      <c r="I5" s="121">
        <v>156000.0</v>
      </c>
      <c r="J5" s="121">
        <v>0.0</v>
      </c>
      <c r="K5" s="121">
        <v>0.0</v>
      </c>
      <c r="L5" s="148">
        <f>VLOOKUP(A5,'תפוקה מצטברת מול אשתקד'!A:K,8,0)</f>
        <v>0</v>
      </c>
      <c r="M5" s="149">
        <f>VLOOKUP(A5,'תפוקה מצטברת מול אשתקד'!A:K,9,0)</f>
        <v>47762.66378</v>
      </c>
      <c r="N5" s="149">
        <f>VLOOKUP(A5,'תפוקה מצטברת מול אשתקד'!A:K,10,0)</f>
        <v>300000</v>
      </c>
      <c r="O5" s="149">
        <f>VLOOKUP(A5,'תפוקה מצטברת מול אשתקד'!A:K,11,0)</f>
        <v>0</v>
      </c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>
      <c r="A6" s="123" t="s">
        <v>65</v>
      </c>
      <c r="B6" s="123" t="s">
        <v>25</v>
      </c>
      <c r="C6" s="123" t="s">
        <v>13</v>
      </c>
      <c r="D6" s="150">
        <f t="shared" ref="D6:G6" si="4">IF(L6=0,0%,IF(H6=0,100%,L6/H6-1))</f>
        <v>-0.963013646</v>
      </c>
      <c r="E6" s="150">
        <f t="shared" si="4"/>
        <v>-0.7374563927</v>
      </c>
      <c r="F6" s="150">
        <f t="shared" si="4"/>
        <v>-0.4589390651</v>
      </c>
      <c r="G6" s="150">
        <f t="shared" si="4"/>
        <v>-1.223216366</v>
      </c>
      <c r="H6" s="121">
        <v>246500.0</v>
      </c>
      <c r="I6" s="121">
        <v>130000.0</v>
      </c>
      <c r="J6" s="121">
        <v>952000.0</v>
      </c>
      <c r="K6" s="121">
        <v>476000.0</v>
      </c>
      <c r="L6" s="148">
        <f>VLOOKUP(A6,'תפוקה מצטברת מול אשתקד'!A:K,8,0)</f>
        <v>9117.136267</v>
      </c>
      <c r="M6" s="149">
        <f>VLOOKUP(A6,'תפוקה מצטברת מול אשתקד'!A:K,9,0)</f>
        <v>34130.66896</v>
      </c>
      <c r="N6" s="149">
        <f>VLOOKUP(A6,'תפוקה מצטברת מול אשתקד'!A:K,10,0)</f>
        <v>515090.01</v>
      </c>
      <c r="O6" s="149">
        <f>VLOOKUP(A6,'תפוקה מצטברת מול אשתקד'!A:K,11,0)</f>
        <v>-106250.99</v>
      </c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98" t="s">
        <v>66</v>
      </c>
      <c r="B7" s="98" t="s">
        <v>25</v>
      </c>
      <c r="C7" s="125" t="s">
        <v>13</v>
      </c>
      <c r="D7" s="147">
        <f t="shared" ref="D7:G7" si="5">IF(L7=0,0%,IF(H7=0,100%,L7/H7-1))</f>
        <v>1</v>
      </c>
      <c r="E7" s="147">
        <f t="shared" si="5"/>
        <v>1</v>
      </c>
      <c r="F7" s="147">
        <f t="shared" si="5"/>
        <v>-0.974385063</v>
      </c>
      <c r="G7" s="147">
        <f t="shared" si="5"/>
        <v>-0.777325042</v>
      </c>
      <c r="H7" s="121">
        <v>0.0</v>
      </c>
      <c r="I7" s="121">
        <v>0.0</v>
      </c>
      <c r="J7" s="121">
        <v>476000.0</v>
      </c>
      <c r="K7" s="121">
        <v>238000.0</v>
      </c>
      <c r="L7" s="148">
        <f>VLOOKUP(A7,'תפוקה מצטברת מול אשתקד'!A:K,8,0)</f>
        <v>19363.97</v>
      </c>
      <c r="M7" s="149">
        <f>VLOOKUP(A7,'תפוקה מצטברת מול אשתקד'!A:K,9,0)</f>
        <v>1253.06</v>
      </c>
      <c r="N7" s="149">
        <f>VLOOKUP(A7,'תפוקה מצטברת מול אשתקד'!A:K,10,0)</f>
        <v>12192.71</v>
      </c>
      <c r="O7" s="149">
        <f>VLOOKUP(A7,'תפוקה מצטברת מול אשתקד'!A:K,11,0)</f>
        <v>52996.64</v>
      </c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>
      <c r="A8" s="151" t="s">
        <v>67</v>
      </c>
      <c r="B8" s="152"/>
      <c r="C8" s="153"/>
      <c r="D8" s="154">
        <f t="shared" ref="D8:G8" si="6">IF(L8=0,0%,IF(H8=0,100%,L8/H8-1))</f>
        <v>-0.2692780639</v>
      </c>
      <c r="E8" s="154">
        <f t="shared" si="6"/>
        <v>-0.6550824562</v>
      </c>
      <c r="F8" s="154">
        <f t="shared" si="6"/>
        <v>-0.4235258055</v>
      </c>
      <c r="G8" s="154">
        <f t="shared" si="6"/>
        <v>-0.2154081224</v>
      </c>
      <c r="H8" s="155">
        <f t="shared" ref="H8:O8" si="7">SUM(H3:H7)</f>
        <v>9860000</v>
      </c>
      <c r="I8" s="155">
        <f t="shared" si="7"/>
        <v>962000</v>
      </c>
      <c r="J8" s="155">
        <f t="shared" si="7"/>
        <v>37128000</v>
      </c>
      <c r="K8" s="155">
        <f t="shared" si="7"/>
        <v>57834000</v>
      </c>
      <c r="L8" s="155">
        <f t="shared" si="7"/>
        <v>7204918.29</v>
      </c>
      <c r="M8" s="155">
        <f t="shared" si="7"/>
        <v>331810.6771</v>
      </c>
      <c r="N8" s="155">
        <f t="shared" si="7"/>
        <v>21403333.89</v>
      </c>
      <c r="O8" s="155">
        <f t="shared" si="7"/>
        <v>45376086.65</v>
      </c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125" t="s">
        <v>68</v>
      </c>
      <c r="B9" s="125" t="s">
        <v>25</v>
      </c>
      <c r="C9" s="125" t="s">
        <v>69</v>
      </c>
      <c r="D9" s="156">
        <f t="shared" ref="D9:G9" si="8">IF(L9=0,0%,IF(H9=0,100%,L9/H9-1))</f>
        <v>1</v>
      </c>
      <c r="E9" s="156">
        <f t="shared" si="8"/>
        <v>1</v>
      </c>
      <c r="F9" s="156">
        <f t="shared" si="8"/>
        <v>0</v>
      </c>
      <c r="G9" s="156">
        <f t="shared" si="8"/>
        <v>1</v>
      </c>
      <c r="H9" s="121">
        <v>0.0</v>
      </c>
      <c r="I9" s="121">
        <v>0.0</v>
      </c>
      <c r="J9" s="121">
        <v>0.0</v>
      </c>
      <c r="K9" s="121">
        <v>0.0</v>
      </c>
      <c r="L9" s="148">
        <f>VLOOKUP(A9,'תפוקה מצטברת מול אשתקד'!A:K,8,0)</f>
        <v>42413.39971</v>
      </c>
      <c r="M9" s="149">
        <f>VLOOKUP(A9,'תפוקה מצטברת מול אשתקד'!A:K,9,0)</f>
        <v>1169.643</v>
      </c>
      <c r="N9" s="149">
        <f>VLOOKUP(A9,'תפוקה מצטברת מול אשתקד'!A:K,10,0)</f>
        <v>0</v>
      </c>
      <c r="O9" s="149">
        <f>VLOOKUP(A9,'תפוקה מצטברת מול אשתקד'!A:K,11,0)</f>
        <v>-312354.79</v>
      </c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>
      <c r="A10" s="98" t="s">
        <v>39</v>
      </c>
      <c r="B10" s="98" t="s">
        <v>25</v>
      </c>
      <c r="C10" s="98" t="s">
        <v>69</v>
      </c>
      <c r="D10" s="147">
        <f t="shared" ref="D10:G10" si="9">IF(L10=0,0%,IF(H10=0,100%,L10/H10-1))</f>
        <v>-0.4544710323</v>
      </c>
      <c r="E10" s="147">
        <f t="shared" si="9"/>
        <v>0.542628797</v>
      </c>
      <c r="F10" s="147">
        <f t="shared" si="9"/>
        <v>-0.318994309</v>
      </c>
      <c r="G10" s="147">
        <f t="shared" si="9"/>
        <v>0.04007494958</v>
      </c>
      <c r="H10" s="121">
        <v>1232500.0</v>
      </c>
      <c r="I10" s="121">
        <v>520000.0</v>
      </c>
      <c r="J10" s="121">
        <v>476000.0</v>
      </c>
      <c r="K10" s="121">
        <v>1190000.0</v>
      </c>
      <c r="L10" s="148">
        <f>VLOOKUP(A10,'תפוקה מצטברת מול אשתקד'!A:K,8,0)</f>
        <v>672364.4527</v>
      </c>
      <c r="M10" s="149">
        <f>VLOOKUP(A10,'תפוקה מצטברת מול אשתקד'!A:K,9,0)</f>
        <v>802166.9745</v>
      </c>
      <c r="N10" s="149">
        <f>VLOOKUP(A10,'תפוקה מצטברת מול אשתקד'!A:K,10,0)</f>
        <v>324158.7089</v>
      </c>
      <c r="O10" s="149">
        <f>VLOOKUP(A10,'תפוקה מצטברת מול אשתקד'!A:K,11,0)</f>
        <v>1237689.19</v>
      </c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>
      <c r="A11" s="98" t="s">
        <v>70</v>
      </c>
      <c r="B11" s="98" t="s">
        <v>25</v>
      </c>
      <c r="C11" s="98" t="s">
        <v>69</v>
      </c>
      <c r="D11" s="147">
        <f t="shared" ref="D11:G11" si="10">IF(L11=0,0%,IF(H11=0,100%,L11/H11-1))</f>
        <v>-0.4358340593</v>
      </c>
      <c r="E11" s="147">
        <f t="shared" si="10"/>
        <v>-0.6109890169</v>
      </c>
      <c r="F11" s="147">
        <f t="shared" si="10"/>
        <v>1</v>
      </c>
      <c r="G11" s="147">
        <f t="shared" si="10"/>
        <v>1</v>
      </c>
      <c r="H11" s="121">
        <v>246500.0</v>
      </c>
      <c r="I11" s="121">
        <v>104000.0</v>
      </c>
      <c r="J11" s="121">
        <v>0.0</v>
      </c>
      <c r="K11" s="121">
        <v>0.0</v>
      </c>
      <c r="L11" s="148">
        <f>VLOOKUP(A11,'תפוקה מצטברת מול אשתקד'!A:K,8,0)</f>
        <v>139066.9044</v>
      </c>
      <c r="M11" s="149">
        <f>VLOOKUP(A11,'תפוקה מצטברת מול אשתקד'!A:K,9,0)</f>
        <v>40457.14224</v>
      </c>
      <c r="N11" s="149">
        <f>VLOOKUP(A11,'תפוקה מצטברת מול אשתקד'!A:K,10,0)</f>
        <v>669332.1555</v>
      </c>
      <c r="O11" s="149">
        <f>VLOOKUP(A11,'תפוקה מצטברת מול אשתקד'!A:K,11,0)</f>
        <v>-3933.52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>
      <c r="A12" s="98" t="s">
        <v>71</v>
      </c>
      <c r="B12" s="98" t="s">
        <v>25</v>
      </c>
      <c r="C12" s="98" t="s">
        <v>69</v>
      </c>
      <c r="D12" s="147">
        <f t="shared" ref="D12:G12" si="11">IF(L12=0,0%,IF(H12=0,100%,L12/H12-1))</f>
        <v>1</v>
      </c>
      <c r="E12" s="147">
        <f t="shared" si="11"/>
        <v>1</v>
      </c>
      <c r="F12" s="147">
        <f t="shared" si="11"/>
        <v>1</v>
      </c>
      <c r="G12" s="147">
        <f t="shared" si="11"/>
        <v>1</v>
      </c>
      <c r="H12" s="121">
        <v>0.0</v>
      </c>
      <c r="I12" s="121">
        <v>0.0</v>
      </c>
      <c r="J12" s="121">
        <v>0.0</v>
      </c>
      <c r="K12" s="121">
        <v>0.0</v>
      </c>
      <c r="L12" s="148">
        <f>VLOOKUP(A12,'תפוקה מצטברת מול אשתקד'!A:K,8,0)</f>
        <v>162290.6898</v>
      </c>
      <c r="M12" s="149">
        <f>VLOOKUP(A12,'תפוקה מצטברת מול אשתקד'!A:K,9,0)</f>
        <v>6576.356888</v>
      </c>
      <c r="N12" s="149">
        <f>VLOOKUP(A12,'תפוקה מצטברת מול אשתקד'!A:K,10,0)</f>
        <v>621438.05</v>
      </c>
      <c r="O12" s="149">
        <f>VLOOKUP(A12,'תפוקה מצטברת מול אשתקד'!A:K,11,0)</f>
        <v>125854.19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>
      <c r="A13" s="98" t="s">
        <v>58</v>
      </c>
      <c r="B13" s="98" t="s">
        <v>25</v>
      </c>
      <c r="C13" s="98" t="s">
        <v>69</v>
      </c>
      <c r="D13" s="147">
        <f t="shared" ref="D13:G13" si="12">IF(L13=0,0%,IF(H13=0,100%,L13/H13-1))</f>
        <v>1</v>
      </c>
      <c r="E13" s="147">
        <f t="shared" si="12"/>
        <v>-0.5548282736</v>
      </c>
      <c r="F13" s="147">
        <f t="shared" si="12"/>
        <v>0</v>
      </c>
      <c r="G13" s="147">
        <f t="shared" si="12"/>
        <v>0</v>
      </c>
      <c r="H13" s="121">
        <v>0.0</v>
      </c>
      <c r="I13" s="121">
        <v>312000.0</v>
      </c>
      <c r="J13" s="121">
        <v>0.0</v>
      </c>
      <c r="K13" s="121">
        <v>0.0</v>
      </c>
      <c r="L13" s="148">
        <f>VLOOKUP(A13,'תפוקה מצטברת מול אשתקד'!A:K,8,0)</f>
        <v>32425.80331</v>
      </c>
      <c r="M13" s="149">
        <f>VLOOKUP(A13,'תפוקה מצטברת מול אשתקד'!A:K,9,0)</f>
        <v>138893.5786</v>
      </c>
      <c r="N13" s="149">
        <f>VLOOKUP(A13,'תפוקה מצטברת מול אשתקד'!A:K,10,0)</f>
        <v>0</v>
      </c>
      <c r="O13" s="149">
        <f>VLOOKUP(A13,'תפוקה מצטברת מול אשתקד'!A:K,11,0)</f>
        <v>0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>
      <c r="A14" s="98" t="s">
        <v>72</v>
      </c>
      <c r="B14" s="98" t="s">
        <v>25</v>
      </c>
      <c r="C14" s="98" t="s">
        <v>69</v>
      </c>
      <c r="D14" s="147">
        <f t="shared" ref="D14:G14" si="13">IF(L14=0,0%,IF(H14=0,100%,L14/H14-1))</f>
        <v>0.1376427892</v>
      </c>
      <c r="E14" s="147">
        <f t="shared" si="13"/>
        <v>-0.6326634103</v>
      </c>
      <c r="F14" s="147">
        <f t="shared" si="13"/>
        <v>-0.4847211607</v>
      </c>
      <c r="G14" s="147">
        <f t="shared" si="13"/>
        <v>-0.8481640739</v>
      </c>
      <c r="H14" s="121">
        <v>147900.0</v>
      </c>
      <c r="I14" s="121">
        <v>78000.0</v>
      </c>
      <c r="J14" s="121">
        <v>1904000.0</v>
      </c>
      <c r="K14" s="121">
        <v>5712000.0</v>
      </c>
      <c r="L14" s="148">
        <f>VLOOKUP(A14,'תפוקה מצטברת מול אשתקד'!A:K,8,0)</f>
        <v>168257.3685</v>
      </c>
      <c r="M14" s="149">
        <f>VLOOKUP(A14,'תפוקה מצטברת מול אשתקד'!A:K,9,0)</f>
        <v>28652.254</v>
      </c>
      <c r="N14" s="149">
        <f>VLOOKUP(A14,'תפוקה מצטברת מול אשתקד'!A:K,10,0)</f>
        <v>981090.91</v>
      </c>
      <c r="O14" s="149">
        <f>VLOOKUP(A14,'תפוקה מצטברת מול אשתקד'!A:K,11,0)</f>
        <v>867286.81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>
      <c r="A15" s="98" t="s">
        <v>73</v>
      </c>
      <c r="B15" s="98" t="s">
        <v>24</v>
      </c>
      <c r="C15" s="98" t="s">
        <v>69</v>
      </c>
      <c r="D15" s="147">
        <f t="shared" ref="D15:G15" si="14">IF(L15=0,0%,IF(H15=0,100%,L15/H15-1))</f>
        <v>1</v>
      </c>
      <c r="E15" s="147">
        <f t="shared" si="14"/>
        <v>0</v>
      </c>
      <c r="F15" s="147">
        <f t="shared" si="14"/>
        <v>1</v>
      </c>
      <c r="G15" s="147">
        <f t="shared" si="14"/>
        <v>1</v>
      </c>
      <c r="H15" s="121">
        <v>0.0</v>
      </c>
      <c r="I15" s="121">
        <v>0.0</v>
      </c>
      <c r="J15" s="121">
        <v>0.0</v>
      </c>
      <c r="K15" s="121">
        <v>0.0</v>
      </c>
      <c r="L15" s="148">
        <f>VLOOKUP(A15,'תפוקה מצטברת מול אשתקד'!A:K,8,0)</f>
        <v>130856.11</v>
      </c>
      <c r="M15" s="149">
        <f>VLOOKUP(A15,'תפוקה מצטברת מול אשתקד'!A:K,9,0)</f>
        <v>0</v>
      </c>
      <c r="N15" s="149">
        <f>VLOOKUP(A15,'תפוקה מצטברת מול אשתקד'!A:K,10,0)</f>
        <v>272934.97</v>
      </c>
      <c r="O15" s="149">
        <f>VLOOKUP(A15,'תפוקה מצטברת מול אשתקד'!A:K,11,0)</f>
        <v>113643.55</v>
      </c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>
      <c r="A16" s="98" t="s">
        <v>74</v>
      </c>
      <c r="B16" s="98" t="s">
        <v>25</v>
      </c>
      <c r="C16" s="98" t="s">
        <v>69</v>
      </c>
      <c r="D16" s="147">
        <f t="shared" ref="D16:G16" si="15">IF(L16=0,0%,IF(H16=0,100%,L16/H16-1))</f>
        <v>1</v>
      </c>
      <c r="E16" s="147">
        <f t="shared" si="15"/>
        <v>1</v>
      </c>
      <c r="F16" s="147">
        <f t="shared" si="15"/>
        <v>1</v>
      </c>
      <c r="G16" s="147">
        <f t="shared" si="15"/>
        <v>1</v>
      </c>
      <c r="H16" s="121">
        <v>0.0</v>
      </c>
      <c r="I16" s="121">
        <v>0.0</v>
      </c>
      <c r="J16" s="121">
        <v>0.0</v>
      </c>
      <c r="K16" s="121">
        <v>0.0</v>
      </c>
      <c r="L16" s="148">
        <f>VLOOKUP(A16,'תפוקה מצטברת מול אשתקד'!A:K,8,0)</f>
        <v>114050.5176</v>
      </c>
      <c r="M16" s="149">
        <f>VLOOKUP(A16,'תפוקה מצטברת מול אשתקד'!A:K,9,0)</f>
        <v>37296.55</v>
      </c>
      <c r="N16" s="149">
        <f>VLOOKUP(A16,'תפוקה מצטברת מול אשתקד'!A:K,10,0)</f>
        <v>6094</v>
      </c>
      <c r="O16" s="149">
        <f>VLOOKUP(A16,'תפוקה מצטברת מול אשתקד'!A:K,11,0)</f>
        <v>103330.33</v>
      </c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>
      <c r="A17" s="98" t="s">
        <v>33</v>
      </c>
      <c r="B17" s="98" t="s">
        <v>25</v>
      </c>
      <c r="C17" s="98" t="s">
        <v>69</v>
      </c>
      <c r="D17" s="147">
        <f t="shared" ref="D17:G17" si="16">IF(L17=0,0%,IF(H17=0,100%,L17/H17-1))</f>
        <v>-0.4062709448</v>
      </c>
      <c r="E17" s="147">
        <f t="shared" si="16"/>
        <v>-0.3083575199</v>
      </c>
      <c r="F17" s="147">
        <f t="shared" si="16"/>
        <v>-0.4817330939</v>
      </c>
      <c r="G17" s="147">
        <f t="shared" si="16"/>
        <v>-0.6131904587</v>
      </c>
      <c r="H17" s="121">
        <v>739500.0</v>
      </c>
      <c r="I17" s="121">
        <v>312000.0</v>
      </c>
      <c r="J17" s="121">
        <v>5712000.0</v>
      </c>
      <c r="K17" s="121">
        <v>2856000.0</v>
      </c>
      <c r="L17" s="148">
        <f>VLOOKUP(A17,'תפוקה מצטברת מול אשתקד'!A:K,8,0)</f>
        <v>439062.6363</v>
      </c>
      <c r="M17" s="149">
        <f>VLOOKUP(A17,'תפוקה מצטברת מול אשתקד'!A:K,9,0)</f>
        <v>215792.4538</v>
      </c>
      <c r="N17" s="149">
        <f>VLOOKUP(A17,'תפוקה מצטברת מול אשתקד'!A:K,10,0)</f>
        <v>2960340.567</v>
      </c>
      <c r="O17" s="149">
        <f>VLOOKUP(A17,'תפוקה מצטברת מול אשתקד'!A:K,11,0)</f>
        <v>1104728.05</v>
      </c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>
      <c r="A18" s="98" t="s">
        <v>75</v>
      </c>
      <c r="B18" s="98" t="s">
        <v>25</v>
      </c>
      <c r="C18" s="98" t="s">
        <v>69</v>
      </c>
      <c r="D18" s="147">
        <f t="shared" ref="D18:G18" si="17">IF(L18=0,0%,IF(H18=0,100%,L18/H18-1))</f>
        <v>-0.4922408749</v>
      </c>
      <c r="E18" s="147">
        <f t="shared" si="17"/>
        <v>-0.3254424008</v>
      </c>
      <c r="F18" s="147">
        <f t="shared" si="17"/>
        <v>-0.584372813</v>
      </c>
      <c r="G18" s="147">
        <f t="shared" si="17"/>
        <v>-0.412428854</v>
      </c>
      <c r="H18" s="121">
        <v>1479000.0</v>
      </c>
      <c r="I18" s="121">
        <v>182000.0</v>
      </c>
      <c r="J18" s="121">
        <v>1.666E7</v>
      </c>
      <c r="K18" s="121">
        <v>4760000.0</v>
      </c>
      <c r="L18" s="148">
        <f>VLOOKUP(A18,'תפוקה מצטברת מול אשתקד'!A:K,8,0)</f>
        <v>750975.746</v>
      </c>
      <c r="M18" s="149">
        <f>VLOOKUP(A18,'תפוקה מצטברת מול אשתקד'!A:K,9,0)</f>
        <v>122769.483</v>
      </c>
      <c r="N18" s="149">
        <f>VLOOKUP(A18,'תפוקה מצטברת מול אשתקד'!A:K,10,0)</f>
        <v>6924348.935</v>
      </c>
      <c r="O18" s="149">
        <f>VLOOKUP(A18,'תפוקה מצטברת מול אשתקד'!A:K,11,0)</f>
        <v>2796838.655</v>
      </c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>
      <c r="A19" s="98" t="s">
        <v>41</v>
      </c>
      <c r="B19" s="98" t="s">
        <v>25</v>
      </c>
      <c r="C19" s="98" t="s">
        <v>69</v>
      </c>
      <c r="D19" s="147">
        <f t="shared" ref="D19:G19" si="18">IF(L19=0,0%,IF(H19=0,100%,L19/H19-1))</f>
        <v>1</v>
      </c>
      <c r="E19" s="147">
        <f t="shared" si="18"/>
        <v>1</v>
      </c>
      <c r="F19" s="147">
        <f t="shared" si="18"/>
        <v>0</v>
      </c>
      <c r="G19" s="147">
        <f t="shared" si="18"/>
        <v>1</v>
      </c>
      <c r="H19" s="121">
        <v>0.0</v>
      </c>
      <c r="I19" s="121">
        <v>0.0</v>
      </c>
      <c r="J19" s="121">
        <v>0.0</v>
      </c>
      <c r="K19" s="121">
        <v>0.0</v>
      </c>
      <c r="L19" s="148">
        <f>VLOOKUP(A19,'תפוקה מצטברת מול אשתקד'!A:K,8,0)</f>
        <v>1207136.38</v>
      </c>
      <c r="M19" s="149">
        <f>VLOOKUP(A19,'תפוקה מצטברת מול אשתקד'!A:K,9,0)</f>
        <v>61195.246</v>
      </c>
      <c r="N19" s="149">
        <f>VLOOKUP(A19,'תפוקה מצטברת מול אשתקד'!A:K,10,0)</f>
        <v>0</v>
      </c>
      <c r="O19" s="149">
        <f>VLOOKUP(A19,'תפוקה מצטברת מול אשתקד'!A:K,11,0)</f>
        <v>-204933.07</v>
      </c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>
      <c r="A20" s="123" t="s">
        <v>76</v>
      </c>
      <c r="B20" s="98" t="s">
        <v>25</v>
      </c>
      <c r="C20" s="98" t="s">
        <v>69</v>
      </c>
      <c r="D20" s="147">
        <f t="shared" ref="D20:G20" si="19">IF(L20=0,0%,IF(H20=0,100%,L20/H20-1))</f>
        <v>1</v>
      </c>
      <c r="E20" s="147">
        <f t="shared" si="19"/>
        <v>0</v>
      </c>
      <c r="F20" s="147">
        <f t="shared" si="19"/>
        <v>0</v>
      </c>
      <c r="G20" s="147">
        <f t="shared" si="19"/>
        <v>0</v>
      </c>
      <c r="H20" s="121"/>
      <c r="I20" s="121"/>
      <c r="J20" s="121"/>
      <c r="K20" s="121"/>
      <c r="L20" s="148">
        <f>VLOOKUP(A20,'תפוקה מצטברת מול אשתקד'!A:K,8,0)</f>
        <v>29490.32408</v>
      </c>
      <c r="M20" s="149">
        <f>VLOOKUP(A20,'תפוקה מצטברת מול אשתקד'!A:K,9,0)</f>
        <v>0</v>
      </c>
      <c r="N20" s="149">
        <f>VLOOKUP(A20,'תפוקה מצטברת מול אשתקד'!A:K,10,0)</f>
        <v>0</v>
      </c>
      <c r="O20" s="149">
        <f>VLOOKUP(A20,'תפוקה מצטברת מול אשתקד'!A:K,11,0)</f>
        <v>0</v>
      </c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5.75" customHeight="1">
      <c r="A21" s="123" t="s">
        <v>77</v>
      </c>
      <c r="B21" s="123" t="s">
        <v>25</v>
      </c>
      <c r="C21" s="123" t="s">
        <v>69</v>
      </c>
      <c r="D21" s="150">
        <f t="shared" ref="D21:G21" si="20">IF(L21=0,0%,IF(H21=0,100%,L21/H21-1))</f>
        <v>0</v>
      </c>
      <c r="E21" s="150">
        <f t="shared" si="20"/>
        <v>0</v>
      </c>
      <c r="F21" s="150">
        <f t="shared" si="20"/>
        <v>0</v>
      </c>
      <c r="G21" s="150">
        <f t="shared" si="20"/>
        <v>0</v>
      </c>
      <c r="H21" s="121">
        <v>0.0</v>
      </c>
      <c r="I21" s="121">
        <v>0.0</v>
      </c>
      <c r="J21" s="121">
        <v>0.0</v>
      </c>
      <c r="K21" s="121">
        <v>0.0</v>
      </c>
      <c r="L21" s="148">
        <f>VLOOKUP(A21,'תפוקה מצטברת מול אשתקד'!A:K,8,0)</f>
        <v>0</v>
      </c>
      <c r="M21" s="149">
        <f>VLOOKUP(A21,'תפוקה מצטברת מול אשתקד'!A:K,9,0)</f>
        <v>0</v>
      </c>
      <c r="N21" s="149">
        <f>VLOOKUP(A21,'תפוקה מצטברת מול אשתקד'!A:K,10,0)</f>
        <v>0</v>
      </c>
      <c r="O21" s="149">
        <f>VLOOKUP(A21,'תפוקה מצטברת מול אשתקד'!A:K,11,0)</f>
        <v>0</v>
      </c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5.75" customHeight="1">
      <c r="A22" s="151" t="s">
        <v>78</v>
      </c>
      <c r="B22" s="152"/>
      <c r="C22" s="153"/>
      <c r="D22" s="154">
        <f t="shared" ref="D22:G22" si="21">IF(L22=0,0%,IF(H22=0,100%,L22/H22-1))</f>
        <v>0.01117967759</v>
      </c>
      <c r="E22" s="154">
        <f t="shared" si="21"/>
        <v>-0.03516599333</v>
      </c>
      <c r="F22" s="154">
        <f t="shared" si="21"/>
        <v>-0.4844966752</v>
      </c>
      <c r="G22" s="154">
        <f t="shared" si="21"/>
        <v>-0.5985570054</v>
      </c>
      <c r="H22" s="157">
        <f t="shared" ref="H22:O22" si="22">SUM(H9:H21)</f>
        <v>3845400</v>
      </c>
      <c r="I22" s="157">
        <f t="shared" si="22"/>
        <v>1508000</v>
      </c>
      <c r="J22" s="157">
        <f t="shared" si="22"/>
        <v>24752000</v>
      </c>
      <c r="K22" s="157">
        <f t="shared" si="22"/>
        <v>14518000</v>
      </c>
      <c r="L22" s="157">
        <f t="shared" si="22"/>
        <v>3888390.332</v>
      </c>
      <c r="M22" s="157">
        <f t="shared" si="22"/>
        <v>1454969.682</v>
      </c>
      <c r="N22" s="157">
        <f t="shared" si="22"/>
        <v>12759738.3</v>
      </c>
      <c r="O22" s="157">
        <f t="shared" si="22"/>
        <v>5828149.395</v>
      </c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5.75" customHeight="1">
      <c r="A23" s="125" t="s">
        <v>79</v>
      </c>
      <c r="B23" s="125" t="s">
        <v>23</v>
      </c>
      <c r="C23" s="125" t="s">
        <v>80</v>
      </c>
      <c r="D23" s="156">
        <f t="shared" ref="D23:G23" si="23">IF(L23=0,0%,IF(H23=0,100%,L23/H23-1))</f>
        <v>-0.2777454079</v>
      </c>
      <c r="E23" s="156">
        <f t="shared" si="23"/>
        <v>-0.5299050905</v>
      </c>
      <c r="F23" s="156">
        <f t="shared" si="23"/>
        <v>-0.7198572773</v>
      </c>
      <c r="G23" s="156">
        <f t="shared" si="23"/>
        <v>0.09560879412</v>
      </c>
      <c r="H23" s="121">
        <v>788800.0</v>
      </c>
      <c r="I23" s="121">
        <v>88400.0</v>
      </c>
      <c r="J23" s="121">
        <v>1190000.0</v>
      </c>
      <c r="K23" s="121">
        <v>2380000.0</v>
      </c>
      <c r="L23" s="148">
        <f>VLOOKUP(A23,'תפוקה מצטברת מול אשתקד'!A:K,8,0)</f>
        <v>569714.4222</v>
      </c>
      <c r="M23" s="149">
        <f>VLOOKUP(A23,'תפוקה מצטברת מול אשתקד'!A:K,9,0)</f>
        <v>41556.39</v>
      </c>
      <c r="N23" s="149">
        <f>VLOOKUP(A23,'תפוקה מצטברת מול אשתקד'!A:K,10,0)</f>
        <v>333369.84</v>
      </c>
      <c r="O23" s="149">
        <f>VLOOKUP(A23,'תפוקה מצטברת מול אשתקד'!A:K,11,0)</f>
        <v>2607548.93</v>
      </c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5.75" customHeight="1">
      <c r="A24" s="99" t="s">
        <v>81</v>
      </c>
      <c r="B24" s="98" t="s">
        <v>23</v>
      </c>
      <c r="C24" s="125" t="s">
        <v>80</v>
      </c>
      <c r="D24" s="147">
        <f t="shared" ref="D24:G24" si="24">IF(L24=0,0%,IF(H24=0,100%,L24/H24-1))</f>
        <v>0</v>
      </c>
      <c r="E24" s="147">
        <f t="shared" si="24"/>
        <v>1</v>
      </c>
      <c r="F24" s="147">
        <f t="shared" si="24"/>
        <v>0</v>
      </c>
      <c r="G24" s="147">
        <f t="shared" si="24"/>
        <v>1</v>
      </c>
      <c r="H24" s="121">
        <v>0.0</v>
      </c>
      <c r="I24" s="121">
        <v>0.0</v>
      </c>
      <c r="J24" s="121">
        <v>0.0</v>
      </c>
      <c r="K24" s="121">
        <v>0.0</v>
      </c>
      <c r="L24" s="148">
        <f>VLOOKUP(A24,'תפוקה מצטברת מול אשתקד'!A:K,8,0)</f>
        <v>0</v>
      </c>
      <c r="M24" s="149">
        <f>VLOOKUP(A24,'תפוקה מצטברת מול אשתקד'!A:K,9,0)</f>
        <v>3071.944288</v>
      </c>
      <c r="N24" s="149">
        <f>VLOOKUP(A24,'תפוקה מצטברת מול אשתקד'!A:K,10,0)</f>
        <v>0</v>
      </c>
      <c r="O24" s="149">
        <f>VLOOKUP(A24,'תפוקה מצטברת מול אשתקד'!A:K,11,0)</f>
        <v>-11711.17</v>
      </c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5.75" customHeight="1">
      <c r="A25" s="99" t="s">
        <v>82</v>
      </c>
      <c r="B25" s="98" t="s">
        <v>23</v>
      </c>
      <c r="C25" s="125" t="s">
        <v>80</v>
      </c>
      <c r="D25" s="147">
        <f t="shared" ref="D25:G25" si="25">IF(L25=0,0%,IF(H25=0,100%,L25/H25-1))</f>
        <v>-0.7354967574</v>
      </c>
      <c r="E25" s="147">
        <f t="shared" si="25"/>
        <v>-0.5451923077</v>
      </c>
      <c r="F25" s="147">
        <f t="shared" si="25"/>
        <v>-0.9722594518</v>
      </c>
      <c r="G25" s="147">
        <f t="shared" si="25"/>
        <v>0</v>
      </c>
      <c r="H25" s="121">
        <v>49300.0</v>
      </c>
      <c r="I25" s="121">
        <v>26000.0</v>
      </c>
      <c r="J25" s="121">
        <v>142800.0</v>
      </c>
      <c r="K25" s="121">
        <v>47600.0</v>
      </c>
      <c r="L25" s="148">
        <f>VLOOKUP(A25,'תפוקה מצטברת מול אשתקד'!A:K,8,0)</f>
        <v>13040.00986</v>
      </c>
      <c r="M25" s="149">
        <f>VLOOKUP(A25,'תפוקה מצטברת מול אשתקד'!A:K,9,0)</f>
        <v>11825</v>
      </c>
      <c r="N25" s="149">
        <f>VLOOKUP(A25,'תפוקה מצטברת מול אשתקד'!A:K,10,0)</f>
        <v>3961.350288</v>
      </c>
      <c r="O25" s="149">
        <f>VLOOKUP(A25,'תפוקה מצטברת מול אשתקד'!A:K,11,0)</f>
        <v>0</v>
      </c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5.75" customHeight="1">
      <c r="A26" s="98" t="s">
        <v>106</v>
      </c>
      <c r="B26" s="98" t="s">
        <v>24</v>
      </c>
      <c r="C26" s="125" t="s">
        <v>80</v>
      </c>
      <c r="D26" s="147">
        <f t="shared" ref="D26:G26" si="26">IF(L26=0,0%,IF(H26=0,100%,L26/H26-1))</f>
        <v>0</v>
      </c>
      <c r="E26" s="147">
        <f t="shared" si="26"/>
        <v>0</v>
      </c>
      <c r="F26" s="147">
        <f t="shared" si="26"/>
        <v>0</v>
      </c>
      <c r="G26" s="147">
        <f t="shared" si="26"/>
        <v>0</v>
      </c>
      <c r="H26" s="121">
        <v>0.0</v>
      </c>
      <c r="I26" s="121">
        <v>0.0</v>
      </c>
      <c r="J26" s="121">
        <v>0.0</v>
      </c>
      <c r="K26" s="121">
        <v>0.0</v>
      </c>
      <c r="L26" s="148">
        <f>VLOOKUP(A26,'תפוקה מצטברת מול אשתקד'!A:K,8,0)</f>
        <v>0</v>
      </c>
      <c r="M26" s="149">
        <f>VLOOKUP(A26,'תפוקה מצטברת מול אשתקד'!A:K,9,0)</f>
        <v>0</v>
      </c>
      <c r="N26" s="149">
        <f>VLOOKUP(A26,'תפוקה מצטברת מול אשתקד'!A:K,10,0)</f>
        <v>0</v>
      </c>
      <c r="O26" s="149">
        <f>VLOOKUP(A26,'תפוקה מצטברת מול אשתקד'!A:K,11,0)</f>
        <v>0</v>
      </c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5.75" customHeight="1">
      <c r="A27" s="99" t="s">
        <v>83</v>
      </c>
      <c r="B27" s="98" t="s">
        <v>23</v>
      </c>
      <c r="C27" s="125" t="s">
        <v>80</v>
      </c>
      <c r="D27" s="147">
        <f t="shared" ref="D27:G27" si="27">IF(L27=0,0%,IF(H27=0,100%,L27/H27-1))</f>
        <v>-0.2869031055</v>
      </c>
      <c r="E27" s="147">
        <f t="shared" si="27"/>
        <v>-0.4501449075</v>
      </c>
      <c r="F27" s="147">
        <f t="shared" si="27"/>
        <v>-0.5715657028</v>
      </c>
      <c r="G27" s="147">
        <f t="shared" si="27"/>
        <v>-0.199305688</v>
      </c>
      <c r="H27" s="121">
        <v>1232500.0</v>
      </c>
      <c r="I27" s="121">
        <v>156000.0</v>
      </c>
      <c r="J27" s="121">
        <v>1428000.0</v>
      </c>
      <c r="K27" s="121">
        <v>1904000.0</v>
      </c>
      <c r="L27" s="148">
        <f>VLOOKUP(A27,'תפוקה מצטברת מול אשתקד'!A:K,8,0)</f>
        <v>878891.9225</v>
      </c>
      <c r="M27" s="149">
        <f>VLOOKUP(A27,'תפוקה מצטברת מול אשתקד'!A:K,9,0)</f>
        <v>85777.39443</v>
      </c>
      <c r="N27" s="149">
        <f>VLOOKUP(A27,'תפוקה מצטברת מול אשתקד'!A:K,10,0)</f>
        <v>611804.1764</v>
      </c>
      <c r="O27" s="149">
        <f>VLOOKUP(A27,'תפוקה מצטברת מול אשתקד'!A:K,11,0)</f>
        <v>1524521.97</v>
      </c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5.75" customHeight="1">
      <c r="A28" s="99" t="s">
        <v>84</v>
      </c>
      <c r="B28" s="98" t="s">
        <v>23</v>
      </c>
      <c r="C28" s="125" t="s">
        <v>80</v>
      </c>
      <c r="D28" s="147">
        <f t="shared" ref="D28:G28" si="28">IF(L28=0,0%,IF(H28=0,100%,L28/H28-1))</f>
        <v>-0.5525484398</v>
      </c>
      <c r="E28" s="147">
        <f t="shared" si="28"/>
        <v>-0.4388405594</v>
      </c>
      <c r="F28" s="147">
        <f t="shared" si="28"/>
        <v>1.113235582</v>
      </c>
      <c r="G28" s="147">
        <f t="shared" si="28"/>
        <v>1.005290441</v>
      </c>
      <c r="H28" s="121">
        <v>147900.0</v>
      </c>
      <c r="I28" s="121">
        <v>104000.0</v>
      </c>
      <c r="J28" s="121">
        <v>47600.0</v>
      </c>
      <c r="K28" s="121">
        <v>95200.0</v>
      </c>
      <c r="L28" s="148">
        <f>VLOOKUP(A28,'תפוקה מצטברת מול אשתקד'!A:K,8,0)</f>
        <v>66178.08575</v>
      </c>
      <c r="M28" s="149">
        <f>VLOOKUP(A28,'תפוקה מצטברת מול אשתקד'!A:K,9,0)</f>
        <v>58360.58182</v>
      </c>
      <c r="N28" s="149">
        <f>VLOOKUP(A28,'תפוקה מצטברת מול אשתקד'!A:K,10,0)</f>
        <v>100590.0137</v>
      </c>
      <c r="O28" s="149">
        <f>VLOOKUP(A28,'תפוקה מצטברת מול אשתקד'!A:K,11,0)</f>
        <v>190903.65</v>
      </c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5.75" customHeight="1">
      <c r="A29" s="99" t="s">
        <v>85</v>
      </c>
      <c r="B29" s="98" t="s">
        <v>23</v>
      </c>
      <c r="C29" s="125" t="s">
        <v>80</v>
      </c>
      <c r="D29" s="147">
        <f t="shared" ref="D29:G29" si="29">IF(L29=0,0%,IF(H29=0,100%,L29/H29-1))</f>
        <v>-0.8179627451</v>
      </c>
      <c r="E29" s="147">
        <f t="shared" si="29"/>
        <v>-0.3271386879</v>
      </c>
      <c r="F29" s="147">
        <f t="shared" si="29"/>
        <v>-0.7560827451</v>
      </c>
      <c r="G29" s="147">
        <f t="shared" si="29"/>
        <v>-0.5873366246</v>
      </c>
      <c r="H29" s="121">
        <v>147900.0</v>
      </c>
      <c r="I29" s="121">
        <v>78000.0</v>
      </c>
      <c r="J29" s="121">
        <v>714000.0</v>
      </c>
      <c r="K29" s="121">
        <v>142800.0</v>
      </c>
      <c r="L29" s="148">
        <f>VLOOKUP(A29,'תפוקה מצטברת מול אשתקד'!A:K,8,0)</f>
        <v>26923.31</v>
      </c>
      <c r="M29" s="149">
        <f>VLOOKUP(A29,'תפוקה מצטברת מול אשתקד'!A:K,9,0)</f>
        <v>52483.18234</v>
      </c>
      <c r="N29" s="149">
        <f>VLOOKUP(A29,'תפוקה מצטברת מול אשתקד'!A:K,10,0)</f>
        <v>174156.92</v>
      </c>
      <c r="O29" s="149">
        <f>VLOOKUP(A29,'תפוקה מצטברת מול אשתקד'!A:K,11,0)</f>
        <v>58928.33</v>
      </c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5.75" customHeight="1">
      <c r="A30" s="98" t="s">
        <v>86</v>
      </c>
      <c r="B30" s="98" t="s">
        <v>23</v>
      </c>
      <c r="C30" s="125" t="s">
        <v>80</v>
      </c>
      <c r="D30" s="147">
        <f t="shared" ref="D30:G30" si="30">IF(L30=0,0%,IF(H30=0,100%,L30/H30-1))</f>
        <v>-0.484834889</v>
      </c>
      <c r="E30" s="147">
        <f t="shared" si="30"/>
        <v>-0.2087891026</v>
      </c>
      <c r="F30" s="147">
        <f t="shared" si="30"/>
        <v>-0.4370038095</v>
      </c>
      <c r="G30" s="147">
        <f t="shared" si="30"/>
        <v>-0.5460319622</v>
      </c>
      <c r="H30" s="121">
        <v>862750.0</v>
      </c>
      <c r="I30" s="121">
        <v>78000.0</v>
      </c>
      <c r="J30" s="121">
        <v>1428000.0</v>
      </c>
      <c r="K30" s="121">
        <v>2380000.0</v>
      </c>
      <c r="L30" s="148">
        <f>VLOOKUP(A30,'תפוקה מצטברת מול אשתקד'!A:K,8,0)</f>
        <v>444458.6995</v>
      </c>
      <c r="M30" s="149">
        <f>VLOOKUP(A30,'תפוקה מצטברת מול אשתקד'!A:K,9,0)</f>
        <v>61714.45</v>
      </c>
      <c r="N30" s="149">
        <f>VLOOKUP(A30,'תפוקה מצטברת מול אשתקד'!A:K,10,0)</f>
        <v>803958.56</v>
      </c>
      <c r="O30" s="149">
        <f>VLOOKUP(A30,'תפוקה מצטברת מול אשתקד'!A:K,11,0)</f>
        <v>1080443.93</v>
      </c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5.75" customHeight="1">
      <c r="A31" s="98" t="s">
        <v>87</v>
      </c>
      <c r="B31" s="98" t="s">
        <v>23</v>
      </c>
      <c r="C31" s="125" t="s">
        <v>80</v>
      </c>
      <c r="D31" s="147">
        <f t="shared" ref="D31:G31" si="31">IF(L31=0,0%,IF(H31=0,100%,L31/H31-1))</f>
        <v>0.5870183976</v>
      </c>
      <c r="E31" s="147">
        <f t="shared" si="31"/>
        <v>-0.1523995906</v>
      </c>
      <c r="F31" s="147">
        <f t="shared" si="31"/>
        <v>0.2099868855</v>
      </c>
      <c r="G31" s="147">
        <f t="shared" si="31"/>
        <v>0.3284250756</v>
      </c>
      <c r="H31" s="121">
        <v>493000.0</v>
      </c>
      <c r="I31" s="121">
        <v>104000.0</v>
      </c>
      <c r="J31" s="121">
        <v>1904000.0</v>
      </c>
      <c r="K31" s="121">
        <v>1190000.0</v>
      </c>
      <c r="L31" s="148">
        <f>VLOOKUP(A31,'תפוקה מצטברת מול אשתקד'!A:K,8,0)</f>
        <v>782400.07</v>
      </c>
      <c r="M31" s="149">
        <f>VLOOKUP(A31,'תפוקה מצטברת מול אשתקד'!A:K,9,0)</f>
        <v>88150.44257</v>
      </c>
      <c r="N31" s="149">
        <f>VLOOKUP(A31,'תפוקה מצטברת מול אשתקד'!A:K,10,0)</f>
        <v>2303815.03</v>
      </c>
      <c r="O31" s="149">
        <f>VLOOKUP(A31,'תפוקה מצטברת מול אשתקד'!A:K,11,0)</f>
        <v>1580825.84</v>
      </c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5.75" customHeight="1">
      <c r="A32" s="98" t="s">
        <v>88</v>
      </c>
      <c r="B32" s="98" t="s">
        <v>23</v>
      </c>
      <c r="C32" s="125" t="s">
        <v>80</v>
      </c>
      <c r="D32" s="147">
        <f t="shared" ref="D32:G32" si="32">IF(L32=0,0%,IF(H32=0,100%,L32/H32-1))</f>
        <v>0</v>
      </c>
      <c r="E32" s="147">
        <f t="shared" si="32"/>
        <v>1</v>
      </c>
      <c r="F32" s="147">
        <f t="shared" si="32"/>
        <v>0</v>
      </c>
      <c r="G32" s="147">
        <f t="shared" si="32"/>
        <v>0</v>
      </c>
      <c r="H32" s="121">
        <v>0.0</v>
      </c>
      <c r="I32" s="121">
        <v>0.0</v>
      </c>
      <c r="J32" s="121">
        <v>0.0</v>
      </c>
      <c r="K32" s="121">
        <v>0.0</v>
      </c>
      <c r="L32" s="148">
        <f>VLOOKUP(A32,'תפוקה מצטברת מול אשתקד'!A:K,8,0)</f>
        <v>0</v>
      </c>
      <c r="M32" s="149">
        <f>VLOOKUP(A32,'תפוקה מצטברת מול אשתקד'!A:K,9,0)</f>
        <v>9.74</v>
      </c>
      <c r="N32" s="149">
        <f>VLOOKUP(A32,'תפוקה מצטברת מול אשתקד'!A:K,10,0)</f>
        <v>0</v>
      </c>
      <c r="O32" s="149">
        <f>VLOOKUP(A32,'תפוקה מצטברת מול אשתקד'!A:K,11,0)</f>
        <v>0</v>
      </c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5.75" customHeight="1">
      <c r="A33" s="98" t="s">
        <v>89</v>
      </c>
      <c r="B33" s="98" t="s">
        <v>23</v>
      </c>
      <c r="C33" s="125" t="s">
        <v>80</v>
      </c>
      <c r="D33" s="147">
        <f t="shared" ref="D33:G33" si="33">IF(L33=0,0%,IF(H33=0,100%,L33/H33-1))</f>
        <v>1</v>
      </c>
      <c r="E33" s="147">
        <f t="shared" si="33"/>
        <v>1</v>
      </c>
      <c r="F33" s="147">
        <f t="shared" si="33"/>
        <v>1</v>
      </c>
      <c r="G33" s="147">
        <f t="shared" si="33"/>
        <v>0</v>
      </c>
      <c r="H33" s="121">
        <v>0.0</v>
      </c>
      <c r="I33" s="121">
        <v>0.0</v>
      </c>
      <c r="J33" s="121">
        <v>0.0</v>
      </c>
      <c r="K33" s="121">
        <v>0.0</v>
      </c>
      <c r="L33" s="148">
        <f>VLOOKUP(A33,'תפוקה מצטברת מול אשתקד'!A:K,8,0)</f>
        <v>40386.72643</v>
      </c>
      <c r="M33" s="149">
        <f>VLOOKUP(A33,'תפוקה מצטברת מול אשתקד'!A:K,9,0)</f>
        <v>4862.865542</v>
      </c>
      <c r="N33" s="149">
        <f>VLOOKUP(A33,'תפוקה מצטברת מול אשתקד'!A:K,10,0)</f>
        <v>47440.18635</v>
      </c>
      <c r="O33" s="149">
        <f>VLOOKUP(A33,'תפוקה מצטברת מול אשתקד'!A:K,11,0)</f>
        <v>0</v>
      </c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5.75" customHeight="1">
      <c r="A34" s="98" t="s">
        <v>90</v>
      </c>
      <c r="B34" s="98" t="s">
        <v>23</v>
      </c>
      <c r="C34" s="125" t="s">
        <v>80</v>
      </c>
      <c r="D34" s="147">
        <f t="shared" ref="D34:G34" si="34">IF(L34=0,0%,IF(H34=0,100%,L34/H34-1))</f>
        <v>0</v>
      </c>
      <c r="E34" s="147">
        <f t="shared" si="34"/>
        <v>0</v>
      </c>
      <c r="F34" s="147">
        <f t="shared" si="34"/>
        <v>0</v>
      </c>
      <c r="G34" s="147">
        <f t="shared" si="34"/>
        <v>0</v>
      </c>
      <c r="H34" s="121">
        <v>0.0</v>
      </c>
      <c r="I34" s="121">
        <v>0.0</v>
      </c>
      <c r="J34" s="121">
        <v>0.0</v>
      </c>
      <c r="K34" s="121">
        <v>0.0</v>
      </c>
      <c r="L34" s="148">
        <f>VLOOKUP(A34,'תפוקה מצטברת מול אשתקד'!A:K,8,0)</f>
        <v>0</v>
      </c>
      <c r="M34" s="149">
        <f>VLOOKUP(A34,'תפוקה מצטברת מול אשתקד'!A:K,9,0)</f>
        <v>0</v>
      </c>
      <c r="N34" s="149">
        <f>VLOOKUP(A34,'תפוקה מצטברת מול אשתקד'!A:K,10,0)</f>
        <v>0</v>
      </c>
      <c r="O34" s="149">
        <f>VLOOKUP(A34,'תפוקה מצטברת מול אשתקד'!A:K,11,0)</f>
        <v>0</v>
      </c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5.75" customHeight="1">
      <c r="A35" s="98" t="s">
        <v>91</v>
      </c>
      <c r="B35" s="98" t="s">
        <v>23</v>
      </c>
      <c r="C35" s="125" t="s">
        <v>80</v>
      </c>
      <c r="D35" s="147">
        <f t="shared" ref="D35:G35" si="35">IF(L35=0,0%,IF(H35=0,100%,L35/H35-1))</f>
        <v>0</v>
      </c>
      <c r="E35" s="147">
        <f t="shared" si="35"/>
        <v>1</v>
      </c>
      <c r="F35" s="147">
        <f t="shared" si="35"/>
        <v>0</v>
      </c>
      <c r="G35" s="147">
        <f t="shared" si="35"/>
        <v>0</v>
      </c>
      <c r="H35" s="121">
        <v>0.0</v>
      </c>
      <c r="I35" s="121">
        <v>0.0</v>
      </c>
      <c r="J35" s="121">
        <v>0.0</v>
      </c>
      <c r="K35" s="121">
        <v>0.0</v>
      </c>
      <c r="L35" s="148">
        <f>VLOOKUP(A35,'תפוקה מצטברת מול אשתקד'!A:K,8,0)</f>
        <v>0</v>
      </c>
      <c r="M35" s="149">
        <f>VLOOKUP(A35,'תפוקה מצטברת מול אשתקד'!A:K,9,0)</f>
        <v>6614.169</v>
      </c>
      <c r="N35" s="149">
        <f>VLOOKUP(A35,'תפוקה מצטברת מול אשתקד'!A:K,10,0)</f>
        <v>0</v>
      </c>
      <c r="O35" s="149">
        <f>VLOOKUP(A35,'תפוקה מצטברת מול אשתקד'!A:K,11,0)</f>
        <v>0</v>
      </c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5.75" customHeight="1">
      <c r="A36" s="99" t="s">
        <v>51</v>
      </c>
      <c r="B36" s="98" t="s">
        <v>23</v>
      </c>
      <c r="C36" s="125" t="s">
        <v>80</v>
      </c>
      <c r="D36" s="147">
        <f t="shared" ref="D36:G36" si="36">IF(L36=0,0%,IF(H36=0,100%,L36/H36-1))</f>
        <v>0.3591090611</v>
      </c>
      <c r="E36" s="147">
        <f t="shared" si="36"/>
        <v>-0.1795993371</v>
      </c>
      <c r="F36" s="147">
        <f t="shared" si="36"/>
        <v>-0.3603542194</v>
      </c>
      <c r="G36" s="147">
        <f t="shared" si="36"/>
        <v>0.3056823582</v>
      </c>
      <c r="H36" s="121">
        <v>1232500.0</v>
      </c>
      <c r="I36" s="121">
        <v>234000.0</v>
      </c>
      <c r="J36" s="121">
        <v>2856000.0</v>
      </c>
      <c r="K36" s="121">
        <v>1904000.0</v>
      </c>
      <c r="L36" s="148">
        <f>VLOOKUP(A36,'תפוקה מצטברת מול אשתקד'!A:K,8,0)</f>
        <v>1675101.918</v>
      </c>
      <c r="M36" s="149">
        <f>VLOOKUP(A36,'תפוקה מצטברת מול אשתקד'!A:K,9,0)</f>
        <v>191973.7551</v>
      </c>
      <c r="N36" s="149">
        <f>VLOOKUP(A36,'תפוקה מצטברת מול אשתקד'!A:K,10,0)</f>
        <v>1826828.349</v>
      </c>
      <c r="O36" s="149">
        <f>VLOOKUP(A36,'תפוקה מצטברת מול אשתקד'!A:K,11,0)</f>
        <v>2486019.21</v>
      </c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5.75" customHeight="1">
      <c r="A37" s="98" t="s">
        <v>92</v>
      </c>
      <c r="B37" s="98" t="s">
        <v>23</v>
      </c>
      <c r="C37" s="125" t="s">
        <v>80</v>
      </c>
      <c r="D37" s="147">
        <f t="shared" ref="D37:G37" si="37">IF(L37=0,0%,IF(H37=0,100%,L37/H37-1))</f>
        <v>1</v>
      </c>
      <c r="E37" s="147">
        <f t="shared" si="37"/>
        <v>0</v>
      </c>
      <c r="F37" s="147">
        <f t="shared" si="37"/>
        <v>0</v>
      </c>
      <c r="G37" s="147">
        <f t="shared" si="37"/>
        <v>0</v>
      </c>
      <c r="H37" s="121">
        <v>0.0</v>
      </c>
      <c r="I37" s="121">
        <v>0.0</v>
      </c>
      <c r="J37" s="121">
        <v>0.0</v>
      </c>
      <c r="K37" s="121">
        <v>0.0</v>
      </c>
      <c r="L37" s="148">
        <f>VLOOKUP(A37,'תפוקה מצטברת מול אשתקד'!A:K,8,0)</f>
        <v>2262</v>
      </c>
      <c r="M37" s="149">
        <f>VLOOKUP(A37,'תפוקה מצטברת מול אשתקד'!A:K,9,0)</f>
        <v>0</v>
      </c>
      <c r="N37" s="149">
        <f>VLOOKUP(A37,'תפוקה מצטברת מול אשתקד'!A:K,10,0)</f>
        <v>0</v>
      </c>
      <c r="O37" s="149">
        <f>VLOOKUP(A37,'תפוקה מצטברת מול אשתקד'!A:K,11,0)</f>
        <v>0</v>
      </c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5.75" customHeight="1">
      <c r="A38" s="98" t="s">
        <v>93</v>
      </c>
      <c r="B38" s="98" t="s">
        <v>23</v>
      </c>
      <c r="C38" s="125" t="s">
        <v>80</v>
      </c>
      <c r="D38" s="147">
        <f t="shared" ref="D38:G38" si="38">IF(L38=0,0%,IF(H38=0,100%,L38/H38-1))</f>
        <v>1</v>
      </c>
      <c r="E38" s="147">
        <f t="shared" si="38"/>
        <v>1</v>
      </c>
      <c r="F38" s="147">
        <f t="shared" si="38"/>
        <v>1</v>
      </c>
      <c r="G38" s="147">
        <f t="shared" si="38"/>
        <v>1</v>
      </c>
      <c r="H38" s="121">
        <v>0.0</v>
      </c>
      <c r="I38" s="121">
        <v>0.0</v>
      </c>
      <c r="J38" s="121">
        <v>0.0</v>
      </c>
      <c r="K38" s="121">
        <v>0.0</v>
      </c>
      <c r="L38" s="148">
        <f>VLOOKUP(A38,'תפוקה מצטברת מול אשתקד'!A:K,8,0)</f>
        <v>44755.2</v>
      </c>
      <c r="M38" s="149">
        <f>VLOOKUP(A38,'תפוקה מצטברת מול אשתקד'!A:K,9,0)</f>
        <v>-3440.766</v>
      </c>
      <c r="N38" s="149">
        <f>VLOOKUP(A38,'תפוקה מצטברת מול אשתקד'!A:K,10,0)</f>
        <v>23102.44</v>
      </c>
      <c r="O38" s="149">
        <f>VLOOKUP(A38,'תפוקה מצטברת מול אשתקד'!A:K,11,0)</f>
        <v>-580576.23</v>
      </c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5.75" customHeight="1">
      <c r="A39" s="98" t="s">
        <v>94</v>
      </c>
      <c r="B39" s="98" t="s">
        <v>23</v>
      </c>
      <c r="C39" s="125" t="s">
        <v>80</v>
      </c>
      <c r="D39" s="147">
        <f t="shared" ref="D39:G39" si="39">IF(L39=0,0%,IF(H39=0,100%,L39/H39-1))</f>
        <v>1</v>
      </c>
      <c r="E39" s="147">
        <f t="shared" si="39"/>
        <v>0</v>
      </c>
      <c r="F39" s="147">
        <f t="shared" si="39"/>
        <v>0</v>
      </c>
      <c r="G39" s="147">
        <f t="shared" si="39"/>
        <v>0</v>
      </c>
      <c r="H39" s="121">
        <v>0.0</v>
      </c>
      <c r="I39" s="121">
        <v>0.0</v>
      </c>
      <c r="J39" s="121">
        <v>0.0</v>
      </c>
      <c r="K39" s="121">
        <v>0.0</v>
      </c>
      <c r="L39" s="148">
        <f>VLOOKUP(A39,'תפוקה מצטברת מול אשתקד'!A:K,8,0)</f>
        <v>37915.58169</v>
      </c>
      <c r="M39" s="149">
        <f>VLOOKUP(A39,'תפוקה מצטברת מול אשתקד'!A:K,9,0)</f>
        <v>0</v>
      </c>
      <c r="N39" s="149">
        <f>VLOOKUP(A39,'תפוקה מצטברת מול אשתקד'!A:K,10,0)</f>
        <v>0</v>
      </c>
      <c r="O39" s="149">
        <f>VLOOKUP(A39,'תפוקה מצטברת מול אשתקד'!A:K,11,0)</f>
        <v>0</v>
      </c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75" customHeight="1">
      <c r="A40" s="98" t="s">
        <v>95</v>
      </c>
      <c r="B40" s="98" t="s">
        <v>23</v>
      </c>
      <c r="C40" s="125" t="s">
        <v>80</v>
      </c>
      <c r="D40" s="147">
        <f t="shared" ref="D40:G40" si="40">IF(L40=0,0%,IF(H40=0,100%,L40/H40-1))</f>
        <v>1</v>
      </c>
      <c r="E40" s="147">
        <f t="shared" si="40"/>
        <v>-0.4987980769</v>
      </c>
      <c r="F40" s="147">
        <f t="shared" si="40"/>
        <v>1</v>
      </c>
      <c r="G40" s="147">
        <f t="shared" si="40"/>
        <v>1</v>
      </c>
      <c r="H40" s="121">
        <v>0.0</v>
      </c>
      <c r="I40" s="121">
        <v>5200.0</v>
      </c>
      <c r="J40" s="121">
        <v>0.0</v>
      </c>
      <c r="K40" s="121">
        <v>0.0</v>
      </c>
      <c r="L40" s="148">
        <f>VLOOKUP(A40,'תפוקה מצטברת מול אשתקד'!A:K,8,0)</f>
        <v>25403.37</v>
      </c>
      <c r="M40" s="149">
        <f>VLOOKUP(A40,'תפוקה מצטברת מול אשתקד'!A:K,9,0)</f>
        <v>2606.25</v>
      </c>
      <c r="N40" s="149">
        <f>VLOOKUP(A40,'תפוקה מצטברת מול אשתקד'!A:K,10,0)</f>
        <v>245920.63</v>
      </c>
      <c r="O40" s="149">
        <f>VLOOKUP(A40,'תפוקה מצטברת מול אשתקד'!A:K,11,0)</f>
        <v>229331.73</v>
      </c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5.75" customHeight="1">
      <c r="A41" s="98" t="s">
        <v>109</v>
      </c>
      <c r="B41" s="98" t="s">
        <v>24</v>
      </c>
      <c r="C41" s="125" t="s">
        <v>80</v>
      </c>
      <c r="D41" s="147">
        <f t="shared" ref="D41:G41" si="41">IF(L41=0,0%,IF(H41=0,100%,L41/H41-1))</f>
        <v>-0.8481641481</v>
      </c>
      <c r="E41" s="147">
        <f t="shared" si="41"/>
        <v>-0.6568767308</v>
      </c>
      <c r="F41" s="147">
        <f t="shared" si="41"/>
        <v>0</v>
      </c>
      <c r="G41" s="147">
        <f t="shared" si="41"/>
        <v>0</v>
      </c>
      <c r="H41" s="121">
        <v>197200.0</v>
      </c>
      <c r="I41" s="121">
        <v>52000.0</v>
      </c>
      <c r="J41" s="121">
        <v>476000.0</v>
      </c>
      <c r="K41" s="121">
        <v>476000.0</v>
      </c>
      <c r="L41" s="148">
        <f>VLOOKUP(A41,'תפוקה מצטברת מול אשתקד'!A:K,8,0)</f>
        <v>29942.03</v>
      </c>
      <c r="M41" s="149">
        <f>VLOOKUP(A41,'תפוקה מצטברת מול אשתקד'!A:K,9,0)</f>
        <v>17842.41</v>
      </c>
      <c r="N41" s="149">
        <f>VLOOKUP(A41,'תפוקה מצטברת מול אשתקד'!A:K,10,0)</f>
        <v>0</v>
      </c>
      <c r="O41" s="149">
        <f>VLOOKUP(A41,'תפוקה מצטברת מול אשתקד'!A:K,11,0)</f>
        <v>0</v>
      </c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5.75" customHeight="1">
      <c r="A42" s="98" t="s">
        <v>111</v>
      </c>
      <c r="B42" s="98" t="s">
        <v>24</v>
      </c>
      <c r="C42" s="125" t="s">
        <v>80</v>
      </c>
      <c r="D42" s="147">
        <f t="shared" ref="D42:G42" si="42">IF(L42=0,0%,IF(H42=0,100%,L42/H42-1))</f>
        <v>0</v>
      </c>
      <c r="E42" s="147">
        <f t="shared" si="42"/>
        <v>0</v>
      </c>
      <c r="F42" s="147">
        <f t="shared" si="42"/>
        <v>0</v>
      </c>
      <c r="G42" s="147">
        <f t="shared" si="42"/>
        <v>0</v>
      </c>
      <c r="H42" s="121">
        <v>0.0</v>
      </c>
      <c r="I42" s="121">
        <v>0.0</v>
      </c>
      <c r="J42" s="121">
        <v>0.0</v>
      </c>
      <c r="K42" s="121">
        <v>0.0</v>
      </c>
      <c r="L42" s="148">
        <f>VLOOKUP(A42,'תפוקה מצטברת מול אשתקד'!A:K,8,0)</f>
        <v>0</v>
      </c>
      <c r="M42" s="149">
        <f>VLOOKUP(A42,'תפוקה מצטברת מול אשתקד'!A:K,9,0)</f>
        <v>0</v>
      </c>
      <c r="N42" s="149">
        <f>VLOOKUP(A42,'תפוקה מצטברת מול אשתקד'!A:K,10,0)</f>
        <v>0</v>
      </c>
      <c r="O42" s="149">
        <f>VLOOKUP(A42,'תפוקה מצטברת מול אשתקד'!A:K,11,0)</f>
        <v>0</v>
      </c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5.75" customHeight="1">
      <c r="A43" s="99" t="s">
        <v>96</v>
      </c>
      <c r="B43" s="98" t="s">
        <v>23</v>
      </c>
      <c r="C43" s="125" t="s">
        <v>80</v>
      </c>
      <c r="D43" s="147">
        <f t="shared" ref="D43:G43" si="43">IF(L43=0,0%,IF(H43=0,100%,L43/H43-1))</f>
        <v>1</v>
      </c>
      <c r="E43" s="147">
        <f t="shared" si="43"/>
        <v>1</v>
      </c>
      <c r="F43" s="147">
        <f t="shared" si="43"/>
        <v>1</v>
      </c>
      <c r="G43" s="147">
        <f t="shared" si="43"/>
        <v>1</v>
      </c>
      <c r="H43" s="121">
        <v>0.0</v>
      </c>
      <c r="I43" s="121">
        <v>0.0</v>
      </c>
      <c r="J43" s="121">
        <v>0.0</v>
      </c>
      <c r="K43" s="121">
        <v>0.0</v>
      </c>
      <c r="L43" s="148">
        <f>VLOOKUP(A43,'תפוקה מצטברת מול אשתקד'!A:K,8,0)</f>
        <v>292726.8128</v>
      </c>
      <c r="M43" s="149">
        <f>VLOOKUP(A43,'תפוקה מצטברת מול אשתקד'!A:K,9,0)</f>
        <v>30300.50749</v>
      </c>
      <c r="N43" s="149">
        <f>VLOOKUP(A43,'תפוקה מצטברת מול אשתקד'!A:K,10,0)</f>
        <v>504815.3654</v>
      </c>
      <c r="O43" s="149">
        <f>VLOOKUP(A43,'תפוקה מצטברת מול אשתקד'!A:K,11,0)</f>
        <v>837097.91</v>
      </c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5.75" customHeight="1">
      <c r="A44" s="98" t="s">
        <v>97</v>
      </c>
      <c r="B44" s="98" t="s">
        <v>23</v>
      </c>
      <c r="C44" s="125" t="s">
        <v>80</v>
      </c>
      <c r="D44" s="147">
        <f t="shared" ref="D44:G44" si="44">IF(L44=0,0%,IF(H44=0,100%,L44/H44-1))</f>
        <v>-0.9324543611</v>
      </c>
      <c r="E44" s="147">
        <f t="shared" si="44"/>
        <v>-0.4624618791</v>
      </c>
      <c r="F44" s="147">
        <f t="shared" si="44"/>
        <v>-0.9343586835</v>
      </c>
      <c r="G44" s="147">
        <f t="shared" si="44"/>
        <v>0</v>
      </c>
      <c r="H44" s="121">
        <v>147900.0</v>
      </c>
      <c r="I44" s="121">
        <v>41600.0</v>
      </c>
      <c r="J44" s="121">
        <v>142800.0</v>
      </c>
      <c r="K44" s="121">
        <v>142800.0</v>
      </c>
      <c r="L44" s="148">
        <f>VLOOKUP(A44,'תפוקה מצטברת מול אשתקד'!A:K,8,0)</f>
        <v>9990</v>
      </c>
      <c r="M44" s="149">
        <f>VLOOKUP(A44,'תפוקה מצטברת מול אשתקד'!A:K,9,0)</f>
        <v>22361.58583</v>
      </c>
      <c r="N44" s="149">
        <f>VLOOKUP(A44,'תפוקה מצטברת מול אשתקד'!A:K,10,0)</f>
        <v>9373.58</v>
      </c>
      <c r="O44" s="149">
        <f>VLOOKUP(A44,'תפוקה מצטברת מול אשתקד'!A:K,11,0)</f>
        <v>0</v>
      </c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5.75" customHeight="1">
      <c r="A45" s="98" t="s">
        <v>98</v>
      </c>
      <c r="B45" s="98" t="s">
        <v>23</v>
      </c>
      <c r="C45" s="125" t="s">
        <v>80</v>
      </c>
      <c r="D45" s="147">
        <f t="shared" ref="D45:G45" si="45">IF(L45=0,0%,IF(H45=0,100%,L45/H45-1))</f>
        <v>-0.7150541998</v>
      </c>
      <c r="E45" s="147">
        <f t="shared" si="45"/>
        <v>-0.03986252923</v>
      </c>
      <c r="F45" s="147">
        <f t="shared" si="45"/>
        <v>2.471295518</v>
      </c>
      <c r="G45" s="147">
        <f t="shared" si="45"/>
        <v>0.3806844538</v>
      </c>
      <c r="H45" s="121">
        <v>24650.0</v>
      </c>
      <c r="I45" s="121">
        <v>26000.0</v>
      </c>
      <c r="J45" s="121">
        <v>142800.0</v>
      </c>
      <c r="K45" s="121">
        <v>95200.0</v>
      </c>
      <c r="L45" s="148">
        <f>VLOOKUP(A45,'תפוקה מצטברת מול אשתקד'!A:K,8,0)</f>
        <v>7023.913975</v>
      </c>
      <c r="M45" s="149">
        <f>VLOOKUP(A45,'תפוקה מצטברת מול אשתקד'!A:K,9,0)</f>
        <v>24963.57424</v>
      </c>
      <c r="N45" s="149">
        <f>VLOOKUP(A45,'תפוקה מצטברת מול אשתקד'!A:K,10,0)</f>
        <v>495701</v>
      </c>
      <c r="O45" s="149">
        <f>VLOOKUP(A45,'תפוקה מצטברת מול אשתקד'!A:K,11,0)</f>
        <v>131441.16</v>
      </c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5.75" customHeight="1">
      <c r="A46" s="98" t="s">
        <v>107</v>
      </c>
      <c r="B46" s="98" t="s">
        <v>24</v>
      </c>
      <c r="C46" s="125" t="s">
        <v>80</v>
      </c>
      <c r="D46" s="147">
        <f t="shared" ref="D46:G46" si="46">IF(L46=0,0%,IF(H46=0,100%,L46/H46-1))</f>
        <v>0</v>
      </c>
      <c r="E46" s="147">
        <f t="shared" si="46"/>
        <v>0</v>
      </c>
      <c r="F46" s="147">
        <f t="shared" si="46"/>
        <v>0</v>
      </c>
      <c r="G46" s="147">
        <f t="shared" si="46"/>
        <v>0</v>
      </c>
      <c r="H46" s="121">
        <v>0.0</v>
      </c>
      <c r="I46" s="121">
        <v>0.0</v>
      </c>
      <c r="J46" s="121">
        <v>0.0</v>
      </c>
      <c r="K46" s="121">
        <v>0.0</v>
      </c>
      <c r="L46" s="148">
        <f>VLOOKUP(A46,'תפוקה מצטברת מול אשתקד'!A:K,8,0)</f>
        <v>0</v>
      </c>
      <c r="M46" s="149">
        <f>VLOOKUP(A46,'תפוקה מצטברת מול אשתקד'!A:K,9,0)</f>
        <v>0</v>
      </c>
      <c r="N46" s="149">
        <f>VLOOKUP(A46,'תפוקה מצטברת מול אשתקד'!A:K,10,0)</f>
        <v>0</v>
      </c>
      <c r="O46" s="149">
        <f>VLOOKUP(A46,'תפוקה מצטברת מול אשתקד'!A:K,11,0)</f>
        <v>0</v>
      </c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5.75" customHeight="1">
      <c r="A47" s="98" t="s">
        <v>108</v>
      </c>
      <c r="B47" s="98" t="s">
        <v>24</v>
      </c>
      <c r="C47" s="125" t="s">
        <v>80</v>
      </c>
      <c r="D47" s="147">
        <f t="shared" ref="D47:G47" si="47">IF(L47=0,0%,IF(H47=0,100%,L47/H47-1))</f>
        <v>0</v>
      </c>
      <c r="E47" s="147">
        <f t="shared" si="47"/>
        <v>0</v>
      </c>
      <c r="F47" s="147">
        <f t="shared" si="47"/>
        <v>0</v>
      </c>
      <c r="G47" s="147">
        <f t="shared" si="47"/>
        <v>0</v>
      </c>
      <c r="H47" s="121">
        <v>0.0</v>
      </c>
      <c r="I47" s="121">
        <v>0.0</v>
      </c>
      <c r="J47" s="121">
        <v>0.0</v>
      </c>
      <c r="K47" s="121">
        <v>0.0</v>
      </c>
      <c r="L47" s="148">
        <f>VLOOKUP(A47,'תפוקה מצטברת מול אשתקד'!A:K,8,0)</f>
        <v>0</v>
      </c>
      <c r="M47" s="149">
        <f>VLOOKUP(A47,'תפוקה מצטברת מול אשתקד'!A:K,9,0)</f>
        <v>0</v>
      </c>
      <c r="N47" s="149">
        <f>VLOOKUP(A47,'תפוקה מצטברת מול אשתקד'!A:K,10,0)</f>
        <v>0</v>
      </c>
      <c r="O47" s="149">
        <f>VLOOKUP(A47,'תפוקה מצטברת מול אשתקד'!A:K,11,0)</f>
        <v>0</v>
      </c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5.75" customHeight="1">
      <c r="A48" s="123" t="s">
        <v>99</v>
      </c>
      <c r="B48" s="98" t="s">
        <v>23</v>
      </c>
      <c r="C48" s="125" t="s">
        <v>80</v>
      </c>
      <c r="D48" s="147">
        <f t="shared" ref="D48:G48" si="48">IF(L48=0,0%,IF(H48=0,100%,L48/H48-1))</f>
        <v>0</v>
      </c>
      <c r="E48" s="147">
        <f t="shared" si="48"/>
        <v>-0.7848138846</v>
      </c>
      <c r="F48" s="147">
        <f t="shared" si="48"/>
        <v>0</v>
      </c>
      <c r="G48" s="147">
        <f t="shared" si="48"/>
        <v>0</v>
      </c>
      <c r="H48" s="121">
        <v>24650.0</v>
      </c>
      <c r="I48" s="121">
        <v>26000.0</v>
      </c>
      <c r="J48" s="121">
        <v>238000.0</v>
      </c>
      <c r="K48" s="121">
        <v>95200.0</v>
      </c>
      <c r="L48" s="148">
        <f>VLOOKUP(A48,'תפוקה מצטברת מול אשתקד'!A:K,8,0)</f>
        <v>0</v>
      </c>
      <c r="M48" s="149">
        <f>VLOOKUP(A48,'תפוקה מצטברת מול אשתקד'!A:K,9,0)</f>
        <v>5594.839</v>
      </c>
      <c r="N48" s="149">
        <f>VLOOKUP(A48,'תפוקה מצטברת מול אשתקד'!A:K,10,0)</f>
        <v>0</v>
      </c>
      <c r="O48" s="149">
        <f>VLOOKUP(A48,'תפוקה מצטברת מול אשתקד'!A:K,11,0)</f>
        <v>0</v>
      </c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5.75" customHeight="1">
      <c r="A49" s="123" t="s">
        <v>100</v>
      </c>
      <c r="B49" s="98" t="s">
        <v>23</v>
      </c>
      <c r="C49" s="125" t="s">
        <v>80</v>
      </c>
      <c r="D49" s="147">
        <f t="shared" ref="D49:G49" si="49">IF(L49=0,0%,IF(H49=0,100%,L49/H49-1))</f>
        <v>-0.9320649087</v>
      </c>
      <c r="E49" s="147">
        <f t="shared" si="49"/>
        <v>-1.155134731</v>
      </c>
      <c r="F49" s="147">
        <f t="shared" si="49"/>
        <v>0.07425264706</v>
      </c>
      <c r="G49" s="147">
        <f t="shared" si="49"/>
        <v>3.016484958</v>
      </c>
      <c r="H49" s="121">
        <v>49300.0</v>
      </c>
      <c r="I49" s="121">
        <v>26000.0</v>
      </c>
      <c r="J49" s="121">
        <v>952000.0</v>
      </c>
      <c r="K49" s="121">
        <v>238000.0</v>
      </c>
      <c r="L49" s="148">
        <f>VLOOKUP(A49,'תפוקה מצטברת מול אשתקד'!A:K,8,0)</f>
        <v>3349.2</v>
      </c>
      <c r="M49" s="149">
        <f>VLOOKUP(A49,'תפוקה מצטברת מול אשתקד'!A:K,9,0)</f>
        <v>-4033.503</v>
      </c>
      <c r="N49" s="149">
        <f>VLOOKUP(A49,'תפוקה מצטברת מול אשתקד'!A:K,10,0)</f>
        <v>1022688.52</v>
      </c>
      <c r="O49" s="149">
        <f>VLOOKUP(A49,'תפוקה מצטברת מול אשתקד'!A:K,11,0)</f>
        <v>955923.42</v>
      </c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5.75" customHeight="1">
      <c r="A50" s="98" t="s">
        <v>101</v>
      </c>
      <c r="B50" s="98" t="s">
        <v>23</v>
      </c>
      <c r="C50" s="98" t="s">
        <v>80</v>
      </c>
      <c r="D50" s="147">
        <f t="shared" ref="D50:G50" si="50">IF(L50=0,0%,IF(H50=0,100%,L50/H50-1))</f>
        <v>1</v>
      </c>
      <c r="E50" s="147">
        <f t="shared" si="50"/>
        <v>1</v>
      </c>
      <c r="F50" s="147">
        <f t="shared" si="50"/>
        <v>1</v>
      </c>
      <c r="G50" s="147">
        <f t="shared" si="50"/>
        <v>1</v>
      </c>
      <c r="H50" s="121">
        <v>0.0</v>
      </c>
      <c r="I50" s="121">
        <v>0.0</v>
      </c>
      <c r="J50" s="121">
        <v>0.0</v>
      </c>
      <c r="K50" s="121">
        <v>0.0</v>
      </c>
      <c r="L50" s="148">
        <f>VLOOKUP(A50,'תפוקה מצטברת מול אשתקד'!A:K,8,0)</f>
        <v>120698.3818</v>
      </c>
      <c r="M50" s="149">
        <f>VLOOKUP(A50,'תפוקה מצטברת מול אשתקד'!A:K,9,0)</f>
        <v>1656.24</v>
      </c>
      <c r="N50" s="149">
        <f>VLOOKUP(A50,'תפוקה מצטברת מול אשתקד'!A:K,10,0)</f>
        <v>1489554.53</v>
      </c>
      <c r="O50" s="149">
        <f>VLOOKUP(A50,'תפוקה מצטברת מול אשתקד'!A:K,11,0)</f>
        <v>378465.19</v>
      </c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5.75" customHeight="1">
      <c r="A51" s="98" t="s">
        <v>102</v>
      </c>
      <c r="B51" s="98" t="s">
        <v>23</v>
      </c>
      <c r="C51" s="98" t="s">
        <v>80</v>
      </c>
      <c r="D51" s="147">
        <f t="shared" ref="D51:G51" si="51">IF(L51=0,0%,IF(H51=0,100%,L51/H51-1))</f>
        <v>1</v>
      </c>
      <c r="E51" s="147">
        <f t="shared" si="51"/>
        <v>1</v>
      </c>
      <c r="F51" s="147">
        <f t="shared" si="51"/>
        <v>0</v>
      </c>
      <c r="G51" s="147">
        <f t="shared" si="51"/>
        <v>1</v>
      </c>
      <c r="H51" s="121">
        <v>0.0</v>
      </c>
      <c r="I51" s="121">
        <v>0.0</v>
      </c>
      <c r="J51" s="121">
        <v>0.0</v>
      </c>
      <c r="K51" s="121">
        <v>0.0</v>
      </c>
      <c r="L51" s="148">
        <f>VLOOKUP(A51,'תפוקה מצטברת מול אשתקד'!A:K,8,0)</f>
        <v>25403.37</v>
      </c>
      <c r="M51" s="149">
        <f>VLOOKUP(A51,'תפוקה מצטברת מול אשתקד'!A:K,9,0)</f>
        <v>20522.29</v>
      </c>
      <c r="N51" s="149">
        <f>VLOOKUP(A51,'תפוקה מצטברת מול אשתקד'!A:K,10,0)</f>
        <v>0</v>
      </c>
      <c r="O51" s="149">
        <f>VLOOKUP(A51,'תפוקה מצטברת מול אשתקד'!A:K,11,0)</f>
        <v>140389.29</v>
      </c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5.75" customHeight="1">
      <c r="A52" s="98" t="s">
        <v>103</v>
      </c>
      <c r="B52" s="98" t="s">
        <v>23</v>
      </c>
      <c r="C52" s="98" t="s">
        <v>80</v>
      </c>
      <c r="D52" s="147">
        <f t="shared" ref="D52:G52" si="52">IF(L52=0,0%,IF(H52=0,100%,L52/H52-1))</f>
        <v>1</v>
      </c>
      <c r="E52" s="147">
        <f t="shared" si="52"/>
        <v>1</v>
      </c>
      <c r="F52" s="147">
        <f t="shared" si="52"/>
        <v>1</v>
      </c>
      <c r="G52" s="147">
        <f t="shared" si="52"/>
        <v>1</v>
      </c>
      <c r="H52" s="121">
        <v>0.0</v>
      </c>
      <c r="I52" s="121">
        <v>0.0</v>
      </c>
      <c r="J52" s="121">
        <v>0.0</v>
      </c>
      <c r="K52" s="121">
        <v>0.0</v>
      </c>
      <c r="L52" s="148">
        <f>VLOOKUP(A52,'תפוקה מצטברת מול אשתקד'!A:K,8,0)</f>
        <v>178455.3594</v>
      </c>
      <c r="M52" s="149">
        <f>VLOOKUP(A52,'תפוקה מצטברת מול אשתקד'!A:K,9,0)</f>
        <v>7373.171</v>
      </c>
      <c r="N52" s="149">
        <f>VLOOKUP(A52,'תפוקה מצטברת מול אשתקד'!A:K,10,0)</f>
        <v>136950.97</v>
      </c>
      <c r="O52" s="149">
        <f>VLOOKUP(A52,'תפוקה מצטברת מול אשתקד'!A:K,11,0)</f>
        <v>616216.09</v>
      </c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5.75" customHeight="1">
      <c r="A53" s="98" t="s">
        <v>104</v>
      </c>
      <c r="B53" s="98" t="s">
        <v>23</v>
      </c>
      <c r="C53" s="98" t="s">
        <v>80</v>
      </c>
      <c r="D53" s="147">
        <f t="shared" ref="D53:G53" si="53">IF(L53=0,0%,IF(H53=0,100%,L53/H53-1))</f>
        <v>1</v>
      </c>
      <c r="E53" s="147">
        <f t="shared" si="53"/>
        <v>1</v>
      </c>
      <c r="F53" s="147">
        <f t="shared" si="53"/>
        <v>0</v>
      </c>
      <c r="G53" s="147">
        <f t="shared" si="53"/>
        <v>0</v>
      </c>
      <c r="H53" s="121">
        <v>0.0</v>
      </c>
      <c r="I53" s="121">
        <v>0.0</v>
      </c>
      <c r="J53" s="121">
        <v>0.0</v>
      </c>
      <c r="K53" s="121">
        <v>0.0</v>
      </c>
      <c r="L53" s="148">
        <f>VLOOKUP(A53,'תפוקה מצטברת מול אשתקד'!A:K,8,0)</f>
        <v>12130</v>
      </c>
      <c r="M53" s="149">
        <f>VLOOKUP(A53,'תפוקה מצטברת מול אשתקד'!A:K,9,0)</f>
        <v>867.42</v>
      </c>
      <c r="N53" s="149">
        <f>VLOOKUP(A53,'תפוקה מצטברת מול אשתקד'!A:K,10,0)</f>
        <v>0</v>
      </c>
      <c r="O53" s="149">
        <f>VLOOKUP(A53,'תפוקה מצטברת מול אשתקד'!A:K,11,0)</f>
        <v>0</v>
      </c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5.75" customHeight="1">
      <c r="A54" s="98" t="s">
        <v>110</v>
      </c>
      <c r="B54" s="98" t="s">
        <v>25</v>
      </c>
      <c r="C54" s="125" t="s">
        <v>80</v>
      </c>
      <c r="D54" s="147">
        <f t="shared" ref="D54:G54" si="54">IF(L54=0,0%,IF(H54=0,100%,L54/H54-1))</f>
        <v>0</v>
      </c>
      <c r="E54" s="147">
        <f t="shared" si="54"/>
        <v>0</v>
      </c>
      <c r="F54" s="147">
        <f t="shared" si="54"/>
        <v>0</v>
      </c>
      <c r="G54" s="147">
        <f t="shared" si="54"/>
        <v>1</v>
      </c>
      <c r="H54" s="121"/>
      <c r="I54" s="121"/>
      <c r="J54" s="121"/>
      <c r="K54" s="121"/>
      <c r="L54" s="148">
        <f>VLOOKUP(A54,'תפוקה מצטברת מול אשתקד'!A:K,8,0)</f>
        <v>0</v>
      </c>
      <c r="M54" s="149">
        <f>VLOOKUP(A54,'תפוקה מצטברת מול אשתקד'!A:K,9,0)</f>
        <v>0</v>
      </c>
      <c r="N54" s="149">
        <f>VLOOKUP(A54,'תפוקה מצטברת מול אשתקד'!A:K,10,0)</f>
        <v>0</v>
      </c>
      <c r="O54" s="149">
        <f>VLOOKUP(A54,'תפוקה מצטברת מול אשתקד'!A:K,11,0)</f>
        <v>-59363.66</v>
      </c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5.75" customHeight="1">
      <c r="A55" s="123" t="s">
        <v>105</v>
      </c>
      <c r="B55" s="123" t="s">
        <v>23</v>
      </c>
      <c r="C55" s="123" t="s">
        <v>80</v>
      </c>
      <c r="D55" s="150">
        <f t="shared" ref="D55:G55" si="55">IF(L55=0,0%,IF(H55=0,100%,L55/H55-1))</f>
        <v>0</v>
      </c>
      <c r="E55" s="150">
        <f t="shared" si="55"/>
        <v>1</v>
      </c>
      <c r="F55" s="150">
        <f t="shared" si="55"/>
        <v>0</v>
      </c>
      <c r="G55" s="150">
        <f t="shared" si="55"/>
        <v>1</v>
      </c>
      <c r="H55" s="121">
        <v>0.0</v>
      </c>
      <c r="I55" s="121">
        <v>0.0</v>
      </c>
      <c r="J55" s="121">
        <v>0.0</v>
      </c>
      <c r="K55" s="121">
        <v>0.0</v>
      </c>
      <c r="L55" s="148">
        <f>VLOOKUP(A55,'תפוקה מצטברת מול אשתקד'!A:K,8,0)</f>
        <v>0</v>
      </c>
      <c r="M55" s="149">
        <f>VLOOKUP(A55,'תפוקה מצטברת מול אשתקד'!A:K,9,0)</f>
        <v>3267.65</v>
      </c>
      <c r="N55" s="149">
        <f>VLOOKUP(A55,'תפוקה מצטברת מול אשתקד'!A:K,10,0)</f>
        <v>0</v>
      </c>
      <c r="O55" s="149">
        <f>VLOOKUP(A55,'תפוקה מצטברת מול אשתקד'!A:K,11,0)</f>
        <v>-2038</v>
      </c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5.75" customHeight="1">
      <c r="A56" s="158" t="s">
        <v>16</v>
      </c>
      <c r="B56" s="152"/>
      <c r="C56" s="153"/>
      <c r="D56" s="159">
        <f t="shared" ref="D56:G56" si="56">IF(L56=0,0%,IF(H56=0,100%,L56/H56-1))</f>
        <v>-0.02059881562</v>
      </c>
      <c r="E56" s="159">
        <f t="shared" si="56"/>
        <v>-0.2955591431</v>
      </c>
      <c r="F56" s="159">
        <f t="shared" si="56"/>
        <v>-0.1310211403</v>
      </c>
      <c r="G56" s="159">
        <f t="shared" si="56"/>
        <v>0.0967980299</v>
      </c>
      <c r="H56" s="160">
        <f t="shared" ref="H56:O56" si="57">SUM(H23:H55)</f>
        <v>5398350</v>
      </c>
      <c r="I56" s="160">
        <f t="shared" si="57"/>
        <v>1045200</v>
      </c>
      <c r="J56" s="160">
        <f t="shared" si="57"/>
        <v>11662000</v>
      </c>
      <c r="K56" s="160">
        <f t="shared" si="57"/>
        <v>11090800</v>
      </c>
      <c r="L56" s="160">
        <f t="shared" si="57"/>
        <v>5287150.384</v>
      </c>
      <c r="M56" s="160">
        <f t="shared" si="57"/>
        <v>736281.5837</v>
      </c>
      <c r="N56" s="160">
        <f t="shared" si="57"/>
        <v>10134031.46</v>
      </c>
      <c r="O56" s="160">
        <f t="shared" si="57"/>
        <v>12164367.59</v>
      </c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5.75" customHeight="1">
      <c r="A57" s="98" t="s">
        <v>57</v>
      </c>
      <c r="B57" s="98" t="s">
        <v>26</v>
      </c>
      <c r="C57" s="125" t="s">
        <v>80</v>
      </c>
      <c r="D57" s="147">
        <f t="shared" ref="D57:G57" si="58">IF(L57=0,0%,IF(H57=0,100%,L57/H57-1))</f>
        <v>-0.9835793296</v>
      </c>
      <c r="E57" s="147">
        <f t="shared" si="58"/>
        <v>-0.9562251099</v>
      </c>
      <c r="F57" s="147">
        <f t="shared" si="58"/>
        <v>-0.4187494748</v>
      </c>
      <c r="G57" s="147">
        <f t="shared" si="58"/>
        <v>-0.7953085872</v>
      </c>
      <c r="H57" s="121">
        <v>1972000.0</v>
      </c>
      <c r="I57" s="121">
        <v>182000.0</v>
      </c>
      <c r="J57" s="121">
        <v>1904000.0</v>
      </c>
      <c r="K57" s="121">
        <v>1904000.0</v>
      </c>
      <c r="L57" s="148">
        <f>VLOOKUP(A57,'תפוקה מצטברת מול אשתקד'!A:K,8,0)</f>
        <v>32381.56201</v>
      </c>
      <c r="M57" s="149">
        <f>VLOOKUP(A57,'תפוקה מצטברת מול אשתקד'!A:K,9,0)</f>
        <v>7967.03</v>
      </c>
      <c r="N57" s="149">
        <f>VLOOKUP(A57,'תפוקה מצטברת מול אשתקד'!A:K,10,0)</f>
        <v>1106701</v>
      </c>
      <c r="O57" s="149">
        <f>VLOOKUP(A57,'תפוקה מצטברת מול אשתקד'!A:K,11,0)</f>
        <v>389732.45</v>
      </c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5.75" customHeight="1">
      <c r="A58" s="99" t="s">
        <v>113</v>
      </c>
      <c r="B58" s="98" t="s">
        <v>26</v>
      </c>
      <c r="C58" s="98" t="s">
        <v>80</v>
      </c>
      <c r="D58" s="147">
        <f t="shared" ref="D58:G58" si="59">IF(L58=0,0%,IF(H58=0,100%,L58/H58-1))</f>
        <v>-0.6952180122</v>
      </c>
      <c r="E58" s="147">
        <f t="shared" si="59"/>
        <v>-0.8941194298</v>
      </c>
      <c r="F58" s="147">
        <f t="shared" si="59"/>
        <v>-0.702387796</v>
      </c>
      <c r="G58" s="147">
        <f t="shared" si="59"/>
        <v>-0.4229182143</v>
      </c>
      <c r="H58" s="121">
        <v>246500.0</v>
      </c>
      <c r="I58" s="121">
        <v>41600.0</v>
      </c>
      <c r="J58" s="121">
        <v>3332000.0</v>
      </c>
      <c r="K58" s="121">
        <v>476000.0</v>
      </c>
      <c r="L58" s="148">
        <f>VLOOKUP(A58,'תפוקה מצטברת מול אשתקד'!A:K,8,0)</f>
        <v>75128.76</v>
      </c>
      <c r="M58" s="149">
        <f>VLOOKUP(A58,'תפוקה מצטברת מול אשתקד'!A:K,9,0)</f>
        <v>4404.631722</v>
      </c>
      <c r="N58" s="149">
        <f>VLOOKUP(A58,'תפוקה מצטברת מול אשתקד'!A:K,10,0)</f>
        <v>991643.8638</v>
      </c>
      <c r="O58" s="149">
        <f>VLOOKUP(A58,'תפוקה מצטברת מול אשתקד'!A:K,11,0)</f>
        <v>274690.93</v>
      </c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5.75" customHeight="1">
      <c r="A59" s="98" t="s">
        <v>112</v>
      </c>
      <c r="B59" s="98" t="s">
        <v>26</v>
      </c>
      <c r="C59" s="125" t="s">
        <v>80</v>
      </c>
      <c r="D59" s="147">
        <f t="shared" ref="D59:G59" si="60">IF(L59=0,0%,IF(H59=0,100%,L59/H59-1))</f>
        <v>1</v>
      </c>
      <c r="E59" s="147">
        <f t="shared" si="60"/>
        <v>0</v>
      </c>
      <c r="F59" s="147">
        <f t="shared" si="60"/>
        <v>1</v>
      </c>
      <c r="G59" s="147">
        <f t="shared" si="60"/>
        <v>0</v>
      </c>
      <c r="H59" s="121">
        <v>0.0</v>
      </c>
      <c r="I59" s="121">
        <v>20800.0</v>
      </c>
      <c r="J59" s="121">
        <v>0.0</v>
      </c>
      <c r="K59" s="121">
        <v>0.0</v>
      </c>
      <c r="L59" s="148">
        <f>VLOOKUP(A59,'תפוקה מצטברת מול אשתקד'!A:K,8,0)</f>
        <v>17462.3</v>
      </c>
      <c r="M59" s="149">
        <f>VLOOKUP(A59,'תפוקה מצטברת מול אשתקד'!A:K,9,0)</f>
        <v>0</v>
      </c>
      <c r="N59" s="149">
        <f>VLOOKUP(A59,'תפוקה מצטברת מול אשתקד'!A:K,10,0)</f>
        <v>582.76</v>
      </c>
      <c r="O59" s="149">
        <f>VLOOKUP(A59,'תפוקה מצטברת מול אשתקד'!A:K,11,0)</f>
        <v>0</v>
      </c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5.75" customHeight="1">
      <c r="A60" s="125" t="s">
        <v>55</v>
      </c>
      <c r="B60" s="125" t="s">
        <v>26</v>
      </c>
      <c r="C60" s="125" t="s">
        <v>80</v>
      </c>
      <c r="D60" s="147">
        <f t="shared" ref="D60:G60" si="61">IF(L60=0,0%,IF(H60=0,100%,L60/H60-1))</f>
        <v>-0.04422983773</v>
      </c>
      <c r="E60" s="147">
        <f t="shared" si="61"/>
        <v>-0.7198681731</v>
      </c>
      <c r="F60" s="147">
        <f t="shared" si="61"/>
        <v>2.000726126</v>
      </c>
      <c r="G60" s="147">
        <f t="shared" si="61"/>
        <v>-0.1522508004</v>
      </c>
      <c r="H60" s="121">
        <v>493000.0</v>
      </c>
      <c r="I60" s="121">
        <v>104000.0</v>
      </c>
      <c r="J60" s="121">
        <v>1190000.0</v>
      </c>
      <c r="K60" s="121">
        <v>4760000.0</v>
      </c>
      <c r="L60" s="148">
        <f>VLOOKUP(A60,'תפוקה מצטברת מול אשתקד'!A:K,8,0)</f>
        <v>471194.69</v>
      </c>
      <c r="M60" s="149">
        <f>VLOOKUP(A60,'תפוקה מצטברת מול אשתקד'!A:K,9,0)</f>
        <v>29133.71</v>
      </c>
      <c r="N60" s="149">
        <f>VLOOKUP(A60,'תפוקה מצטברת מול אשתקד'!A:K,10,0)</f>
        <v>3570864.09</v>
      </c>
      <c r="O60" s="149">
        <f>VLOOKUP(A60,'תפוקה מצטברת מול אשתקד'!A:K,11,0)</f>
        <v>4035286.19</v>
      </c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5.75" customHeight="1">
      <c r="A61" s="98" t="s">
        <v>114</v>
      </c>
      <c r="B61" s="98" t="s">
        <v>26</v>
      </c>
      <c r="C61" s="98" t="s">
        <v>80</v>
      </c>
      <c r="D61" s="147">
        <f t="shared" ref="D61:G61" si="62">IF(L61=0,0%,IF(H61=0,100%,L61/H61-1))</f>
        <v>0.0948277112</v>
      </c>
      <c r="E61" s="147">
        <f t="shared" si="62"/>
        <v>-0.393886508</v>
      </c>
      <c r="F61" s="147">
        <f t="shared" si="62"/>
        <v>1.904248807</v>
      </c>
      <c r="G61" s="147">
        <f t="shared" si="62"/>
        <v>1.156309006</v>
      </c>
      <c r="H61" s="121">
        <v>493000.0</v>
      </c>
      <c r="I61" s="121">
        <v>52000.0</v>
      </c>
      <c r="J61" s="121">
        <v>1190000.0</v>
      </c>
      <c r="K61" s="121">
        <v>714000.0</v>
      </c>
      <c r="L61" s="148">
        <f>VLOOKUP(A61,'תפוקה מצטברת מול אשתקד'!A:K,8,0)</f>
        <v>539750.0616</v>
      </c>
      <c r="M61" s="149">
        <f>VLOOKUP(A61,'תפוקה מצטברת מול אשתקד'!A:K,9,0)</f>
        <v>31517.90158</v>
      </c>
      <c r="N61" s="149">
        <f>VLOOKUP(A61,'תפוקה מצטברת מול אשתקד'!A:K,10,0)</f>
        <v>3456056.08</v>
      </c>
      <c r="O61" s="149">
        <f>VLOOKUP(A61,'תפוקה מצטברת מול אשתקד'!A:K,11,0)</f>
        <v>1539604.63</v>
      </c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5.75" customHeight="1">
      <c r="A62" s="135" t="s">
        <v>115</v>
      </c>
      <c r="B62" s="98" t="s">
        <v>26</v>
      </c>
      <c r="C62" s="125" t="s">
        <v>80</v>
      </c>
      <c r="D62" s="147">
        <f t="shared" ref="D62:G62" si="63">IF(L62=0,0%,IF(H62=0,100%,L62/H62-1))</f>
        <v>2.700012373</v>
      </c>
      <c r="E62" s="147">
        <f t="shared" si="63"/>
        <v>-0.8367011493</v>
      </c>
      <c r="F62" s="147">
        <f t="shared" si="63"/>
        <v>-0.5478915021</v>
      </c>
      <c r="G62" s="147">
        <f t="shared" si="63"/>
        <v>0.02948536415</v>
      </c>
      <c r="H62" s="121">
        <v>49300.0</v>
      </c>
      <c r="I62" s="121">
        <v>52000.0</v>
      </c>
      <c r="J62" s="121">
        <v>952000.0</v>
      </c>
      <c r="K62" s="121">
        <v>714000.0</v>
      </c>
      <c r="L62" s="148">
        <f>VLOOKUP(A62,'תפוקה מצטברת מול אשתקד'!A:K,8,0)</f>
        <v>182410.61</v>
      </c>
      <c r="M62" s="149">
        <f>VLOOKUP(A62,'תפוקה מצטברת מול אשתקד'!A:K,9,0)</f>
        <v>8491.540238</v>
      </c>
      <c r="N62" s="149">
        <f>VLOOKUP(A62,'תפוקה מצטברת מול אשתקד'!A:K,10,0)</f>
        <v>430407.29</v>
      </c>
      <c r="O62" s="149">
        <f>VLOOKUP(A62,'תפוקה מצטברת מול אשתקד'!A:K,11,0)</f>
        <v>735052.55</v>
      </c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5.75" customHeight="1">
      <c r="A63" s="136" t="s">
        <v>116</v>
      </c>
      <c r="B63" s="98" t="s">
        <v>26</v>
      </c>
      <c r="C63" s="125" t="s">
        <v>80</v>
      </c>
      <c r="D63" s="147">
        <f t="shared" ref="D63:G63" si="64">IF(L63=0,0%,IF(H63=0,100%,L63/H63-1))</f>
        <v>0</v>
      </c>
      <c r="E63" s="147">
        <f t="shared" si="64"/>
        <v>0</v>
      </c>
      <c r="F63" s="147">
        <f t="shared" si="64"/>
        <v>0</v>
      </c>
      <c r="G63" s="147">
        <f t="shared" si="64"/>
        <v>0</v>
      </c>
      <c r="H63" s="121">
        <v>493000.0</v>
      </c>
      <c r="I63" s="121">
        <v>78000.0</v>
      </c>
      <c r="J63" s="121">
        <v>2380000.0</v>
      </c>
      <c r="K63" s="121">
        <v>952000.0</v>
      </c>
      <c r="L63" s="148">
        <f>VLOOKUP(A63,'תפוקה מצטברת מול אשתקד'!A:K,8,0)</f>
        <v>0</v>
      </c>
      <c r="M63" s="149">
        <f>VLOOKUP(A63,'תפוקה מצטברת מול אשתקד'!A:K,9,0)</f>
        <v>0</v>
      </c>
      <c r="N63" s="149">
        <f>VLOOKUP(A63,'תפוקה מצטברת מול אשתקד'!A:K,10,0)</f>
        <v>0</v>
      </c>
      <c r="O63" s="149">
        <f>VLOOKUP(A63,'תפוקה מצטברת מול אשתקד'!A:K,11,0)</f>
        <v>0</v>
      </c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5.75" customHeight="1">
      <c r="A64" s="137" t="s">
        <v>117</v>
      </c>
      <c r="B64" s="98" t="s">
        <v>26</v>
      </c>
      <c r="C64" s="125" t="s">
        <v>80</v>
      </c>
      <c r="D64" s="147">
        <f t="shared" ref="D64:G64" si="65">IF(L64=0,0%,IF(H64=0,100%,L64/H64-1))</f>
        <v>1</v>
      </c>
      <c r="E64" s="147">
        <f t="shared" si="65"/>
        <v>1</v>
      </c>
      <c r="F64" s="147">
        <f t="shared" si="65"/>
        <v>1</v>
      </c>
      <c r="G64" s="147">
        <f t="shared" si="65"/>
        <v>1</v>
      </c>
      <c r="H64" s="121"/>
      <c r="I64" s="121"/>
      <c r="J64" s="121"/>
      <c r="K64" s="121"/>
      <c r="L64" s="148">
        <f>VLOOKUP(A64,'תפוקה מצטברת מול אשתקד'!A:K,8,0)</f>
        <v>124200.08</v>
      </c>
      <c r="M64" s="149">
        <f>VLOOKUP(A64,'תפוקה מצטברת מול אשתקד'!A:K,9,0)</f>
        <v>22615.3474</v>
      </c>
      <c r="N64" s="149">
        <f>VLOOKUP(A64,'תפוקה מצטברת מול אשתקד'!A:K,10,0)</f>
        <v>412058.37</v>
      </c>
      <c r="O64" s="149">
        <f>VLOOKUP(A64,'תפוקה מצטברת מול אשתקד'!A:K,11,0)</f>
        <v>439063.23</v>
      </c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5.75" customHeight="1">
      <c r="A65" s="99" t="s">
        <v>118</v>
      </c>
      <c r="B65" s="98" t="s">
        <v>26</v>
      </c>
      <c r="C65" s="125" t="s">
        <v>80</v>
      </c>
      <c r="D65" s="147">
        <f t="shared" ref="D65:G65" si="66">IF(L65=0,0%,IF(H65=0,100%,L65/H65-1))</f>
        <v>0</v>
      </c>
      <c r="E65" s="147">
        <f t="shared" si="66"/>
        <v>0</v>
      </c>
      <c r="F65" s="147">
        <f t="shared" si="66"/>
        <v>0</v>
      </c>
      <c r="G65" s="147">
        <f t="shared" si="66"/>
        <v>0</v>
      </c>
      <c r="H65" s="121">
        <v>0.0</v>
      </c>
      <c r="I65" s="121">
        <v>52000.0</v>
      </c>
      <c r="J65" s="121">
        <v>0.0</v>
      </c>
      <c r="K65" s="121">
        <v>0.0</v>
      </c>
      <c r="L65" s="148">
        <f>VLOOKUP(A65,'תפוקה מצטברת מול אשתקד'!A:K,8,0)</f>
        <v>0</v>
      </c>
      <c r="M65" s="149">
        <f>VLOOKUP(A65,'תפוקה מצטברת מול אשתקד'!A:K,9,0)</f>
        <v>0</v>
      </c>
      <c r="N65" s="149">
        <f>VLOOKUP(A65,'תפוקה מצטברת מול אשתקד'!A:K,10,0)</f>
        <v>0</v>
      </c>
      <c r="O65" s="149">
        <f>VLOOKUP(A65,'תפוקה מצטברת מול אשתקד'!A:K,11,0)</f>
        <v>0</v>
      </c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5.75" customHeight="1">
      <c r="A66" s="158" t="s">
        <v>17</v>
      </c>
      <c r="B66" s="152"/>
      <c r="C66" s="153"/>
      <c r="D66" s="159">
        <f t="shared" ref="D66:G66" si="67">IF(L66=0,0%,IF(H66=0,100%,L66/H66-1))</f>
        <v>-0.6149973141</v>
      </c>
      <c r="E66" s="159">
        <f t="shared" si="67"/>
        <v>-0.8212050808</v>
      </c>
      <c r="F66" s="159">
        <f t="shared" si="67"/>
        <v>-0.08948543535</v>
      </c>
      <c r="G66" s="159">
        <f t="shared" si="67"/>
        <v>-0.2212783634</v>
      </c>
      <c r="H66" s="160">
        <f t="shared" ref="H66:O66" si="68">SUM(H57:H65)</f>
        <v>3746800</v>
      </c>
      <c r="I66" s="160">
        <f t="shared" si="68"/>
        <v>582400</v>
      </c>
      <c r="J66" s="160">
        <f t="shared" si="68"/>
        <v>10948000</v>
      </c>
      <c r="K66" s="160">
        <f t="shared" si="68"/>
        <v>9520000</v>
      </c>
      <c r="L66" s="160">
        <f t="shared" si="68"/>
        <v>1442528.064</v>
      </c>
      <c r="M66" s="160">
        <f t="shared" si="68"/>
        <v>104130.1609</v>
      </c>
      <c r="N66" s="160">
        <f t="shared" si="68"/>
        <v>9968313.454</v>
      </c>
      <c r="O66" s="160">
        <f t="shared" si="68"/>
        <v>7413429.98</v>
      </c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5.75" customHeight="1">
      <c r="A67" s="125" t="s">
        <v>119</v>
      </c>
      <c r="B67" s="125" t="s">
        <v>25</v>
      </c>
      <c r="C67" s="125" t="s">
        <v>120</v>
      </c>
      <c r="D67" s="156">
        <f t="shared" ref="D67:G67" si="69">IF(L67=0,0%,IF(H67=0,100%,L67/H67-1))</f>
        <v>-0.314891061</v>
      </c>
      <c r="E67" s="156">
        <f t="shared" si="69"/>
        <v>-0.6443978227</v>
      </c>
      <c r="F67" s="156">
        <f t="shared" si="69"/>
        <v>-0.1318354699</v>
      </c>
      <c r="G67" s="156">
        <f t="shared" si="69"/>
        <v>0.7445071008</v>
      </c>
      <c r="H67" s="121">
        <v>493000.0</v>
      </c>
      <c r="I67" s="121">
        <v>78000.0</v>
      </c>
      <c r="J67" s="121">
        <v>4760000.0</v>
      </c>
      <c r="K67" s="121">
        <v>2380000.0</v>
      </c>
      <c r="L67" s="148">
        <f>VLOOKUP(A67,'תפוקה מצטברת מול אשתקד'!A:K,8,0)</f>
        <v>337758.7069</v>
      </c>
      <c r="M67" s="149">
        <f>VLOOKUP(A67,'תפוקה מצטברת מול אשתקד'!A:K,9,0)</f>
        <v>27736.96983</v>
      </c>
      <c r="N67" s="149">
        <f>VLOOKUP(A67,'תפוקה מצטברת מול אשתקד'!A:K,10,0)</f>
        <v>4132463.163</v>
      </c>
      <c r="O67" s="149">
        <f>VLOOKUP(A67,'תפוקה מצטברת מול אשתקד'!A:K,11,0)</f>
        <v>4151926.9</v>
      </c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5.75" customHeight="1">
      <c r="A68" s="99" t="s">
        <v>35</v>
      </c>
      <c r="B68" s="98" t="s">
        <v>23</v>
      </c>
      <c r="C68" s="98" t="s">
        <v>121</v>
      </c>
      <c r="D68" s="147">
        <f t="shared" ref="D68:G68" si="70">IF(L68=0,0%,IF(H68=0,100%,L68/H68-1))</f>
        <v>0.1623902834</v>
      </c>
      <c r="E68" s="147">
        <f t="shared" si="70"/>
        <v>0.2338552179</v>
      </c>
      <c r="F68" s="147">
        <f t="shared" si="70"/>
        <v>-0.08247934244</v>
      </c>
      <c r="G68" s="147">
        <f t="shared" si="70"/>
        <v>1.864136698</v>
      </c>
      <c r="H68" s="121">
        <v>1479000.0</v>
      </c>
      <c r="I68" s="121">
        <v>312000.0</v>
      </c>
      <c r="J68" s="121">
        <v>4760000.0</v>
      </c>
      <c r="K68" s="121">
        <v>2856000.0</v>
      </c>
      <c r="L68" s="148">
        <f>VLOOKUP(A68,'תפוקה מצטברת מול אשתקד'!A:K,8,0)</f>
        <v>1719175.229</v>
      </c>
      <c r="M68" s="149">
        <f>VLOOKUP(A68,'תפוקה מצטברת מול אשתקד'!A:K,9,0)</f>
        <v>384962.828</v>
      </c>
      <c r="N68" s="149">
        <f>VLOOKUP(A68,'תפוקה מצטברת מול אשתקד'!A:K,10,0)</f>
        <v>4367398.33</v>
      </c>
      <c r="O68" s="149">
        <f>VLOOKUP(A68,'תפוקה מצטברת מול אשתקד'!A:K,11,0)</f>
        <v>8179974.41</v>
      </c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5.75" customHeight="1">
      <c r="A69" s="98" t="s">
        <v>122</v>
      </c>
      <c r="B69" s="98" t="s">
        <v>25</v>
      </c>
      <c r="C69" s="98" t="s">
        <v>121</v>
      </c>
      <c r="D69" s="147">
        <f t="shared" ref="D69:G69" si="71">IF(L69=0,0%,IF(H69=0,100%,L69/H69-1))</f>
        <v>0</v>
      </c>
      <c r="E69" s="147">
        <f t="shared" si="71"/>
        <v>1</v>
      </c>
      <c r="F69" s="147">
        <f t="shared" si="71"/>
        <v>1</v>
      </c>
      <c r="G69" s="147">
        <f t="shared" si="71"/>
        <v>0</v>
      </c>
      <c r="H69" s="121">
        <v>0.0</v>
      </c>
      <c r="I69" s="121">
        <v>0.0</v>
      </c>
      <c r="J69" s="121">
        <v>0.0</v>
      </c>
      <c r="K69" s="121">
        <v>0.0</v>
      </c>
      <c r="L69" s="148">
        <f>VLOOKUP(A69,'תפוקה מצטברת מול אשתקד'!A:K,8,0)</f>
        <v>0</v>
      </c>
      <c r="M69" s="149">
        <f>VLOOKUP(A69,'תפוקה מצטברת מול אשתקד'!A:K,9,0)</f>
        <v>-1569.506517</v>
      </c>
      <c r="N69" s="149">
        <f>VLOOKUP(A69,'תפוקה מצטברת מול אשתקד'!A:K,10,0)</f>
        <v>10532.36</v>
      </c>
      <c r="O69" s="149">
        <f>VLOOKUP(A69,'תפוקה מצטברת מול אשתקד'!A:K,11,0)</f>
        <v>0</v>
      </c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5.75" customHeight="1">
      <c r="A70" s="98" t="s">
        <v>123</v>
      </c>
      <c r="B70" s="98" t="s">
        <v>23</v>
      </c>
      <c r="C70" s="98" t="s">
        <v>121</v>
      </c>
      <c r="D70" s="147">
        <f t="shared" ref="D70:G70" si="72">IF(L70=0,0%,IF(H70=0,100%,L70/H70-1))</f>
        <v>1</v>
      </c>
      <c r="E70" s="147">
        <f t="shared" si="72"/>
        <v>1</v>
      </c>
      <c r="F70" s="147">
        <f t="shared" si="72"/>
        <v>1</v>
      </c>
      <c r="G70" s="147">
        <f t="shared" si="72"/>
        <v>1</v>
      </c>
      <c r="H70" s="121">
        <v>0.0</v>
      </c>
      <c r="I70" s="121">
        <v>0.0</v>
      </c>
      <c r="J70" s="121">
        <v>0.0</v>
      </c>
      <c r="K70" s="121">
        <v>0.0</v>
      </c>
      <c r="L70" s="148">
        <f>VLOOKUP(A70,'תפוקה מצטברת מול אשתקד'!A:K,8,0)</f>
        <v>142420.1506</v>
      </c>
      <c r="M70" s="149">
        <f>VLOOKUP(A70,'תפוקה מצטברת מול אשתקד'!A:K,9,0)</f>
        <v>-294.1634999</v>
      </c>
      <c r="N70" s="149">
        <f>VLOOKUP(A70,'תפוקה מצטברת מול אשתקד'!A:K,10,0)</f>
        <v>44968.63</v>
      </c>
      <c r="O70" s="149">
        <f>VLOOKUP(A70,'תפוקה מצטברת מול אשתקד'!A:K,11,0)</f>
        <v>1512770.67</v>
      </c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5.75" customHeight="1">
      <c r="A71" s="98" t="s">
        <v>124</v>
      </c>
      <c r="B71" s="98" t="s">
        <v>23</v>
      </c>
      <c r="C71" s="98" t="s">
        <v>121</v>
      </c>
      <c r="D71" s="147">
        <f t="shared" ref="D71:G71" si="73">IF(L71=0,0%,IF(H71=0,100%,L71/H71-1))</f>
        <v>0</v>
      </c>
      <c r="E71" s="147">
        <f t="shared" si="73"/>
        <v>0.4467279615</v>
      </c>
      <c r="F71" s="147">
        <f t="shared" si="73"/>
        <v>0</v>
      </c>
      <c r="G71" s="147">
        <f t="shared" si="73"/>
        <v>0</v>
      </c>
      <c r="H71" s="121">
        <v>98600.0</v>
      </c>
      <c r="I71" s="121">
        <v>52000.0</v>
      </c>
      <c r="J71" s="121">
        <v>238000.0</v>
      </c>
      <c r="K71" s="121">
        <v>285600.0</v>
      </c>
      <c r="L71" s="148">
        <f>VLOOKUP(A71,'תפוקה מצטברת מול אשתקד'!A:K,8,0)</f>
        <v>0</v>
      </c>
      <c r="M71" s="149">
        <f>VLOOKUP(A71,'תפוקה מצטברת מול אשתקד'!A:K,9,0)</f>
        <v>75229.854</v>
      </c>
      <c r="N71" s="149">
        <f>VLOOKUP(A71,'תפוקה מצטברת מול אשתקד'!A:K,10,0)</f>
        <v>0</v>
      </c>
      <c r="O71" s="149">
        <f>VLOOKUP(A71,'תפוקה מצטברת מול אשתקד'!A:K,11,0)</f>
        <v>0</v>
      </c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5.75" customHeight="1">
      <c r="A72" s="98" t="s">
        <v>125</v>
      </c>
      <c r="B72" s="98" t="s">
        <v>23</v>
      </c>
      <c r="C72" s="98" t="s">
        <v>121</v>
      </c>
      <c r="D72" s="147">
        <f t="shared" ref="D72:G72" si="74">IF(L72=0,0%,IF(H72=0,100%,L72/H72-1))</f>
        <v>0.1744133029</v>
      </c>
      <c r="E72" s="147">
        <f t="shared" si="74"/>
        <v>-0.216787264</v>
      </c>
      <c r="F72" s="147">
        <f t="shared" si="74"/>
        <v>0.3449290625</v>
      </c>
      <c r="G72" s="147">
        <f t="shared" si="74"/>
        <v>0.2931003256</v>
      </c>
      <c r="H72" s="121">
        <v>493000.0</v>
      </c>
      <c r="I72" s="121">
        <v>78000.0</v>
      </c>
      <c r="J72" s="121">
        <v>3808000.0</v>
      </c>
      <c r="K72" s="121">
        <v>2856000.0</v>
      </c>
      <c r="L72" s="148">
        <f>VLOOKUP(A72,'תפוקה מצטברת מול אשתקד'!A:K,8,0)</f>
        <v>578985.7583</v>
      </c>
      <c r="M72" s="149">
        <f>VLOOKUP(A72,'תפוקה מצטברת מול אשתקד'!A:K,9,0)</f>
        <v>61090.59341</v>
      </c>
      <c r="N72" s="149">
        <f>VLOOKUP(A72,'תפוקה מצטברת מול אשתקד'!A:K,10,0)</f>
        <v>5121489.87</v>
      </c>
      <c r="O72" s="149">
        <f>VLOOKUP(A72,'תפוקה מצטברת מול אשתקד'!A:K,11,0)</f>
        <v>3693094.53</v>
      </c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5.75" customHeight="1">
      <c r="A73" s="138" t="s">
        <v>126</v>
      </c>
      <c r="B73" s="98" t="s">
        <v>23</v>
      </c>
      <c r="C73" s="98" t="s">
        <v>121</v>
      </c>
      <c r="D73" s="147">
        <f t="shared" ref="D73:G73" si="75">IF(L73=0,0%,IF(H73=0,100%,L73/H73-1))</f>
        <v>0.28563795</v>
      </c>
      <c r="E73" s="147">
        <f t="shared" si="75"/>
        <v>0.5263216701</v>
      </c>
      <c r="F73" s="147">
        <f t="shared" si="75"/>
        <v>1.101039497</v>
      </c>
      <c r="G73" s="147">
        <f t="shared" si="75"/>
        <v>4.881434209</v>
      </c>
      <c r="H73" s="121">
        <v>1479000.0</v>
      </c>
      <c r="I73" s="121">
        <v>130000.0</v>
      </c>
      <c r="J73" s="121">
        <v>9520000.0</v>
      </c>
      <c r="K73" s="121">
        <v>2856000.0</v>
      </c>
      <c r="L73" s="148">
        <f>VLOOKUP(A73,'תפוקה מצטברת מול אשתקד'!A:K,8,0)</f>
        <v>1901458.528</v>
      </c>
      <c r="M73" s="149">
        <f>VLOOKUP(A73,'תפוקה מצטברת מול אשתקד'!A:K,9,0)</f>
        <v>198421.8171</v>
      </c>
      <c r="N73" s="149">
        <f>VLOOKUP(A73,'תפוקה מצטברת מול אשתקד'!A:K,10,0)</f>
        <v>20001896.01</v>
      </c>
      <c r="O73" s="149">
        <f>VLOOKUP(A73,'תפוקה מצטברת מול אשתקד'!A:K,11,0)</f>
        <v>16797376.1</v>
      </c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5.75" customHeight="1">
      <c r="A74" s="98" t="s">
        <v>127</v>
      </c>
      <c r="B74" s="98" t="s">
        <v>23</v>
      </c>
      <c r="C74" s="98" t="s">
        <v>121</v>
      </c>
      <c r="D74" s="147">
        <f t="shared" ref="D74:G74" si="76">IF(L74=0,0%,IF(H74=0,100%,L74/H74-1))</f>
        <v>-0.6182892901</v>
      </c>
      <c r="E74" s="147">
        <f t="shared" si="76"/>
        <v>-0.703107141</v>
      </c>
      <c r="F74" s="147">
        <f t="shared" si="76"/>
        <v>0</v>
      </c>
      <c r="G74" s="147">
        <f t="shared" si="76"/>
        <v>0</v>
      </c>
      <c r="H74" s="121">
        <v>246500.0</v>
      </c>
      <c r="I74" s="121">
        <v>78000.0</v>
      </c>
      <c r="J74" s="121">
        <v>476000.0</v>
      </c>
      <c r="K74" s="121">
        <v>952000.0</v>
      </c>
      <c r="L74" s="148">
        <f>VLOOKUP(A74,'תפוקה מצטברת מול אשתקד'!A:K,8,0)</f>
        <v>94091.69</v>
      </c>
      <c r="M74" s="149">
        <f>VLOOKUP(A74,'תפוקה מצטברת מול אשתקד'!A:K,9,0)</f>
        <v>23157.643</v>
      </c>
      <c r="N74" s="149">
        <f>VLOOKUP(A74,'תפוקה מצטברת מול אשתקד'!A:K,10,0)</f>
        <v>0</v>
      </c>
      <c r="O74" s="149">
        <f>VLOOKUP(A74,'תפוקה מצטברת מול אשתקד'!A:K,11,0)</f>
        <v>0</v>
      </c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5.75" customHeight="1">
      <c r="A75" s="151" t="s">
        <v>128</v>
      </c>
      <c r="B75" s="152"/>
      <c r="C75" s="161"/>
      <c r="D75" s="162">
        <f t="shared" ref="D75:G75" si="77">IF(L75=0,0%,IF(H75=0,100%,L75/H75-1))</f>
        <v>0.1130283889</v>
      </c>
      <c r="E75" s="162">
        <f t="shared" si="77"/>
        <v>0.05595609249</v>
      </c>
      <c r="F75" s="162">
        <f t="shared" si="77"/>
        <v>0.429367132</v>
      </c>
      <c r="G75" s="162">
        <f t="shared" si="77"/>
        <v>1.81768174</v>
      </c>
      <c r="H75" s="163">
        <f t="shared" ref="H75:O75" si="78">SUM(H67:H74)</f>
        <v>4289100</v>
      </c>
      <c r="I75" s="163">
        <f t="shared" si="78"/>
        <v>728000</v>
      </c>
      <c r="J75" s="163">
        <f t="shared" si="78"/>
        <v>23562000</v>
      </c>
      <c r="K75" s="163">
        <f t="shared" si="78"/>
        <v>12185600</v>
      </c>
      <c r="L75" s="163">
        <f t="shared" si="78"/>
        <v>4773890.063</v>
      </c>
      <c r="M75" s="163">
        <f t="shared" si="78"/>
        <v>768736.0353</v>
      </c>
      <c r="N75" s="163">
        <f t="shared" si="78"/>
        <v>33678748.37</v>
      </c>
      <c r="O75" s="163">
        <f t="shared" si="78"/>
        <v>34335142.61</v>
      </c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5.75" customHeight="1">
      <c r="A76" s="151" t="s">
        <v>129</v>
      </c>
      <c r="B76" s="152"/>
      <c r="C76" s="161"/>
      <c r="D76" s="162">
        <f t="shared" ref="D76:G76" si="79">IF(L76=0,0%,IF(H76=0,100%,L76/H76-1))</f>
        <v>-0.1673850941</v>
      </c>
      <c r="E76" s="162">
        <f t="shared" si="79"/>
        <v>-0.2962682072</v>
      </c>
      <c r="F76" s="162">
        <f t="shared" si="79"/>
        <v>-0.1860940522</v>
      </c>
      <c r="G76" s="162">
        <f t="shared" si="79"/>
        <v>-0.000296949597</v>
      </c>
      <c r="H76" s="160">
        <f t="shared" ref="H76:O76" si="80">H75+H66+H56+H22+H8</f>
        <v>27139650</v>
      </c>
      <c r="I76" s="160">
        <f t="shared" si="80"/>
        <v>4825600</v>
      </c>
      <c r="J76" s="160">
        <f t="shared" si="80"/>
        <v>108052000</v>
      </c>
      <c r="K76" s="160">
        <f t="shared" si="80"/>
        <v>105148400</v>
      </c>
      <c r="L76" s="160">
        <f t="shared" si="80"/>
        <v>22596877.13</v>
      </c>
      <c r="M76" s="160">
        <f t="shared" si="80"/>
        <v>3395928.139</v>
      </c>
      <c r="N76" s="160">
        <f t="shared" si="80"/>
        <v>87944165.47</v>
      </c>
      <c r="O76" s="160">
        <f t="shared" si="80"/>
        <v>105117176.2</v>
      </c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5.75" customHeight="1">
      <c r="A77" s="164"/>
      <c r="B77" s="164"/>
      <c r="C77" s="164"/>
      <c r="D77" s="113"/>
      <c r="E77" s="113"/>
      <c r="F77" s="113"/>
      <c r="G77" s="113"/>
      <c r="H77" s="16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5.75" customHeight="1">
      <c r="A78" s="164"/>
      <c r="B78" s="164"/>
      <c r="C78" s="164"/>
      <c r="D78" s="113"/>
      <c r="E78" s="113"/>
      <c r="F78" s="113"/>
      <c r="G78" s="113"/>
      <c r="H78" s="165"/>
      <c r="I78" s="16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5.75" customHeight="1">
      <c r="A79" s="164"/>
      <c r="B79" s="164"/>
      <c r="C79" s="164"/>
      <c r="D79" s="113"/>
      <c r="E79" s="113"/>
      <c r="F79" s="113"/>
      <c r="G79" s="113"/>
      <c r="H79" s="145"/>
      <c r="I79" s="145"/>
      <c r="J79" s="165"/>
      <c r="K79" s="145"/>
      <c r="L79" s="145"/>
      <c r="M79" s="145"/>
      <c r="N79" s="16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5.75" customHeight="1">
      <c r="A80" s="164"/>
      <c r="B80" s="164"/>
      <c r="C80" s="164"/>
      <c r="D80" s="113"/>
      <c r="E80" s="113"/>
      <c r="F80" s="113"/>
      <c r="G80" s="113"/>
      <c r="H80" s="145"/>
      <c r="I80" s="145"/>
      <c r="J80" s="16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5.75" customHeight="1">
      <c r="A81" s="164"/>
      <c r="B81" s="164"/>
      <c r="C81" s="164"/>
      <c r="D81" s="113"/>
      <c r="E81" s="113"/>
      <c r="F81" s="113"/>
      <c r="G81" s="113"/>
      <c r="H81" s="145"/>
      <c r="I81" s="145"/>
      <c r="J81" s="145"/>
      <c r="L81" s="141"/>
      <c r="M81" s="141"/>
      <c r="N81" s="141"/>
      <c r="O81" s="141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5.75" customHeight="1">
      <c r="A82" s="164"/>
      <c r="B82" s="164"/>
      <c r="C82" s="164"/>
      <c r="D82" s="113"/>
      <c r="E82" s="113"/>
      <c r="F82" s="113"/>
      <c r="G82" s="113"/>
      <c r="H82" s="145"/>
      <c r="I82" s="145"/>
      <c r="J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5.75" customHeight="1">
      <c r="A83" s="164"/>
      <c r="B83" s="164"/>
      <c r="C83" s="164"/>
      <c r="D83" s="113"/>
      <c r="E83" s="113"/>
      <c r="F83" s="113"/>
      <c r="G83" s="113"/>
      <c r="H83" s="145"/>
      <c r="I83" s="145"/>
      <c r="J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5.75" customHeight="1">
      <c r="A84" s="164"/>
      <c r="B84" s="164"/>
      <c r="C84" s="164"/>
      <c r="D84" s="113"/>
      <c r="E84" s="113"/>
      <c r="F84" s="113"/>
      <c r="G84" s="113"/>
      <c r="H84" s="145"/>
      <c r="I84" s="145"/>
      <c r="J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5.75" customHeight="1">
      <c r="A85" s="164"/>
      <c r="B85" s="164"/>
      <c r="C85" s="164"/>
      <c r="D85" s="113"/>
      <c r="E85" s="113"/>
      <c r="F85" s="113"/>
      <c r="G85" s="113"/>
      <c r="H85" s="145"/>
      <c r="I85" s="145"/>
      <c r="J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5.75" customHeight="1">
      <c r="A86" s="164"/>
      <c r="B86" s="164"/>
      <c r="C86" s="164"/>
      <c r="D86" s="113"/>
      <c r="E86" s="113"/>
      <c r="F86" s="113"/>
      <c r="G86" s="113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5.75" customHeight="1">
      <c r="A87" s="164"/>
      <c r="B87" s="164"/>
      <c r="C87" s="164"/>
      <c r="D87" s="113"/>
      <c r="E87" s="113"/>
      <c r="F87" s="113"/>
      <c r="G87" s="113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5.75" customHeight="1">
      <c r="A88" s="164"/>
      <c r="B88" s="164"/>
      <c r="C88" s="164"/>
      <c r="D88" s="113"/>
      <c r="E88" s="113"/>
      <c r="F88" s="113"/>
      <c r="G88" s="113"/>
      <c r="H88" s="145"/>
      <c r="I88" s="145"/>
      <c r="J88" s="145"/>
      <c r="K88" s="145"/>
      <c r="L88" s="165"/>
      <c r="M88" s="165"/>
      <c r="N88" s="165"/>
      <c r="O88" s="16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5.75" customHeight="1">
      <c r="A89" s="164"/>
      <c r="B89" s="164"/>
      <c r="C89" s="164"/>
      <c r="D89" s="113"/>
      <c r="E89" s="113"/>
      <c r="F89" s="113"/>
      <c r="G89" s="113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5.75" customHeight="1">
      <c r="A90" s="164"/>
      <c r="B90" s="164"/>
      <c r="C90" s="164"/>
      <c r="D90" s="113"/>
      <c r="E90" s="113"/>
      <c r="F90" s="113"/>
      <c r="G90" s="113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5.75" customHeight="1">
      <c r="A91" s="164"/>
      <c r="B91" s="164"/>
      <c r="C91" s="164"/>
      <c r="D91" s="113"/>
      <c r="E91" s="113"/>
      <c r="F91" s="113"/>
      <c r="G91" s="113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5.75" customHeight="1">
      <c r="A92" s="164"/>
      <c r="B92" s="164"/>
      <c r="C92" s="164"/>
      <c r="D92" s="113"/>
      <c r="E92" s="113"/>
      <c r="F92" s="113"/>
      <c r="G92" s="113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5.75" customHeight="1">
      <c r="A93" s="164"/>
      <c r="B93" s="164"/>
      <c r="C93" s="164"/>
      <c r="D93" s="113"/>
      <c r="E93" s="113"/>
      <c r="F93" s="113"/>
      <c r="G93" s="113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5.75" customHeight="1">
      <c r="A94" s="164"/>
      <c r="B94" s="164"/>
      <c r="C94" s="164"/>
      <c r="D94" s="113"/>
      <c r="E94" s="113"/>
      <c r="F94" s="113"/>
      <c r="G94" s="113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5.75" customHeight="1">
      <c r="A95" s="164"/>
      <c r="B95" s="164"/>
      <c r="C95" s="164"/>
      <c r="D95" s="113"/>
      <c r="E95" s="113"/>
      <c r="F95" s="113"/>
      <c r="G95" s="113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5.75" customHeight="1">
      <c r="A96" s="164"/>
      <c r="B96" s="164"/>
      <c r="C96" s="164"/>
      <c r="D96" s="113"/>
      <c r="E96" s="113"/>
      <c r="F96" s="113"/>
      <c r="G96" s="113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5.75" customHeight="1">
      <c r="A97" s="164"/>
      <c r="B97" s="164"/>
      <c r="C97" s="164"/>
      <c r="D97" s="113"/>
      <c r="E97" s="113"/>
      <c r="F97" s="113"/>
      <c r="G97" s="113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5.75" customHeight="1">
      <c r="A98" s="164"/>
      <c r="B98" s="164"/>
      <c r="C98" s="164"/>
      <c r="D98" s="113"/>
      <c r="E98" s="113"/>
      <c r="F98" s="113"/>
      <c r="G98" s="113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5.75" customHeight="1">
      <c r="A99" s="164"/>
      <c r="B99" s="164"/>
      <c r="C99" s="164"/>
      <c r="D99" s="113"/>
      <c r="E99" s="113"/>
      <c r="F99" s="113"/>
      <c r="G99" s="113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5.75" customHeight="1">
      <c r="A100" s="164"/>
      <c r="B100" s="164"/>
      <c r="C100" s="164"/>
      <c r="D100" s="113"/>
      <c r="E100" s="113"/>
      <c r="F100" s="113"/>
      <c r="G100" s="113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5.75" customHeight="1">
      <c r="A101" s="164"/>
      <c r="B101" s="164"/>
      <c r="C101" s="164"/>
      <c r="D101" s="113"/>
      <c r="E101" s="113"/>
      <c r="F101" s="113"/>
      <c r="G101" s="113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5.75" customHeight="1">
      <c r="A102" s="164"/>
      <c r="B102" s="164"/>
      <c r="C102" s="164"/>
      <c r="D102" s="113"/>
      <c r="E102" s="113"/>
      <c r="F102" s="113"/>
      <c r="G102" s="113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5.75" customHeight="1">
      <c r="A103" s="164"/>
      <c r="B103" s="164"/>
      <c r="C103" s="164"/>
      <c r="D103" s="113"/>
      <c r="E103" s="113"/>
      <c r="F103" s="113"/>
      <c r="G103" s="113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5.75" customHeight="1">
      <c r="A104" s="164"/>
      <c r="B104" s="164"/>
      <c r="C104" s="164"/>
      <c r="D104" s="113"/>
      <c r="E104" s="113"/>
      <c r="F104" s="113"/>
      <c r="G104" s="113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5.75" customHeight="1">
      <c r="A105" s="164"/>
      <c r="B105" s="164"/>
      <c r="C105" s="164"/>
      <c r="D105" s="113"/>
      <c r="E105" s="113"/>
      <c r="F105" s="113"/>
      <c r="G105" s="113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5.75" customHeight="1">
      <c r="A106" s="164"/>
      <c r="B106" s="164"/>
      <c r="C106" s="164"/>
      <c r="D106" s="113"/>
      <c r="E106" s="113"/>
      <c r="F106" s="113"/>
      <c r="G106" s="113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5.75" customHeight="1">
      <c r="A107" s="164"/>
      <c r="B107" s="164"/>
      <c r="C107" s="164"/>
      <c r="D107" s="113"/>
      <c r="E107" s="113"/>
      <c r="F107" s="113"/>
      <c r="G107" s="113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5.75" customHeight="1">
      <c r="A108" s="164"/>
      <c r="B108" s="164"/>
      <c r="C108" s="164"/>
      <c r="D108" s="113"/>
      <c r="E108" s="113"/>
      <c r="F108" s="113"/>
      <c r="G108" s="113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5.75" customHeight="1">
      <c r="A109" s="164"/>
      <c r="B109" s="164"/>
      <c r="C109" s="164"/>
      <c r="D109" s="113"/>
      <c r="E109" s="113"/>
      <c r="F109" s="113"/>
      <c r="G109" s="113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5.75" customHeight="1">
      <c r="A110" s="164"/>
      <c r="B110" s="164"/>
      <c r="C110" s="164"/>
      <c r="D110" s="113"/>
      <c r="E110" s="113"/>
      <c r="F110" s="113"/>
      <c r="G110" s="113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5.75" customHeight="1">
      <c r="A111" s="164"/>
      <c r="B111" s="164"/>
      <c r="C111" s="164"/>
      <c r="D111" s="113"/>
      <c r="E111" s="113"/>
      <c r="F111" s="113"/>
      <c r="G111" s="113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5.75" customHeight="1">
      <c r="A112" s="164"/>
      <c r="B112" s="164"/>
      <c r="C112" s="164"/>
      <c r="D112" s="113"/>
      <c r="E112" s="113"/>
      <c r="F112" s="113"/>
      <c r="G112" s="113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5.75" customHeight="1">
      <c r="A113" s="164"/>
      <c r="B113" s="164"/>
      <c r="C113" s="164"/>
      <c r="D113" s="113"/>
      <c r="E113" s="113"/>
      <c r="F113" s="113"/>
      <c r="G113" s="113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5.75" customHeight="1">
      <c r="A114" s="164"/>
      <c r="B114" s="164"/>
      <c r="C114" s="164"/>
      <c r="D114" s="113"/>
      <c r="E114" s="113"/>
      <c r="F114" s="113"/>
      <c r="G114" s="113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5.75" customHeight="1">
      <c r="A115" s="164"/>
      <c r="B115" s="164"/>
      <c r="C115" s="164"/>
      <c r="D115" s="113"/>
      <c r="E115" s="113"/>
      <c r="F115" s="113"/>
      <c r="G115" s="113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5.75" customHeight="1">
      <c r="A116" s="164"/>
      <c r="B116" s="164"/>
      <c r="C116" s="164"/>
      <c r="D116" s="113"/>
      <c r="E116" s="113"/>
      <c r="F116" s="113"/>
      <c r="G116" s="113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5.75" customHeight="1">
      <c r="A117" s="164"/>
      <c r="B117" s="164"/>
      <c r="C117" s="164"/>
      <c r="D117" s="113"/>
      <c r="E117" s="113"/>
      <c r="F117" s="113"/>
      <c r="G117" s="113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5.75" customHeight="1">
      <c r="A118" s="164"/>
      <c r="B118" s="164"/>
      <c r="C118" s="164"/>
      <c r="D118" s="113"/>
      <c r="E118" s="113"/>
      <c r="F118" s="113"/>
      <c r="G118" s="113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5.75" customHeight="1">
      <c r="A119" s="164"/>
      <c r="B119" s="164"/>
      <c r="C119" s="164"/>
      <c r="D119" s="113"/>
      <c r="E119" s="113"/>
      <c r="F119" s="113"/>
      <c r="G119" s="113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5.75" customHeight="1">
      <c r="A120" s="164"/>
      <c r="B120" s="164"/>
      <c r="C120" s="164"/>
      <c r="D120" s="113"/>
      <c r="E120" s="113"/>
      <c r="F120" s="113"/>
      <c r="G120" s="113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5.75" customHeight="1">
      <c r="A121" s="164"/>
      <c r="B121" s="164"/>
      <c r="C121" s="164"/>
      <c r="D121" s="113"/>
      <c r="E121" s="113"/>
      <c r="F121" s="113"/>
      <c r="G121" s="113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5.75" customHeight="1">
      <c r="A122" s="164"/>
      <c r="B122" s="164"/>
      <c r="C122" s="164"/>
      <c r="D122" s="113"/>
      <c r="E122" s="113"/>
      <c r="F122" s="113"/>
      <c r="G122" s="113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5.75" customHeight="1">
      <c r="A123" s="164"/>
      <c r="B123" s="164"/>
      <c r="C123" s="164"/>
      <c r="D123" s="113"/>
      <c r="E123" s="113"/>
      <c r="F123" s="113"/>
      <c r="G123" s="113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5.75" customHeight="1">
      <c r="A124" s="164"/>
      <c r="B124" s="164"/>
      <c r="C124" s="164"/>
      <c r="D124" s="113"/>
      <c r="E124" s="113"/>
      <c r="F124" s="113"/>
      <c r="G124" s="113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5.75" customHeight="1">
      <c r="A125" s="164"/>
      <c r="B125" s="164"/>
      <c r="C125" s="164"/>
      <c r="D125" s="113"/>
      <c r="E125" s="113"/>
      <c r="F125" s="113"/>
      <c r="G125" s="113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5.75" customHeight="1">
      <c r="A126" s="164"/>
      <c r="B126" s="164"/>
      <c r="C126" s="164"/>
      <c r="D126" s="113"/>
      <c r="E126" s="113"/>
      <c r="F126" s="113"/>
      <c r="G126" s="113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5.75" customHeight="1">
      <c r="A127" s="164"/>
      <c r="B127" s="164"/>
      <c r="C127" s="164"/>
      <c r="D127" s="113"/>
      <c r="E127" s="113"/>
      <c r="F127" s="113"/>
      <c r="G127" s="113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5.75" customHeight="1">
      <c r="A128" s="164"/>
      <c r="B128" s="164"/>
      <c r="C128" s="164"/>
      <c r="D128" s="113"/>
      <c r="E128" s="113"/>
      <c r="F128" s="113"/>
      <c r="G128" s="113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5.75" customHeight="1">
      <c r="A129" s="164"/>
      <c r="B129" s="164"/>
      <c r="C129" s="164"/>
      <c r="D129" s="113"/>
      <c r="E129" s="113"/>
      <c r="F129" s="113"/>
      <c r="G129" s="113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5.75" customHeight="1">
      <c r="A130" s="164"/>
      <c r="B130" s="164"/>
      <c r="C130" s="164"/>
      <c r="D130" s="113"/>
      <c r="E130" s="113"/>
      <c r="F130" s="113"/>
      <c r="G130" s="113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5.75" customHeight="1">
      <c r="A131" s="164"/>
      <c r="B131" s="164"/>
      <c r="C131" s="164"/>
      <c r="D131" s="113"/>
      <c r="E131" s="113"/>
      <c r="F131" s="113"/>
      <c r="G131" s="113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5.75" customHeight="1">
      <c r="A132" s="164"/>
      <c r="B132" s="164"/>
      <c r="C132" s="164"/>
      <c r="D132" s="113"/>
      <c r="E132" s="113"/>
      <c r="F132" s="113"/>
      <c r="G132" s="113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5.75" customHeight="1">
      <c r="A133" s="164"/>
      <c r="B133" s="164"/>
      <c r="C133" s="164"/>
      <c r="D133" s="113"/>
      <c r="E133" s="113"/>
      <c r="F133" s="113"/>
      <c r="G133" s="113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5.75" customHeight="1">
      <c r="A134" s="164"/>
      <c r="B134" s="164"/>
      <c r="C134" s="164"/>
      <c r="D134" s="113"/>
      <c r="E134" s="113"/>
      <c r="F134" s="113"/>
      <c r="G134" s="113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5.75" customHeight="1">
      <c r="A135" s="164"/>
      <c r="B135" s="164"/>
      <c r="C135" s="164"/>
      <c r="D135" s="113"/>
      <c r="E135" s="113"/>
      <c r="F135" s="113"/>
      <c r="G135" s="113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5.75" customHeight="1">
      <c r="A136" s="164"/>
      <c r="B136" s="164"/>
      <c r="C136" s="164"/>
      <c r="D136" s="113"/>
      <c r="E136" s="113"/>
      <c r="F136" s="113"/>
      <c r="G136" s="113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5.75" customHeight="1">
      <c r="A137" s="164"/>
      <c r="B137" s="164"/>
      <c r="C137" s="164"/>
      <c r="D137" s="113"/>
      <c r="E137" s="113"/>
      <c r="F137" s="113"/>
      <c r="G137" s="113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5.75" customHeight="1">
      <c r="A138" s="164"/>
      <c r="B138" s="164"/>
      <c r="C138" s="164"/>
      <c r="D138" s="113"/>
      <c r="E138" s="113"/>
      <c r="F138" s="113"/>
      <c r="G138" s="113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5.75" customHeight="1">
      <c r="A139" s="164"/>
      <c r="B139" s="164"/>
      <c r="C139" s="164"/>
      <c r="D139" s="113"/>
      <c r="E139" s="113"/>
      <c r="F139" s="113"/>
      <c r="G139" s="113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5.75" customHeight="1">
      <c r="A140" s="164"/>
      <c r="B140" s="164"/>
      <c r="C140" s="164"/>
      <c r="D140" s="113"/>
      <c r="E140" s="113"/>
      <c r="F140" s="113"/>
      <c r="G140" s="113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5.75" customHeight="1">
      <c r="A141" s="164"/>
      <c r="B141" s="164"/>
      <c r="C141" s="164"/>
      <c r="D141" s="113"/>
      <c r="E141" s="113"/>
      <c r="F141" s="113"/>
      <c r="G141" s="113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5.75" customHeight="1">
      <c r="A142" s="164"/>
      <c r="B142" s="164"/>
      <c r="C142" s="164"/>
      <c r="D142" s="113"/>
      <c r="E142" s="113"/>
      <c r="F142" s="113"/>
      <c r="G142" s="113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5.75" customHeight="1">
      <c r="A143" s="164"/>
      <c r="B143" s="164"/>
      <c r="C143" s="164"/>
      <c r="D143" s="113"/>
      <c r="E143" s="113"/>
      <c r="F143" s="113"/>
      <c r="G143" s="113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5.75" customHeight="1">
      <c r="A144" s="164"/>
      <c r="B144" s="164"/>
      <c r="C144" s="164"/>
      <c r="D144" s="113"/>
      <c r="E144" s="113"/>
      <c r="F144" s="113"/>
      <c r="G144" s="113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5.75" customHeight="1">
      <c r="A145" s="164"/>
      <c r="B145" s="164"/>
      <c r="C145" s="164"/>
      <c r="D145" s="113"/>
      <c r="E145" s="113"/>
      <c r="F145" s="113"/>
      <c r="G145" s="113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5.75" customHeight="1">
      <c r="A146" s="164"/>
      <c r="B146" s="164"/>
      <c r="C146" s="164"/>
      <c r="D146" s="113"/>
      <c r="E146" s="113"/>
      <c r="F146" s="113"/>
      <c r="G146" s="113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5.75" customHeight="1">
      <c r="A147" s="164"/>
      <c r="B147" s="164"/>
      <c r="C147" s="164"/>
      <c r="D147" s="113"/>
      <c r="E147" s="113"/>
      <c r="F147" s="113"/>
      <c r="G147" s="113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5.75" customHeight="1">
      <c r="A148" s="164"/>
      <c r="B148" s="164"/>
      <c r="C148" s="164"/>
      <c r="D148" s="113"/>
      <c r="E148" s="113"/>
      <c r="F148" s="113"/>
      <c r="G148" s="113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5.75" customHeight="1">
      <c r="A149" s="164"/>
      <c r="B149" s="164"/>
      <c r="C149" s="164"/>
      <c r="D149" s="113"/>
      <c r="E149" s="113"/>
      <c r="F149" s="113"/>
      <c r="G149" s="113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5.75" customHeight="1">
      <c r="A150" s="164"/>
      <c r="B150" s="164"/>
      <c r="C150" s="164"/>
      <c r="D150" s="113"/>
      <c r="E150" s="113"/>
      <c r="F150" s="113"/>
      <c r="G150" s="113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5.75" customHeight="1">
      <c r="A151" s="164"/>
      <c r="B151" s="164"/>
      <c r="C151" s="164"/>
      <c r="D151" s="113"/>
      <c r="E151" s="113"/>
      <c r="F151" s="113"/>
      <c r="G151" s="113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5.75" customHeight="1">
      <c r="A152" s="164"/>
      <c r="B152" s="164"/>
      <c r="C152" s="164"/>
      <c r="D152" s="113"/>
      <c r="E152" s="113"/>
      <c r="F152" s="113"/>
      <c r="G152" s="113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5.75" customHeight="1">
      <c r="A153" s="164"/>
      <c r="B153" s="164"/>
      <c r="C153" s="164"/>
      <c r="D153" s="113"/>
      <c r="E153" s="113"/>
      <c r="F153" s="113"/>
      <c r="G153" s="113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5.75" customHeight="1">
      <c r="A154" s="164"/>
      <c r="B154" s="164"/>
      <c r="C154" s="164"/>
      <c r="D154" s="113"/>
      <c r="E154" s="113"/>
      <c r="F154" s="113"/>
      <c r="G154" s="113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5.75" customHeight="1">
      <c r="A155" s="164"/>
      <c r="B155" s="164"/>
      <c r="C155" s="164"/>
      <c r="D155" s="113"/>
      <c r="E155" s="113"/>
      <c r="F155" s="113"/>
      <c r="G155" s="113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5.75" customHeight="1">
      <c r="A156" s="164"/>
      <c r="B156" s="164"/>
      <c r="C156" s="164"/>
      <c r="D156" s="113"/>
      <c r="E156" s="113"/>
      <c r="F156" s="113"/>
      <c r="G156" s="113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5.75" customHeight="1">
      <c r="A157" s="164"/>
      <c r="B157" s="164"/>
      <c r="C157" s="164"/>
      <c r="D157" s="113"/>
      <c r="E157" s="113"/>
      <c r="F157" s="113"/>
      <c r="G157" s="113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5.75" customHeight="1">
      <c r="A158" s="164"/>
      <c r="B158" s="164"/>
      <c r="C158" s="164"/>
      <c r="D158" s="113"/>
      <c r="E158" s="113"/>
      <c r="F158" s="113"/>
      <c r="G158" s="113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5.75" customHeight="1">
      <c r="A159" s="164"/>
      <c r="B159" s="164"/>
      <c r="C159" s="164"/>
      <c r="D159" s="113"/>
      <c r="E159" s="113"/>
      <c r="F159" s="113"/>
      <c r="G159" s="113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5.75" customHeight="1">
      <c r="A160" s="164"/>
      <c r="B160" s="164"/>
      <c r="C160" s="164"/>
      <c r="D160" s="113"/>
      <c r="E160" s="113"/>
      <c r="F160" s="113"/>
      <c r="G160" s="113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5.75" customHeight="1">
      <c r="A161" s="164"/>
      <c r="B161" s="164"/>
      <c r="C161" s="164"/>
      <c r="D161" s="113"/>
      <c r="E161" s="113"/>
      <c r="F161" s="113"/>
      <c r="G161" s="113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5.75" customHeight="1">
      <c r="A162" s="164"/>
      <c r="B162" s="164"/>
      <c r="C162" s="164"/>
      <c r="D162" s="113"/>
      <c r="E162" s="113"/>
      <c r="F162" s="113"/>
      <c r="G162" s="113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5.75" customHeight="1">
      <c r="A163" s="164"/>
      <c r="B163" s="164"/>
      <c r="C163" s="164"/>
      <c r="D163" s="113"/>
      <c r="E163" s="113"/>
      <c r="F163" s="113"/>
      <c r="G163" s="113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5.75" customHeight="1">
      <c r="A164" s="164"/>
      <c r="B164" s="164"/>
      <c r="C164" s="164"/>
      <c r="D164" s="113"/>
      <c r="E164" s="113"/>
      <c r="F164" s="113"/>
      <c r="G164" s="113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5.75" customHeight="1">
      <c r="A165" s="164"/>
      <c r="B165" s="164"/>
      <c r="C165" s="164"/>
      <c r="D165" s="113"/>
      <c r="E165" s="113"/>
      <c r="F165" s="113"/>
      <c r="G165" s="113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5.75" customHeight="1">
      <c r="A166" s="164"/>
      <c r="B166" s="164"/>
      <c r="C166" s="164"/>
      <c r="D166" s="113"/>
      <c r="E166" s="113"/>
      <c r="F166" s="113"/>
      <c r="G166" s="113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5.75" customHeight="1">
      <c r="A167" s="164"/>
      <c r="B167" s="164"/>
      <c r="C167" s="164"/>
      <c r="D167" s="113"/>
      <c r="E167" s="113"/>
      <c r="F167" s="113"/>
      <c r="G167" s="113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5.75" customHeight="1">
      <c r="A168" s="164"/>
      <c r="B168" s="164"/>
      <c r="C168" s="164"/>
      <c r="D168" s="113"/>
      <c r="E168" s="113"/>
      <c r="F168" s="113"/>
      <c r="G168" s="113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5.75" customHeight="1">
      <c r="A169" s="164"/>
      <c r="B169" s="164"/>
      <c r="C169" s="164"/>
      <c r="D169" s="113"/>
      <c r="E169" s="113"/>
      <c r="F169" s="113"/>
      <c r="G169" s="113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5.75" customHeight="1">
      <c r="A170" s="164"/>
      <c r="B170" s="164"/>
      <c r="C170" s="164"/>
      <c r="D170" s="113"/>
      <c r="E170" s="113"/>
      <c r="F170" s="113"/>
      <c r="G170" s="113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5.75" customHeight="1">
      <c r="A171" s="164"/>
      <c r="B171" s="164"/>
      <c r="C171" s="164"/>
      <c r="D171" s="113"/>
      <c r="E171" s="113"/>
      <c r="F171" s="113"/>
      <c r="G171" s="113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5.75" customHeight="1">
      <c r="A172" s="164"/>
      <c r="B172" s="164"/>
      <c r="C172" s="164"/>
      <c r="D172" s="113"/>
      <c r="E172" s="113"/>
      <c r="F172" s="113"/>
      <c r="G172" s="113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5.75" customHeight="1">
      <c r="A173" s="164"/>
      <c r="B173" s="164"/>
      <c r="C173" s="164"/>
      <c r="D173" s="113"/>
      <c r="E173" s="113"/>
      <c r="F173" s="113"/>
      <c r="G173" s="113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5.75" customHeight="1">
      <c r="A174" s="164"/>
      <c r="B174" s="164"/>
      <c r="C174" s="164"/>
      <c r="D174" s="113"/>
      <c r="E174" s="113"/>
      <c r="F174" s="113"/>
      <c r="G174" s="113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5.75" customHeight="1">
      <c r="A175" s="164"/>
      <c r="B175" s="164"/>
      <c r="C175" s="164"/>
      <c r="D175" s="113"/>
      <c r="E175" s="113"/>
      <c r="F175" s="113"/>
      <c r="G175" s="113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5.75" customHeight="1">
      <c r="A176" s="164"/>
      <c r="B176" s="164"/>
      <c r="C176" s="164"/>
      <c r="D176" s="113"/>
      <c r="E176" s="113"/>
      <c r="F176" s="113"/>
      <c r="G176" s="113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5.75" customHeight="1">
      <c r="A177" s="164"/>
      <c r="B177" s="164"/>
      <c r="C177" s="164"/>
      <c r="D177" s="113"/>
      <c r="E177" s="113"/>
      <c r="F177" s="113"/>
      <c r="G177" s="113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5.75" customHeight="1">
      <c r="A178" s="164"/>
      <c r="B178" s="164"/>
      <c r="C178" s="164"/>
      <c r="D178" s="113"/>
      <c r="E178" s="113"/>
      <c r="F178" s="113"/>
      <c r="G178" s="113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5.75" customHeight="1">
      <c r="A179" s="164"/>
      <c r="B179" s="164"/>
      <c r="C179" s="164"/>
      <c r="D179" s="113"/>
      <c r="E179" s="113"/>
      <c r="F179" s="113"/>
      <c r="G179" s="113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5.75" customHeight="1">
      <c r="A180" s="164"/>
      <c r="B180" s="164"/>
      <c r="C180" s="164"/>
      <c r="D180" s="113"/>
      <c r="E180" s="113"/>
      <c r="F180" s="113"/>
      <c r="G180" s="113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5.75" customHeight="1">
      <c r="A181" s="164"/>
      <c r="B181" s="164"/>
      <c r="C181" s="164"/>
      <c r="D181" s="113"/>
      <c r="E181" s="113"/>
      <c r="F181" s="113"/>
      <c r="G181" s="113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5.75" customHeight="1">
      <c r="A182" s="164"/>
      <c r="B182" s="164"/>
      <c r="C182" s="164"/>
      <c r="D182" s="113"/>
      <c r="E182" s="113"/>
      <c r="F182" s="113"/>
      <c r="G182" s="113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5.75" customHeight="1">
      <c r="A183" s="164"/>
      <c r="B183" s="164"/>
      <c r="C183" s="164"/>
      <c r="D183" s="113"/>
      <c r="E183" s="113"/>
      <c r="F183" s="113"/>
      <c r="G183" s="113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5.75" customHeight="1">
      <c r="A184" s="164"/>
      <c r="B184" s="164"/>
      <c r="C184" s="164"/>
      <c r="D184" s="113"/>
      <c r="E184" s="113"/>
      <c r="F184" s="113"/>
      <c r="G184" s="113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5.75" customHeight="1">
      <c r="A185" s="164"/>
      <c r="B185" s="164"/>
      <c r="C185" s="164"/>
      <c r="D185" s="113"/>
      <c r="E185" s="113"/>
      <c r="F185" s="113"/>
      <c r="G185" s="113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5.75" customHeight="1">
      <c r="A186" s="164"/>
      <c r="B186" s="164"/>
      <c r="C186" s="164"/>
      <c r="D186" s="113"/>
      <c r="E186" s="113"/>
      <c r="F186" s="113"/>
      <c r="G186" s="113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5.75" customHeight="1">
      <c r="A187" s="164"/>
      <c r="B187" s="164"/>
      <c r="C187" s="164"/>
      <c r="D187" s="113"/>
      <c r="E187" s="113"/>
      <c r="F187" s="113"/>
      <c r="G187" s="113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5.75" customHeight="1">
      <c r="A188" s="164"/>
      <c r="B188" s="164"/>
      <c r="C188" s="164"/>
      <c r="D188" s="113"/>
      <c r="E188" s="113"/>
      <c r="F188" s="113"/>
      <c r="G188" s="113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5.75" customHeight="1">
      <c r="A189" s="164"/>
      <c r="B189" s="164"/>
      <c r="C189" s="164"/>
      <c r="D189" s="113"/>
      <c r="E189" s="113"/>
      <c r="F189" s="113"/>
      <c r="G189" s="113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5.75" customHeight="1">
      <c r="A190" s="164"/>
      <c r="B190" s="164"/>
      <c r="C190" s="164"/>
      <c r="D190" s="113"/>
      <c r="E190" s="113"/>
      <c r="F190" s="113"/>
      <c r="G190" s="113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5.75" customHeight="1">
      <c r="A191" s="164"/>
      <c r="B191" s="164"/>
      <c r="C191" s="164"/>
      <c r="D191" s="113"/>
      <c r="E191" s="113"/>
      <c r="F191" s="113"/>
      <c r="G191" s="113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5.75" customHeight="1">
      <c r="A192" s="164"/>
      <c r="B192" s="164"/>
      <c r="C192" s="164"/>
      <c r="D192" s="113"/>
      <c r="E192" s="113"/>
      <c r="F192" s="113"/>
      <c r="G192" s="113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5.75" customHeight="1">
      <c r="A193" s="164"/>
      <c r="B193" s="164"/>
      <c r="C193" s="164"/>
      <c r="D193" s="113"/>
      <c r="E193" s="113"/>
      <c r="F193" s="113"/>
      <c r="G193" s="113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5.75" customHeight="1">
      <c r="A194" s="164"/>
      <c r="B194" s="164"/>
      <c r="C194" s="164"/>
      <c r="D194" s="113"/>
      <c r="E194" s="113"/>
      <c r="F194" s="113"/>
      <c r="G194" s="113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5.75" customHeight="1">
      <c r="A195" s="164"/>
      <c r="B195" s="164"/>
      <c r="C195" s="164"/>
      <c r="D195" s="113"/>
      <c r="E195" s="113"/>
      <c r="F195" s="113"/>
      <c r="G195" s="113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5.75" customHeight="1">
      <c r="A196" s="164"/>
      <c r="B196" s="164"/>
      <c r="C196" s="164"/>
      <c r="D196" s="113"/>
      <c r="E196" s="113"/>
      <c r="F196" s="113"/>
      <c r="G196" s="113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5.75" customHeight="1">
      <c r="A197" s="164"/>
      <c r="B197" s="164"/>
      <c r="C197" s="164"/>
      <c r="D197" s="113"/>
      <c r="E197" s="113"/>
      <c r="F197" s="113"/>
      <c r="G197" s="113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5.75" customHeight="1">
      <c r="A198" s="164"/>
      <c r="B198" s="164"/>
      <c r="C198" s="164"/>
      <c r="D198" s="113"/>
      <c r="E198" s="113"/>
      <c r="F198" s="113"/>
      <c r="G198" s="113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5.75" customHeight="1">
      <c r="A199" s="164"/>
      <c r="B199" s="164"/>
      <c r="C199" s="164"/>
      <c r="D199" s="113"/>
      <c r="E199" s="113"/>
      <c r="F199" s="113"/>
      <c r="G199" s="113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5.75" customHeight="1">
      <c r="A200" s="164"/>
      <c r="B200" s="164"/>
      <c r="C200" s="164"/>
      <c r="D200" s="113"/>
      <c r="E200" s="113"/>
      <c r="F200" s="113"/>
      <c r="G200" s="113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5.75" customHeight="1">
      <c r="A201" s="164"/>
      <c r="B201" s="164"/>
      <c r="C201" s="164"/>
      <c r="D201" s="113"/>
      <c r="E201" s="113"/>
      <c r="F201" s="113"/>
      <c r="G201" s="113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5.75" customHeight="1">
      <c r="A202" s="164"/>
      <c r="B202" s="164"/>
      <c r="C202" s="164"/>
      <c r="D202" s="113"/>
      <c r="E202" s="113"/>
      <c r="F202" s="113"/>
      <c r="G202" s="113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5.75" customHeight="1">
      <c r="A203" s="164"/>
      <c r="B203" s="164"/>
      <c r="C203" s="164"/>
      <c r="D203" s="113"/>
      <c r="E203" s="113"/>
      <c r="F203" s="113"/>
      <c r="G203" s="113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5.75" customHeight="1">
      <c r="A204" s="164"/>
      <c r="B204" s="164"/>
      <c r="C204" s="164"/>
      <c r="D204" s="113"/>
      <c r="E204" s="113"/>
      <c r="F204" s="113"/>
      <c r="G204" s="113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5.75" customHeight="1">
      <c r="A205" s="164"/>
      <c r="B205" s="164"/>
      <c r="C205" s="164"/>
      <c r="D205" s="113"/>
      <c r="E205" s="113"/>
      <c r="F205" s="113"/>
      <c r="G205" s="113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5.75" customHeight="1">
      <c r="A206" s="164"/>
      <c r="B206" s="164"/>
      <c r="C206" s="164"/>
      <c r="D206" s="113"/>
      <c r="E206" s="113"/>
      <c r="F206" s="113"/>
      <c r="G206" s="113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5.75" customHeight="1">
      <c r="A207" s="164"/>
      <c r="B207" s="164"/>
      <c r="C207" s="164"/>
      <c r="D207" s="113"/>
      <c r="E207" s="113"/>
      <c r="F207" s="113"/>
      <c r="G207" s="113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5.75" customHeight="1">
      <c r="A208" s="164"/>
      <c r="B208" s="164"/>
      <c r="C208" s="164"/>
      <c r="D208" s="113"/>
      <c r="E208" s="113"/>
      <c r="F208" s="113"/>
      <c r="G208" s="113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5.75" customHeight="1">
      <c r="A209" s="164"/>
      <c r="B209" s="164"/>
      <c r="C209" s="164"/>
      <c r="D209" s="113"/>
      <c r="E209" s="113"/>
      <c r="F209" s="113"/>
      <c r="G209" s="113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5.75" customHeight="1">
      <c r="A210" s="164"/>
      <c r="B210" s="164"/>
      <c r="C210" s="164"/>
      <c r="D210" s="113"/>
      <c r="E210" s="113"/>
      <c r="F210" s="113"/>
      <c r="G210" s="113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5.75" customHeight="1">
      <c r="A211" s="164"/>
      <c r="B211" s="164"/>
      <c r="C211" s="164"/>
      <c r="D211" s="113"/>
      <c r="E211" s="113"/>
      <c r="F211" s="113"/>
      <c r="G211" s="113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5.75" customHeight="1">
      <c r="A212" s="164"/>
      <c r="B212" s="164"/>
      <c r="C212" s="164"/>
      <c r="D212" s="113"/>
      <c r="E212" s="113"/>
      <c r="F212" s="113"/>
      <c r="G212" s="113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5.75" customHeight="1">
      <c r="A213" s="164"/>
      <c r="B213" s="164"/>
      <c r="C213" s="164"/>
      <c r="D213" s="113"/>
      <c r="E213" s="113"/>
      <c r="F213" s="113"/>
      <c r="G213" s="113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5.75" customHeight="1">
      <c r="A214" s="164"/>
      <c r="B214" s="164"/>
      <c r="C214" s="164"/>
      <c r="D214" s="113"/>
      <c r="E214" s="113"/>
      <c r="F214" s="113"/>
      <c r="G214" s="113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5.75" customHeight="1">
      <c r="A215" s="164"/>
      <c r="B215" s="164"/>
      <c r="C215" s="164"/>
      <c r="D215" s="113"/>
      <c r="E215" s="113"/>
      <c r="F215" s="113"/>
      <c r="G215" s="113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5.75" customHeight="1">
      <c r="A216" s="164"/>
      <c r="B216" s="164"/>
      <c r="C216" s="164"/>
      <c r="D216" s="113"/>
      <c r="E216" s="113"/>
      <c r="F216" s="113"/>
      <c r="G216" s="113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5.75" customHeight="1">
      <c r="A217" s="164"/>
      <c r="B217" s="164"/>
      <c r="C217" s="164"/>
      <c r="D217" s="113"/>
      <c r="E217" s="113"/>
      <c r="F217" s="113"/>
      <c r="G217" s="113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5.75" customHeight="1">
      <c r="A218" s="164"/>
      <c r="B218" s="164"/>
      <c r="C218" s="164"/>
      <c r="D218" s="113"/>
      <c r="E218" s="113"/>
      <c r="F218" s="113"/>
      <c r="G218" s="113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5.75" customHeight="1">
      <c r="A219" s="164"/>
      <c r="B219" s="164"/>
      <c r="C219" s="164"/>
      <c r="D219" s="113"/>
      <c r="E219" s="113"/>
      <c r="F219" s="113"/>
      <c r="G219" s="113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5.75" customHeight="1">
      <c r="A220" s="164"/>
      <c r="B220" s="164"/>
      <c r="C220" s="164"/>
      <c r="D220" s="113"/>
      <c r="E220" s="113"/>
      <c r="F220" s="113"/>
      <c r="G220" s="113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5.75" customHeight="1">
      <c r="A221" s="164"/>
      <c r="B221" s="164"/>
      <c r="C221" s="164"/>
      <c r="D221" s="113"/>
      <c r="E221" s="113"/>
      <c r="F221" s="113"/>
      <c r="G221" s="113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5.75" customHeight="1">
      <c r="A222" s="164"/>
      <c r="B222" s="164"/>
      <c r="C222" s="164"/>
      <c r="D222" s="113"/>
      <c r="E222" s="113"/>
      <c r="F222" s="113"/>
      <c r="G222" s="113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5.75" customHeight="1">
      <c r="A223" s="164"/>
      <c r="B223" s="164"/>
      <c r="C223" s="164"/>
      <c r="D223" s="113"/>
      <c r="E223" s="113"/>
      <c r="F223" s="113"/>
      <c r="G223" s="113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5.75" customHeight="1">
      <c r="A224" s="164"/>
      <c r="B224" s="164"/>
      <c r="C224" s="164"/>
      <c r="D224" s="113"/>
      <c r="E224" s="113"/>
      <c r="F224" s="113"/>
      <c r="G224" s="113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5.75" customHeight="1">
      <c r="A225" s="164"/>
      <c r="B225" s="164"/>
      <c r="C225" s="164"/>
      <c r="D225" s="113"/>
      <c r="E225" s="113"/>
      <c r="F225" s="113"/>
      <c r="G225" s="113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5.75" customHeight="1">
      <c r="A226" s="164"/>
      <c r="B226" s="164"/>
      <c r="C226" s="164"/>
      <c r="D226" s="113"/>
      <c r="E226" s="113"/>
      <c r="F226" s="113"/>
      <c r="G226" s="113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5.75" customHeight="1">
      <c r="A227" s="164"/>
      <c r="B227" s="164"/>
      <c r="C227" s="164"/>
      <c r="D227" s="113"/>
      <c r="E227" s="113"/>
      <c r="F227" s="113"/>
      <c r="G227" s="113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5.75" customHeight="1">
      <c r="A228" s="164"/>
      <c r="B228" s="164"/>
      <c r="C228" s="164"/>
      <c r="D228" s="113"/>
      <c r="E228" s="113"/>
      <c r="F228" s="113"/>
      <c r="G228" s="113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5.75" customHeight="1">
      <c r="A229" s="164"/>
      <c r="B229" s="164"/>
      <c r="C229" s="164"/>
      <c r="D229" s="113"/>
      <c r="E229" s="113"/>
      <c r="F229" s="113"/>
      <c r="G229" s="113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5.75" customHeight="1">
      <c r="A230" s="164"/>
      <c r="B230" s="164"/>
      <c r="C230" s="164"/>
      <c r="D230" s="113"/>
      <c r="E230" s="113"/>
      <c r="F230" s="113"/>
      <c r="G230" s="113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64"/>
      <c r="B231" s="164"/>
      <c r="C231" s="164"/>
      <c r="D231" s="113"/>
      <c r="E231" s="113"/>
      <c r="F231" s="113"/>
      <c r="G231" s="113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5.75" customHeight="1">
      <c r="A232" s="164"/>
      <c r="B232" s="164"/>
      <c r="C232" s="164"/>
      <c r="D232" s="113"/>
      <c r="E232" s="113"/>
      <c r="F232" s="113"/>
      <c r="G232" s="113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64"/>
      <c r="B233" s="164"/>
      <c r="C233" s="164"/>
      <c r="D233" s="113"/>
      <c r="E233" s="113"/>
      <c r="F233" s="113"/>
      <c r="G233" s="113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5.75" customHeight="1">
      <c r="A234" s="164"/>
      <c r="B234" s="164"/>
      <c r="C234" s="164"/>
      <c r="D234" s="113"/>
      <c r="E234" s="113"/>
      <c r="F234" s="113"/>
      <c r="G234" s="113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64"/>
      <c r="B235" s="164"/>
      <c r="C235" s="164"/>
      <c r="D235" s="113"/>
      <c r="E235" s="113"/>
      <c r="F235" s="113"/>
      <c r="G235" s="113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5.75" customHeight="1">
      <c r="A236" s="164"/>
      <c r="B236" s="164"/>
      <c r="C236" s="164"/>
      <c r="D236" s="113"/>
      <c r="E236" s="113"/>
      <c r="F236" s="113"/>
      <c r="G236" s="113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5.75" customHeight="1">
      <c r="A237" s="164"/>
      <c r="B237" s="164"/>
      <c r="C237" s="164"/>
      <c r="D237" s="113"/>
      <c r="E237" s="113"/>
      <c r="F237" s="113"/>
      <c r="G237" s="113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5.75" customHeight="1">
      <c r="A238" s="164"/>
      <c r="B238" s="164"/>
      <c r="C238" s="164"/>
      <c r="D238" s="113"/>
      <c r="E238" s="113"/>
      <c r="F238" s="113"/>
      <c r="G238" s="113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5.75" customHeight="1">
      <c r="A239" s="164"/>
      <c r="B239" s="164"/>
      <c r="C239" s="164"/>
      <c r="D239" s="113"/>
      <c r="E239" s="113"/>
      <c r="F239" s="113"/>
      <c r="G239" s="113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5.75" customHeight="1">
      <c r="A240" s="164"/>
      <c r="B240" s="164"/>
      <c r="C240" s="164"/>
      <c r="D240" s="113"/>
      <c r="E240" s="113"/>
      <c r="F240" s="113"/>
      <c r="G240" s="113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5.75" customHeight="1">
      <c r="A241" s="164"/>
      <c r="B241" s="164"/>
      <c r="C241" s="164"/>
      <c r="D241" s="113"/>
      <c r="E241" s="113"/>
      <c r="F241" s="113"/>
      <c r="G241" s="113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5.75" customHeight="1">
      <c r="A242" s="164"/>
      <c r="B242" s="164"/>
      <c r="C242" s="164"/>
      <c r="D242" s="113"/>
      <c r="E242" s="113"/>
      <c r="F242" s="113"/>
      <c r="G242" s="113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5.75" customHeight="1">
      <c r="A243" s="164"/>
      <c r="B243" s="164"/>
      <c r="C243" s="164"/>
      <c r="D243" s="113"/>
      <c r="E243" s="113"/>
      <c r="F243" s="113"/>
      <c r="G243" s="113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5.75" customHeight="1">
      <c r="A244" s="164"/>
      <c r="B244" s="164"/>
      <c r="C244" s="164"/>
      <c r="D244" s="113"/>
      <c r="E244" s="113"/>
      <c r="F244" s="113"/>
      <c r="G244" s="113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5.75" customHeight="1">
      <c r="A245" s="164"/>
      <c r="B245" s="164"/>
      <c r="C245" s="164"/>
      <c r="D245" s="113"/>
      <c r="E245" s="113"/>
      <c r="F245" s="113"/>
      <c r="G245" s="113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5.75" customHeight="1">
      <c r="A246" s="164"/>
      <c r="B246" s="164"/>
      <c r="C246" s="164"/>
      <c r="D246" s="113"/>
      <c r="E246" s="113"/>
      <c r="F246" s="113"/>
      <c r="G246" s="113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5.75" customHeight="1">
      <c r="A247" s="164"/>
      <c r="B247" s="164"/>
      <c r="C247" s="164"/>
      <c r="D247" s="113"/>
      <c r="E247" s="113"/>
      <c r="F247" s="113"/>
      <c r="G247" s="113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5.75" customHeight="1">
      <c r="A248" s="164"/>
      <c r="B248" s="164"/>
      <c r="C248" s="164"/>
      <c r="D248" s="113"/>
      <c r="E248" s="113"/>
      <c r="F248" s="113"/>
      <c r="G248" s="113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5.75" customHeight="1">
      <c r="A249" s="164"/>
      <c r="B249" s="164"/>
      <c r="C249" s="164"/>
      <c r="D249" s="113"/>
      <c r="E249" s="113"/>
      <c r="F249" s="113"/>
      <c r="G249" s="113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5.75" customHeight="1">
      <c r="A250" s="164"/>
      <c r="B250" s="164"/>
      <c r="C250" s="164"/>
      <c r="D250" s="113"/>
      <c r="E250" s="113"/>
      <c r="F250" s="113"/>
      <c r="G250" s="113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5.75" customHeight="1">
      <c r="A251" s="164"/>
      <c r="B251" s="164"/>
      <c r="C251" s="164"/>
      <c r="D251" s="113"/>
      <c r="E251" s="113"/>
      <c r="F251" s="113"/>
      <c r="G251" s="113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5.75" customHeight="1">
      <c r="A252" s="164"/>
      <c r="B252" s="164"/>
      <c r="C252" s="164"/>
      <c r="D252" s="113"/>
      <c r="E252" s="113"/>
      <c r="F252" s="113"/>
      <c r="G252" s="113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5.75" customHeight="1">
      <c r="A253" s="164"/>
      <c r="B253" s="164"/>
      <c r="C253" s="164"/>
      <c r="D253" s="113"/>
      <c r="E253" s="113"/>
      <c r="F253" s="113"/>
      <c r="G253" s="113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5.75" customHeight="1">
      <c r="A254" s="164"/>
      <c r="B254" s="164"/>
      <c r="C254" s="164"/>
      <c r="D254" s="113"/>
      <c r="E254" s="113"/>
      <c r="F254" s="113"/>
      <c r="G254" s="113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5.75" customHeight="1">
      <c r="A255" s="164"/>
      <c r="B255" s="164"/>
      <c r="C255" s="164"/>
      <c r="D255" s="113"/>
      <c r="E255" s="113"/>
      <c r="F255" s="113"/>
      <c r="G255" s="113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5.75" customHeight="1">
      <c r="A256" s="164"/>
      <c r="B256" s="164"/>
      <c r="C256" s="164"/>
      <c r="D256" s="113"/>
      <c r="E256" s="113"/>
      <c r="F256" s="113"/>
      <c r="G256" s="113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5.75" customHeight="1">
      <c r="A257" s="164"/>
      <c r="B257" s="164"/>
      <c r="C257" s="164"/>
      <c r="D257" s="113"/>
      <c r="E257" s="113"/>
      <c r="F257" s="113"/>
      <c r="G257" s="113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5.75" customHeight="1">
      <c r="A258" s="164"/>
      <c r="B258" s="164"/>
      <c r="C258" s="164"/>
      <c r="D258" s="113"/>
      <c r="E258" s="113"/>
      <c r="F258" s="113"/>
      <c r="G258" s="113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5.75" customHeight="1">
      <c r="A259" s="164"/>
      <c r="B259" s="164"/>
      <c r="C259" s="164"/>
      <c r="D259" s="113"/>
      <c r="E259" s="113"/>
      <c r="F259" s="113"/>
      <c r="G259" s="113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5.75" customHeight="1">
      <c r="A260" s="164"/>
      <c r="B260" s="164"/>
      <c r="C260" s="164"/>
      <c r="D260" s="113"/>
      <c r="E260" s="113"/>
      <c r="F260" s="113"/>
      <c r="G260" s="113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5.75" customHeight="1">
      <c r="A261" s="164"/>
      <c r="B261" s="164"/>
      <c r="C261" s="164"/>
      <c r="D261" s="113"/>
      <c r="E261" s="113"/>
      <c r="F261" s="113"/>
      <c r="G261" s="113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5.75" customHeight="1">
      <c r="A262" s="164"/>
      <c r="B262" s="164"/>
      <c r="C262" s="164"/>
      <c r="D262" s="113"/>
      <c r="E262" s="113"/>
      <c r="F262" s="113"/>
      <c r="G262" s="113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5.75" customHeight="1">
      <c r="A263" s="164"/>
      <c r="B263" s="164"/>
      <c r="C263" s="164"/>
      <c r="D263" s="113"/>
      <c r="E263" s="113"/>
      <c r="F263" s="113"/>
      <c r="G263" s="113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5.75" customHeight="1">
      <c r="A264" s="164"/>
      <c r="B264" s="164"/>
      <c r="C264" s="164"/>
      <c r="D264" s="113"/>
      <c r="E264" s="113"/>
      <c r="F264" s="113"/>
      <c r="G264" s="113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5.75" customHeight="1">
      <c r="A265" s="164"/>
      <c r="B265" s="164"/>
      <c r="C265" s="164"/>
      <c r="D265" s="113"/>
      <c r="E265" s="113"/>
      <c r="F265" s="113"/>
      <c r="G265" s="113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5.75" customHeight="1">
      <c r="A266" s="164"/>
      <c r="B266" s="164"/>
      <c r="C266" s="164"/>
      <c r="D266" s="113"/>
      <c r="E266" s="113"/>
      <c r="F266" s="113"/>
      <c r="G266" s="113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5.75" customHeight="1">
      <c r="A267" s="164"/>
      <c r="B267" s="164"/>
      <c r="C267" s="164"/>
      <c r="D267" s="113"/>
      <c r="E267" s="113"/>
      <c r="F267" s="113"/>
      <c r="G267" s="113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5.75" customHeight="1">
      <c r="A268" s="164"/>
      <c r="B268" s="164"/>
      <c r="C268" s="164"/>
      <c r="D268" s="113"/>
      <c r="E268" s="113"/>
      <c r="F268" s="113"/>
      <c r="G268" s="113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5.75" customHeight="1">
      <c r="A269" s="164"/>
      <c r="B269" s="164"/>
      <c r="C269" s="164"/>
      <c r="D269" s="113"/>
      <c r="E269" s="113"/>
      <c r="F269" s="113"/>
      <c r="G269" s="113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5.75" customHeight="1">
      <c r="A270" s="164"/>
      <c r="B270" s="164"/>
      <c r="C270" s="164"/>
      <c r="D270" s="113"/>
      <c r="E270" s="113"/>
      <c r="F270" s="113"/>
      <c r="G270" s="113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5.75" customHeight="1">
      <c r="A271" s="164"/>
      <c r="B271" s="164"/>
      <c r="C271" s="164"/>
      <c r="D271" s="113"/>
      <c r="E271" s="113"/>
      <c r="F271" s="113"/>
      <c r="G271" s="113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5.75" customHeight="1">
      <c r="A272" s="164"/>
      <c r="B272" s="164"/>
      <c r="C272" s="164"/>
      <c r="D272" s="113"/>
      <c r="E272" s="113"/>
      <c r="F272" s="113"/>
      <c r="G272" s="113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5.75" customHeight="1">
      <c r="A273" s="164"/>
      <c r="B273" s="164"/>
      <c r="C273" s="164"/>
      <c r="D273" s="113"/>
      <c r="E273" s="113"/>
      <c r="F273" s="113"/>
      <c r="G273" s="113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5.75" customHeight="1">
      <c r="A274" s="164"/>
      <c r="B274" s="164"/>
      <c r="C274" s="164"/>
      <c r="D274" s="113"/>
      <c r="E274" s="113"/>
      <c r="F274" s="113"/>
      <c r="G274" s="113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5.75" customHeight="1">
      <c r="A275" s="164"/>
      <c r="B275" s="164"/>
      <c r="C275" s="164"/>
      <c r="D275" s="113"/>
      <c r="E275" s="113"/>
      <c r="F275" s="113"/>
      <c r="G275" s="113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5.75" customHeight="1">
      <c r="A276" s="164"/>
      <c r="B276" s="164"/>
      <c r="C276" s="164"/>
      <c r="D276" s="113"/>
      <c r="E276" s="113"/>
      <c r="F276" s="113"/>
      <c r="G276" s="113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5.75" customHeight="1">
      <c r="A277" s="164"/>
      <c r="B277" s="164"/>
      <c r="C277" s="164"/>
      <c r="D277" s="113"/>
      <c r="E277" s="113"/>
      <c r="F277" s="113"/>
      <c r="G277" s="113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5.75" customHeight="1">
      <c r="A278" s="164"/>
      <c r="B278" s="164"/>
      <c r="C278" s="164"/>
      <c r="D278" s="113"/>
      <c r="E278" s="113"/>
      <c r="F278" s="113"/>
      <c r="G278" s="113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5.75" customHeight="1">
      <c r="A279" s="164"/>
      <c r="B279" s="164"/>
      <c r="C279" s="164"/>
      <c r="D279" s="113"/>
      <c r="E279" s="113"/>
      <c r="F279" s="113"/>
      <c r="G279" s="113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5.75" customHeight="1">
      <c r="A280" s="164"/>
      <c r="B280" s="164"/>
      <c r="C280" s="164"/>
      <c r="D280" s="113"/>
      <c r="E280" s="113"/>
      <c r="F280" s="113"/>
      <c r="G280" s="113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5.75" customHeight="1">
      <c r="A281" s="164"/>
      <c r="B281" s="164"/>
      <c r="C281" s="164"/>
      <c r="D281" s="113"/>
      <c r="E281" s="113"/>
      <c r="F281" s="113"/>
      <c r="G281" s="113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5.75" customHeight="1">
      <c r="A282" s="164"/>
      <c r="B282" s="164"/>
      <c r="C282" s="164"/>
      <c r="D282" s="113"/>
      <c r="E282" s="113"/>
      <c r="F282" s="113"/>
      <c r="G282" s="113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5.75" customHeight="1">
      <c r="A283" s="164"/>
      <c r="B283" s="164"/>
      <c r="C283" s="164"/>
      <c r="D283" s="113"/>
      <c r="E283" s="113"/>
      <c r="F283" s="113"/>
      <c r="G283" s="113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5.75" customHeight="1">
      <c r="A284" s="164"/>
      <c r="B284" s="164"/>
      <c r="C284" s="164"/>
      <c r="D284" s="113"/>
      <c r="E284" s="113"/>
      <c r="F284" s="113"/>
      <c r="G284" s="113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5.75" customHeight="1">
      <c r="A285" s="164"/>
      <c r="B285" s="164"/>
      <c r="C285" s="164"/>
      <c r="D285" s="113"/>
      <c r="E285" s="113"/>
      <c r="F285" s="113"/>
      <c r="G285" s="113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5.75" customHeight="1">
      <c r="A286" s="164"/>
      <c r="B286" s="164"/>
      <c r="C286" s="164"/>
      <c r="D286" s="113"/>
      <c r="E286" s="113"/>
      <c r="F286" s="113"/>
      <c r="G286" s="113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5.75" customHeight="1">
      <c r="A287" s="164"/>
      <c r="B287" s="164"/>
      <c r="C287" s="164"/>
      <c r="D287" s="113"/>
      <c r="E287" s="113"/>
      <c r="F287" s="113"/>
      <c r="G287" s="113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5.75" customHeight="1">
      <c r="A288" s="164"/>
      <c r="B288" s="164"/>
      <c r="C288" s="164"/>
      <c r="D288" s="113"/>
      <c r="E288" s="113"/>
      <c r="F288" s="113"/>
      <c r="G288" s="113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5.75" customHeight="1">
      <c r="A289" s="164"/>
      <c r="B289" s="164"/>
      <c r="C289" s="164"/>
      <c r="D289" s="113"/>
      <c r="E289" s="113"/>
      <c r="F289" s="113"/>
      <c r="G289" s="113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5.75" customHeight="1">
      <c r="A290" s="164"/>
      <c r="B290" s="164"/>
      <c r="C290" s="164"/>
      <c r="D290" s="113"/>
      <c r="E290" s="113"/>
      <c r="F290" s="113"/>
      <c r="G290" s="113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5.75" customHeight="1">
      <c r="A291" s="164"/>
      <c r="B291" s="164"/>
      <c r="C291" s="164"/>
      <c r="D291" s="113"/>
      <c r="E291" s="113"/>
      <c r="F291" s="113"/>
      <c r="G291" s="113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5.75" customHeight="1">
      <c r="A292" s="164"/>
      <c r="B292" s="164"/>
      <c r="C292" s="164"/>
      <c r="D292" s="113"/>
      <c r="E292" s="113"/>
      <c r="F292" s="113"/>
      <c r="G292" s="113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5.75" customHeight="1">
      <c r="A293" s="164"/>
      <c r="B293" s="164"/>
      <c r="C293" s="164"/>
      <c r="D293" s="113"/>
      <c r="E293" s="113"/>
      <c r="F293" s="113"/>
      <c r="G293" s="113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5.75" customHeight="1">
      <c r="A294" s="164"/>
      <c r="B294" s="164"/>
      <c r="C294" s="164"/>
      <c r="D294" s="113"/>
      <c r="E294" s="113"/>
      <c r="F294" s="113"/>
      <c r="G294" s="113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5.75" customHeight="1">
      <c r="A295" s="164"/>
      <c r="B295" s="164"/>
      <c r="C295" s="164"/>
      <c r="D295" s="113"/>
      <c r="E295" s="113"/>
      <c r="F295" s="113"/>
      <c r="G295" s="113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5.75" customHeight="1">
      <c r="A296" s="164"/>
      <c r="B296" s="164"/>
      <c r="C296" s="164"/>
      <c r="D296" s="113"/>
      <c r="E296" s="113"/>
      <c r="F296" s="113"/>
      <c r="G296" s="113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5.75" customHeight="1">
      <c r="A297" s="164"/>
      <c r="B297" s="164"/>
      <c r="C297" s="164"/>
      <c r="D297" s="113"/>
      <c r="E297" s="113"/>
      <c r="F297" s="113"/>
      <c r="G297" s="113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5.75" customHeight="1">
      <c r="A298" s="164"/>
      <c r="B298" s="164"/>
      <c r="C298" s="164"/>
      <c r="D298" s="113"/>
      <c r="E298" s="113"/>
      <c r="F298" s="113"/>
      <c r="G298" s="113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5.75" customHeight="1">
      <c r="A299" s="164"/>
      <c r="B299" s="164"/>
      <c r="C299" s="164"/>
      <c r="D299" s="113"/>
      <c r="E299" s="113"/>
      <c r="F299" s="113"/>
      <c r="G299" s="113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5.75" customHeight="1">
      <c r="A300" s="164"/>
      <c r="B300" s="164"/>
      <c r="C300" s="164"/>
      <c r="D300" s="113"/>
      <c r="E300" s="113"/>
      <c r="F300" s="113"/>
      <c r="G300" s="113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5.75" customHeight="1">
      <c r="A301" s="164"/>
      <c r="B301" s="164"/>
      <c r="C301" s="164"/>
      <c r="D301" s="113"/>
      <c r="E301" s="113"/>
      <c r="F301" s="113"/>
      <c r="G301" s="113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5.75" customHeight="1">
      <c r="A302" s="164"/>
      <c r="B302" s="164"/>
      <c r="C302" s="164"/>
      <c r="D302" s="113"/>
      <c r="E302" s="113"/>
      <c r="F302" s="113"/>
      <c r="G302" s="113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5.75" customHeight="1">
      <c r="A303" s="164"/>
      <c r="B303" s="164"/>
      <c r="C303" s="164"/>
      <c r="D303" s="113"/>
      <c r="E303" s="113"/>
      <c r="F303" s="113"/>
      <c r="G303" s="113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5.75" customHeight="1">
      <c r="A304" s="164"/>
      <c r="B304" s="164"/>
      <c r="C304" s="164"/>
      <c r="D304" s="113"/>
      <c r="E304" s="113"/>
      <c r="F304" s="113"/>
      <c r="G304" s="113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5.75" customHeight="1">
      <c r="A305" s="164"/>
      <c r="B305" s="164"/>
      <c r="C305" s="164"/>
      <c r="D305" s="113"/>
      <c r="E305" s="113"/>
      <c r="F305" s="113"/>
      <c r="G305" s="113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5.75" customHeight="1">
      <c r="A306" s="164"/>
      <c r="B306" s="164"/>
      <c r="C306" s="164"/>
      <c r="D306" s="113"/>
      <c r="E306" s="113"/>
      <c r="F306" s="113"/>
      <c r="G306" s="113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5.75" customHeight="1">
      <c r="A307" s="164"/>
      <c r="B307" s="164"/>
      <c r="C307" s="164"/>
      <c r="D307" s="113"/>
      <c r="E307" s="113"/>
      <c r="F307" s="113"/>
      <c r="G307" s="113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5.75" customHeight="1">
      <c r="A308" s="164"/>
      <c r="B308" s="164"/>
      <c r="C308" s="164"/>
      <c r="D308" s="113"/>
      <c r="E308" s="113"/>
      <c r="F308" s="113"/>
      <c r="G308" s="113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5.75" customHeight="1">
      <c r="A309" s="164"/>
      <c r="B309" s="164"/>
      <c r="C309" s="164"/>
      <c r="D309" s="113"/>
      <c r="E309" s="113"/>
      <c r="F309" s="113"/>
      <c r="G309" s="113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5.75" customHeight="1">
      <c r="A310" s="164"/>
      <c r="B310" s="164"/>
      <c r="C310" s="164"/>
      <c r="D310" s="113"/>
      <c r="E310" s="113"/>
      <c r="F310" s="113"/>
      <c r="G310" s="113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5.75" customHeight="1">
      <c r="A311" s="164"/>
      <c r="B311" s="164"/>
      <c r="C311" s="164"/>
      <c r="D311" s="113"/>
      <c r="E311" s="113"/>
      <c r="F311" s="113"/>
      <c r="G311" s="113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5.75" customHeight="1">
      <c r="A312" s="164"/>
      <c r="B312" s="164"/>
      <c r="C312" s="164"/>
      <c r="D312" s="113"/>
      <c r="E312" s="113"/>
      <c r="F312" s="113"/>
      <c r="G312" s="113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5.75" customHeight="1">
      <c r="A313" s="164"/>
      <c r="B313" s="164"/>
      <c r="C313" s="164"/>
      <c r="D313" s="113"/>
      <c r="E313" s="113"/>
      <c r="F313" s="113"/>
      <c r="G313" s="113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5.75" customHeight="1">
      <c r="A314" s="164"/>
      <c r="B314" s="164"/>
      <c r="C314" s="164"/>
      <c r="D314" s="113"/>
      <c r="E314" s="113"/>
      <c r="F314" s="113"/>
      <c r="G314" s="113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5.75" customHeight="1">
      <c r="A315" s="164"/>
      <c r="B315" s="164"/>
      <c r="C315" s="164"/>
      <c r="D315" s="113"/>
      <c r="E315" s="113"/>
      <c r="F315" s="113"/>
      <c r="G315" s="113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5.75" customHeight="1">
      <c r="A316" s="164"/>
      <c r="B316" s="164"/>
      <c r="C316" s="164"/>
      <c r="D316" s="113"/>
      <c r="E316" s="113"/>
      <c r="F316" s="113"/>
      <c r="G316" s="113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5.75" customHeight="1">
      <c r="A317" s="164"/>
      <c r="B317" s="164"/>
      <c r="C317" s="164"/>
      <c r="D317" s="113"/>
      <c r="E317" s="113"/>
      <c r="F317" s="113"/>
      <c r="G317" s="113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5.75" customHeight="1">
      <c r="A318" s="164"/>
      <c r="B318" s="164"/>
      <c r="C318" s="164"/>
      <c r="D318" s="113"/>
      <c r="E318" s="113"/>
      <c r="F318" s="113"/>
      <c r="G318" s="113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5.75" customHeight="1">
      <c r="A319" s="164"/>
      <c r="B319" s="164"/>
      <c r="C319" s="164"/>
      <c r="D319" s="113"/>
      <c r="E319" s="113"/>
      <c r="F319" s="113"/>
      <c r="G319" s="113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5.75" customHeight="1">
      <c r="A320" s="164"/>
      <c r="B320" s="164"/>
      <c r="C320" s="164"/>
      <c r="D320" s="113"/>
      <c r="E320" s="113"/>
      <c r="F320" s="113"/>
      <c r="G320" s="113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5.75" customHeight="1">
      <c r="A321" s="164"/>
      <c r="B321" s="164"/>
      <c r="C321" s="164"/>
      <c r="D321" s="113"/>
      <c r="E321" s="113"/>
      <c r="F321" s="113"/>
      <c r="G321" s="113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5.75" customHeight="1">
      <c r="A322" s="164"/>
      <c r="B322" s="164"/>
      <c r="C322" s="164"/>
      <c r="D322" s="113"/>
      <c r="E322" s="113"/>
      <c r="F322" s="113"/>
      <c r="G322" s="113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5.75" customHeight="1">
      <c r="A323" s="164"/>
      <c r="B323" s="164"/>
      <c r="C323" s="164"/>
      <c r="D323" s="113"/>
      <c r="E323" s="113"/>
      <c r="F323" s="113"/>
      <c r="G323" s="113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5.75" customHeight="1">
      <c r="A324" s="164"/>
      <c r="B324" s="164"/>
      <c r="C324" s="164"/>
      <c r="D324" s="113"/>
      <c r="E324" s="113"/>
      <c r="F324" s="113"/>
      <c r="G324" s="113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5.75" customHeight="1">
      <c r="A325" s="164"/>
      <c r="B325" s="164"/>
      <c r="C325" s="164"/>
      <c r="D325" s="113"/>
      <c r="E325" s="113"/>
      <c r="F325" s="113"/>
      <c r="G325" s="113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5.75" customHeight="1">
      <c r="A326" s="164"/>
      <c r="B326" s="164"/>
      <c r="C326" s="164"/>
      <c r="D326" s="113"/>
      <c r="E326" s="113"/>
      <c r="F326" s="113"/>
      <c r="G326" s="113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5.75" customHeight="1">
      <c r="A327" s="164"/>
      <c r="B327" s="164"/>
      <c r="C327" s="164"/>
      <c r="D327" s="113"/>
      <c r="E327" s="113"/>
      <c r="F327" s="113"/>
      <c r="G327" s="113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5.75" customHeight="1">
      <c r="A328" s="164"/>
      <c r="B328" s="164"/>
      <c r="C328" s="164"/>
      <c r="D328" s="113"/>
      <c r="E328" s="113"/>
      <c r="F328" s="113"/>
      <c r="G328" s="113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5.75" customHeight="1">
      <c r="A329" s="164"/>
      <c r="B329" s="164"/>
      <c r="C329" s="164"/>
      <c r="D329" s="113"/>
      <c r="E329" s="113"/>
      <c r="F329" s="113"/>
      <c r="G329" s="113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5.75" customHeight="1">
      <c r="A330" s="164"/>
      <c r="B330" s="164"/>
      <c r="C330" s="164"/>
      <c r="D330" s="113"/>
      <c r="E330" s="113"/>
      <c r="F330" s="113"/>
      <c r="G330" s="113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5.75" customHeight="1">
      <c r="A331" s="164"/>
      <c r="B331" s="164"/>
      <c r="C331" s="164"/>
      <c r="D331" s="113"/>
      <c r="E331" s="113"/>
      <c r="F331" s="113"/>
      <c r="G331" s="113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5.75" customHeight="1">
      <c r="A332" s="164"/>
      <c r="B332" s="164"/>
      <c r="C332" s="164"/>
      <c r="D332" s="113"/>
      <c r="E332" s="113"/>
      <c r="F332" s="113"/>
      <c r="G332" s="113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5.75" customHeight="1">
      <c r="A333" s="164"/>
      <c r="B333" s="164"/>
      <c r="C333" s="164"/>
      <c r="D333" s="113"/>
      <c r="E333" s="113"/>
      <c r="F333" s="113"/>
      <c r="G333" s="113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5.75" customHeight="1">
      <c r="A334" s="164"/>
      <c r="B334" s="164"/>
      <c r="C334" s="164"/>
      <c r="D334" s="113"/>
      <c r="E334" s="113"/>
      <c r="F334" s="113"/>
      <c r="G334" s="113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5.75" customHeight="1">
      <c r="A335" s="164"/>
      <c r="B335" s="164"/>
      <c r="C335" s="164"/>
      <c r="D335" s="113"/>
      <c r="E335" s="113"/>
      <c r="F335" s="113"/>
      <c r="G335" s="113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5.75" customHeight="1">
      <c r="A336" s="164"/>
      <c r="B336" s="164"/>
      <c r="C336" s="164"/>
      <c r="D336" s="113"/>
      <c r="E336" s="113"/>
      <c r="F336" s="113"/>
      <c r="G336" s="113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5.75" customHeight="1">
      <c r="A337" s="164"/>
      <c r="B337" s="164"/>
      <c r="C337" s="164"/>
      <c r="D337" s="113"/>
      <c r="E337" s="113"/>
      <c r="F337" s="113"/>
      <c r="G337" s="113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5.75" customHeight="1">
      <c r="A338" s="164"/>
      <c r="B338" s="164"/>
      <c r="C338" s="164"/>
      <c r="D338" s="113"/>
      <c r="E338" s="113"/>
      <c r="F338" s="113"/>
      <c r="G338" s="113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5.75" customHeight="1">
      <c r="A339" s="164"/>
      <c r="B339" s="164"/>
      <c r="C339" s="164"/>
      <c r="D339" s="113"/>
      <c r="E339" s="113"/>
      <c r="F339" s="113"/>
      <c r="G339" s="113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5.75" customHeight="1">
      <c r="A340" s="164"/>
      <c r="B340" s="164"/>
      <c r="C340" s="164"/>
      <c r="D340" s="113"/>
      <c r="E340" s="113"/>
      <c r="F340" s="113"/>
      <c r="G340" s="113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5.75" customHeight="1">
      <c r="A341" s="164"/>
      <c r="B341" s="164"/>
      <c r="C341" s="164"/>
      <c r="D341" s="113"/>
      <c r="E341" s="113"/>
      <c r="F341" s="113"/>
      <c r="G341" s="113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5.75" customHeight="1">
      <c r="A342" s="164"/>
      <c r="B342" s="164"/>
      <c r="C342" s="164"/>
      <c r="D342" s="113"/>
      <c r="E342" s="113"/>
      <c r="F342" s="113"/>
      <c r="G342" s="113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5.75" customHeight="1">
      <c r="A343" s="164"/>
      <c r="B343" s="164"/>
      <c r="C343" s="164"/>
      <c r="D343" s="113"/>
      <c r="E343" s="113"/>
      <c r="F343" s="113"/>
      <c r="G343" s="113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5.75" customHeight="1">
      <c r="A344" s="164"/>
      <c r="B344" s="164"/>
      <c r="C344" s="164"/>
      <c r="D344" s="113"/>
      <c r="E344" s="113"/>
      <c r="F344" s="113"/>
      <c r="G344" s="113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5.75" customHeight="1">
      <c r="A345" s="164"/>
      <c r="B345" s="164"/>
      <c r="C345" s="164"/>
      <c r="D345" s="113"/>
      <c r="E345" s="113"/>
      <c r="F345" s="113"/>
      <c r="G345" s="113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5.75" customHeight="1">
      <c r="A346" s="164"/>
      <c r="B346" s="164"/>
      <c r="C346" s="164"/>
      <c r="D346" s="113"/>
      <c r="E346" s="113"/>
      <c r="F346" s="113"/>
      <c r="G346" s="113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5.75" customHeight="1">
      <c r="A347" s="164"/>
      <c r="B347" s="164"/>
      <c r="C347" s="164"/>
      <c r="D347" s="113"/>
      <c r="E347" s="113"/>
      <c r="F347" s="113"/>
      <c r="G347" s="113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5.75" customHeight="1">
      <c r="A348" s="164"/>
      <c r="B348" s="164"/>
      <c r="C348" s="164"/>
      <c r="D348" s="113"/>
      <c r="E348" s="113"/>
      <c r="F348" s="113"/>
      <c r="G348" s="113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5.75" customHeight="1">
      <c r="A349" s="164"/>
      <c r="B349" s="164"/>
      <c r="C349" s="164"/>
      <c r="D349" s="113"/>
      <c r="E349" s="113"/>
      <c r="F349" s="113"/>
      <c r="G349" s="113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5.75" customHeight="1">
      <c r="A350" s="164"/>
      <c r="B350" s="164"/>
      <c r="C350" s="164"/>
      <c r="D350" s="113"/>
      <c r="E350" s="113"/>
      <c r="F350" s="113"/>
      <c r="G350" s="113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5.75" customHeight="1">
      <c r="A351" s="164"/>
      <c r="B351" s="164"/>
      <c r="C351" s="164"/>
      <c r="D351" s="113"/>
      <c r="E351" s="113"/>
      <c r="F351" s="113"/>
      <c r="G351" s="113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5.75" customHeight="1">
      <c r="A352" s="164"/>
      <c r="B352" s="164"/>
      <c r="C352" s="164"/>
      <c r="D352" s="113"/>
      <c r="E352" s="113"/>
      <c r="F352" s="113"/>
      <c r="G352" s="113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5.75" customHeight="1">
      <c r="A353" s="164"/>
      <c r="B353" s="164"/>
      <c r="C353" s="164"/>
      <c r="D353" s="113"/>
      <c r="E353" s="113"/>
      <c r="F353" s="113"/>
      <c r="G353" s="113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5.75" customHeight="1">
      <c r="A354" s="164"/>
      <c r="B354" s="164"/>
      <c r="C354" s="164"/>
      <c r="D354" s="113"/>
      <c r="E354" s="113"/>
      <c r="F354" s="113"/>
      <c r="G354" s="113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5.75" customHeight="1">
      <c r="A355" s="164"/>
      <c r="B355" s="164"/>
      <c r="C355" s="164"/>
      <c r="D355" s="113"/>
      <c r="E355" s="113"/>
      <c r="F355" s="113"/>
      <c r="G355" s="113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5.75" customHeight="1">
      <c r="A356" s="164"/>
      <c r="B356" s="164"/>
      <c r="C356" s="164"/>
      <c r="D356" s="113"/>
      <c r="E356" s="113"/>
      <c r="F356" s="113"/>
      <c r="G356" s="113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5.75" customHeight="1">
      <c r="A357" s="164"/>
      <c r="B357" s="164"/>
      <c r="C357" s="164"/>
      <c r="D357" s="113"/>
      <c r="E357" s="113"/>
      <c r="F357" s="113"/>
      <c r="G357" s="113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5.75" customHeight="1">
      <c r="A358" s="164"/>
      <c r="B358" s="164"/>
      <c r="C358" s="164"/>
      <c r="D358" s="113"/>
      <c r="E358" s="113"/>
      <c r="F358" s="113"/>
      <c r="G358" s="113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5.75" customHeight="1">
      <c r="A359" s="164"/>
      <c r="B359" s="164"/>
      <c r="C359" s="164"/>
      <c r="D359" s="113"/>
      <c r="E359" s="113"/>
      <c r="F359" s="113"/>
      <c r="G359" s="113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5.75" customHeight="1">
      <c r="A360" s="164"/>
      <c r="B360" s="164"/>
      <c r="C360" s="164"/>
      <c r="D360" s="113"/>
      <c r="E360" s="113"/>
      <c r="F360" s="113"/>
      <c r="G360" s="113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5.75" customHeight="1">
      <c r="A361" s="164"/>
      <c r="B361" s="164"/>
      <c r="C361" s="164"/>
      <c r="D361" s="113"/>
      <c r="E361" s="113"/>
      <c r="F361" s="113"/>
      <c r="G361" s="113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5.75" customHeight="1">
      <c r="A362" s="164"/>
      <c r="B362" s="164"/>
      <c r="C362" s="164"/>
      <c r="D362" s="113"/>
      <c r="E362" s="113"/>
      <c r="F362" s="113"/>
      <c r="G362" s="113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5.75" customHeight="1">
      <c r="A363" s="164"/>
      <c r="B363" s="164"/>
      <c r="C363" s="164"/>
      <c r="D363" s="113"/>
      <c r="E363" s="113"/>
      <c r="F363" s="113"/>
      <c r="G363" s="113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5.75" customHeight="1">
      <c r="A364" s="164"/>
      <c r="B364" s="164"/>
      <c r="C364" s="164"/>
      <c r="D364" s="113"/>
      <c r="E364" s="113"/>
      <c r="F364" s="113"/>
      <c r="G364" s="113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5.75" customHeight="1">
      <c r="A365" s="164"/>
      <c r="B365" s="164"/>
      <c r="C365" s="164"/>
      <c r="D365" s="113"/>
      <c r="E365" s="113"/>
      <c r="F365" s="113"/>
      <c r="G365" s="113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5.75" customHeight="1">
      <c r="A366" s="164"/>
      <c r="B366" s="164"/>
      <c r="C366" s="164"/>
      <c r="D366" s="113"/>
      <c r="E366" s="113"/>
      <c r="F366" s="113"/>
      <c r="G366" s="113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5.75" customHeight="1">
      <c r="A367" s="164"/>
      <c r="B367" s="164"/>
      <c r="C367" s="164"/>
      <c r="D367" s="113"/>
      <c r="E367" s="113"/>
      <c r="F367" s="113"/>
      <c r="G367" s="113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5.75" customHeight="1">
      <c r="A368" s="164"/>
      <c r="B368" s="164"/>
      <c r="C368" s="164"/>
      <c r="D368" s="113"/>
      <c r="E368" s="113"/>
      <c r="F368" s="113"/>
      <c r="G368" s="113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5.75" customHeight="1">
      <c r="A369" s="164"/>
      <c r="B369" s="164"/>
      <c r="C369" s="164"/>
      <c r="D369" s="113"/>
      <c r="E369" s="113"/>
      <c r="F369" s="113"/>
      <c r="G369" s="113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5.75" customHeight="1">
      <c r="A370" s="164"/>
      <c r="B370" s="164"/>
      <c r="C370" s="164"/>
      <c r="D370" s="113"/>
      <c r="E370" s="113"/>
      <c r="F370" s="113"/>
      <c r="G370" s="113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5.75" customHeight="1">
      <c r="A371" s="164"/>
      <c r="B371" s="164"/>
      <c r="C371" s="164"/>
      <c r="D371" s="113"/>
      <c r="E371" s="113"/>
      <c r="F371" s="113"/>
      <c r="G371" s="113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5.75" customHeight="1">
      <c r="A372" s="164"/>
      <c r="B372" s="164"/>
      <c r="C372" s="164"/>
      <c r="D372" s="113"/>
      <c r="E372" s="113"/>
      <c r="F372" s="113"/>
      <c r="G372" s="113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5.75" customHeight="1">
      <c r="A373" s="164"/>
      <c r="B373" s="164"/>
      <c r="C373" s="164"/>
      <c r="D373" s="113"/>
      <c r="E373" s="113"/>
      <c r="F373" s="113"/>
      <c r="G373" s="113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5.75" customHeight="1">
      <c r="A374" s="164"/>
      <c r="B374" s="164"/>
      <c r="C374" s="164"/>
      <c r="D374" s="113"/>
      <c r="E374" s="113"/>
      <c r="F374" s="113"/>
      <c r="G374" s="113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5.75" customHeight="1">
      <c r="A375" s="164"/>
      <c r="B375" s="164"/>
      <c r="C375" s="164"/>
      <c r="D375" s="113"/>
      <c r="E375" s="113"/>
      <c r="F375" s="113"/>
      <c r="G375" s="113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5.75" customHeight="1">
      <c r="A376" s="164"/>
      <c r="B376" s="164"/>
      <c r="C376" s="164"/>
      <c r="D376" s="113"/>
      <c r="E376" s="113"/>
      <c r="F376" s="113"/>
      <c r="G376" s="113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5.75" customHeight="1">
      <c r="A377" s="164"/>
      <c r="B377" s="164"/>
      <c r="C377" s="164"/>
      <c r="D377" s="113"/>
      <c r="E377" s="113"/>
      <c r="F377" s="113"/>
      <c r="G377" s="113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5.75" customHeight="1">
      <c r="A378" s="164"/>
      <c r="B378" s="164"/>
      <c r="C378" s="164"/>
      <c r="D378" s="113"/>
      <c r="E378" s="113"/>
      <c r="F378" s="113"/>
      <c r="G378" s="113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5.75" customHeight="1">
      <c r="A379" s="164"/>
      <c r="B379" s="164"/>
      <c r="C379" s="164"/>
      <c r="D379" s="113"/>
      <c r="E379" s="113"/>
      <c r="F379" s="113"/>
      <c r="G379" s="113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5.75" customHeight="1">
      <c r="A380" s="164"/>
      <c r="B380" s="164"/>
      <c r="C380" s="164"/>
      <c r="D380" s="113"/>
      <c r="E380" s="113"/>
      <c r="F380" s="113"/>
      <c r="G380" s="113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5.75" customHeight="1">
      <c r="A381" s="164"/>
      <c r="B381" s="164"/>
      <c r="C381" s="164"/>
      <c r="D381" s="113"/>
      <c r="E381" s="113"/>
      <c r="F381" s="113"/>
      <c r="G381" s="113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5.75" customHeight="1">
      <c r="A382" s="164"/>
      <c r="B382" s="164"/>
      <c r="C382" s="164"/>
      <c r="D382" s="113"/>
      <c r="E382" s="113"/>
      <c r="F382" s="113"/>
      <c r="G382" s="113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5.75" customHeight="1">
      <c r="A383" s="164"/>
      <c r="B383" s="164"/>
      <c r="C383" s="164"/>
      <c r="D383" s="113"/>
      <c r="E383" s="113"/>
      <c r="F383" s="113"/>
      <c r="G383" s="113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5.75" customHeight="1">
      <c r="A384" s="164"/>
      <c r="B384" s="164"/>
      <c r="C384" s="164"/>
      <c r="D384" s="113"/>
      <c r="E384" s="113"/>
      <c r="F384" s="113"/>
      <c r="G384" s="113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5.75" customHeight="1">
      <c r="A385" s="164"/>
      <c r="B385" s="164"/>
      <c r="C385" s="164"/>
      <c r="D385" s="113"/>
      <c r="E385" s="113"/>
      <c r="F385" s="113"/>
      <c r="G385" s="113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5.75" customHeight="1">
      <c r="A386" s="164"/>
      <c r="B386" s="164"/>
      <c r="C386" s="164"/>
      <c r="D386" s="113"/>
      <c r="E386" s="113"/>
      <c r="F386" s="113"/>
      <c r="G386" s="113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5.75" customHeight="1">
      <c r="A387" s="164"/>
      <c r="B387" s="164"/>
      <c r="C387" s="164"/>
      <c r="D387" s="113"/>
      <c r="E387" s="113"/>
      <c r="F387" s="113"/>
      <c r="G387" s="113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5.75" customHeight="1">
      <c r="A388" s="164"/>
      <c r="B388" s="164"/>
      <c r="C388" s="164"/>
      <c r="D388" s="113"/>
      <c r="E388" s="113"/>
      <c r="F388" s="113"/>
      <c r="G388" s="113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5.75" customHeight="1">
      <c r="A389" s="164"/>
      <c r="B389" s="164"/>
      <c r="C389" s="164"/>
      <c r="D389" s="113"/>
      <c r="E389" s="113"/>
      <c r="F389" s="113"/>
      <c r="G389" s="113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5.75" customHeight="1">
      <c r="A390" s="164"/>
      <c r="B390" s="164"/>
      <c r="C390" s="164"/>
      <c r="D390" s="113"/>
      <c r="E390" s="113"/>
      <c r="F390" s="113"/>
      <c r="G390" s="113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5.75" customHeight="1">
      <c r="A391" s="164"/>
      <c r="B391" s="164"/>
      <c r="C391" s="164"/>
      <c r="D391" s="113"/>
      <c r="E391" s="113"/>
      <c r="F391" s="113"/>
      <c r="G391" s="113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5.75" customHeight="1">
      <c r="A392" s="164"/>
      <c r="B392" s="164"/>
      <c r="C392" s="164"/>
      <c r="D392" s="113"/>
      <c r="E392" s="113"/>
      <c r="F392" s="113"/>
      <c r="G392" s="113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5.75" customHeight="1">
      <c r="A393" s="164"/>
      <c r="B393" s="164"/>
      <c r="C393" s="164"/>
      <c r="D393" s="113"/>
      <c r="E393" s="113"/>
      <c r="F393" s="113"/>
      <c r="G393" s="113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5.75" customHeight="1">
      <c r="A394" s="164"/>
      <c r="B394" s="164"/>
      <c r="C394" s="164"/>
      <c r="D394" s="113"/>
      <c r="E394" s="113"/>
      <c r="F394" s="113"/>
      <c r="G394" s="113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5.75" customHeight="1">
      <c r="A395" s="164"/>
      <c r="B395" s="164"/>
      <c r="C395" s="164"/>
      <c r="D395" s="113"/>
      <c r="E395" s="113"/>
      <c r="F395" s="113"/>
      <c r="G395" s="113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5.75" customHeight="1">
      <c r="A396" s="164"/>
      <c r="B396" s="164"/>
      <c r="C396" s="164"/>
      <c r="D396" s="113"/>
      <c r="E396" s="113"/>
      <c r="F396" s="113"/>
      <c r="G396" s="113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5.75" customHeight="1">
      <c r="A397" s="164"/>
      <c r="B397" s="164"/>
      <c r="C397" s="164"/>
      <c r="D397" s="113"/>
      <c r="E397" s="113"/>
      <c r="F397" s="113"/>
      <c r="G397" s="113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5.75" customHeight="1">
      <c r="A398" s="164"/>
      <c r="B398" s="164"/>
      <c r="C398" s="164"/>
      <c r="D398" s="113"/>
      <c r="E398" s="113"/>
      <c r="F398" s="113"/>
      <c r="G398" s="113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5.75" customHeight="1">
      <c r="A399" s="164"/>
      <c r="B399" s="164"/>
      <c r="C399" s="164"/>
      <c r="D399" s="113"/>
      <c r="E399" s="113"/>
      <c r="F399" s="113"/>
      <c r="G399" s="113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5.75" customHeight="1">
      <c r="A400" s="164"/>
      <c r="B400" s="164"/>
      <c r="C400" s="164"/>
      <c r="D400" s="113"/>
      <c r="E400" s="113"/>
      <c r="F400" s="113"/>
      <c r="G400" s="113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5.75" customHeight="1">
      <c r="A401" s="164"/>
      <c r="B401" s="164"/>
      <c r="C401" s="164"/>
      <c r="D401" s="113"/>
      <c r="E401" s="113"/>
      <c r="F401" s="113"/>
      <c r="G401" s="113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5.75" customHeight="1">
      <c r="A402" s="164"/>
      <c r="B402" s="164"/>
      <c r="C402" s="164"/>
      <c r="D402" s="113"/>
      <c r="E402" s="113"/>
      <c r="F402" s="113"/>
      <c r="G402" s="113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5.75" customHeight="1">
      <c r="A403" s="164"/>
      <c r="B403" s="164"/>
      <c r="C403" s="164"/>
      <c r="D403" s="113"/>
      <c r="E403" s="113"/>
      <c r="F403" s="113"/>
      <c r="G403" s="113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5.75" customHeight="1">
      <c r="A404" s="164"/>
      <c r="B404" s="164"/>
      <c r="C404" s="164"/>
      <c r="D404" s="113"/>
      <c r="E404" s="113"/>
      <c r="F404" s="113"/>
      <c r="G404" s="113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5.75" customHeight="1">
      <c r="A405" s="164"/>
      <c r="B405" s="164"/>
      <c r="C405" s="164"/>
      <c r="D405" s="113"/>
      <c r="E405" s="113"/>
      <c r="F405" s="113"/>
      <c r="G405" s="113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5.75" customHeight="1">
      <c r="A406" s="164"/>
      <c r="B406" s="164"/>
      <c r="C406" s="164"/>
      <c r="D406" s="113"/>
      <c r="E406" s="113"/>
      <c r="F406" s="113"/>
      <c r="G406" s="113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5.75" customHeight="1">
      <c r="A407" s="164"/>
      <c r="B407" s="164"/>
      <c r="C407" s="164"/>
      <c r="D407" s="113"/>
      <c r="E407" s="113"/>
      <c r="F407" s="113"/>
      <c r="G407" s="113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5.75" customHeight="1">
      <c r="A408" s="164"/>
      <c r="B408" s="164"/>
      <c r="C408" s="164"/>
      <c r="D408" s="113"/>
      <c r="E408" s="113"/>
      <c r="F408" s="113"/>
      <c r="G408" s="113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5.75" customHeight="1">
      <c r="A409" s="164"/>
      <c r="B409" s="164"/>
      <c r="C409" s="164"/>
      <c r="D409" s="113"/>
      <c r="E409" s="113"/>
      <c r="F409" s="113"/>
      <c r="G409" s="113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5.75" customHeight="1">
      <c r="A410" s="164"/>
      <c r="B410" s="164"/>
      <c r="C410" s="164"/>
      <c r="D410" s="113"/>
      <c r="E410" s="113"/>
      <c r="F410" s="113"/>
      <c r="G410" s="113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5.75" customHeight="1">
      <c r="A411" s="164"/>
      <c r="B411" s="164"/>
      <c r="C411" s="164"/>
      <c r="D411" s="113"/>
      <c r="E411" s="113"/>
      <c r="F411" s="113"/>
      <c r="G411" s="113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5.75" customHeight="1">
      <c r="A412" s="164"/>
      <c r="B412" s="164"/>
      <c r="C412" s="164"/>
      <c r="D412" s="113"/>
      <c r="E412" s="113"/>
      <c r="F412" s="113"/>
      <c r="G412" s="113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5.75" customHeight="1">
      <c r="A413" s="164"/>
      <c r="B413" s="164"/>
      <c r="C413" s="164"/>
      <c r="D413" s="113"/>
      <c r="E413" s="113"/>
      <c r="F413" s="113"/>
      <c r="G413" s="113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5.75" customHeight="1">
      <c r="A414" s="164"/>
      <c r="B414" s="164"/>
      <c r="C414" s="164"/>
      <c r="D414" s="113"/>
      <c r="E414" s="113"/>
      <c r="F414" s="113"/>
      <c r="G414" s="113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5.75" customHeight="1">
      <c r="A415" s="164"/>
      <c r="B415" s="164"/>
      <c r="C415" s="164"/>
      <c r="D415" s="113"/>
      <c r="E415" s="113"/>
      <c r="F415" s="113"/>
      <c r="G415" s="113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5.75" customHeight="1">
      <c r="A416" s="164"/>
      <c r="B416" s="164"/>
      <c r="C416" s="164"/>
      <c r="D416" s="113"/>
      <c r="E416" s="113"/>
      <c r="F416" s="113"/>
      <c r="G416" s="113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5.75" customHeight="1">
      <c r="A417" s="164"/>
      <c r="B417" s="164"/>
      <c r="C417" s="164"/>
      <c r="D417" s="113"/>
      <c r="E417" s="113"/>
      <c r="F417" s="113"/>
      <c r="G417" s="113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5.75" customHeight="1">
      <c r="A418" s="164"/>
      <c r="B418" s="164"/>
      <c r="C418" s="164"/>
      <c r="D418" s="113"/>
      <c r="E418" s="113"/>
      <c r="F418" s="113"/>
      <c r="G418" s="113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5.75" customHeight="1">
      <c r="A419" s="164"/>
      <c r="B419" s="164"/>
      <c r="C419" s="164"/>
      <c r="D419" s="113"/>
      <c r="E419" s="113"/>
      <c r="F419" s="113"/>
      <c r="G419" s="113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5.75" customHeight="1">
      <c r="A420" s="164"/>
      <c r="B420" s="164"/>
      <c r="C420" s="164"/>
      <c r="D420" s="113"/>
      <c r="E420" s="113"/>
      <c r="F420" s="113"/>
      <c r="G420" s="113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5.75" customHeight="1">
      <c r="A421" s="164"/>
      <c r="B421" s="164"/>
      <c r="C421" s="164"/>
      <c r="D421" s="113"/>
      <c r="E421" s="113"/>
      <c r="F421" s="113"/>
      <c r="G421" s="113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5.75" customHeight="1">
      <c r="A422" s="164"/>
      <c r="B422" s="164"/>
      <c r="C422" s="164"/>
      <c r="D422" s="113"/>
      <c r="E422" s="113"/>
      <c r="F422" s="113"/>
      <c r="G422" s="113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5.75" customHeight="1">
      <c r="A423" s="164"/>
      <c r="B423" s="164"/>
      <c r="C423" s="164"/>
      <c r="D423" s="113"/>
      <c r="E423" s="113"/>
      <c r="F423" s="113"/>
      <c r="G423" s="113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5.75" customHeight="1">
      <c r="A424" s="164"/>
      <c r="B424" s="164"/>
      <c r="C424" s="164"/>
      <c r="D424" s="113"/>
      <c r="E424" s="113"/>
      <c r="F424" s="113"/>
      <c r="G424" s="113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5.75" customHeight="1">
      <c r="A425" s="164"/>
      <c r="B425" s="164"/>
      <c r="C425" s="164"/>
      <c r="D425" s="113"/>
      <c r="E425" s="113"/>
      <c r="F425" s="113"/>
      <c r="G425" s="113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5.75" customHeight="1">
      <c r="A426" s="164"/>
      <c r="B426" s="164"/>
      <c r="C426" s="164"/>
      <c r="D426" s="113"/>
      <c r="E426" s="113"/>
      <c r="F426" s="113"/>
      <c r="G426" s="113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5.75" customHeight="1">
      <c r="A427" s="164"/>
      <c r="B427" s="164"/>
      <c r="C427" s="164"/>
      <c r="D427" s="113"/>
      <c r="E427" s="113"/>
      <c r="F427" s="113"/>
      <c r="G427" s="113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5.75" customHeight="1">
      <c r="A428" s="164"/>
      <c r="B428" s="164"/>
      <c r="C428" s="164"/>
      <c r="D428" s="113"/>
      <c r="E428" s="113"/>
      <c r="F428" s="113"/>
      <c r="G428" s="113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5.75" customHeight="1">
      <c r="A429" s="164"/>
      <c r="B429" s="164"/>
      <c r="C429" s="164"/>
      <c r="D429" s="113"/>
      <c r="E429" s="113"/>
      <c r="F429" s="113"/>
      <c r="G429" s="113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5.75" customHeight="1">
      <c r="A430" s="164"/>
      <c r="B430" s="164"/>
      <c r="C430" s="164"/>
      <c r="D430" s="113"/>
      <c r="E430" s="113"/>
      <c r="F430" s="113"/>
      <c r="G430" s="113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5.75" customHeight="1">
      <c r="A431" s="164"/>
      <c r="B431" s="164"/>
      <c r="C431" s="164"/>
      <c r="D431" s="113"/>
      <c r="E431" s="113"/>
      <c r="F431" s="113"/>
      <c r="G431" s="113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5.75" customHeight="1">
      <c r="A432" s="164"/>
      <c r="B432" s="164"/>
      <c r="C432" s="164"/>
      <c r="D432" s="113"/>
      <c r="E432" s="113"/>
      <c r="F432" s="113"/>
      <c r="G432" s="113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5.75" customHeight="1">
      <c r="A433" s="164"/>
      <c r="B433" s="164"/>
      <c r="C433" s="164"/>
      <c r="D433" s="113"/>
      <c r="E433" s="113"/>
      <c r="F433" s="113"/>
      <c r="G433" s="113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5.75" customHeight="1">
      <c r="A434" s="164"/>
      <c r="B434" s="164"/>
      <c r="C434" s="164"/>
      <c r="D434" s="113"/>
      <c r="E434" s="113"/>
      <c r="F434" s="113"/>
      <c r="G434" s="113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5.75" customHeight="1">
      <c r="A435" s="164"/>
      <c r="B435" s="164"/>
      <c r="C435" s="164"/>
      <c r="D435" s="113"/>
      <c r="E435" s="113"/>
      <c r="F435" s="113"/>
      <c r="G435" s="113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5.75" customHeight="1">
      <c r="A436" s="164"/>
      <c r="B436" s="164"/>
      <c r="C436" s="164"/>
      <c r="D436" s="113"/>
      <c r="E436" s="113"/>
      <c r="F436" s="113"/>
      <c r="G436" s="113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5.75" customHeight="1">
      <c r="A437" s="164"/>
      <c r="B437" s="164"/>
      <c r="C437" s="164"/>
      <c r="D437" s="113"/>
      <c r="E437" s="113"/>
      <c r="F437" s="113"/>
      <c r="G437" s="113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5.75" customHeight="1">
      <c r="A438" s="164"/>
      <c r="B438" s="164"/>
      <c r="C438" s="164"/>
      <c r="D438" s="113"/>
      <c r="E438" s="113"/>
      <c r="F438" s="113"/>
      <c r="G438" s="113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5.75" customHeight="1">
      <c r="A439" s="164"/>
      <c r="B439" s="164"/>
      <c r="C439" s="164"/>
      <c r="D439" s="113"/>
      <c r="E439" s="113"/>
      <c r="F439" s="113"/>
      <c r="G439" s="113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5.75" customHeight="1">
      <c r="A440" s="164"/>
      <c r="B440" s="164"/>
      <c r="C440" s="164"/>
      <c r="D440" s="113"/>
      <c r="E440" s="113"/>
      <c r="F440" s="113"/>
      <c r="G440" s="113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5.75" customHeight="1">
      <c r="A441" s="164"/>
      <c r="B441" s="164"/>
      <c r="C441" s="164"/>
      <c r="D441" s="113"/>
      <c r="E441" s="113"/>
      <c r="F441" s="113"/>
      <c r="G441" s="113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5.75" customHeight="1">
      <c r="A442" s="164"/>
      <c r="B442" s="164"/>
      <c r="C442" s="164"/>
      <c r="D442" s="113"/>
      <c r="E442" s="113"/>
      <c r="F442" s="113"/>
      <c r="G442" s="113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5.75" customHeight="1">
      <c r="A443" s="164"/>
      <c r="B443" s="164"/>
      <c r="C443" s="164"/>
      <c r="D443" s="113"/>
      <c r="E443" s="113"/>
      <c r="F443" s="113"/>
      <c r="G443" s="113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5.75" customHeight="1">
      <c r="A444" s="164"/>
      <c r="B444" s="164"/>
      <c r="C444" s="164"/>
      <c r="D444" s="113"/>
      <c r="E444" s="113"/>
      <c r="F444" s="113"/>
      <c r="G444" s="113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5.75" customHeight="1">
      <c r="A445" s="164"/>
      <c r="B445" s="164"/>
      <c r="C445" s="164"/>
      <c r="D445" s="113"/>
      <c r="E445" s="113"/>
      <c r="F445" s="113"/>
      <c r="G445" s="113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5.75" customHeight="1">
      <c r="A446" s="164"/>
      <c r="B446" s="164"/>
      <c r="C446" s="164"/>
      <c r="D446" s="113"/>
      <c r="E446" s="113"/>
      <c r="F446" s="113"/>
      <c r="G446" s="113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5.75" customHeight="1">
      <c r="A447" s="164"/>
      <c r="B447" s="164"/>
      <c r="C447" s="164"/>
      <c r="D447" s="113"/>
      <c r="E447" s="113"/>
      <c r="F447" s="113"/>
      <c r="G447" s="113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5.75" customHeight="1">
      <c r="A448" s="164"/>
      <c r="B448" s="164"/>
      <c r="C448" s="164"/>
      <c r="D448" s="113"/>
      <c r="E448" s="113"/>
      <c r="F448" s="113"/>
      <c r="G448" s="113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5.75" customHeight="1">
      <c r="A449" s="164"/>
      <c r="B449" s="164"/>
      <c r="C449" s="164"/>
      <c r="D449" s="113"/>
      <c r="E449" s="113"/>
      <c r="F449" s="113"/>
      <c r="G449" s="113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5.75" customHeight="1">
      <c r="A450" s="164"/>
      <c r="B450" s="164"/>
      <c r="C450" s="164"/>
      <c r="D450" s="113"/>
      <c r="E450" s="113"/>
      <c r="F450" s="113"/>
      <c r="G450" s="113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5.75" customHeight="1">
      <c r="A451" s="164"/>
      <c r="B451" s="164"/>
      <c r="C451" s="164"/>
      <c r="D451" s="113"/>
      <c r="E451" s="113"/>
      <c r="F451" s="113"/>
      <c r="G451" s="113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5.75" customHeight="1">
      <c r="A452" s="164"/>
      <c r="B452" s="164"/>
      <c r="C452" s="164"/>
      <c r="D452" s="113"/>
      <c r="E452" s="113"/>
      <c r="F452" s="113"/>
      <c r="G452" s="113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5.75" customHeight="1">
      <c r="A453" s="164"/>
      <c r="B453" s="164"/>
      <c r="C453" s="164"/>
      <c r="D453" s="113"/>
      <c r="E453" s="113"/>
      <c r="F453" s="113"/>
      <c r="G453" s="113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5.75" customHeight="1">
      <c r="A454" s="164"/>
      <c r="B454" s="164"/>
      <c r="C454" s="164"/>
      <c r="D454" s="113"/>
      <c r="E454" s="113"/>
      <c r="F454" s="113"/>
      <c r="G454" s="113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5.75" customHeight="1">
      <c r="A455" s="164"/>
      <c r="B455" s="164"/>
      <c r="C455" s="164"/>
      <c r="D455" s="113"/>
      <c r="E455" s="113"/>
      <c r="F455" s="113"/>
      <c r="G455" s="113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5.75" customHeight="1">
      <c r="A456" s="164"/>
      <c r="B456" s="164"/>
      <c r="C456" s="164"/>
      <c r="D456" s="113"/>
      <c r="E456" s="113"/>
      <c r="F456" s="113"/>
      <c r="G456" s="113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5.75" customHeight="1">
      <c r="A457" s="164"/>
      <c r="B457" s="164"/>
      <c r="C457" s="164"/>
      <c r="D457" s="113"/>
      <c r="E457" s="113"/>
      <c r="F457" s="113"/>
      <c r="G457" s="113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5.75" customHeight="1">
      <c r="A458" s="164"/>
      <c r="B458" s="164"/>
      <c r="C458" s="164"/>
      <c r="D458" s="113"/>
      <c r="E458" s="113"/>
      <c r="F458" s="113"/>
      <c r="G458" s="113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5.75" customHeight="1">
      <c r="A459" s="164"/>
      <c r="B459" s="164"/>
      <c r="C459" s="164"/>
      <c r="D459" s="113"/>
      <c r="E459" s="113"/>
      <c r="F459" s="113"/>
      <c r="G459" s="113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5.75" customHeight="1">
      <c r="A460" s="164"/>
      <c r="B460" s="164"/>
      <c r="C460" s="164"/>
      <c r="D460" s="113"/>
      <c r="E460" s="113"/>
      <c r="F460" s="113"/>
      <c r="G460" s="113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5.75" customHeight="1">
      <c r="A461" s="164"/>
      <c r="B461" s="164"/>
      <c r="C461" s="164"/>
      <c r="D461" s="113"/>
      <c r="E461" s="113"/>
      <c r="F461" s="113"/>
      <c r="G461" s="113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5.75" customHeight="1">
      <c r="A462" s="164"/>
      <c r="B462" s="164"/>
      <c r="C462" s="164"/>
      <c r="D462" s="113"/>
      <c r="E462" s="113"/>
      <c r="F462" s="113"/>
      <c r="G462" s="113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5.75" customHeight="1">
      <c r="A463" s="164"/>
      <c r="B463" s="164"/>
      <c r="C463" s="164"/>
      <c r="D463" s="113"/>
      <c r="E463" s="113"/>
      <c r="F463" s="113"/>
      <c r="G463" s="113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5.75" customHeight="1">
      <c r="A464" s="164"/>
      <c r="B464" s="164"/>
      <c r="C464" s="164"/>
      <c r="D464" s="113"/>
      <c r="E464" s="113"/>
      <c r="F464" s="113"/>
      <c r="G464" s="113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5.75" customHeight="1">
      <c r="A465" s="164"/>
      <c r="B465" s="164"/>
      <c r="C465" s="164"/>
      <c r="D465" s="113"/>
      <c r="E465" s="113"/>
      <c r="F465" s="113"/>
      <c r="G465" s="113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5.75" customHeight="1">
      <c r="A466" s="164"/>
      <c r="B466" s="164"/>
      <c r="C466" s="164"/>
      <c r="D466" s="113"/>
      <c r="E466" s="113"/>
      <c r="F466" s="113"/>
      <c r="G466" s="113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5.75" customHeight="1">
      <c r="A467" s="164"/>
      <c r="B467" s="164"/>
      <c r="C467" s="164"/>
      <c r="D467" s="113"/>
      <c r="E467" s="113"/>
      <c r="F467" s="113"/>
      <c r="G467" s="113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5.75" customHeight="1">
      <c r="A468" s="164"/>
      <c r="B468" s="164"/>
      <c r="C468" s="164"/>
      <c r="D468" s="113"/>
      <c r="E468" s="113"/>
      <c r="F468" s="113"/>
      <c r="G468" s="113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5.75" customHeight="1">
      <c r="A469" s="164"/>
      <c r="B469" s="164"/>
      <c r="C469" s="164"/>
      <c r="D469" s="113"/>
      <c r="E469" s="113"/>
      <c r="F469" s="113"/>
      <c r="G469" s="113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5.75" customHeight="1">
      <c r="A470" s="164"/>
      <c r="B470" s="164"/>
      <c r="C470" s="164"/>
      <c r="D470" s="113"/>
      <c r="E470" s="113"/>
      <c r="F470" s="113"/>
      <c r="G470" s="113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5.75" customHeight="1">
      <c r="A471" s="164"/>
      <c r="B471" s="164"/>
      <c r="C471" s="164"/>
      <c r="D471" s="113"/>
      <c r="E471" s="113"/>
      <c r="F471" s="113"/>
      <c r="G471" s="113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5.75" customHeight="1">
      <c r="A472" s="164"/>
      <c r="B472" s="164"/>
      <c r="C472" s="164"/>
      <c r="D472" s="113"/>
      <c r="E472" s="113"/>
      <c r="F472" s="113"/>
      <c r="G472" s="113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5.75" customHeight="1">
      <c r="A473" s="164"/>
      <c r="B473" s="164"/>
      <c r="C473" s="164"/>
      <c r="D473" s="113"/>
      <c r="E473" s="113"/>
      <c r="F473" s="113"/>
      <c r="G473" s="113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5.75" customHeight="1">
      <c r="A474" s="164"/>
      <c r="B474" s="164"/>
      <c r="C474" s="164"/>
      <c r="D474" s="113"/>
      <c r="E474" s="113"/>
      <c r="F474" s="113"/>
      <c r="G474" s="113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5.75" customHeight="1">
      <c r="A475" s="164"/>
      <c r="B475" s="164"/>
      <c r="C475" s="164"/>
      <c r="D475" s="113"/>
      <c r="E475" s="113"/>
      <c r="F475" s="113"/>
      <c r="G475" s="113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5.75" customHeight="1">
      <c r="A476" s="164"/>
      <c r="B476" s="164"/>
      <c r="C476" s="164"/>
      <c r="D476" s="113"/>
      <c r="E476" s="113"/>
      <c r="F476" s="113"/>
      <c r="G476" s="113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5.75" customHeight="1">
      <c r="A477" s="164"/>
      <c r="B477" s="164"/>
      <c r="C477" s="164"/>
      <c r="D477" s="113"/>
      <c r="E477" s="113"/>
      <c r="F477" s="113"/>
      <c r="G477" s="113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5.75" customHeight="1">
      <c r="A478" s="164"/>
      <c r="B478" s="164"/>
      <c r="C478" s="164"/>
      <c r="D478" s="113"/>
      <c r="E478" s="113"/>
      <c r="F478" s="113"/>
      <c r="G478" s="113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5.75" customHeight="1">
      <c r="A479" s="164"/>
      <c r="B479" s="164"/>
      <c r="C479" s="164"/>
      <c r="D479" s="113"/>
      <c r="E479" s="113"/>
      <c r="F479" s="113"/>
      <c r="G479" s="113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5.75" customHeight="1">
      <c r="A480" s="164"/>
      <c r="B480" s="164"/>
      <c r="C480" s="164"/>
      <c r="D480" s="113"/>
      <c r="E480" s="113"/>
      <c r="F480" s="113"/>
      <c r="G480" s="113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5.75" customHeight="1">
      <c r="A481" s="164"/>
      <c r="B481" s="164"/>
      <c r="C481" s="164"/>
      <c r="D481" s="113"/>
      <c r="E481" s="113"/>
      <c r="F481" s="113"/>
      <c r="G481" s="113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5.75" customHeight="1">
      <c r="A482" s="164"/>
      <c r="B482" s="164"/>
      <c r="C482" s="164"/>
      <c r="D482" s="113"/>
      <c r="E482" s="113"/>
      <c r="F482" s="113"/>
      <c r="G482" s="113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5.75" customHeight="1">
      <c r="A483" s="164"/>
      <c r="B483" s="164"/>
      <c r="C483" s="164"/>
      <c r="D483" s="113"/>
      <c r="E483" s="113"/>
      <c r="F483" s="113"/>
      <c r="G483" s="113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5.75" customHeight="1">
      <c r="A484" s="164"/>
      <c r="B484" s="164"/>
      <c r="C484" s="164"/>
      <c r="D484" s="113"/>
      <c r="E484" s="113"/>
      <c r="F484" s="113"/>
      <c r="G484" s="113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5.75" customHeight="1">
      <c r="A485" s="164"/>
      <c r="B485" s="164"/>
      <c r="C485" s="164"/>
      <c r="D485" s="113"/>
      <c r="E485" s="113"/>
      <c r="F485" s="113"/>
      <c r="G485" s="113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5.75" customHeight="1">
      <c r="A486" s="164"/>
      <c r="B486" s="164"/>
      <c r="C486" s="164"/>
      <c r="D486" s="113"/>
      <c r="E486" s="113"/>
      <c r="F486" s="113"/>
      <c r="G486" s="113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5.75" customHeight="1">
      <c r="A487" s="164"/>
      <c r="B487" s="164"/>
      <c r="C487" s="164"/>
      <c r="D487" s="113"/>
      <c r="E487" s="113"/>
      <c r="F487" s="113"/>
      <c r="G487" s="113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5.75" customHeight="1">
      <c r="A488" s="164"/>
      <c r="B488" s="164"/>
      <c r="C488" s="164"/>
      <c r="D488" s="113"/>
      <c r="E488" s="113"/>
      <c r="F488" s="113"/>
      <c r="G488" s="113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5.75" customHeight="1">
      <c r="A489" s="164"/>
      <c r="B489" s="164"/>
      <c r="C489" s="164"/>
      <c r="D489" s="113"/>
      <c r="E489" s="113"/>
      <c r="F489" s="113"/>
      <c r="G489" s="113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5.75" customHeight="1">
      <c r="A490" s="164"/>
      <c r="B490" s="164"/>
      <c r="C490" s="164"/>
      <c r="D490" s="113"/>
      <c r="E490" s="113"/>
      <c r="F490" s="113"/>
      <c r="G490" s="113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5.75" customHeight="1">
      <c r="A491" s="164"/>
      <c r="B491" s="164"/>
      <c r="C491" s="164"/>
      <c r="D491" s="113"/>
      <c r="E491" s="113"/>
      <c r="F491" s="113"/>
      <c r="G491" s="113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5.75" customHeight="1">
      <c r="A492" s="164"/>
      <c r="B492" s="164"/>
      <c r="C492" s="164"/>
      <c r="D492" s="113"/>
      <c r="E492" s="113"/>
      <c r="F492" s="113"/>
      <c r="G492" s="113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5.75" customHeight="1">
      <c r="A493" s="164"/>
      <c r="B493" s="164"/>
      <c r="C493" s="164"/>
      <c r="D493" s="113"/>
      <c r="E493" s="113"/>
      <c r="F493" s="113"/>
      <c r="G493" s="113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5.75" customHeight="1">
      <c r="A494" s="164"/>
      <c r="B494" s="164"/>
      <c r="C494" s="164"/>
      <c r="D494" s="113"/>
      <c r="E494" s="113"/>
      <c r="F494" s="113"/>
      <c r="G494" s="113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5.75" customHeight="1">
      <c r="A495" s="164"/>
      <c r="B495" s="164"/>
      <c r="C495" s="164"/>
      <c r="D495" s="113"/>
      <c r="E495" s="113"/>
      <c r="F495" s="113"/>
      <c r="G495" s="113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5.75" customHeight="1">
      <c r="A496" s="164"/>
      <c r="B496" s="164"/>
      <c r="C496" s="164"/>
      <c r="D496" s="113"/>
      <c r="E496" s="113"/>
      <c r="F496" s="113"/>
      <c r="G496" s="113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5.75" customHeight="1">
      <c r="A497" s="164"/>
      <c r="B497" s="164"/>
      <c r="C497" s="164"/>
      <c r="D497" s="113"/>
      <c r="E497" s="113"/>
      <c r="F497" s="113"/>
      <c r="G497" s="113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5.75" customHeight="1">
      <c r="A498" s="164"/>
      <c r="B498" s="164"/>
      <c r="C498" s="164"/>
      <c r="D498" s="113"/>
      <c r="E498" s="113"/>
      <c r="F498" s="113"/>
      <c r="G498" s="113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5.75" customHeight="1">
      <c r="A499" s="164"/>
      <c r="B499" s="164"/>
      <c r="C499" s="164"/>
      <c r="D499" s="113"/>
      <c r="E499" s="113"/>
      <c r="F499" s="113"/>
      <c r="G499" s="113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5.75" customHeight="1">
      <c r="A500" s="164"/>
      <c r="B500" s="164"/>
      <c r="C500" s="164"/>
      <c r="D500" s="113"/>
      <c r="E500" s="113"/>
      <c r="F500" s="113"/>
      <c r="G500" s="113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5.75" customHeight="1">
      <c r="A501" s="164"/>
      <c r="B501" s="164"/>
      <c r="C501" s="164"/>
      <c r="D501" s="113"/>
      <c r="E501" s="113"/>
      <c r="F501" s="113"/>
      <c r="G501" s="113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5.75" customHeight="1">
      <c r="A502" s="164"/>
      <c r="B502" s="164"/>
      <c r="C502" s="164"/>
      <c r="D502" s="113"/>
      <c r="E502" s="113"/>
      <c r="F502" s="113"/>
      <c r="G502" s="113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5.75" customHeight="1">
      <c r="A503" s="164"/>
      <c r="B503" s="164"/>
      <c r="C503" s="164"/>
      <c r="D503" s="113"/>
      <c r="E503" s="113"/>
      <c r="F503" s="113"/>
      <c r="G503" s="113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5.75" customHeight="1">
      <c r="A504" s="164"/>
      <c r="B504" s="164"/>
      <c r="C504" s="164"/>
      <c r="D504" s="113"/>
      <c r="E504" s="113"/>
      <c r="F504" s="113"/>
      <c r="G504" s="113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5.75" customHeight="1">
      <c r="A505" s="164"/>
      <c r="B505" s="164"/>
      <c r="C505" s="164"/>
      <c r="D505" s="113"/>
      <c r="E505" s="113"/>
      <c r="F505" s="113"/>
      <c r="G505" s="113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5.75" customHeight="1">
      <c r="A506" s="164"/>
      <c r="B506" s="164"/>
      <c r="C506" s="164"/>
      <c r="D506" s="113"/>
      <c r="E506" s="113"/>
      <c r="F506" s="113"/>
      <c r="G506" s="113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5.75" customHeight="1">
      <c r="A507" s="164"/>
      <c r="B507" s="164"/>
      <c r="C507" s="164"/>
      <c r="D507" s="113"/>
      <c r="E507" s="113"/>
      <c r="F507" s="113"/>
      <c r="G507" s="113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5.75" customHeight="1">
      <c r="A508" s="164"/>
      <c r="B508" s="164"/>
      <c r="C508" s="164"/>
      <c r="D508" s="113"/>
      <c r="E508" s="113"/>
      <c r="F508" s="113"/>
      <c r="G508" s="113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5.75" customHeight="1">
      <c r="A509" s="164"/>
      <c r="B509" s="164"/>
      <c r="C509" s="164"/>
      <c r="D509" s="113"/>
      <c r="E509" s="113"/>
      <c r="F509" s="113"/>
      <c r="G509" s="113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5.75" customHeight="1">
      <c r="A510" s="164"/>
      <c r="B510" s="164"/>
      <c r="C510" s="164"/>
      <c r="D510" s="113"/>
      <c r="E510" s="113"/>
      <c r="F510" s="113"/>
      <c r="G510" s="113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5.75" customHeight="1">
      <c r="A511" s="164"/>
      <c r="B511" s="164"/>
      <c r="C511" s="164"/>
      <c r="D511" s="113"/>
      <c r="E511" s="113"/>
      <c r="F511" s="113"/>
      <c r="G511" s="113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5.75" customHeight="1">
      <c r="A512" s="164"/>
      <c r="B512" s="164"/>
      <c r="C512" s="164"/>
      <c r="D512" s="113"/>
      <c r="E512" s="113"/>
      <c r="F512" s="113"/>
      <c r="G512" s="113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5.75" customHeight="1">
      <c r="A513" s="164"/>
      <c r="B513" s="164"/>
      <c r="C513" s="164"/>
      <c r="D513" s="113"/>
      <c r="E513" s="113"/>
      <c r="F513" s="113"/>
      <c r="G513" s="113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5.75" customHeight="1">
      <c r="A514" s="164"/>
      <c r="B514" s="164"/>
      <c r="C514" s="164"/>
      <c r="D514" s="113"/>
      <c r="E514" s="113"/>
      <c r="F514" s="113"/>
      <c r="G514" s="113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5.75" customHeight="1">
      <c r="A515" s="164"/>
      <c r="B515" s="164"/>
      <c r="C515" s="164"/>
      <c r="D515" s="113"/>
      <c r="E515" s="113"/>
      <c r="F515" s="113"/>
      <c r="G515" s="113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5.75" customHeight="1">
      <c r="A516" s="164"/>
      <c r="B516" s="164"/>
      <c r="C516" s="164"/>
      <c r="D516" s="113"/>
      <c r="E516" s="113"/>
      <c r="F516" s="113"/>
      <c r="G516" s="113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5.75" customHeight="1">
      <c r="A517" s="164"/>
      <c r="B517" s="164"/>
      <c r="C517" s="164"/>
      <c r="D517" s="113"/>
      <c r="E517" s="113"/>
      <c r="F517" s="113"/>
      <c r="G517" s="113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5.75" customHeight="1">
      <c r="A518" s="164"/>
      <c r="B518" s="164"/>
      <c r="C518" s="164"/>
      <c r="D518" s="113"/>
      <c r="E518" s="113"/>
      <c r="F518" s="113"/>
      <c r="G518" s="113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5.75" customHeight="1">
      <c r="A519" s="164"/>
      <c r="B519" s="164"/>
      <c r="C519" s="164"/>
      <c r="D519" s="113"/>
      <c r="E519" s="113"/>
      <c r="F519" s="113"/>
      <c r="G519" s="113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5.75" customHeight="1">
      <c r="A520" s="164"/>
      <c r="B520" s="164"/>
      <c r="C520" s="164"/>
      <c r="D520" s="113"/>
      <c r="E520" s="113"/>
      <c r="F520" s="113"/>
      <c r="G520" s="113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5.75" customHeight="1">
      <c r="A521" s="164"/>
      <c r="B521" s="164"/>
      <c r="C521" s="164"/>
      <c r="D521" s="113"/>
      <c r="E521" s="113"/>
      <c r="F521" s="113"/>
      <c r="G521" s="113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5.75" customHeight="1">
      <c r="A522" s="164"/>
      <c r="B522" s="164"/>
      <c r="C522" s="164"/>
      <c r="D522" s="113"/>
      <c r="E522" s="113"/>
      <c r="F522" s="113"/>
      <c r="G522" s="113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5.75" customHeight="1">
      <c r="A523" s="164"/>
      <c r="B523" s="164"/>
      <c r="C523" s="164"/>
      <c r="D523" s="113"/>
      <c r="E523" s="113"/>
      <c r="F523" s="113"/>
      <c r="G523" s="113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5.75" customHeight="1">
      <c r="A524" s="164"/>
      <c r="B524" s="164"/>
      <c r="C524" s="164"/>
      <c r="D524" s="113"/>
      <c r="E524" s="113"/>
      <c r="F524" s="113"/>
      <c r="G524" s="113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5.75" customHeight="1">
      <c r="A525" s="164"/>
      <c r="B525" s="164"/>
      <c r="C525" s="164"/>
      <c r="D525" s="113"/>
      <c r="E525" s="113"/>
      <c r="F525" s="113"/>
      <c r="G525" s="113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5.75" customHeight="1">
      <c r="A526" s="164"/>
      <c r="B526" s="164"/>
      <c r="C526" s="164"/>
      <c r="D526" s="113"/>
      <c r="E526" s="113"/>
      <c r="F526" s="113"/>
      <c r="G526" s="113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5.75" customHeight="1">
      <c r="A527" s="164"/>
      <c r="B527" s="164"/>
      <c r="C527" s="164"/>
      <c r="D527" s="113"/>
      <c r="E527" s="113"/>
      <c r="F527" s="113"/>
      <c r="G527" s="113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5.75" customHeight="1">
      <c r="A528" s="164"/>
      <c r="B528" s="164"/>
      <c r="C528" s="164"/>
      <c r="D528" s="113"/>
      <c r="E528" s="113"/>
      <c r="F528" s="113"/>
      <c r="G528" s="113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5.75" customHeight="1">
      <c r="A529" s="164"/>
      <c r="B529" s="164"/>
      <c r="C529" s="164"/>
      <c r="D529" s="113"/>
      <c r="E529" s="113"/>
      <c r="F529" s="113"/>
      <c r="G529" s="113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5.75" customHeight="1">
      <c r="A530" s="164"/>
      <c r="B530" s="164"/>
      <c r="C530" s="164"/>
      <c r="D530" s="113"/>
      <c r="E530" s="113"/>
      <c r="F530" s="113"/>
      <c r="G530" s="113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5.75" customHeight="1">
      <c r="A531" s="164"/>
      <c r="B531" s="164"/>
      <c r="C531" s="164"/>
      <c r="D531" s="113"/>
      <c r="E531" s="113"/>
      <c r="F531" s="113"/>
      <c r="G531" s="113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5.75" customHeight="1">
      <c r="A532" s="164"/>
      <c r="B532" s="164"/>
      <c r="C532" s="164"/>
      <c r="D532" s="113"/>
      <c r="E532" s="113"/>
      <c r="F532" s="113"/>
      <c r="G532" s="113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5.75" customHeight="1">
      <c r="A533" s="164"/>
      <c r="B533" s="164"/>
      <c r="C533" s="164"/>
      <c r="D533" s="113"/>
      <c r="E533" s="113"/>
      <c r="F533" s="113"/>
      <c r="G533" s="113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5.75" customHeight="1">
      <c r="A534" s="164"/>
      <c r="B534" s="164"/>
      <c r="C534" s="164"/>
      <c r="D534" s="113"/>
      <c r="E534" s="113"/>
      <c r="F534" s="113"/>
      <c r="G534" s="113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5.75" customHeight="1">
      <c r="A535" s="164"/>
      <c r="B535" s="164"/>
      <c r="C535" s="164"/>
      <c r="D535" s="113"/>
      <c r="E535" s="113"/>
      <c r="F535" s="113"/>
      <c r="G535" s="113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5.75" customHeight="1">
      <c r="A536" s="164"/>
      <c r="B536" s="164"/>
      <c r="C536" s="164"/>
      <c r="D536" s="113"/>
      <c r="E536" s="113"/>
      <c r="F536" s="113"/>
      <c r="G536" s="113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5.75" customHeight="1">
      <c r="A537" s="164"/>
      <c r="B537" s="164"/>
      <c r="C537" s="164"/>
      <c r="D537" s="113"/>
      <c r="E537" s="113"/>
      <c r="F537" s="113"/>
      <c r="G537" s="113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5.75" customHeight="1">
      <c r="A538" s="164"/>
      <c r="B538" s="164"/>
      <c r="C538" s="164"/>
      <c r="D538" s="113"/>
      <c r="E538" s="113"/>
      <c r="F538" s="113"/>
      <c r="G538" s="113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5.75" customHeight="1">
      <c r="A539" s="164"/>
      <c r="B539" s="164"/>
      <c r="C539" s="164"/>
      <c r="D539" s="113"/>
      <c r="E539" s="113"/>
      <c r="F539" s="113"/>
      <c r="G539" s="113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5.75" customHeight="1">
      <c r="A540" s="164"/>
      <c r="B540" s="164"/>
      <c r="C540" s="164"/>
      <c r="D540" s="113"/>
      <c r="E540" s="113"/>
      <c r="F540" s="113"/>
      <c r="G540" s="113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5.75" customHeight="1">
      <c r="A541" s="164"/>
      <c r="B541" s="164"/>
      <c r="C541" s="164"/>
      <c r="D541" s="113"/>
      <c r="E541" s="113"/>
      <c r="F541" s="113"/>
      <c r="G541" s="113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5.75" customHeight="1">
      <c r="A542" s="164"/>
      <c r="B542" s="164"/>
      <c r="C542" s="164"/>
      <c r="D542" s="113"/>
      <c r="E542" s="113"/>
      <c r="F542" s="113"/>
      <c r="G542" s="113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5.75" customHeight="1">
      <c r="A543" s="164"/>
      <c r="B543" s="164"/>
      <c r="C543" s="164"/>
      <c r="D543" s="113"/>
      <c r="E543" s="113"/>
      <c r="F543" s="113"/>
      <c r="G543" s="113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5.75" customHeight="1">
      <c r="A544" s="164"/>
      <c r="B544" s="164"/>
      <c r="C544" s="164"/>
      <c r="D544" s="113"/>
      <c r="E544" s="113"/>
      <c r="F544" s="113"/>
      <c r="G544" s="113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5.75" customHeight="1">
      <c r="A545" s="164"/>
      <c r="B545" s="164"/>
      <c r="C545" s="164"/>
      <c r="D545" s="113"/>
      <c r="E545" s="113"/>
      <c r="F545" s="113"/>
      <c r="G545" s="113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5.75" customHeight="1">
      <c r="A546" s="164"/>
      <c r="B546" s="164"/>
      <c r="C546" s="164"/>
      <c r="D546" s="113"/>
      <c r="E546" s="113"/>
      <c r="F546" s="113"/>
      <c r="G546" s="113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5.75" customHeight="1">
      <c r="A547" s="164"/>
      <c r="B547" s="164"/>
      <c r="C547" s="164"/>
      <c r="D547" s="113"/>
      <c r="E547" s="113"/>
      <c r="F547" s="113"/>
      <c r="G547" s="113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5.75" customHeight="1">
      <c r="A548" s="164"/>
      <c r="B548" s="164"/>
      <c r="C548" s="164"/>
      <c r="D548" s="113"/>
      <c r="E548" s="113"/>
      <c r="F548" s="113"/>
      <c r="G548" s="113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5.75" customHeight="1">
      <c r="A549" s="164"/>
      <c r="B549" s="164"/>
      <c r="C549" s="164"/>
      <c r="D549" s="113"/>
      <c r="E549" s="113"/>
      <c r="F549" s="113"/>
      <c r="G549" s="113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5.75" customHeight="1">
      <c r="A550" s="164"/>
      <c r="B550" s="164"/>
      <c r="C550" s="164"/>
      <c r="D550" s="113"/>
      <c r="E550" s="113"/>
      <c r="F550" s="113"/>
      <c r="G550" s="113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5.75" customHeight="1">
      <c r="A551" s="164"/>
      <c r="B551" s="164"/>
      <c r="C551" s="164"/>
      <c r="D551" s="113"/>
      <c r="E551" s="113"/>
      <c r="F551" s="113"/>
      <c r="G551" s="113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5.75" customHeight="1">
      <c r="A552" s="164"/>
      <c r="B552" s="164"/>
      <c r="C552" s="164"/>
      <c r="D552" s="113"/>
      <c r="E552" s="113"/>
      <c r="F552" s="113"/>
      <c r="G552" s="113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5.75" customHeight="1">
      <c r="A553" s="164"/>
      <c r="B553" s="164"/>
      <c r="C553" s="164"/>
      <c r="D553" s="113"/>
      <c r="E553" s="113"/>
      <c r="F553" s="113"/>
      <c r="G553" s="113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5.75" customHeight="1">
      <c r="A554" s="164"/>
      <c r="B554" s="164"/>
      <c r="C554" s="164"/>
      <c r="D554" s="113"/>
      <c r="E554" s="113"/>
      <c r="F554" s="113"/>
      <c r="G554" s="113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5.75" customHeight="1">
      <c r="A555" s="164"/>
      <c r="B555" s="164"/>
      <c r="C555" s="164"/>
      <c r="D555" s="113"/>
      <c r="E555" s="113"/>
      <c r="F555" s="113"/>
      <c r="G555" s="113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5.75" customHeight="1">
      <c r="A556" s="164"/>
      <c r="B556" s="164"/>
      <c r="C556" s="164"/>
      <c r="D556" s="113"/>
      <c r="E556" s="113"/>
      <c r="F556" s="113"/>
      <c r="G556" s="113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5.75" customHeight="1">
      <c r="A557" s="164"/>
      <c r="B557" s="164"/>
      <c r="C557" s="164"/>
      <c r="D557" s="113"/>
      <c r="E557" s="113"/>
      <c r="F557" s="113"/>
      <c r="G557" s="113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5.75" customHeight="1">
      <c r="A558" s="164"/>
      <c r="B558" s="164"/>
      <c r="C558" s="164"/>
      <c r="D558" s="113"/>
      <c r="E558" s="113"/>
      <c r="F558" s="113"/>
      <c r="G558" s="113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5.75" customHeight="1">
      <c r="A559" s="164"/>
      <c r="B559" s="164"/>
      <c r="C559" s="164"/>
      <c r="D559" s="113"/>
      <c r="E559" s="113"/>
      <c r="F559" s="113"/>
      <c r="G559" s="113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5.75" customHeight="1">
      <c r="A560" s="164"/>
      <c r="B560" s="164"/>
      <c r="C560" s="164"/>
      <c r="D560" s="113"/>
      <c r="E560" s="113"/>
      <c r="F560" s="113"/>
      <c r="G560" s="113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5.75" customHeight="1">
      <c r="A561" s="164"/>
      <c r="B561" s="164"/>
      <c r="C561" s="164"/>
      <c r="D561" s="113"/>
      <c r="E561" s="113"/>
      <c r="F561" s="113"/>
      <c r="G561" s="113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5.75" customHeight="1">
      <c r="A562" s="164"/>
      <c r="B562" s="164"/>
      <c r="C562" s="164"/>
      <c r="D562" s="113"/>
      <c r="E562" s="113"/>
      <c r="F562" s="113"/>
      <c r="G562" s="113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5.75" customHeight="1">
      <c r="A563" s="164"/>
      <c r="B563" s="164"/>
      <c r="C563" s="164"/>
      <c r="D563" s="113"/>
      <c r="E563" s="113"/>
      <c r="F563" s="113"/>
      <c r="G563" s="113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5.75" customHeight="1">
      <c r="A564" s="164"/>
      <c r="B564" s="164"/>
      <c r="C564" s="164"/>
      <c r="D564" s="113"/>
      <c r="E564" s="113"/>
      <c r="F564" s="113"/>
      <c r="G564" s="113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5.75" customHeight="1">
      <c r="A565" s="164"/>
      <c r="B565" s="164"/>
      <c r="C565" s="164"/>
      <c r="D565" s="113"/>
      <c r="E565" s="113"/>
      <c r="F565" s="113"/>
      <c r="G565" s="113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5.75" customHeight="1">
      <c r="A566" s="164"/>
      <c r="B566" s="164"/>
      <c r="C566" s="164"/>
      <c r="D566" s="113"/>
      <c r="E566" s="113"/>
      <c r="F566" s="113"/>
      <c r="G566" s="113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5.75" customHeight="1">
      <c r="A567" s="164"/>
      <c r="B567" s="164"/>
      <c r="C567" s="164"/>
      <c r="D567" s="113"/>
      <c r="E567" s="113"/>
      <c r="F567" s="113"/>
      <c r="G567" s="113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5.75" customHeight="1">
      <c r="A568" s="164"/>
      <c r="B568" s="164"/>
      <c r="C568" s="164"/>
      <c r="D568" s="113"/>
      <c r="E568" s="113"/>
      <c r="F568" s="113"/>
      <c r="G568" s="113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5.75" customHeight="1">
      <c r="A569" s="164"/>
      <c r="B569" s="164"/>
      <c r="C569" s="164"/>
      <c r="D569" s="113"/>
      <c r="E569" s="113"/>
      <c r="F569" s="113"/>
      <c r="G569" s="113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5.75" customHeight="1">
      <c r="A570" s="164"/>
      <c r="B570" s="164"/>
      <c r="C570" s="164"/>
      <c r="D570" s="113"/>
      <c r="E570" s="113"/>
      <c r="F570" s="113"/>
      <c r="G570" s="113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5.75" customHeight="1">
      <c r="A571" s="164"/>
      <c r="B571" s="164"/>
      <c r="C571" s="164"/>
      <c r="D571" s="113"/>
      <c r="E571" s="113"/>
      <c r="F571" s="113"/>
      <c r="G571" s="113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5.75" customHeight="1">
      <c r="A572" s="164"/>
      <c r="B572" s="164"/>
      <c r="C572" s="164"/>
      <c r="D572" s="113"/>
      <c r="E572" s="113"/>
      <c r="F572" s="113"/>
      <c r="G572" s="113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5.75" customHeight="1">
      <c r="A573" s="164"/>
      <c r="B573" s="164"/>
      <c r="C573" s="164"/>
      <c r="D573" s="113"/>
      <c r="E573" s="113"/>
      <c r="F573" s="113"/>
      <c r="G573" s="113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5.75" customHeight="1">
      <c r="A574" s="164"/>
      <c r="B574" s="164"/>
      <c r="C574" s="164"/>
      <c r="D574" s="113"/>
      <c r="E574" s="113"/>
      <c r="F574" s="113"/>
      <c r="G574" s="113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5.75" customHeight="1">
      <c r="A575" s="164"/>
      <c r="B575" s="164"/>
      <c r="C575" s="164"/>
      <c r="D575" s="113"/>
      <c r="E575" s="113"/>
      <c r="F575" s="113"/>
      <c r="G575" s="113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5.75" customHeight="1">
      <c r="A576" s="164"/>
      <c r="B576" s="164"/>
      <c r="C576" s="164"/>
      <c r="D576" s="113"/>
      <c r="E576" s="113"/>
      <c r="F576" s="113"/>
      <c r="G576" s="113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5.75" customHeight="1">
      <c r="A577" s="164"/>
      <c r="B577" s="164"/>
      <c r="C577" s="164"/>
      <c r="D577" s="113"/>
      <c r="E577" s="113"/>
      <c r="F577" s="113"/>
      <c r="G577" s="113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5.75" customHeight="1">
      <c r="A578" s="164"/>
      <c r="B578" s="164"/>
      <c r="C578" s="164"/>
      <c r="D578" s="113"/>
      <c r="E578" s="113"/>
      <c r="F578" s="113"/>
      <c r="G578" s="113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5.75" customHeight="1">
      <c r="A579" s="164"/>
      <c r="B579" s="164"/>
      <c r="C579" s="164"/>
      <c r="D579" s="113"/>
      <c r="E579" s="113"/>
      <c r="F579" s="113"/>
      <c r="G579" s="113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5.75" customHeight="1">
      <c r="A580" s="164"/>
      <c r="B580" s="164"/>
      <c r="C580" s="164"/>
      <c r="D580" s="113"/>
      <c r="E580" s="113"/>
      <c r="F580" s="113"/>
      <c r="G580" s="113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5.75" customHeight="1">
      <c r="A581" s="164"/>
      <c r="B581" s="164"/>
      <c r="C581" s="164"/>
      <c r="D581" s="113"/>
      <c r="E581" s="113"/>
      <c r="F581" s="113"/>
      <c r="G581" s="113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5.75" customHeight="1">
      <c r="A582" s="164"/>
      <c r="B582" s="164"/>
      <c r="C582" s="164"/>
      <c r="D582" s="113"/>
      <c r="E582" s="113"/>
      <c r="F582" s="113"/>
      <c r="G582" s="113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5.75" customHeight="1">
      <c r="A583" s="164"/>
      <c r="B583" s="164"/>
      <c r="C583" s="164"/>
      <c r="D583" s="113"/>
      <c r="E583" s="113"/>
      <c r="F583" s="113"/>
      <c r="G583" s="113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5.75" customHeight="1">
      <c r="A584" s="164"/>
      <c r="B584" s="164"/>
      <c r="C584" s="164"/>
      <c r="D584" s="113"/>
      <c r="E584" s="113"/>
      <c r="F584" s="113"/>
      <c r="G584" s="113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5.75" customHeight="1">
      <c r="A585" s="164"/>
      <c r="B585" s="164"/>
      <c r="C585" s="164"/>
      <c r="D585" s="113"/>
      <c r="E585" s="113"/>
      <c r="F585" s="113"/>
      <c r="G585" s="113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5.75" customHeight="1">
      <c r="A586" s="164"/>
      <c r="B586" s="164"/>
      <c r="C586" s="164"/>
      <c r="D586" s="113"/>
      <c r="E586" s="113"/>
      <c r="F586" s="113"/>
      <c r="G586" s="113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5.75" customHeight="1">
      <c r="A587" s="164"/>
      <c r="B587" s="164"/>
      <c r="C587" s="164"/>
      <c r="D587" s="113"/>
      <c r="E587" s="113"/>
      <c r="F587" s="113"/>
      <c r="G587" s="113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5.75" customHeight="1">
      <c r="A588" s="164"/>
      <c r="B588" s="164"/>
      <c r="C588" s="164"/>
      <c r="D588" s="113"/>
      <c r="E588" s="113"/>
      <c r="F588" s="113"/>
      <c r="G588" s="113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5.75" customHeight="1">
      <c r="A589" s="164"/>
      <c r="B589" s="164"/>
      <c r="C589" s="164"/>
      <c r="D589" s="113"/>
      <c r="E589" s="113"/>
      <c r="F589" s="113"/>
      <c r="G589" s="113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5.75" customHeight="1">
      <c r="A590" s="164"/>
      <c r="B590" s="164"/>
      <c r="C590" s="164"/>
      <c r="D590" s="113"/>
      <c r="E590" s="113"/>
      <c r="F590" s="113"/>
      <c r="G590" s="113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5.75" customHeight="1">
      <c r="A591" s="164"/>
      <c r="B591" s="164"/>
      <c r="C591" s="164"/>
      <c r="D591" s="113"/>
      <c r="E591" s="113"/>
      <c r="F591" s="113"/>
      <c r="G591" s="113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5.75" customHeight="1">
      <c r="A592" s="164"/>
      <c r="B592" s="164"/>
      <c r="C592" s="164"/>
      <c r="D592" s="113"/>
      <c r="E592" s="113"/>
      <c r="F592" s="113"/>
      <c r="G592" s="113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5.75" customHeight="1">
      <c r="A593" s="164"/>
      <c r="B593" s="164"/>
      <c r="C593" s="164"/>
      <c r="D593" s="113"/>
      <c r="E593" s="113"/>
      <c r="F593" s="113"/>
      <c r="G593" s="113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5.75" customHeight="1">
      <c r="A594" s="164"/>
      <c r="B594" s="164"/>
      <c r="C594" s="164"/>
      <c r="D594" s="113"/>
      <c r="E594" s="113"/>
      <c r="F594" s="113"/>
      <c r="G594" s="113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5.75" customHeight="1">
      <c r="A595" s="164"/>
      <c r="B595" s="164"/>
      <c r="C595" s="164"/>
      <c r="D595" s="113"/>
      <c r="E595" s="113"/>
      <c r="F595" s="113"/>
      <c r="G595" s="113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5.75" customHeight="1">
      <c r="A596" s="164"/>
      <c r="B596" s="164"/>
      <c r="C596" s="164"/>
      <c r="D596" s="113"/>
      <c r="E596" s="113"/>
      <c r="F596" s="113"/>
      <c r="G596" s="113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5.75" customHeight="1">
      <c r="A597" s="164"/>
      <c r="B597" s="164"/>
      <c r="C597" s="164"/>
      <c r="D597" s="113"/>
      <c r="E597" s="113"/>
      <c r="F597" s="113"/>
      <c r="G597" s="113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5.75" customHeight="1">
      <c r="A598" s="164"/>
      <c r="B598" s="164"/>
      <c r="C598" s="164"/>
      <c r="D598" s="113"/>
      <c r="E598" s="113"/>
      <c r="F598" s="113"/>
      <c r="G598" s="113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5.75" customHeight="1">
      <c r="A599" s="164"/>
      <c r="B599" s="164"/>
      <c r="C599" s="164"/>
      <c r="D599" s="113"/>
      <c r="E599" s="113"/>
      <c r="F599" s="113"/>
      <c r="G599" s="113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5.75" customHeight="1">
      <c r="A600" s="164"/>
      <c r="B600" s="164"/>
      <c r="C600" s="164"/>
      <c r="D600" s="113"/>
      <c r="E600" s="113"/>
      <c r="F600" s="113"/>
      <c r="G600" s="113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5.75" customHeight="1">
      <c r="A601" s="164"/>
      <c r="B601" s="164"/>
      <c r="C601" s="164"/>
      <c r="D601" s="113"/>
      <c r="E601" s="113"/>
      <c r="F601" s="113"/>
      <c r="G601" s="113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5.75" customHeight="1">
      <c r="A602" s="164"/>
      <c r="B602" s="164"/>
      <c r="C602" s="164"/>
      <c r="D602" s="113"/>
      <c r="E602" s="113"/>
      <c r="F602" s="113"/>
      <c r="G602" s="113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5.75" customHeight="1">
      <c r="A603" s="164"/>
      <c r="B603" s="164"/>
      <c r="C603" s="164"/>
      <c r="D603" s="113"/>
      <c r="E603" s="113"/>
      <c r="F603" s="113"/>
      <c r="G603" s="113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5.75" customHeight="1">
      <c r="A604" s="164"/>
      <c r="B604" s="164"/>
      <c r="C604" s="164"/>
      <c r="D604" s="113"/>
      <c r="E604" s="113"/>
      <c r="F604" s="113"/>
      <c r="G604" s="113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5.75" customHeight="1">
      <c r="A605" s="164"/>
      <c r="B605" s="164"/>
      <c r="C605" s="164"/>
      <c r="D605" s="113"/>
      <c r="E605" s="113"/>
      <c r="F605" s="113"/>
      <c r="G605" s="113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5.75" customHeight="1">
      <c r="A606" s="164"/>
      <c r="B606" s="164"/>
      <c r="C606" s="164"/>
      <c r="D606" s="113"/>
      <c r="E606" s="113"/>
      <c r="F606" s="113"/>
      <c r="G606" s="113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5.75" customHeight="1">
      <c r="A607" s="164"/>
      <c r="B607" s="164"/>
      <c r="C607" s="164"/>
      <c r="D607" s="113"/>
      <c r="E607" s="113"/>
      <c r="F607" s="113"/>
      <c r="G607" s="113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5.75" customHeight="1">
      <c r="A608" s="164"/>
      <c r="B608" s="164"/>
      <c r="C608" s="164"/>
      <c r="D608" s="113"/>
      <c r="E608" s="113"/>
      <c r="F608" s="113"/>
      <c r="G608" s="113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5.75" customHeight="1">
      <c r="A609" s="164"/>
      <c r="B609" s="164"/>
      <c r="C609" s="164"/>
      <c r="D609" s="113"/>
      <c r="E609" s="113"/>
      <c r="F609" s="113"/>
      <c r="G609" s="113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5.75" customHeight="1">
      <c r="A610" s="164"/>
      <c r="B610" s="164"/>
      <c r="C610" s="164"/>
      <c r="D610" s="113"/>
      <c r="E610" s="113"/>
      <c r="F610" s="113"/>
      <c r="G610" s="113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5.75" customHeight="1">
      <c r="A611" s="164"/>
      <c r="B611" s="164"/>
      <c r="C611" s="164"/>
      <c r="D611" s="113"/>
      <c r="E611" s="113"/>
      <c r="F611" s="113"/>
      <c r="G611" s="113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5.75" customHeight="1">
      <c r="A612" s="164"/>
      <c r="B612" s="164"/>
      <c r="C612" s="164"/>
      <c r="D612" s="113"/>
      <c r="E612" s="113"/>
      <c r="F612" s="113"/>
      <c r="G612" s="113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5.75" customHeight="1">
      <c r="A613" s="164"/>
      <c r="B613" s="164"/>
      <c r="C613" s="164"/>
      <c r="D613" s="113"/>
      <c r="E613" s="113"/>
      <c r="F613" s="113"/>
      <c r="G613" s="113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5.75" customHeight="1">
      <c r="A614" s="164"/>
      <c r="B614" s="164"/>
      <c r="C614" s="164"/>
      <c r="D614" s="113"/>
      <c r="E614" s="113"/>
      <c r="F614" s="113"/>
      <c r="G614" s="113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5.75" customHeight="1">
      <c r="A615" s="164"/>
      <c r="B615" s="164"/>
      <c r="C615" s="164"/>
      <c r="D615" s="113"/>
      <c r="E615" s="113"/>
      <c r="F615" s="113"/>
      <c r="G615" s="113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5.75" customHeight="1">
      <c r="A616" s="164"/>
      <c r="B616" s="164"/>
      <c r="C616" s="164"/>
      <c r="D616" s="113"/>
      <c r="E616" s="113"/>
      <c r="F616" s="113"/>
      <c r="G616" s="113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5.75" customHeight="1">
      <c r="A617" s="164"/>
      <c r="B617" s="164"/>
      <c r="C617" s="164"/>
      <c r="D617" s="113"/>
      <c r="E617" s="113"/>
      <c r="F617" s="113"/>
      <c r="G617" s="113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5.75" customHeight="1">
      <c r="A618" s="164"/>
      <c r="B618" s="164"/>
      <c r="C618" s="164"/>
      <c r="D618" s="113"/>
      <c r="E618" s="113"/>
      <c r="F618" s="113"/>
      <c r="G618" s="113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5.75" customHeight="1">
      <c r="A619" s="164"/>
      <c r="B619" s="164"/>
      <c r="C619" s="164"/>
      <c r="D619" s="113"/>
      <c r="E619" s="113"/>
      <c r="F619" s="113"/>
      <c r="G619" s="113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5.75" customHeight="1">
      <c r="A620" s="164"/>
      <c r="B620" s="164"/>
      <c r="C620" s="164"/>
      <c r="D620" s="113"/>
      <c r="E620" s="113"/>
      <c r="F620" s="113"/>
      <c r="G620" s="113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64"/>
      <c r="B621" s="164"/>
      <c r="C621" s="164"/>
      <c r="D621" s="113"/>
      <c r="E621" s="113"/>
      <c r="F621" s="113"/>
      <c r="G621" s="113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5.75" customHeight="1">
      <c r="A622" s="164"/>
      <c r="B622" s="164"/>
      <c r="C622" s="164"/>
      <c r="D622" s="113"/>
      <c r="E622" s="113"/>
      <c r="F622" s="113"/>
      <c r="G622" s="113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5.75" customHeight="1">
      <c r="A623" s="164"/>
      <c r="B623" s="164"/>
      <c r="C623" s="164"/>
      <c r="D623" s="113"/>
      <c r="E623" s="113"/>
      <c r="F623" s="113"/>
      <c r="G623" s="113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5.75" customHeight="1">
      <c r="A624" s="164"/>
      <c r="B624" s="164"/>
      <c r="C624" s="164"/>
      <c r="D624" s="113"/>
      <c r="E624" s="113"/>
      <c r="F624" s="113"/>
      <c r="G624" s="113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5.75" customHeight="1">
      <c r="A625" s="164"/>
      <c r="B625" s="164"/>
      <c r="C625" s="164"/>
      <c r="D625" s="113"/>
      <c r="E625" s="113"/>
      <c r="F625" s="113"/>
      <c r="G625" s="113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5.75" customHeight="1">
      <c r="A626" s="164"/>
      <c r="B626" s="164"/>
      <c r="C626" s="164"/>
      <c r="D626" s="113"/>
      <c r="E626" s="113"/>
      <c r="F626" s="113"/>
      <c r="G626" s="113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5.75" customHeight="1">
      <c r="A627" s="164"/>
      <c r="B627" s="164"/>
      <c r="C627" s="164"/>
      <c r="D627" s="113"/>
      <c r="E627" s="113"/>
      <c r="F627" s="113"/>
      <c r="G627" s="113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5.75" customHeight="1">
      <c r="A628" s="164"/>
      <c r="B628" s="164"/>
      <c r="C628" s="164"/>
      <c r="D628" s="113"/>
      <c r="E628" s="113"/>
      <c r="F628" s="113"/>
      <c r="G628" s="113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5.75" customHeight="1">
      <c r="A629" s="164"/>
      <c r="B629" s="164"/>
      <c r="C629" s="164"/>
      <c r="D629" s="113"/>
      <c r="E629" s="113"/>
      <c r="F629" s="113"/>
      <c r="G629" s="113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5.75" customHeight="1">
      <c r="A630" s="164"/>
      <c r="B630" s="164"/>
      <c r="C630" s="164"/>
      <c r="D630" s="113"/>
      <c r="E630" s="113"/>
      <c r="F630" s="113"/>
      <c r="G630" s="113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5.75" customHeight="1">
      <c r="A631" s="164"/>
      <c r="B631" s="164"/>
      <c r="C631" s="164"/>
      <c r="D631" s="113"/>
      <c r="E631" s="113"/>
      <c r="F631" s="113"/>
      <c r="G631" s="113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5.75" customHeight="1">
      <c r="A632" s="164"/>
      <c r="B632" s="164"/>
      <c r="C632" s="164"/>
      <c r="D632" s="113"/>
      <c r="E632" s="113"/>
      <c r="F632" s="113"/>
      <c r="G632" s="113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5.75" customHeight="1">
      <c r="A633" s="164"/>
      <c r="B633" s="164"/>
      <c r="C633" s="164"/>
      <c r="D633" s="113"/>
      <c r="E633" s="113"/>
      <c r="F633" s="113"/>
      <c r="G633" s="113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5.75" customHeight="1">
      <c r="A634" s="164"/>
      <c r="B634" s="164"/>
      <c r="C634" s="164"/>
      <c r="D634" s="113"/>
      <c r="E634" s="113"/>
      <c r="F634" s="113"/>
      <c r="G634" s="113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5.75" customHeight="1">
      <c r="A635" s="164"/>
      <c r="B635" s="164"/>
      <c r="C635" s="164"/>
      <c r="D635" s="113"/>
      <c r="E635" s="113"/>
      <c r="F635" s="113"/>
      <c r="G635" s="113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5.75" customHeight="1">
      <c r="A636" s="164"/>
      <c r="B636" s="164"/>
      <c r="C636" s="164"/>
      <c r="D636" s="113"/>
      <c r="E636" s="113"/>
      <c r="F636" s="113"/>
      <c r="G636" s="113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5.75" customHeight="1">
      <c r="A637" s="164"/>
      <c r="B637" s="164"/>
      <c r="C637" s="164"/>
      <c r="D637" s="113"/>
      <c r="E637" s="113"/>
      <c r="F637" s="113"/>
      <c r="G637" s="113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5.75" customHeight="1">
      <c r="A638" s="164"/>
      <c r="B638" s="164"/>
      <c r="C638" s="164"/>
      <c r="D638" s="113"/>
      <c r="E638" s="113"/>
      <c r="F638" s="113"/>
      <c r="G638" s="113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5.75" customHeight="1">
      <c r="A639" s="164"/>
      <c r="B639" s="164"/>
      <c r="C639" s="164"/>
      <c r="D639" s="113"/>
      <c r="E639" s="113"/>
      <c r="F639" s="113"/>
      <c r="G639" s="113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5.75" customHeight="1">
      <c r="A640" s="164"/>
      <c r="B640" s="164"/>
      <c r="C640" s="164"/>
      <c r="D640" s="113"/>
      <c r="E640" s="113"/>
      <c r="F640" s="113"/>
      <c r="G640" s="113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5.75" customHeight="1">
      <c r="A641" s="164"/>
      <c r="B641" s="164"/>
      <c r="C641" s="164"/>
      <c r="D641" s="113"/>
      <c r="E641" s="113"/>
      <c r="F641" s="113"/>
      <c r="G641" s="113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5.75" customHeight="1">
      <c r="A642" s="164"/>
      <c r="B642" s="164"/>
      <c r="C642" s="164"/>
      <c r="D642" s="113"/>
      <c r="E642" s="113"/>
      <c r="F642" s="113"/>
      <c r="G642" s="113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5.75" customHeight="1">
      <c r="A643" s="164"/>
      <c r="B643" s="164"/>
      <c r="C643" s="164"/>
      <c r="D643" s="113"/>
      <c r="E643" s="113"/>
      <c r="F643" s="113"/>
      <c r="G643" s="113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5.75" customHeight="1">
      <c r="A644" s="164"/>
      <c r="B644" s="164"/>
      <c r="C644" s="164"/>
      <c r="D644" s="113"/>
      <c r="E644" s="113"/>
      <c r="F644" s="113"/>
      <c r="G644" s="113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5.75" customHeight="1">
      <c r="A645" s="164"/>
      <c r="B645" s="164"/>
      <c r="C645" s="164"/>
      <c r="D645" s="113"/>
      <c r="E645" s="113"/>
      <c r="F645" s="113"/>
      <c r="G645" s="113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5.75" customHeight="1">
      <c r="A646" s="164"/>
      <c r="B646" s="164"/>
      <c r="C646" s="164"/>
      <c r="D646" s="113"/>
      <c r="E646" s="113"/>
      <c r="F646" s="113"/>
      <c r="G646" s="113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5.75" customHeight="1">
      <c r="A647" s="164"/>
      <c r="B647" s="164"/>
      <c r="C647" s="164"/>
      <c r="D647" s="113"/>
      <c r="E647" s="113"/>
      <c r="F647" s="113"/>
      <c r="G647" s="113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5.75" customHeight="1">
      <c r="A648" s="164"/>
      <c r="B648" s="164"/>
      <c r="C648" s="164"/>
      <c r="D648" s="113"/>
      <c r="E648" s="113"/>
      <c r="F648" s="113"/>
      <c r="G648" s="113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5.75" customHeight="1">
      <c r="A649" s="164"/>
      <c r="B649" s="164"/>
      <c r="C649" s="164"/>
      <c r="D649" s="113"/>
      <c r="E649" s="113"/>
      <c r="F649" s="113"/>
      <c r="G649" s="113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5.75" customHeight="1">
      <c r="A650" s="164"/>
      <c r="B650" s="164"/>
      <c r="C650" s="164"/>
      <c r="D650" s="113"/>
      <c r="E650" s="113"/>
      <c r="F650" s="113"/>
      <c r="G650" s="113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5.75" customHeight="1">
      <c r="A651" s="164"/>
      <c r="B651" s="164"/>
      <c r="C651" s="164"/>
      <c r="D651" s="113"/>
      <c r="E651" s="113"/>
      <c r="F651" s="113"/>
      <c r="G651" s="113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5.75" customHeight="1">
      <c r="A652" s="164"/>
      <c r="B652" s="164"/>
      <c r="C652" s="164"/>
      <c r="D652" s="113"/>
      <c r="E652" s="113"/>
      <c r="F652" s="113"/>
      <c r="G652" s="113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5.75" customHeight="1">
      <c r="A653" s="164"/>
      <c r="B653" s="164"/>
      <c r="C653" s="164"/>
      <c r="D653" s="113"/>
      <c r="E653" s="113"/>
      <c r="F653" s="113"/>
      <c r="G653" s="113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5.75" customHeight="1">
      <c r="A654" s="164"/>
      <c r="B654" s="164"/>
      <c r="C654" s="164"/>
      <c r="D654" s="113"/>
      <c r="E654" s="113"/>
      <c r="F654" s="113"/>
      <c r="G654" s="113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5.75" customHeight="1">
      <c r="A655" s="164"/>
      <c r="B655" s="164"/>
      <c r="C655" s="164"/>
      <c r="D655" s="113"/>
      <c r="E655" s="113"/>
      <c r="F655" s="113"/>
      <c r="G655" s="113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5.75" customHeight="1">
      <c r="A656" s="164"/>
      <c r="B656" s="164"/>
      <c r="C656" s="164"/>
      <c r="D656" s="113"/>
      <c r="E656" s="113"/>
      <c r="F656" s="113"/>
      <c r="G656" s="113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5.75" customHeight="1">
      <c r="A657" s="164"/>
      <c r="B657" s="164"/>
      <c r="C657" s="164"/>
      <c r="D657" s="113"/>
      <c r="E657" s="113"/>
      <c r="F657" s="113"/>
      <c r="G657" s="113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5.75" customHeight="1">
      <c r="A658" s="164"/>
      <c r="B658" s="164"/>
      <c r="C658" s="164"/>
      <c r="D658" s="113"/>
      <c r="E658" s="113"/>
      <c r="F658" s="113"/>
      <c r="G658" s="113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5.75" customHeight="1">
      <c r="A659" s="164"/>
      <c r="B659" s="164"/>
      <c r="C659" s="164"/>
      <c r="D659" s="113"/>
      <c r="E659" s="113"/>
      <c r="F659" s="113"/>
      <c r="G659" s="113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5.75" customHeight="1">
      <c r="A660" s="164"/>
      <c r="B660" s="164"/>
      <c r="C660" s="164"/>
      <c r="D660" s="113"/>
      <c r="E660" s="113"/>
      <c r="F660" s="113"/>
      <c r="G660" s="113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5.75" customHeight="1">
      <c r="A661" s="164"/>
      <c r="B661" s="164"/>
      <c r="C661" s="164"/>
      <c r="D661" s="113"/>
      <c r="E661" s="113"/>
      <c r="F661" s="113"/>
      <c r="G661" s="113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5.75" customHeight="1">
      <c r="A662" s="164"/>
      <c r="B662" s="164"/>
      <c r="C662" s="164"/>
      <c r="D662" s="113"/>
      <c r="E662" s="113"/>
      <c r="F662" s="113"/>
      <c r="G662" s="113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5.75" customHeight="1">
      <c r="A663" s="164"/>
      <c r="B663" s="164"/>
      <c r="C663" s="164"/>
      <c r="D663" s="113"/>
      <c r="E663" s="113"/>
      <c r="F663" s="113"/>
      <c r="G663" s="113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5.75" customHeight="1">
      <c r="A664" s="164"/>
      <c r="B664" s="164"/>
      <c r="C664" s="164"/>
      <c r="D664" s="113"/>
      <c r="E664" s="113"/>
      <c r="F664" s="113"/>
      <c r="G664" s="113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5.75" customHeight="1">
      <c r="A665" s="164"/>
      <c r="B665" s="164"/>
      <c r="C665" s="164"/>
      <c r="D665" s="113"/>
      <c r="E665" s="113"/>
      <c r="F665" s="113"/>
      <c r="G665" s="113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5.75" customHeight="1">
      <c r="A666" s="164"/>
      <c r="B666" s="164"/>
      <c r="C666" s="164"/>
      <c r="D666" s="113"/>
      <c r="E666" s="113"/>
      <c r="F666" s="113"/>
      <c r="G666" s="113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5.75" customHeight="1">
      <c r="A667" s="164"/>
      <c r="B667" s="164"/>
      <c r="C667" s="164"/>
      <c r="D667" s="113"/>
      <c r="E667" s="113"/>
      <c r="F667" s="113"/>
      <c r="G667" s="113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5.75" customHeight="1">
      <c r="A668" s="164"/>
      <c r="B668" s="164"/>
      <c r="C668" s="164"/>
      <c r="D668" s="113"/>
      <c r="E668" s="113"/>
      <c r="F668" s="113"/>
      <c r="G668" s="113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5.75" customHeight="1">
      <c r="A669" s="164"/>
      <c r="B669" s="164"/>
      <c r="C669" s="164"/>
      <c r="D669" s="113"/>
      <c r="E669" s="113"/>
      <c r="F669" s="113"/>
      <c r="G669" s="113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5.75" customHeight="1">
      <c r="A670" s="164"/>
      <c r="B670" s="164"/>
      <c r="C670" s="164"/>
      <c r="D670" s="113"/>
      <c r="E670" s="113"/>
      <c r="F670" s="113"/>
      <c r="G670" s="113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5.75" customHeight="1">
      <c r="A671" s="164"/>
      <c r="B671" s="164"/>
      <c r="C671" s="164"/>
      <c r="D671" s="113"/>
      <c r="E671" s="113"/>
      <c r="F671" s="113"/>
      <c r="G671" s="113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5.75" customHeight="1">
      <c r="A672" s="164"/>
      <c r="B672" s="164"/>
      <c r="C672" s="164"/>
      <c r="D672" s="113"/>
      <c r="E672" s="113"/>
      <c r="F672" s="113"/>
      <c r="G672" s="113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5.75" customHeight="1">
      <c r="A673" s="164"/>
      <c r="B673" s="164"/>
      <c r="C673" s="164"/>
      <c r="D673" s="113"/>
      <c r="E673" s="113"/>
      <c r="F673" s="113"/>
      <c r="G673" s="113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5.75" customHeight="1">
      <c r="A674" s="164"/>
      <c r="B674" s="164"/>
      <c r="C674" s="164"/>
      <c r="D674" s="113"/>
      <c r="E674" s="113"/>
      <c r="F674" s="113"/>
      <c r="G674" s="113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5.75" customHeight="1">
      <c r="A675" s="164"/>
      <c r="B675" s="164"/>
      <c r="C675" s="164"/>
      <c r="D675" s="113"/>
      <c r="E675" s="113"/>
      <c r="F675" s="113"/>
      <c r="G675" s="113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5.75" customHeight="1">
      <c r="A676" s="164"/>
      <c r="B676" s="164"/>
      <c r="C676" s="164"/>
      <c r="D676" s="113"/>
      <c r="E676" s="113"/>
      <c r="F676" s="113"/>
      <c r="G676" s="113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5.75" customHeight="1">
      <c r="A677" s="164"/>
      <c r="B677" s="164"/>
      <c r="C677" s="164"/>
      <c r="D677" s="113"/>
      <c r="E677" s="113"/>
      <c r="F677" s="113"/>
      <c r="G677" s="113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5.75" customHeight="1">
      <c r="A678" s="164"/>
      <c r="B678" s="164"/>
      <c r="C678" s="164"/>
      <c r="D678" s="113"/>
      <c r="E678" s="113"/>
      <c r="F678" s="113"/>
      <c r="G678" s="113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5.75" customHeight="1">
      <c r="A679" s="164"/>
      <c r="B679" s="164"/>
      <c r="C679" s="164"/>
      <c r="D679" s="113"/>
      <c r="E679" s="113"/>
      <c r="F679" s="113"/>
      <c r="G679" s="113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5.75" customHeight="1">
      <c r="A680" s="164"/>
      <c r="B680" s="164"/>
      <c r="C680" s="164"/>
      <c r="D680" s="113"/>
      <c r="E680" s="113"/>
      <c r="F680" s="113"/>
      <c r="G680" s="113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5.75" customHeight="1">
      <c r="A681" s="164"/>
      <c r="B681" s="164"/>
      <c r="C681" s="164"/>
      <c r="D681" s="113"/>
      <c r="E681" s="113"/>
      <c r="F681" s="113"/>
      <c r="G681" s="113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5.75" customHeight="1">
      <c r="A682" s="164"/>
      <c r="B682" s="164"/>
      <c r="C682" s="164"/>
      <c r="D682" s="113"/>
      <c r="E682" s="113"/>
      <c r="F682" s="113"/>
      <c r="G682" s="113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5.75" customHeight="1">
      <c r="A683" s="164"/>
      <c r="B683" s="164"/>
      <c r="C683" s="164"/>
      <c r="D683" s="113"/>
      <c r="E683" s="113"/>
      <c r="F683" s="113"/>
      <c r="G683" s="113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5.75" customHeight="1">
      <c r="A684" s="164"/>
      <c r="B684" s="164"/>
      <c r="C684" s="164"/>
      <c r="D684" s="113"/>
      <c r="E684" s="113"/>
      <c r="F684" s="113"/>
      <c r="G684" s="113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5.75" customHeight="1">
      <c r="A685" s="164"/>
      <c r="B685" s="164"/>
      <c r="C685" s="164"/>
      <c r="D685" s="113"/>
      <c r="E685" s="113"/>
      <c r="F685" s="113"/>
      <c r="G685" s="113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5.75" customHeight="1">
      <c r="A686" s="164"/>
      <c r="B686" s="164"/>
      <c r="C686" s="164"/>
      <c r="D686" s="113"/>
      <c r="E686" s="113"/>
      <c r="F686" s="113"/>
      <c r="G686" s="113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5.75" customHeight="1">
      <c r="A687" s="164"/>
      <c r="B687" s="164"/>
      <c r="C687" s="164"/>
      <c r="D687" s="113"/>
      <c r="E687" s="113"/>
      <c r="F687" s="113"/>
      <c r="G687" s="113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5.75" customHeight="1">
      <c r="A688" s="164"/>
      <c r="B688" s="164"/>
      <c r="C688" s="164"/>
      <c r="D688" s="113"/>
      <c r="E688" s="113"/>
      <c r="F688" s="113"/>
      <c r="G688" s="113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5.75" customHeight="1">
      <c r="A689" s="164"/>
      <c r="B689" s="164"/>
      <c r="C689" s="164"/>
      <c r="D689" s="113"/>
      <c r="E689" s="113"/>
      <c r="F689" s="113"/>
      <c r="G689" s="113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5.75" customHeight="1">
      <c r="A690" s="164"/>
      <c r="B690" s="164"/>
      <c r="C690" s="164"/>
      <c r="D690" s="113"/>
      <c r="E690" s="113"/>
      <c r="F690" s="113"/>
      <c r="G690" s="113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5.75" customHeight="1">
      <c r="A691" s="164"/>
      <c r="B691" s="164"/>
      <c r="C691" s="164"/>
      <c r="D691" s="113"/>
      <c r="E691" s="113"/>
      <c r="F691" s="113"/>
      <c r="G691" s="113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5.75" customHeight="1">
      <c r="A692" s="164"/>
      <c r="B692" s="164"/>
      <c r="C692" s="164"/>
      <c r="D692" s="113"/>
      <c r="E692" s="113"/>
      <c r="F692" s="113"/>
      <c r="G692" s="113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5.75" customHeight="1">
      <c r="A693" s="164"/>
      <c r="B693" s="164"/>
      <c r="C693" s="164"/>
      <c r="D693" s="113"/>
      <c r="E693" s="113"/>
      <c r="F693" s="113"/>
      <c r="G693" s="113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5.75" customHeight="1">
      <c r="A694" s="164"/>
      <c r="B694" s="164"/>
      <c r="C694" s="164"/>
      <c r="D694" s="113"/>
      <c r="E694" s="113"/>
      <c r="F694" s="113"/>
      <c r="G694" s="113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5.75" customHeight="1">
      <c r="A695" s="164"/>
      <c r="B695" s="164"/>
      <c r="C695" s="164"/>
      <c r="D695" s="113"/>
      <c r="E695" s="113"/>
      <c r="F695" s="113"/>
      <c r="G695" s="113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5.75" customHeight="1">
      <c r="A696" s="164"/>
      <c r="B696" s="164"/>
      <c r="C696" s="164"/>
      <c r="D696" s="113"/>
      <c r="E696" s="113"/>
      <c r="F696" s="113"/>
      <c r="G696" s="113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5.75" customHeight="1">
      <c r="A697" s="164"/>
      <c r="B697" s="164"/>
      <c r="C697" s="164"/>
      <c r="D697" s="113"/>
      <c r="E697" s="113"/>
      <c r="F697" s="113"/>
      <c r="G697" s="113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5.75" customHeight="1">
      <c r="A698" s="164"/>
      <c r="B698" s="164"/>
      <c r="C698" s="164"/>
      <c r="D698" s="113"/>
      <c r="E698" s="113"/>
      <c r="F698" s="113"/>
      <c r="G698" s="113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5.75" customHeight="1">
      <c r="A699" s="164"/>
      <c r="B699" s="164"/>
      <c r="C699" s="164"/>
      <c r="D699" s="113"/>
      <c r="E699" s="113"/>
      <c r="F699" s="113"/>
      <c r="G699" s="113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5.75" customHeight="1">
      <c r="A700" s="164"/>
      <c r="B700" s="164"/>
      <c r="C700" s="164"/>
      <c r="D700" s="113"/>
      <c r="E700" s="113"/>
      <c r="F700" s="113"/>
      <c r="G700" s="113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5.75" customHeight="1">
      <c r="A701" s="164"/>
      <c r="B701" s="164"/>
      <c r="C701" s="164"/>
      <c r="D701" s="113"/>
      <c r="E701" s="113"/>
      <c r="F701" s="113"/>
      <c r="G701" s="113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5.75" customHeight="1">
      <c r="A702" s="164"/>
      <c r="B702" s="164"/>
      <c r="C702" s="164"/>
      <c r="D702" s="113"/>
      <c r="E702" s="113"/>
      <c r="F702" s="113"/>
      <c r="G702" s="113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5.75" customHeight="1">
      <c r="A703" s="164"/>
      <c r="B703" s="164"/>
      <c r="C703" s="164"/>
      <c r="D703" s="113"/>
      <c r="E703" s="113"/>
      <c r="F703" s="113"/>
      <c r="G703" s="113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5.75" customHeight="1">
      <c r="A704" s="164"/>
      <c r="B704" s="164"/>
      <c r="C704" s="164"/>
      <c r="D704" s="113"/>
      <c r="E704" s="113"/>
      <c r="F704" s="113"/>
      <c r="G704" s="113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5.75" customHeight="1">
      <c r="A705" s="164"/>
      <c r="B705" s="164"/>
      <c r="C705" s="164"/>
      <c r="D705" s="113"/>
      <c r="E705" s="113"/>
      <c r="F705" s="113"/>
      <c r="G705" s="113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5.75" customHeight="1">
      <c r="A706" s="164"/>
      <c r="B706" s="164"/>
      <c r="C706" s="164"/>
      <c r="D706" s="113"/>
      <c r="E706" s="113"/>
      <c r="F706" s="113"/>
      <c r="G706" s="113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5.75" customHeight="1">
      <c r="A707" s="164"/>
      <c r="B707" s="164"/>
      <c r="C707" s="164"/>
      <c r="D707" s="113"/>
      <c r="E707" s="113"/>
      <c r="F707" s="113"/>
      <c r="G707" s="113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5.75" customHeight="1">
      <c r="A708" s="164"/>
      <c r="B708" s="164"/>
      <c r="C708" s="164"/>
      <c r="D708" s="113"/>
      <c r="E708" s="113"/>
      <c r="F708" s="113"/>
      <c r="G708" s="113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5.75" customHeight="1">
      <c r="A709" s="164"/>
      <c r="B709" s="164"/>
      <c r="C709" s="164"/>
      <c r="D709" s="113"/>
      <c r="E709" s="113"/>
      <c r="F709" s="113"/>
      <c r="G709" s="113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5.75" customHeight="1">
      <c r="A710" s="164"/>
      <c r="B710" s="164"/>
      <c r="C710" s="164"/>
      <c r="D710" s="113"/>
      <c r="E710" s="113"/>
      <c r="F710" s="113"/>
      <c r="G710" s="113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5.75" customHeight="1">
      <c r="A711" s="164"/>
      <c r="B711" s="164"/>
      <c r="C711" s="164"/>
      <c r="D711" s="113"/>
      <c r="E711" s="113"/>
      <c r="F711" s="113"/>
      <c r="G711" s="113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5.75" customHeight="1">
      <c r="A712" s="164"/>
      <c r="B712" s="164"/>
      <c r="C712" s="164"/>
      <c r="D712" s="113"/>
      <c r="E712" s="113"/>
      <c r="F712" s="113"/>
      <c r="G712" s="113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5.75" customHeight="1">
      <c r="A713" s="164"/>
      <c r="B713" s="164"/>
      <c r="C713" s="164"/>
      <c r="D713" s="113"/>
      <c r="E713" s="113"/>
      <c r="F713" s="113"/>
      <c r="G713" s="113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5.75" customHeight="1">
      <c r="A714" s="164"/>
      <c r="B714" s="164"/>
      <c r="C714" s="164"/>
      <c r="D714" s="113"/>
      <c r="E714" s="113"/>
      <c r="F714" s="113"/>
      <c r="G714" s="113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5.75" customHeight="1">
      <c r="A715" s="164"/>
      <c r="B715" s="164"/>
      <c r="C715" s="164"/>
      <c r="D715" s="113"/>
      <c r="E715" s="113"/>
      <c r="F715" s="113"/>
      <c r="G715" s="113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5.75" customHeight="1">
      <c r="A716" s="164"/>
      <c r="B716" s="164"/>
      <c r="C716" s="164"/>
      <c r="D716" s="113"/>
      <c r="E716" s="113"/>
      <c r="F716" s="113"/>
      <c r="G716" s="113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5.75" customHeight="1">
      <c r="A717" s="164"/>
      <c r="B717" s="164"/>
      <c r="C717" s="164"/>
      <c r="D717" s="113"/>
      <c r="E717" s="113"/>
      <c r="F717" s="113"/>
      <c r="G717" s="113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5.75" customHeight="1">
      <c r="A718" s="164"/>
      <c r="B718" s="164"/>
      <c r="C718" s="164"/>
      <c r="D718" s="113"/>
      <c r="E718" s="113"/>
      <c r="F718" s="113"/>
      <c r="G718" s="113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5.75" customHeight="1">
      <c r="A719" s="164"/>
      <c r="B719" s="164"/>
      <c r="C719" s="164"/>
      <c r="D719" s="113"/>
      <c r="E719" s="113"/>
      <c r="F719" s="113"/>
      <c r="G719" s="113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5.75" customHeight="1">
      <c r="A720" s="164"/>
      <c r="B720" s="164"/>
      <c r="C720" s="164"/>
      <c r="D720" s="113"/>
      <c r="E720" s="113"/>
      <c r="F720" s="113"/>
      <c r="G720" s="113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5.75" customHeight="1">
      <c r="A721" s="164"/>
      <c r="B721" s="164"/>
      <c r="C721" s="164"/>
      <c r="D721" s="113"/>
      <c r="E721" s="113"/>
      <c r="F721" s="113"/>
      <c r="G721" s="113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5.75" customHeight="1">
      <c r="A722" s="164"/>
      <c r="B722" s="164"/>
      <c r="C722" s="164"/>
      <c r="D722" s="113"/>
      <c r="E722" s="113"/>
      <c r="F722" s="113"/>
      <c r="G722" s="113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5.75" customHeight="1">
      <c r="A723" s="164"/>
      <c r="B723" s="164"/>
      <c r="C723" s="164"/>
      <c r="D723" s="113"/>
      <c r="E723" s="113"/>
      <c r="F723" s="113"/>
      <c r="G723" s="113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5.75" customHeight="1">
      <c r="A724" s="164"/>
      <c r="B724" s="164"/>
      <c r="C724" s="164"/>
      <c r="D724" s="113"/>
      <c r="E724" s="113"/>
      <c r="F724" s="113"/>
      <c r="G724" s="113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5.75" customHeight="1">
      <c r="A725" s="164"/>
      <c r="B725" s="164"/>
      <c r="C725" s="164"/>
      <c r="D725" s="113"/>
      <c r="E725" s="113"/>
      <c r="F725" s="113"/>
      <c r="G725" s="113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5.75" customHeight="1">
      <c r="A726" s="164"/>
      <c r="B726" s="164"/>
      <c r="C726" s="164"/>
      <c r="D726" s="113"/>
      <c r="E726" s="113"/>
      <c r="F726" s="113"/>
      <c r="G726" s="113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5.75" customHeight="1">
      <c r="A727" s="164"/>
      <c r="B727" s="164"/>
      <c r="C727" s="164"/>
      <c r="D727" s="113"/>
      <c r="E727" s="113"/>
      <c r="F727" s="113"/>
      <c r="G727" s="113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5.75" customHeight="1">
      <c r="A728" s="164"/>
      <c r="B728" s="164"/>
      <c r="C728" s="164"/>
      <c r="D728" s="113"/>
      <c r="E728" s="113"/>
      <c r="F728" s="113"/>
      <c r="G728" s="113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5.75" customHeight="1">
      <c r="A729" s="164"/>
      <c r="B729" s="164"/>
      <c r="C729" s="164"/>
      <c r="D729" s="113"/>
      <c r="E729" s="113"/>
      <c r="F729" s="113"/>
      <c r="G729" s="113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5.75" customHeight="1">
      <c r="A730" s="164"/>
      <c r="B730" s="164"/>
      <c r="C730" s="164"/>
      <c r="D730" s="113"/>
      <c r="E730" s="113"/>
      <c r="F730" s="113"/>
      <c r="G730" s="113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5.75" customHeight="1">
      <c r="A731" s="164"/>
      <c r="B731" s="164"/>
      <c r="C731" s="164"/>
      <c r="D731" s="113"/>
      <c r="E731" s="113"/>
      <c r="F731" s="113"/>
      <c r="G731" s="113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5.75" customHeight="1">
      <c r="A732" s="164"/>
      <c r="B732" s="164"/>
      <c r="C732" s="164"/>
      <c r="D732" s="113"/>
      <c r="E732" s="113"/>
      <c r="F732" s="113"/>
      <c r="G732" s="113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5.75" customHeight="1">
      <c r="A733" s="164"/>
      <c r="B733" s="164"/>
      <c r="C733" s="164"/>
      <c r="D733" s="113"/>
      <c r="E733" s="113"/>
      <c r="F733" s="113"/>
      <c r="G733" s="113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5.75" customHeight="1">
      <c r="A734" s="164"/>
      <c r="B734" s="164"/>
      <c r="C734" s="164"/>
      <c r="D734" s="113"/>
      <c r="E734" s="113"/>
      <c r="F734" s="113"/>
      <c r="G734" s="113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5.75" customHeight="1">
      <c r="A735" s="164"/>
      <c r="B735" s="164"/>
      <c r="C735" s="164"/>
      <c r="D735" s="113"/>
      <c r="E735" s="113"/>
      <c r="F735" s="113"/>
      <c r="G735" s="113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5.75" customHeight="1">
      <c r="A736" s="164"/>
      <c r="B736" s="164"/>
      <c r="C736" s="164"/>
      <c r="D736" s="113"/>
      <c r="E736" s="113"/>
      <c r="F736" s="113"/>
      <c r="G736" s="113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5.75" customHeight="1">
      <c r="A737" s="164"/>
      <c r="B737" s="164"/>
      <c r="C737" s="164"/>
      <c r="D737" s="113"/>
      <c r="E737" s="113"/>
      <c r="F737" s="113"/>
      <c r="G737" s="113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5.75" customHeight="1">
      <c r="A738" s="164"/>
      <c r="B738" s="164"/>
      <c r="C738" s="164"/>
      <c r="D738" s="113"/>
      <c r="E738" s="113"/>
      <c r="F738" s="113"/>
      <c r="G738" s="113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5.75" customHeight="1">
      <c r="A739" s="164"/>
      <c r="B739" s="164"/>
      <c r="C739" s="164"/>
      <c r="D739" s="113"/>
      <c r="E739" s="113"/>
      <c r="F739" s="113"/>
      <c r="G739" s="113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5.75" customHeight="1">
      <c r="A740" s="164"/>
      <c r="B740" s="164"/>
      <c r="C740" s="164"/>
      <c r="D740" s="113"/>
      <c r="E740" s="113"/>
      <c r="F740" s="113"/>
      <c r="G740" s="113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5.75" customHeight="1">
      <c r="A741" s="164"/>
      <c r="B741" s="164"/>
      <c r="C741" s="164"/>
      <c r="D741" s="113"/>
      <c r="E741" s="113"/>
      <c r="F741" s="113"/>
      <c r="G741" s="113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5.75" customHeight="1">
      <c r="A742" s="164"/>
      <c r="B742" s="164"/>
      <c r="C742" s="164"/>
      <c r="D742" s="113"/>
      <c r="E742" s="113"/>
      <c r="F742" s="113"/>
      <c r="G742" s="113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5.75" customHeight="1">
      <c r="A743" s="164"/>
      <c r="B743" s="164"/>
      <c r="C743" s="164"/>
      <c r="D743" s="113"/>
      <c r="E743" s="113"/>
      <c r="F743" s="113"/>
      <c r="G743" s="113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5.75" customHeight="1">
      <c r="A744" s="164"/>
      <c r="B744" s="164"/>
      <c r="C744" s="164"/>
      <c r="D744" s="113"/>
      <c r="E744" s="113"/>
      <c r="F744" s="113"/>
      <c r="G744" s="113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5.75" customHeight="1">
      <c r="A745" s="164"/>
      <c r="B745" s="164"/>
      <c r="C745" s="164"/>
      <c r="D745" s="113"/>
      <c r="E745" s="113"/>
      <c r="F745" s="113"/>
      <c r="G745" s="113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5.75" customHeight="1">
      <c r="A746" s="164"/>
      <c r="B746" s="164"/>
      <c r="C746" s="164"/>
      <c r="D746" s="113"/>
      <c r="E746" s="113"/>
      <c r="F746" s="113"/>
      <c r="G746" s="113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5.75" customHeight="1">
      <c r="A747" s="164"/>
      <c r="B747" s="164"/>
      <c r="C747" s="164"/>
      <c r="D747" s="113"/>
      <c r="E747" s="113"/>
      <c r="F747" s="113"/>
      <c r="G747" s="113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5.75" customHeight="1">
      <c r="A748" s="164"/>
      <c r="B748" s="164"/>
      <c r="C748" s="164"/>
      <c r="D748" s="113"/>
      <c r="E748" s="113"/>
      <c r="F748" s="113"/>
      <c r="G748" s="113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5.75" customHeight="1">
      <c r="A749" s="164"/>
      <c r="B749" s="164"/>
      <c r="C749" s="164"/>
      <c r="D749" s="113"/>
      <c r="E749" s="113"/>
      <c r="F749" s="113"/>
      <c r="G749" s="113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5.75" customHeight="1">
      <c r="A750" s="164"/>
      <c r="B750" s="164"/>
      <c r="C750" s="164"/>
      <c r="D750" s="113"/>
      <c r="E750" s="113"/>
      <c r="F750" s="113"/>
      <c r="G750" s="113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5.75" customHeight="1">
      <c r="A751" s="164"/>
      <c r="B751" s="164"/>
      <c r="C751" s="164"/>
      <c r="D751" s="113"/>
      <c r="E751" s="113"/>
      <c r="F751" s="113"/>
      <c r="G751" s="113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5.75" customHeight="1">
      <c r="A752" s="164"/>
      <c r="B752" s="164"/>
      <c r="C752" s="164"/>
      <c r="D752" s="113"/>
      <c r="E752" s="113"/>
      <c r="F752" s="113"/>
      <c r="G752" s="113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5.75" customHeight="1">
      <c r="A753" s="164"/>
      <c r="B753" s="164"/>
      <c r="C753" s="164"/>
      <c r="D753" s="113"/>
      <c r="E753" s="113"/>
      <c r="F753" s="113"/>
      <c r="G753" s="113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5.75" customHeight="1">
      <c r="A754" s="164"/>
      <c r="B754" s="164"/>
      <c r="C754" s="164"/>
      <c r="D754" s="113"/>
      <c r="E754" s="113"/>
      <c r="F754" s="113"/>
      <c r="G754" s="113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5.75" customHeight="1">
      <c r="A755" s="164"/>
      <c r="B755" s="164"/>
      <c r="C755" s="164"/>
      <c r="D755" s="113"/>
      <c r="E755" s="113"/>
      <c r="F755" s="113"/>
      <c r="G755" s="113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5.75" customHeight="1">
      <c r="A756" s="164"/>
      <c r="B756" s="164"/>
      <c r="C756" s="164"/>
      <c r="D756" s="113"/>
      <c r="E756" s="113"/>
      <c r="F756" s="113"/>
      <c r="G756" s="113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5.75" customHeight="1">
      <c r="A757" s="164"/>
      <c r="B757" s="164"/>
      <c r="C757" s="164"/>
      <c r="D757" s="113"/>
      <c r="E757" s="113"/>
      <c r="F757" s="113"/>
      <c r="G757" s="113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5.75" customHeight="1">
      <c r="A758" s="164"/>
      <c r="B758" s="164"/>
      <c r="C758" s="164"/>
      <c r="D758" s="113"/>
      <c r="E758" s="113"/>
      <c r="F758" s="113"/>
      <c r="G758" s="113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5.75" customHeight="1">
      <c r="A759" s="164"/>
      <c r="B759" s="164"/>
      <c r="C759" s="164"/>
      <c r="D759" s="113"/>
      <c r="E759" s="113"/>
      <c r="F759" s="113"/>
      <c r="G759" s="113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5.75" customHeight="1">
      <c r="A760" s="164"/>
      <c r="B760" s="164"/>
      <c r="C760" s="164"/>
      <c r="D760" s="113"/>
      <c r="E760" s="113"/>
      <c r="F760" s="113"/>
      <c r="G760" s="113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5.75" customHeight="1">
      <c r="A761" s="164"/>
      <c r="B761" s="164"/>
      <c r="C761" s="164"/>
      <c r="D761" s="113"/>
      <c r="E761" s="113"/>
      <c r="F761" s="113"/>
      <c r="G761" s="113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5.75" customHeight="1">
      <c r="A762" s="164"/>
      <c r="B762" s="164"/>
      <c r="C762" s="164"/>
      <c r="D762" s="113"/>
      <c r="E762" s="113"/>
      <c r="F762" s="113"/>
      <c r="G762" s="113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5.75" customHeight="1">
      <c r="A763" s="164"/>
      <c r="B763" s="164"/>
      <c r="C763" s="164"/>
      <c r="D763" s="113"/>
      <c r="E763" s="113"/>
      <c r="F763" s="113"/>
      <c r="G763" s="113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5.75" customHeight="1">
      <c r="A764" s="164"/>
      <c r="B764" s="164"/>
      <c r="C764" s="164"/>
      <c r="D764" s="113"/>
      <c r="E764" s="113"/>
      <c r="F764" s="113"/>
      <c r="G764" s="113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5.75" customHeight="1">
      <c r="A765" s="164"/>
      <c r="B765" s="164"/>
      <c r="C765" s="164"/>
      <c r="D765" s="113"/>
      <c r="E765" s="113"/>
      <c r="F765" s="113"/>
      <c r="G765" s="113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5.75" customHeight="1">
      <c r="A766" s="164"/>
      <c r="B766" s="164"/>
      <c r="C766" s="164"/>
      <c r="D766" s="113"/>
      <c r="E766" s="113"/>
      <c r="F766" s="113"/>
      <c r="G766" s="113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5.75" customHeight="1">
      <c r="A767" s="164"/>
      <c r="B767" s="164"/>
      <c r="C767" s="164"/>
      <c r="D767" s="113"/>
      <c r="E767" s="113"/>
      <c r="F767" s="113"/>
      <c r="G767" s="113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5.75" customHeight="1">
      <c r="A768" s="164"/>
      <c r="B768" s="164"/>
      <c r="C768" s="164"/>
      <c r="D768" s="113"/>
      <c r="E768" s="113"/>
      <c r="F768" s="113"/>
      <c r="G768" s="113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5.75" customHeight="1">
      <c r="A769" s="164"/>
      <c r="B769" s="164"/>
      <c r="C769" s="164"/>
      <c r="D769" s="113"/>
      <c r="E769" s="113"/>
      <c r="F769" s="113"/>
      <c r="G769" s="113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5.75" customHeight="1">
      <c r="A770" s="164"/>
      <c r="B770" s="164"/>
      <c r="C770" s="164"/>
      <c r="D770" s="113"/>
      <c r="E770" s="113"/>
      <c r="F770" s="113"/>
      <c r="G770" s="113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5.75" customHeight="1">
      <c r="A771" s="164"/>
      <c r="B771" s="164"/>
      <c r="C771" s="164"/>
      <c r="D771" s="113"/>
      <c r="E771" s="113"/>
      <c r="F771" s="113"/>
      <c r="G771" s="113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5.75" customHeight="1">
      <c r="A772" s="164"/>
      <c r="B772" s="164"/>
      <c r="C772" s="164"/>
      <c r="D772" s="113"/>
      <c r="E772" s="113"/>
      <c r="F772" s="113"/>
      <c r="G772" s="113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5.75" customHeight="1">
      <c r="A773" s="164"/>
      <c r="B773" s="164"/>
      <c r="C773" s="164"/>
      <c r="D773" s="113"/>
      <c r="E773" s="113"/>
      <c r="F773" s="113"/>
      <c r="G773" s="113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5.75" customHeight="1">
      <c r="A774" s="164"/>
      <c r="B774" s="164"/>
      <c r="C774" s="164"/>
      <c r="D774" s="113"/>
      <c r="E774" s="113"/>
      <c r="F774" s="113"/>
      <c r="G774" s="113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5.75" customHeight="1">
      <c r="A775" s="164"/>
      <c r="B775" s="164"/>
      <c r="C775" s="164"/>
      <c r="D775" s="113"/>
      <c r="E775" s="113"/>
      <c r="F775" s="113"/>
      <c r="G775" s="113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5.75" customHeight="1">
      <c r="A776" s="164"/>
      <c r="B776" s="164"/>
      <c r="C776" s="164"/>
      <c r="D776" s="113"/>
      <c r="E776" s="113"/>
      <c r="F776" s="113"/>
      <c r="G776" s="113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5.75" customHeight="1">
      <c r="A777" s="164"/>
      <c r="B777" s="164"/>
      <c r="C777" s="164"/>
      <c r="D777" s="113"/>
      <c r="E777" s="113"/>
      <c r="F777" s="113"/>
      <c r="G777" s="113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5.75" customHeight="1">
      <c r="A778" s="164"/>
      <c r="B778" s="164"/>
      <c r="C778" s="164"/>
      <c r="D778" s="113"/>
      <c r="E778" s="113"/>
      <c r="F778" s="113"/>
      <c r="G778" s="113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5.75" customHeight="1">
      <c r="A779" s="164"/>
      <c r="B779" s="164"/>
      <c r="C779" s="164"/>
      <c r="D779" s="113"/>
      <c r="E779" s="113"/>
      <c r="F779" s="113"/>
      <c r="G779" s="113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5.75" customHeight="1">
      <c r="A780" s="164"/>
      <c r="B780" s="164"/>
      <c r="C780" s="164"/>
      <c r="D780" s="113"/>
      <c r="E780" s="113"/>
      <c r="F780" s="113"/>
      <c r="G780" s="113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5.75" customHeight="1">
      <c r="A781" s="164"/>
      <c r="B781" s="164"/>
      <c r="C781" s="164"/>
      <c r="D781" s="113"/>
      <c r="E781" s="113"/>
      <c r="F781" s="113"/>
      <c r="G781" s="113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5.75" customHeight="1">
      <c r="A782" s="164"/>
      <c r="B782" s="164"/>
      <c r="C782" s="164"/>
      <c r="D782" s="113"/>
      <c r="E782" s="113"/>
      <c r="F782" s="113"/>
      <c r="G782" s="113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5.75" customHeight="1">
      <c r="A783" s="164"/>
      <c r="B783" s="164"/>
      <c r="C783" s="164"/>
      <c r="D783" s="113"/>
      <c r="E783" s="113"/>
      <c r="F783" s="113"/>
      <c r="G783" s="113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5.75" customHeight="1">
      <c r="A784" s="164"/>
      <c r="B784" s="164"/>
      <c r="C784" s="164"/>
      <c r="D784" s="113"/>
      <c r="E784" s="113"/>
      <c r="F784" s="113"/>
      <c r="G784" s="113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5.75" customHeight="1">
      <c r="A785" s="164"/>
      <c r="B785" s="164"/>
      <c r="C785" s="164"/>
      <c r="D785" s="113"/>
      <c r="E785" s="113"/>
      <c r="F785" s="113"/>
      <c r="G785" s="113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5.75" customHeight="1">
      <c r="A786" s="164"/>
      <c r="B786" s="164"/>
      <c r="C786" s="164"/>
      <c r="D786" s="113"/>
      <c r="E786" s="113"/>
      <c r="F786" s="113"/>
      <c r="G786" s="113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5.75" customHeight="1">
      <c r="A787" s="164"/>
      <c r="B787" s="164"/>
      <c r="C787" s="164"/>
      <c r="D787" s="113"/>
      <c r="E787" s="113"/>
      <c r="F787" s="113"/>
      <c r="G787" s="113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5.75" customHeight="1">
      <c r="A788" s="164"/>
      <c r="B788" s="164"/>
      <c r="C788" s="164"/>
      <c r="D788" s="113"/>
      <c r="E788" s="113"/>
      <c r="F788" s="113"/>
      <c r="G788" s="113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5.75" customHeight="1">
      <c r="A789" s="164"/>
      <c r="B789" s="164"/>
      <c r="C789" s="164"/>
      <c r="D789" s="113"/>
      <c r="E789" s="113"/>
      <c r="F789" s="113"/>
      <c r="G789" s="113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5.75" customHeight="1">
      <c r="A790" s="164"/>
      <c r="B790" s="164"/>
      <c r="C790" s="164"/>
      <c r="D790" s="113"/>
      <c r="E790" s="113"/>
      <c r="F790" s="113"/>
      <c r="G790" s="113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5.75" customHeight="1">
      <c r="A791" s="164"/>
      <c r="B791" s="164"/>
      <c r="C791" s="164"/>
      <c r="D791" s="113"/>
      <c r="E791" s="113"/>
      <c r="F791" s="113"/>
      <c r="G791" s="113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5.75" customHeight="1">
      <c r="A792" s="164"/>
      <c r="B792" s="164"/>
      <c r="C792" s="164"/>
      <c r="D792" s="113"/>
      <c r="E792" s="113"/>
      <c r="F792" s="113"/>
      <c r="G792" s="113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5.75" customHeight="1">
      <c r="A793" s="164"/>
      <c r="B793" s="164"/>
      <c r="C793" s="164"/>
      <c r="D793" s="113"/>
      <c r="E793" s="113"/>
      <c r="F793" s="113"/>
      <c r="G793" s="113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5.75" customHeight="1">
      <c r="A794" s="164"/>
      <c r="B794" s="164"/>
      <c r="C794" s="164"/>
      <c r="D794" s="113"/>
      <c r="E794" s="113"/>
      <c r="F794" s="113"/>
      <c r="G794" s="113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5.75" customHeight="1">
      <c r="A795" s="164"/>
      <c r="B795" s="164"/>
      <c r="C795" s="164"/>
      <c r="D795" s="113"/>
      <c r="E795" s="113"/>
      <c r="F795" s="113"/>
      <c r="G795" s="113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5.75" customHeight="1">
      <c r="A796" s="164"/>
      <c r="B796" s="164"/>
      <c r="C796" s="164"/>
      <c r="D796" s="113"/>
      <c r="E796" s="113"/>
      <c r="F796" s="113"/>
      <c r="G796" s="113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5.75" customHeight="1">
      <c r="A797" s="164"/>
      <c r="B797" s="164"/>
      <c r="C797" s="164"/>
      <c r="D797" s="113"/>
      <c r="E797" s="113"/>
      <c r="F797" s="113"/>
      <c r="G797" s="113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5.75" customHeight="1">
      <c r="A798" s="164"/>
      <c r="B798" s="164"/>
      <c r="C798" s="164"/>
      <c r="D798" s="113"/>
      <c r="E798" s="113"/>
      <c r="F798" s="113"/>
      <c r="G798" s="113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5.75" customHeight="1">
      <c r="A799" s="164"/>
      <c r="B799" s="164"/>
      <c r="C799" s="164"/>
      <c r="D799" s="113"/>
      <c r="E799" s="113"/>
      <c r="F799" s="113"/>
      <c r="G799" s="113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5.75" customHeight="1">
      <c r="A800" s="164"/>
      <c r="B800" s="164"/>
      <c r="C800" s="164"/>
      <c r="D800" s="113"/>
      <c r="E800" s="113"/>
      <c r="F800" s="113"/>
      <c r="G800" s="113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5.75" customHeight="1">
      <c r="A801" s="164"/>
      <c r="B801" s="164"/>
      <c r="C801" s="164"/>
      <c r="D801" s="113"/>
      <c r="E801" s="113"/>
      <c r="F801" s="113"/>
      <c r="G801" s="113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5.75" customHeight="1">
      <c r="A802" s="164"/>
      <c r="B802" s="164"/>
      <c r="C802" s="164"/>
      <c r="D802" s="113"/>
      <c r="E802" s="113"/>
      <c r="F802" s="113"/>
      <c r="G802" s="113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5.75" customHeight="1">
      <c r="A803" s="164"/>
      <c r="B803" s="164"/>
      <c r="C803" s="164"/>
      <c r="D803" s="113"/>
      <c r="E803" s="113"/>
      <c r="F803" s="113"/>
      <c r="G803" s="113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5.75" customHeight="1">
      <c r="A804" s="164"/>
      <c r="B804" s="164"/>
      <c r="C804" s="164"/>
      <c r="D804" s="113"/>
      <c r="E804" s="113"/>
      <c r="F804" s="113"/>
      <c r="G804" s="113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5.75" customHeight="1">
      <c r="A805" s="164"/>
      <c r="B805" s="164"/>
      <c r="C805" s="164"/>
      <c r="D805" s="113"/>
      <c r="E805" s="113"/>
      <c r="F805" s="113"/>
      <c r="G805" s="113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5.75" customHeight="1">
      <c r="A806" s="164"/>
      <c r="B806" s="164"/>
      <c r="C806" s="164"/>
      <c r="D806" s="113"/>
      <c r="E806" s="113"/>
      <c r="F806" s="113"/>
      <c r="G806" s="113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5.75" customHeight="1">
      <c r="A807" s="164"/>
      <c r="B807" s="164"/>
      <c r="C807" s="164"/>
      <c r="D807" s="113"/>
      <c r="E807" s="113"/>
      <c r="F807" s="113"/>
      <c r="G807" s="113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5.75" customHeight="1">
      <c r="A808" s="164"/>
      <c r="B808" s="164"/>
      <c r="C808" s="164"/>
      <c r="D808" s="113"/>
      <c r="E808" s="113"/>
      <c r="F808" s="113"/>
      <c r="G808" s="113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5.75" customHeight="1">
      <c r="A809" s="164"/>
      <c r="B809" s="164"/>
      <c r="C809" s="164"/>
      <c r="D809" s="113"/>
      <c r="E809" s="113"/>
      <c r="F809" s="113"/>
      <c r="G809" s="113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5.75" customHeight="1">
      <c r="A810" s="164"/>
      <c r="B810" s="164"/>
      <c r="C810" s="164"/>
      <c r="D810" s="113"/>
      <c r="E810" s="113"/>
      <c r="F810" s="113"/>
      <c r="G810" s="113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5.75" customHeight="1">
      <c r="A811" s="164"/>
      <c r="B811" s="164"/>
      <c r="C811" s="164"/>
      <c r="D811" s="113"/>
      <c r="E811" s="113"/>
      <c r="F811" s="113"/>
      <c r="G811" s="113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5.75" customHeight="1">
      <c r="A812" s="164"/>
      <c r="B812" s="164"/>
      <c r="C812" s="164"/>
      <c r="D812" s="113"/>
      <c r="E812" s="113"/>
      <c r="F812" s="113"/>
      <c r="G812" s="113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5.75" customHeight="1">
      <c r="A813" s="164"/>
      <c r="B813" s="164"/>
      <c r="C813" s="164"/>
      <c r="D813" s="113"/>
      <c r="E813" s="113"/>
      <c r="F813" s="113"/>
      <c r="G813" s="113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5.75" customHeight="1">
      <c r="A814" s="164"/>
      <c r="B814" s="164"/>
      <c r="C814" s="164"/>
      <c r="D814" s="113"/>
      <c r="E814" s="113"/>
      <c r="F814" s="113"/>
      <c r="G814" s="113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5.75" customHeight="1">
      <c r="A815" s="164"/>
      <c r="B815" s="164"/>
      <c r="C815" s="164"/>
      <c r="D815" s="113"/>
      <c r="E815" s="113"/>
      <c r="F815" s="113"/>
      <c r="G815" s="113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5.75" customHeight="1">
      <c r="A816" s="164"/>
      <c r="B816" s="164"/>
      <c r="C816" s="164"/>
      <c r="D816" s="113"/>
      <c r="E816" s="113"/>
      <c r="F816" s="113"/>
      <c r="G816" s="113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5.75" customHeight="1">
      <c r="A817" s="164"/>
      <c r="B817" s="164"/>
      <c r="C817" s="164"/>
      <c r="D817" s="113"/>
      <c r="E817" s="113"/>
      <c r="F817" s="113"/>
      <c r="G817" s="113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5.75" customHeight="1">
      <c r="A818" s="164"/>
      <c r="B818" s="164"/>
      <c r="C818" s="164"/>
      <c r="D818" s="113"/>
      <c r="E818" s="113"/>
      <c r="F818" s="113"/>
      <c r="G818" s="113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5.75" customHeight="1">
      <c r="A819" s="164"/>
      <c r="B819" s="164"/>
      <c r="C819" s="164"/>
      <c r="D819" s="113"/>
      <c r="E819" s="113"/>
      <c r="F819" s="113"/>
      <c r="G819" s="113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5.75" customHeight="1">
      <c r="A820" s="164"/>
      <c r="B820" s="164"/>
      <c r="C820" s="164"/>
      <c r="D820" s="113"/>
      <c r="E820" s="113"/>
      <c r="F820" s="113"/>
      <c r="G820" s="113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5.75" customHeight="1">
      <c r="A821" s="164"/>
      <c r="B821" s="164"/>
      <c r="C821" s="164"/>
      <c r="D821" s="113"/>
      <c r="E821" s="113"/>
      <c r="F821" s="113"/>
      <c r="G821" s="113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5.75" customHeight="1">
      <c r="A822" s="164"/>
      <c r="B822" s="164"/>
      <c r="C822" s="164"/>
      <c r="D822" s="113"/>
      <c r="E822" s="113"/>
      <c r="F822" s="113"/>
      <c r="G822" s="113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5.75" customHeight="1">
      <c r="A823" s="164"/>
      <c r="B823" s="164"/>
      <c r="C823" s="164"/>
      <c r="D823" s="113"/>
      <c r="E823" s="113"/>
      <c r="F823" s="113"/>
      <c r="G823" s="113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5.75" customHeight="1">
      <c r="A824" s="164"/>
      <c r="B824" s="164"/>
      <c r="C824" s="164"/>
      <c r="D824" s="113"/>
      <c r="E824" s="113"/>
      <c r="F824" s="113"/>
      <c r="G824" s="113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5.75" customHeight="1">
      <c r="A825" s="164"/>
      <c r="B825" s="164"/>
      <c r="C825" s="164"/>
      <c r="D825" s="113"/>
      <c r="E825" s="113"/>
      <c r="F825" s="113"/>
      <c r="G825" s="113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5.75" customHeight="1">
      <c r="A826" s="164"/>
      <c r="B826" s="164"/>
      <c r="C826" s="164"/>
      <c r="D826" s="113"/>
      <c r="E826" s="113"/>
      <c r="F826" s="113"/>
      <c r="G826" s="113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5.75" customHeight="1">
      <c r="A827" s="164"/>
      <c r="B827" s="164"/>
      <c r="C827" s="164"/>
      <c r="D827" s="113"/>
      <c r="E827" s="113"/>
      <c r="F827" s="113"/>
      <c r="G827" s="113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5.75" customHeight="1">
      <c r="A828" s="164"/>
      <c r="B828" s="164"/>
      <c r="C828" s="164"/>
      <c r="D828" s="113"/>
      <c r="E828" s="113"/>
      <c r="F828" s="113"/>
      <c r="G828" s="113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5.75" customHeight="1">
      <c r="A829" s="164"/>
      <c r="B829" s="164"/>
      <c r="C829" s="164"/>
      <c r="D829" s="113"/>
      <c r="E829" s="113"/>
      <c r="F829" s="113"/>
      <c r="G829" s="113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5.75" customHeight="1">
      <c r="A830" s="164"/>
      <c r="B830" s="164"/>
      <c r="C830" s="164"/>
      <c r="D830" s="113"/>
      <c r="E830" s="113"/>
      <c r="F830" s="113"/>
      <c r="G830" s="113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5.75" customHeight="1">
      <c r="A831" s="164"/>
      <c r="B831" s="164"/>
      <c r="C831" s="164"/>
      <c r="D831" s="113"/>
      <c r="E831" s="113"/>
      <c r="F831" s="113"/>
      <c r="G831" s="113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5.75" customHeight="1">
      <c r="A832" s="164"/>
      <c r="B832" s="164"/>
      <c r="C832" s="164"/>
      <c r="D832" s="113"/>
      <c r="E832" s="113"/>
      <c r="F832" s="113"/>
      <c r="G832" s="113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5.75" customHeight="1">
      <c r="A833" s="164"/>
      <c r="B833" s="164"/>
      <c r="C833" s="164"/>
      <c r="D833" s="113"/>
      <c r="E833" s="113"/>
      <c r="F833" s="113"/>
      <c r="G833" s="113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5.75" customHeight="1">
      <c r="A834" s="164"/>
      <c r="B834" s="164"/>
      <c r="C834" s="164"/>
      <c r="D834" s="113"/>
      <c r="E834" s="113"/>
      <c r="F834" s="113"/>
      <c r="G834" s="113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5.75" customHeight="1">
      <c r="A835" s="164"/>
      <c r="B835" s="164"/>
      <c r="C835" s="164"/>
      <c r="D835" s="113"/>
      <c r="E835" s="113"/>
      <c r="F835" s="113"/>
      <c r="G835" s="113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5.75" customHeight="1">
      <c r="A836" s="164"/>
      <c r="B836" s="164"/>
      <c r="C836" s="164"/>
      <c r="D836" s="113"/>
      <c r="E836" s="113"/>
      <c r="F836" s="113"/>
      <c r="G836" s="113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5.75" customHeight="1">
      <c r="A837" s="164"/>
      <c r="B837" s="164"/>
      <c r="C837" s="164"/>
      <c r="D837" s="113"/>
      <c r="E837" s="113"/>
      <c r="F837" s="113"/>
      <c r="G837" s="113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5.75" customHeight="1">
      <c r="A838" s="164"/>
      <c r="B838" s="164"/>
      <c r="C838" s="164"/>
      <c r="D838" s="113"/>
      <c r="E838" s="113"/>
      <c r="F838" s="113"/>
      <c r="G838" s="113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5.75" customHeight="1">
      <c r="A839" s="164"/>
      <c r="B839" s="164"/>
      <c r="C839" s="164"/>
      <c r="D839" s="113"/>
      <c r="E839" s="113"/>
      <c r="F839" s="113"/>
      <c r="G839" s="113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5.75" customHeight="1">
      <c r="A840" s="164"/>
      <c r="B840" s="164"/>
      <c r="C840" s="164"/>
      <c r="D840" s="113"/>
      <c r="E840" s="113"/>
      <c r="F840" s="113"/>
      <c r="G840" s="113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5.75" customHeight="1">
      <c r="A841" s="164"/>
      <c r="B841" s="164"/>
      <c r="C841" s="164"/>
      <c r="D841" s="113"/>
      <c r="E841" s="113"/>
      <c r="F841" s="113"/>
      <c r="G841" s="113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5.75" customHeight="1">
      <c r="A842" s="164"/>
      <c r="B842" s="164"/>
      <c r="C842" s="164"/>
      <c r="D842" s="113"/>
      <c r="E842" s="113"/>
      <c r="F842" s="113"/>
      <c r="G842" s="113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5.75" customHeight="1">
      <c r="A843" s="164"/>
      <c r="B843" s="164"/>
      <c r="C843" s="164"/>
      <c r="D843" s="113"/>
      <c r="E843" s="113"/>
      <c r="F843" s="113"/>
      <c r="G843" s="113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5.75" customHeight="1">
      <c r="A844" s="164"/>
      <c r="B844" s="164"/>
      <c r="C844" s="164"/>
      <c r="D844" s="113"/>
      <c r="E844" s="113"/>
      <c r="F844" s="113"/>
      <c r="G844" s="113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5.75" customHeight="1">
      <c r="A845" s="164"/>
      <c r="B845" s="164"/>
      <c r="C845" s="164"/>
      <c r="D845" s="113"/>
      <c r="E845" s="113"/>
      <c r="F845" s="113"/>
      <c r="G845" s="113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5.75" customHeight="1">
      <c r="A846" s="164"/>
      <c r="B846" s="164"/>
      <c r="C846" s="164"/>
      <c r="D846" s="113"/>
      <c r="E846" s="113"/>
      <c r="F846" s="113"/>
      <c r="G846" s="113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5.75" customHeight="1">
      <c r="A847" s="164"/>
      <c r="B847" s="164"/>
      <c r="C847" s="164"/>
      <c r="D847" s="113"/>
      <c r="E847" s="113"/>
      <c r="F847" s="113"/>
      <c r="G847" s="113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5.75" customHeight="1">
      <c r="A848" s="164"/>
      <c r="B848" s="164"/>
      <c r="C848" s="164"/>
      <c r="D848" s="113"/>
      <c r="E848" s="113"/>
      <c r="F848" s="113"/>
      <c r="G848" s="113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5.75" customHeight="1">
      <c r="A849" s="164"/>
      <c r="B849" s="164"/>
      <c r="C849" s="164"/>
      <c r="D849" s="113"/>
      <c r="E849" s="113"/>
      <c r="F849" s="113"/>
      <c r="G849" s="113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5.75" customHeight="1">
      <c r="A850" s="164"/>
      <c r="B850" s="164"/>
      <c r="C850" s="164"/>
      <c r="D850" s="113"/>
      <c r="E850" s="113"/>
      <c r="F850" s="113"/>
      <c r="G850" s="113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5.75" customHeight="1">
      <c r="A851" s="164"/>
      <c r="B851" s="164"/>
      <c r="C851" s="164"/>
      <c r="D851" s="113"/>
      <c r="E851" s="113"/>
      <c r="F851" s="113"/>
      <c r="G851" s="113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5.75" customHeight="1">
      <c r="A852" s="164"/>
      <c r="B852" s="164"/>
      <c r="C852" s="164"/>
      <c r="D852" s="113"/>
      <c r="E852" s="113"/>
      <c r="F852" s="113"/>
      <c r="G852" s="113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5.75" customHeight="1">
      <c r="A853" s="164"/>
      <c r="B853" s="164"/>
      <c r="C853" s="164"/>
      <c r="D853" s="113"/>
      <c r="E853" s="113"/>
      <c r="F853" s="113"/>
      <c r="G853" s="113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5.75" customHeight="1">
      <c r="A854" s="164"/>
      <c r="B854" s="164"/>
      <c r="C854" s="164"/>
      <c r="D854" s="113"/>
      <c r="E854" s="113"/>
      <c r="F854" s="113"/>
      <c r="G854" s="113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5.75" customHeight="1">
      <c r="A855" s="164"/>
      <c r="B855" s="164"/>
      <c r="C855" s="164"/>
      <c r="D855" s="113"/>
      <c r="E855" s="113"/>
      <c r="F855" s="113"/>
      <c r="G855" s="113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5.75" customHeight="1">
      <c r="A856" s="164"/>
      <c r="B856" s="164"/>
      <c r="C856" s="164"/>
      <c r="D856" s="113"/>
      <c r="E856" s="113"/>
      <c r="F856" s="113"/>
      <c r="G856" s="113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5.75" customHeight="1">
      <c r="A857" s="164"/>
      <c r="B857" s="164"/>
      <c r="C857" s="164"/>
      <c r="D857" s="113"/>
      <c r="E857" s="113"/>
      <c r="F857" s="113"/>
      <c r="G857" s="113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5.75" customHeight="1">
      <c r="A858" s="164"/>
      <c r="B858" s="164"/>
      <c r="C858" s="164"/>
      <c r="D858" s="113"/>
      <c r="E858" s="113"/>
      <c r="F858" s="113"/>
      <c r="G858" s="113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5.75" customHeight="1">
      <c r="A859" s="164"/>
      <c r="B859" s="164"/>
      <c r="C859" s="164"/>
      <c r="D859" s="113"/>
      <c r="E859" s="113"/>
      <c r="F859" s="113"/>
      <c r="G859" s="113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5.75" customHeight="1">
      <c r="A860" s="164"/>
      <c r="B860" s="164"/>
      <c r="C860" s="164"/>
      <c r="D860" s="113"/>
      <c r="E860" s="113"/>
      <c r="F860" s="113"/>
      <c r="G860" s="113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5.75" customHeight="1">
      <c r="A861" s="164"/>
      <c r="B861" s="164"/>
      <c r="C861" s="164"/>
      <c r="D861" s="113"/>
      <c r="E861" s="113"/>
      <c r="F861" s="113"/>
      <c r="G861" s="113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5.75" customHeight="1">
      <c r="A862" s="164"/>
      <c r="B862" s="164"/>
      <c r="C862" s="164"/>
      <c r="D862" s="113"/>
      <c r="E862" s="113"/>
      <c r="F862" s="113"/>
      <c r="G862" s="113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5.75" customHeight="1">
      <c r="A863" s="164"/>
      <c r="B863" s="164"/>
      <c r="C863" s="164"/>
      <c r="D863" s="113"/>
      <c r="E863" s="113"/>
      <c r="F863" s="113"/>
      <c r="G863" s="113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5.75" customHeight="1">
      <c r="A864" s="164"/>
      <c r="B864" s="164"/>
      <c r="C864" s="164"/>
      <c r="D864" s="113"/>
      <c r="E864" s="113"/>
      <c r="F864" s="113"/>
      <c r="G864" s="113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5.75" customHeight="1">
      <c r="A865" s="164"/>
      <c r="B865" s="164"/>
      <c r="C865" s="164"/>
      <c r="D865" s="113"/>
      <c r="E865" s="113"/>
      <c r="F865" s="113"/>
      <c r="G865" s="113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5.75" customHeight="1">
      <c r="A866" s="164"/>
      <c r="B866" s="164"/>
      <c r="C866" s="164"/>
      <c r="D866" s="113"/>
      <c r="E866" s="113"/>
      <c r="F866" s="113"/>
      <c r="G866" s="113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5.75" customHeight="1">
      <c r="A867" s="164"/>
      <c r="B867" s="164"/>
      <c r="C867" s="164"/>
      <c r="D867" s="113"/>
      <c r="E867" s="113"/>
      <c r="F867" s="113"/>
      <c r="G867" s="113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5.75" customHeight="1">
      <c r="A868" s="164"/>
      <c r="B868" s="164"/>
      <c r="C868" s="164"/>
      <c r="D868" s="113"/>
      <c r="E868" s="113"/>
      <c r="F868" s="113"/>
      <c r="G868" s="113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5.75" customHeight="1">
      <c r="A869" s="164"/>
      <c r="B869" s="164"/>
      <c r="C869" s="164"/>
      <c r="D869" s="113"/>
      <c r="E869" s="113"/>
      <c r="F869" s="113"/>
      <c r="G869" s="113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5.75" customHeight="1">
      <c r="A870" s="164"/>
      <c r="B870" s="164"/>
      <c r="C870" s="164"/>
      <c r="D870" s="113"/>
      <c r="E870" s="113"/>
      <c r="F870" s="113"/>
      <c r="G870" s="113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5.75" customHeight="1">
      <c r="A871" s="164"/>
      <c r="B871" s="164"/>
      <c r="C871" s="164"/>
      <c r="D871" s="113"/>
      <c r="E871" s="113"/>
      <c r="F871" s="113"/>
      <c r="G871" s="113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5.75" customHeight="1">
      <c r="A872" s="164"/>
      <c r="B872" s="164"/>
      <c r="C872" s="164"/>
      <c r="D872" s="113"/>
      <c r="E872" s="113"/>
      <c r="F872" s="113"/>
      <c r="G872" s="113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5.75" customHeight="1">
      <c r="A873" s="164"/>
      <c r="B873" s="164"/>
      <c r="C873" s="164"/>
      <c r="D873" s="113"/>
      <c r="E873" s="113"/>
      <c r="F873" s="113"/>
      <c r="G873" s="113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5.75" customHeight="1">
      <c r="A874" s="164"/>
      <c r="B874" s="164"/>
      <c r="C874" s="164"/>
      <c r="D874" s="113"/>
      <c r="E874" s="113"/>
      <c r="F874" s="113"/>
      <c r="G874" s="113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5.75" customHeight="1">
      <c r="A875" s="164"/>
      <c r="B875" s="164"/>
      <c r="C875" s="164"/>
      <c r="D875" s="113"/>
      <c r="E875" s="113"/>
      <c r="F875" s="113"/>
      <c r="G875" s="113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5.75" customHeight="1">
      <c r="A876" s="164"/>
      <c r="B876" s="164"/>
      <c r="C876" s="164"/>
      <c r="D876" s="113"/>
      <c r="E876" s="113"/>
      <c r="F876" s="113"/>
      <c r="G876" s="113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5.75" customHeight="1">
      <c r="A877" s="164"/>
      <c r="B877" s="164"/>
      <c r="C877" s="164"/>
      <c r="D877" s="113"/>
      <c r="E877" s="113"/>
      <c r="F877" s="113"/>
      <c r="G877" s="113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5.75" customHeight="1">
      <c r="A878" s="164"/>
      <c r="B878" s="164"/>
      <c r="C878" s="164"/>
      <c r="D878" s="113"/>
      <c r="E878" s="113"/>
      <c r="F878" s="113"/>
      <c r="G878" s="113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5.75" customHeight="1">
      <c r="A879" s="164"/>
      <c r="B879" s="164"/>
      <c r="C879" s="164"/>
      <c r="D879" s="113"/>
      <c r="E879" s="113"/>
      <c r="F879" s="113"/>
      <c r="G879" s="113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5.75" customHeight="1">
      <c r="A880" s="164"/>
      <c r="B880" s="164"/>
      <c r="C880" s="164"/>
      <c r="D880" s="113"/>
      <c r="E880" s="113"/>
      <c r="F880" s="113"/>
      <c r="G880" s="113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5.75" customHeight="1">
      <c r="A881" s="164"/>
      <c r="B881" s="164"/>
      <c r="C881" s="164"/>
      <c r="D881" s="113"/>
      <c r="E881" s="113"/>
      <c r="F881" s="113"/>
      <c r="G881" s="113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5.75" customHeight="1">
      <c r="A882" s="164"/>
      <c r="B882" s="164"/>
      <c r="C882" s="164"/>
      <c r="D882" s="113"/>
      <c r="E882" s="113"/>
      <c r="F882" s="113"/>
      <c r="G882" s="113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5.75" customHeight="1">
      <c r="A883" s="164"/>
      <c r="B883" s="164"/>
      <c r="C883" s="164"/>
      <c r="D883" s="113"/>
      <c r="E883" s="113"/>
      <c r="F883" s="113"/>
      <c r="G883" s="113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5.75" customHeight="1">
      <c r="A884" s="164"/>
      <c r="B884" s="164"/>
      <c r="C884" s="164"/>
      <c r="D884" s="113"/>
      <c r="E884" s="113"/>
      <c r="F884" s="113"/>
      <c r="G884" s="113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5.75" customHeight="1">
      <c r="A885" s="164"/>
      <c r="B885" s="164"/>
      <c r="C885" s="164"/>
      <c r="D885" s="113"/>
      <c r="E885" s="113"/>
      <c r="F885" s="113"/>
      <c r="G885" s="113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5.75" customHeight="1">
      <c r="A886" s="164"/>
      <c r="B886" s="164"/>
      <c r="C886" s="164"/>
      <c r="D886" s="113"/>
      <c r="E886" s="113"/>
      <c r="F886" s="113"/>
      <c r="G886" s="113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5.75" customHeight="1">
      <c r="A887" s="164"/>
      <c r="B887" s="164"/>
      <c r="C887" s="164"/>
      <c r="D887" s="113"/>
      <c r="E887" s="113"/>
      <c r="F887" s="113"/>
      <c r="G887" s="113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5.75" customHeight="1">
      <c r="A888" s="164"/>
      <c r="B888" s="164"/>
      <c r="C888" s="164"/>
      <c r="D888" s="113"/>
      <c r="E888" s="113"/>
      <c r="F888" s="113"/>
      <c r="G888" s="113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5.75" customHeight="1">
      <c r="A889" s="164"/>
      <c r="B889" s="164"/>
      <c r="C889" s="164"/>
      <c r="D889" s="113"/>
      <c r="E889" s="113"/>
      <c r="F889" s="113"/>
      <c r="G889" s="113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5.75" customHeight="1">
      <c r="A890" s="164"/>
      <c r="B890" s="164"/>
      <c r="C890" s="164"/>
      <c r="D890" s="113"/>
      <c r="E890" s="113"/>
      <c r="F890" s="113"/>
      <c r="G890" s="113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5.75" customHeight="1">
      <c r="A891" s="164"/>
      <c r="B891" s="164"/>
      <c r="C891" s="164"/>
      <c r="D891" s="113"/>
      <c r="E891" s="113"/>
      <c r="F891" s="113"/>
      <c r="G891" s="113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5.75" customHeight="1">
      <c r="A892" s="164"/>
      <c r="B892" s="164"/>
      <c r="C892" s="164"/>
      <c r="D892" s="113"/>
      <c r="E892" s="113"/>
      <c r="F892" s="113"/>
      <c r="G892" s="113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5.75" customHeight="1">
      <c r="A893" s="164"/>
      <c r="B893" s="164"/>
      <c r="C893" s="164"/>
      <c r="D893" s="113"/>
      <c r="E893" s="113"/>
      <c r="F893" s="113"/>
      <c r="G893" s="113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5.75" customHeight="1">
      <c r="A894" s="164"/>
      <c r="B894" s="164"/>
      <c r="C894" s="164"/>
      <c r="D894" s="113"/>
      <c r="E894" s="113"/>
      <c r="F894" s="113"/>
      <c r="G894" s="113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5.75" customHeight="1">
      <c r="A895" s="164"/>
      <c r="B895" s="164"/>
      <c r="C895" s="164"/>
      <c r="D895" s="113"/>
      <c r="E895" s="113"/>
      <c r="F895" s="113"/>
      <c r="G895" s="113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5.75" customHeight="1">
      <c r="A896" s="164"/>
      <c r="B896" s="164"/>
      <c r="C896" s="164"/>
      <c r="D896" s="113"/>
      <c r="E896" s="113"/>
      <c r="F896" s="113"/>
      <c r="G896" s="113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5.75" customHeight="1">
      <c r="A897" s="164"/>
      <c r="B897" s="164"/>
      <c r="C897" s="164"/>
      <c r="D897" s="113"/>
      <c r="E897" s="113"/>
      <c r="F897" s="113"/>
      <c r="G897" s="113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5.75" customHeight="1">
      <c r="A898" s="164"/>
      <c r="B898" s="164"/>
      <c r="C898" s="164"/>
      <c r="D898" s="113"/>
      <c r="E898" s="113"/>
      <c r="F898" s="113"/>
      <c r="G898" s="113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5.75" customHeight="1">
      <c r="A899" s="164"/>
      <c r="B899" s="164"/>
      <c r="C899" s="164"/>
      <c r="D899" s="113"/>
      <c r="E899" s="113"/>
      <c r="F899" s="113"/>
      <c r="G899" s="113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5.75" customHeight="1">
      <c r="A900" s="164"/>
      <c r="B900" s="164"/>
      <c r="C900" s="164"/>
      <c r="D900" s="113"/>
      <c r="E900" s="113"/>
      <c r="F900" s="113"/>
      <c r="G900" s="113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5.75" customHeight="1">
      <c r="A901" s="164"/>
      <c r="B901" s="164"/>
      <c r="C901" s="164"/>
      <c r="D901" s="113"/>
      <c r="E901" s="113"/>
      <c r="F901" s="113"/>
      <c r="G901" s="113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5.75" customHeight="1">
      <c r="A902" s="164"/>
      <c r="B902" s="164"/>
      <c r="C902" s="164"/>
      <c r="D902" s="113"/>
      <c r="E902" s="113"/>
      <c r="F902" s="113"/>
      <c r="G902" s="113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5.75" customHeight="1">
      <c r="A903" s="164"/>
      <c r="B903" s="164"/>
      <c r="C903" s="164"/>
      <c r="D903" s="113"/>
      <c r="E903" s="113"/>
      <c r="F903" s="113"/>
      <c r="G903" s="113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5.75" customHeight="1">
      <c r="A904" s="164"/>
      <c r="B904" s="164"/>
      <c r="C904" s="164"/>
      <c r="D904" s="113"/>
      <c r="E904" s="113"/>
      <c r="F904" s="113"/>
      <c r="G904" s="113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5.75" customHeight="1">
      <c r="A905" s="164"/>
      <c r="B905" s="164"/>
      <c r="C905" s="164"/>
      <c r="D905" s="113"/>
      <c r="E905" s="113"/>
      <c r="F905" s="113"/>
      <c r="G905" s="113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5.75" customHeight="1">
      <c r="A906" s="164"/>
      <c r="B906" s="164"/>
      <c r="C906" s="164"/>
      <c r="D906" s="113"/>
      <c r="E906" s="113"/>
      <c r="F906" s="113"/>
      <c r="G906" s="113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5.75" customHeight="1">
      <c r="A907" s="164"/>
      <c r="B907" s="164"/>
      <c r="C907" s="164"/>
      <c r="D907" s="113"/>
      <c r="E907" s="113"/>
      <c r="F907" s="113"/>
      <c r="G907" s="113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5.75" customHeight="1">
      <c r="A908" s="164"/>
      <c r="B908" s="164"/>
      <c r="C908" s="164"/>
      <c r="D908" s="113"/>
      <c r="E908" s="113"/>
      <c r="F908" s="113"/>
      <c r="G908" s="113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5.75" customHeight="1">
      <c r="A909" s="164"/>
      <c r="B909" s="164"/>
      <c r="C909" s="164"/>
      <c r="D909" s="113"/>
      <c r="E909" s="113"/>
      <c r="F909" s="113"/>
      <c r="G909" s="113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5.75" customHeight="1">
      <c r="A910" s="164"/>
      <c r="B910" s="164"/>
      <c r="C910" s="164"/>
      <c r="D910" s="113"/>
      <c r="E910" s="113"/>
      <c r="F910" s="113"/>
      <c r="G910" s="113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5.75" customHeight="1">
      <c r="A911" s="164"/>
      <c r="B911" s="164"/>
      <c r="C911" s="164"/>
      <c r="D911" s="113"/>
      <c r="E911" s="113"/>
      <c r="F911" s="113"/>
      <c r="G911" s="113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5.75" customHeight="1">
      <c r="A912" s="164"/>
      <c r="B912" s="164"/>
      <c r="C912" s="164"/>
      <c r="D912" s="113"/>
      <c r="E912" s="113"/>
      <c r="F912" s="113"/>
      <c r="G912" s="113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5.75" customHeight="1">
      <c r="A913" s="164"/>
      <c r="B913" s="164"/>
      <c r="C913" s="164"/>
      <c r="D913" s="113"/>
      <c r="E913" s="113"/>
      <c r="F913" s="113"/>
      <c r="G913" s="113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5.75" customHeight="1">
      <c r="A914" s="164"/>
      <c r="B914" s="164"/>
      <c r="C914" s="164"/>
      <c r="D914" s="113"/>
      <c r="E914" s="113"/>
      <c r="F914" s="113"/>
      <c r="G914" s="113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5.75" customHeight="1">
      <c r="A915" s="164"/>
      <c r="B915" s="164"/>
      <c r="C915" s="164"/>
      <c r="D915" s="113"/>
      <c r="E915" s="113"/>
      <c r="F915" s="113"/>
      <c r="G915" s="113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5.75" customHeight="1">
      <c r="A916" s="164"/>
      <c r="B916" s="164"/>
      <c r="C916" s="164"/>
      <c r="D916" s="113"/>
      <c r="E916" s="113"/>
      <c r="F916" s="113"/>
      <c r="G916" s="113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5.75" customHeight="1">
      <c r="A917" s="164"/>
      <c r="B917" s="164"/>
      <c r="C917" s="164"/>
      <c r="D917" s="113"/>
      <c r="E917" s="113"/>
      <c r="F917" s="113"/>
      <c r="G917" s="113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5.75" customHeight="1">
      <c r="A918" s="164"/>
      <c r="B918" s="164"/>
      <c r="C918" s="164"/>
      <c r="D918" s="113"/>
      <c r="E918" s="113"/>
      <c r="F918" s="113"/>
      <c r="G918" s="113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5.75" customHeight="1">
      <c r="A919" s="164"/>
      <c r="B919" s="164"/>
      <c r="C919" s="164"/>
      <c r="D919" s="113"/>
      <c r="E919" s="113"/>
      <c r="F919" s="113"/>
      <c r="G919" s="113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5.75" customHeight="1">
      <c r="A920" s="164"/>
      <c r="B920" s="164"/>
      <c r="C920" s="164"/>
      <c r="D920" s="113"/>
      <c r="E920" s="113"/>
      <c r="F920" s="113"/>
      <c r="G920" s="113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5.75" customHeight="1">
      <c r="A921" s="164"/>
      <c r="B921" s="164"/>
      <c r="C921" s="164"/>
      <c r="D921" s="113"/>
      <c r="E921" s="113"/>
      <c r="F921" s="113"/>
      <c r="G921" s="113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5.75" customHeight="1">
      <c r="A922" s="164"/>
      <c r="B922" s="164"/>
      <c r="C922" s="164"/>
      <c r="D922" s="113"/>
      <c r="E922" s="113"/>
      <c r="F922" s="113"/>
      <c r="G922" s="113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5.75" customHeight="1">
      <c r="A923" s="164"/>
      <c r="B923" s="164"/>
      <c r="C923" s="164"/>
      <c r="D923" s="113"/>
      <c r="E923" s="113"/>
      <c r="F923" s="113"/>
      <c r="G923" s="113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5.75" customHeight="1">
      <c r="A924" s="164"/>
      <c r="B924" s="164"/>
      <c r="C924" s="164"/>
      <c r="D924" s="113"/>
      <c r="E924" s="113"/>
      <c r="F924" s="113"/>
      <c r="G924" s="113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5.75" customHeight="1">
      <c r="A925" s="164"/>
      <c r="B925" s="164"/>
      <c r="C925" s="164"/>
      <c r="D925" s="113"/>
      <c r="E925" s="113"/>
      <c r="F925" s="113"/>
      <c r="G925" s="113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5.75" customHeight="1">
      <c r="A926" s="164"/>
      <c r="B926" s="164"/>
      <c r="C926" s="164"/>
      <c r="D926" s="113"/>
      <c r="E926" s="113"/>
      <c r="F926" s="113"/>
      <c r="G926" s="113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5.75" customHeight="1">
      <c r="A927" s="164"/>
      <c r="B927" s="164"/>
      <c r="C927" s="164"/>
      <c r="D927" s="113"/>
      <c r="E927" s="113"/>
      <c r="F927" s="113"/>
      <c r="G927" s="113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5.75" customHeight="1">
      <c r="A928" s="164"/>
      <c r="B928" s="164"/>
      <c r="C928" s="164"/>
      <c r="D928" s="113"/>
      <c r="E928" s="113"/>
      <c r="F928" s="113"/>
      <c r="G928" s="113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5.75" customHeight="1">
      <c r="A929" s="164"/>
      <c r="B929" s="164"/>
      <c r="C929" s="164"/>
      <c r="D929" s="113"/>
      <c r="E929" s="113"/>
      <c r="F929" s="113"/>
      <c r="G929" s="113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5.75" customHeight="1">
      <c r="A930" s="164"/>
      <c r="B930" s="164"/>
      <c r="C930" s="164"/>
      <c r="D930" s="113"/>
      <c r="E930" s="113"/>
      <c r="F930" s="113"/>
      <c r="G930" s="113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5.75" customHeight="1">
      <c r="A931" s="164"/>
      <c r="B931" s="164"/>
      <c r="C931" s="164"/>
      <c r="D931" s="113"/>
      <c r="E931" s="113"/>
      <c r="F931" s="113"/>
      <c r="G931" s="113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5.75" customHeight="1">
      <c r="A932" s="164"/>
      <c r="B932" s="164"/>
      <c r="C932" s="164"/>
      <c r="D932" s="113"/>
      <c r="E932" s="113"/>
      <c r="F932" s="113"/>
      <c r="G932" s="113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5.75" customHeight="1">
      <c r="A933" s="164"/>
      <c r="B933" s="164"/>
      <c r="C933" s="164"/>
      <c r="D933" s="113"/>
      <c r="E933" s="113"/>
      <c r="F933" s="113"/>
      <c r="G933" s="113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5.75" customHeight="1">
      <c r="A934" s="164"/>
      <c r="B934" s="164"/>
      <c r="C934" s="164"/>
      <c r="D934" s="113"/>
      <c r="E934" s="113"/>
      <c r="F934" s="113"/>
      <c r="G934" s="113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5.75" customHeight="1">
      <c r="A935" s="164"/>
      <c r="B935" s="164"/>
      <c r="C935" s="164"/>
      <c r="D935" s="113"/>
      <c r="E935" s="113"/>
      <c r="F935" s="113"/>
      <c r="G935" s="113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5.75" customHeight="1">
      <c r="A936" s="164"/>
      <c r="B936" s="164"/>
      <c r="C936" s="164"/>
      <c r="D936" s="113"/>
      <c r="E936" s="113"/>
      <c r="F936" s="113"/>
      <c r="G936" s="113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5.75" customHeight="1">
      <c r="A937" s="164"/>
      <c r="B937" s="164"/>
      <c r="C937" s="164"/>
      <c r="D937" s="113"/>
      <c r="E937" s="113"/>
      <c r="F937" s="113"/>
      <c r="G937" s="113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5.75" customHeight="1">
      <c r="A938" s="164"/>
      <c r="B938" s="164"/>
      <c r="C938" s="164"/>
      <c r="D938" s="113"/>
      <c r="E938" s="113"/>
      <c r="F938" s="113"/>
      <c r="G938" s="113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5.75" customHeight="1">
      <c r="A939" s="164"/>
      <c r="B939" s="164"/>
      <c r="C939" s="164"/>
      <c r="D939" s="113"/>
      <c r="E939" s="113"/>
      <c r="F939" s="113"/>
      <c r="G939" s="113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5.75" customHeight="1">
      <c r="A940" s="164"/>
      <c r="B940" s="164"/>
      <c r="C940" s="164"/>
      <c r="D940" s="113"/>
      <c r="E940" s="113"/>
      <c r="F940" s="113"/>
      <c r="G940" s="113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5.75" customHeight="1">
      <c r="A941" s="164"/>
      <c r="B941" s="164"/>
      <c r="C941" s="164"/>
      <c r="D941" s="113"/>
      <c r="E941" s="113"/>
      <c r="F941" s="113"/>
      <c r="G941" s="113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5.75" customHeight="1">
      <c r="A942" s="164"/>
      <c r="B942" s="164"/>
      <c r="C942" s="164"/>
      <c r="D942" s="113"/>
      <c r="E942" s="113"/>
      <c r="F942" s="113"/>
      <c r="G942" s="113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5.75" customHeight="1">
      <c r="A943" s="164"/>
      <c r="B943" s="164"/>
      <c r="C943" s="164"/>
      <c r="D943" s="113"/>
      <c r="E943" s="113"/>
      <c r="F943" s="113"/>
      <c r="G943" s="113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5.75" customHeight="1">
      <c r="A944" s="164"/>
      <c r="B944" s="164"/>
      <c r="C944" s="164"/>
      <c r="D944" s="113"/>
      <c r="E944" s="113"/>
      <c r="F944" s="113"/>
      <c r="G944" s="113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5.75" customHeight="1">
      <c r="A945" s="164"/>
      <c r="B945" s="164"/>
      <c r="C945" s="164"/>
      <c r="D945" s="113"/>
      <c r="E945" s="113"/>
      <c r="F945" s="113"/>
      <c r="G945" s="113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5.75" customHeight="1">
      <c r="A946" s="164"/>
      <c r="B946" s="164"/>
      <c r="C946" s="164"/>
      <c r="D946" s="113"/>
      <c r="E946" s="113"/>
      <c r="F946" s="113"/>
      <c r="G946" s="113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5.75" customHeight="1">
      <c r="A947" s="164"/>
      <c r="B947" s="164"/>
      <c r="C947" s="164"/>
      <c r="D947" s="113"/>
      <c r="E947" s="113"/>
      <c r="F947" s="113"/>
      <c r="G947" s="113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5.75" customHeight="1">
      <c r="A948" s="164"/>
      <c r="B948" s="164"/>
      <c r="C948" s="164"/>
      <c r="D948" s="113"/>
      <c r="E948" s="113"/>
      <c r="F948" s="113"/>
      <c r="G948" s="113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5.75" customHeight="1">
      <c r="A949" s="164"/>
      <c r="B949" s="164"/>
      <c r="C949" s="164"/>
      <c r="D949" s="113"/>
      <c r="E949" s="113"/>
      <c r="F949" s="113"/>
      <c r="G949" s="113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5.75" customHeight="1">
      <c r="A950" s="164"/>
      <c r="B950" s="164"/>
      <c r="C950" s="164"/>
      <c r="D950" s="113"/>
      <c r="E950" s="113"/>
      <c r="F950" s="113"/>
      <c r="G950" s="113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5.75" customHeight="1">
      <c r="A951" s="164"/>
      <c r="B951" s="164"/>
      <c r="C951" s="164"/>
      <c r="D951" s="113"/>
      <c r="E951" s="113"/>
      <c r="F951" s="113"/>
      <c r="G951" s="113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5.75" customHeight="1">
      <c r="A952" s="164"/>
      <c r="B952" s="164"/>
      <c r="C952" s="164"/>
      <c r="D952" s="113"/>
      <c r="E952" s="113"/>
      <c r="F952" s="113"/>
      <c r="G952" s="113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5.75" customHeight="1">
      <c r="A953" s="164"/>
      <c r="B953" s="164"/>
      <c r="C953" s="164"/>
      <c r="D953" s="113"/>
      <c r="E953" s="113"/>
      <c r="F953" s="113"/>
      <c r="G953" s="113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5.75" customHeight="1">
      <c r="A954" s="164"/>
      <c r="B954" s="164"/>
      <c r="C954" s="164"/>
      <c r="D954" s="113"/>
      <c r="E954" s="113"/>
      <c r="F954" s="113"/>
      <c r="G954" s="113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5.75" customHeight="1">
      <c r="A955" s="164"/>
      <c r="B955" s="164"/>
      <c r="C955" s="164"/>
      <c r="D955" s="113"/>
      <c r="E955" s="113"/>
      <c r="F955" s="113"/>
      <c r="G955" s="113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5.75" customHeight="1">
      <c r="A956" s="164"/>
      <c r="B956" s="164"/>
      <c r="C956" s="164"/>
      <c r="D956" s="113"/>
      <c r="E956" s="113"/>
      <c r="F956" s="113"/>
      <c r="G956" s="113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5.75" customHeight="1">
      <c r="A957" s="164"/>
      <c r="B957" s="164"/>
      <c r="C957" s="164"/>
      <c r="D957" s="113"/>
      <c r="E957" s="113"/>
      <c r="F957" s="113"/>
      <c r="G957" s="113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5.75" customHeight="1">
      <c r="A958" s="164"/>
      <c r="B958" s="164"/>
      <c r="C958" s="164"/>
      <c r="D958" s="113"/>
      <c r="E958" s="113"/>
      <c r="F958" s="113"/>
      <c r="G958" s="113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5.75" customHeight="1">
      <c r="A959" s="164"/>
      <c r="B959" s="164"/>
      <c r="C959" s="164"/>
      <c r="D959" s="113"/>
      <c r="E959" s="113"/>
      <c r="F959" s="113"/>
      <c r="G959" s="113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5.75" customHeight="1">
      <c r="A960" s="164"/>
      <c r="B960" s="164"/>
      <c r="C960" s="164"/>
      <c r="D960" s="113"/>
      <c r="E960" s="113"/>
      <c r="F960" s="113"/>
      <c r="G960" s="113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5.75" customHeight="1">
      <c r="A961" s="164"/>
      <c r="B961" s="164"/>
      <c r="C961" s="164"/>
      <c r="D961" s="113"/>
      <c r="E961" s="113"/>
      <c r="F961" s="113"/>
      <c r="G961" s="113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5.75" customHeight="1">
      <c r="A962" s="164"/>
      <c r="B962" s="164"/>
      <c r="C962" s="164"/>
      <c r="D962" s="113"/>
      <c r="E962" s="113"/>
      <c r="F962" s="113"/>
      <c r="G962" s="113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5.75" customHeight="1">
      <c r="A963" s="164"/>
      <c r="B963" s="164"/>
      <c r="C963" s="164"/>
      <c r="D963" s="113"/>
      <c r="E963" s="113"/>
      <c r="F963" s="113"/>
      <c r="G963" s="113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5.75" customHeight="1">
      <c r="A964" s="164"/>
      <c r="B964" s="164"/>
      <c r="C964" s="164"/>
      <c r="D964" s="113"/>
      <c r="E964" s="113"/>
      <c r="F964" s="113"/>
      <c r="G964" s="113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5.75" customHeight="1">
      <c r="A965" s="164"/>
      <c r="B965" s="164"/>
      <c r="C965" s="164"/>
      <c r="D965" s="113"/>
      <c r="E965" s="113"/>
      <c r="F965" s="113"/>
      <c r="G965" s="113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5.75" customHeight="1">
      <c r="A966" s="164"/>
      <c r="B966" s="164"/>
      <c r="C966" s="164"/>
      <c r="D966" s="113"/>
      <c r="E966" s="113"/>
      <c r="F966" s="113"/>
      <c r="G966" s="113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5.75" customHeight="1">
      <c r="A967" s="164"/>
      <c r="B967" s="164"/>
      <c r="C967" s="164"/>
      <c r="D967" s="113"/>
      <c r="E967" s="113"/>
      <c r="F967" s="113"/>
      <c r="G967" s="113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5.75" customHeight="1">
      <c r="A968" s="164"/>
      <c r="B968" s="164"/>
      <c r="C968" s="164"/>
      <c r="D968" s="113"/>
      <c r="E968" s="113"/>
      <c r="F968" s="113"/>
      <c r="G968" s="113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5.75" customHeight="1">
      <c r="A969" s="164"/>
      <c r="B969" s="164"/>
      <c r="C969" s="164"/>
      <c r="D969" s="113"/>
      <c r="E969" s="113"/>
      <c r="F969" s="113"/>
      <c r="G969" s="113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5.75" customHeight="1">
      <c r="A970" s="164"/>
      <c r="B970" s="164"/>
      <c r="C970" s="164"/>
      <c r="D970" s="113"/>
      <c r="E970" s="113"/>
      <c r="F970" s="113"/>
      <c r="G970" s="113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5.75" customHeight="1">
      <c r="A971" s="164"/>
      <c r="B971" s="164"/>
      <c r="C971" s="164"/>
      <c r="D971" s="113"/>
      <c r="E971" s="113"/>
      <c r="F971" s="113"/>
      <c r="G971" s="113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5.75" customHeight="1">
      <c r="A972" s="164"/>
      <c r="B972" s="164"/>
      <c r="C972" s="164"/>
      <c r="D972" s="113"/>
      <c r="E972" s="113"/>
      <c r="F972" s="113"/>
      <c r="G972" s="113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5.75" customHeight="1">
      <c r="A973" s="164"/>
      <c r="B973" s="164"/>
      <c r="C973" s="164"/>
      <c r="D973" s="113"/>
      <c r="E973" s="113"/>
      <c r="F973" s="113"/>
      <c r="G973" s="113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5.75" customHeight="1">
      <c r="A974" s="164"/>
      <c r="B974" s="164"/>
      <c r="C974" s="164"/>
      <c r="D974" s="113"/>
      <c r="E974" s="113"/>
      <c r="F974" s="113"/>
      <c r="G974" s="113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5.75" customHeight="1">
      <c r="A975" s="164"/>
      <c r="B975" s="164"/>
      <c r="C975" s="164"/>
      <c r="D975" s="113"/>
      <c r="E975" s="113"/>
      <c r="F975" s="113"/>
      <c r="G975" s="113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5.75" customHeight="1">
      <c r="A976" s="164"/>
      <c r="B976" s="164"/>
      <c r="C976" s="164"/>
      <c r="D976" s="113"/>
      <c r="E976" s="113"/>
      <c r="F976" s="113"/>
      <c r="G976" s="113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5.75" customHeight="1">
      <c r="A977" s="164"/>
      <c r="B977" s="164"/>
      <c r="C977" s="164"/>
      <c r="D977" s="113"/>
      <c r="E977" s="113"/>
      <c r="F977" s="113"/>
      <c r="G977" s="113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5.75" customHeight="1">
      <c r="A978" s="164"/>
      <c r="B978" s="164"/>
      <c r="C978" s="164"/>
      <c r="D978" s="113"/>
      <c r="E978" s="113"/>
      <c r="F978" s="113"/>
      <c r="G978" s="113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5.75" customHeight="1">
      <c r="A979" s="164"/>
      <c r="B979" s="164"/>
      <c r="C979" s="164"/>
      <c r="D979" s="113"/>
      <c r="E979" s="113"/>
      <c r="F979" s="113"/>
      <c r="G979" s="113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5.75" customHeight="1">
      <c r="A980" s="164"/>
      <c r="B980" s="164"/>
      <c r="C980" s="164"/>
      <c r="D980" s="113"/>
      <c r="E980" s="113"/>
      <c r="F980" s="113"/>
      <c r="G980" s="113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5.75" customHeight="1">
      <c r="A981" s="164"/>
      <c r="B981" s="164"/>
      <c r="C981" s="164"/>
      <c r="D981" s="113"/>
      <c r="E981" s="113"/>
      <c r="F981" s="113"/>
      <c r="G981" s="113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5.75" customHeight="1">
      <c r="A982" s="164"/>
      <c r="B982" s="164"/>
      <c r="C982" s="164"/>
      <c r="D982" s="113"/>
      <c r="E982" s="113"/>
      <c r="F982" s="113"/>
      <c r="G982" s="113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5.75" customHeight="1">
      <c r="A983" s="164"/>
      <c r="B983" s="164"/>
      <c r="C983" s="164"/>
      <c r="D983" s="113"/>
      <c r="E983" s="113"/>
      <c r="F983" s="113"/>
      <c r="G983" s="113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5.75" customHeight="1">
      <c r="A984" s="164"/>
      <c r="B984" s="164"/>
      <c r="C984" s="164"/>
      <c r="D984" s="113"/>
      <c r="E984" s="113"/>
      <c r="F984" s="113"/>
      <c r="G984" s="113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5.75" customHeight="1">
      <c r="A985" s="164"/>
      <c r="B985" s="164"/>
      <c r="C985" s="164"/>
      <c r="D985" s="113"/>
      <c r="E985" s="113"/>
      <c r="F985" s="113"/>
      <c r="G985" s="113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5.75" customHeight="1">
      <c r="A986" s="164"/>
      <c r="B986" s="164"/>
      <c r="C986" s="164"/>
      <c r="D986" s="113"/>
      <c r="E986" s="113"/>
      <c r="F986" s="113"/>
      <c r="G986" s="113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5.75" customHeight="1">
      <c r="A987" s="164"/>
      <c r="B987" s="164"/>
      <c r="C987" s="164"/>
      <c r="D987" s="113"/>
      <c r="E987" s="113"/>
      <c r="F987" s="113"/>
      <c r="G987" s="113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5.75" customHeight="1">
      <c r="A988" s="164"/>
      <c r="B988" s="164"/>
      <c r="C988" s="164"/>
      <c r="D988" s="113"/>
      <c r="E988" s="113"/>
      <c r="F988" s="113"/>
      <c r="G988" s="113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5.75" customHeight="1">
      <c r="A989" s="164"/>
      <c r="B989" s="164"/>
      <c r="C989" s="164"/>
      <c r="D989" s="113"/>
      <c r="E989" s="113"/>
      <c r="F989" s="113"/>
      <c r="G989" s="113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5.75" customHeight="1">
      <c r="A990" s="164"/>
      <c r="B990" s="164"/>
      <c r="C990" s="164"/>
      <c r="D990" s="113"/>
      <c r="E990" s="113"/>
      <c r="F990" s="113"/>
      <c r="G990" s="113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5.75" customHeight="1">
      <c r="A991" s="164"/>
      <c r="B991" s="164"/>
      <c r="C991" s="164"/>
      <c r="D991" s="113"/>
      <c r="E991" s="113"/>
      <c r="F991" s="113"/>
      <c r="G991" s="113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5.75" customHeight="1">
      <c r="A992" s="164"/>
      <c r="B992" s="164"/>
      <c r="C992" s="164"/>
      <c r="D992" s="113"/>
      <c r="E992" s="113"/>
      <c r="F992" s="113"/>
      <c r="G992" s="113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5.75" customHeight="1">
      <c r="A993" s="164"/>
      <c r="B993" s="164"/>
      <c r="C993" s="164"/>
      <c r="D993" s="113"/>
      <c r="E993" s="113"/>
      <c r="F993" s="113"/>
      <c r="G993" s="113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5.75" customHeight="1">
      <c r="A994" s="164"/>
      <c r="B994" s="164"/>
      <c r="C994" s="164"/>
      <c r="D994" s="113"/>
      <c r="E994" s="113"/>
      <c r="F994" s="113"/>
      <c r="G994" s="113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5.75" customHeight="1">
      <c r="A995" s="164"/>
      <c r="B995" s="164"/>
      <c r="C995" s="164"/>
      <c r="D995" s="113"/>
      <c r="E995" s="113"/>
      <c r="F995" s="113"/>
      <c r="G995" s="113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5.75" customHeight="1">
      <c r="A996" s="164"/>
      <c r="B996" s="164"/>
      <c r="C996" s="164"/>
      <c r="D996" s="113"/>
      <c r="E996" s="113"/>
      <c r="F996" s="113"/>
      <c r="G996" s="113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5.75" customHeight="1">
      <c r="A997" s="164"/>
      <c r="B997" s="164"/>
      <c r="C997" s="164"/>
      <c r="D997" s="113"/>
      <c r="E997" s="113"/>
      <c r="F997" s="113"/>
      <c r="G997" s="113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5.75" customHeight="1">
      <c r="A998" s="164"/>
      <c r="B998" s="164"/>
      <c r="C998" s="164"/>
      <c r="D998" s="113"/>
      <c r="E998" s="113"/>
      <c r="F998" s="113"/>
      <c r="G998" s="113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5.75" customHeight="1">
      <c r="A999" s="164"/>
      <c r="B999" s="164"/>
      <c r="C999" s="164"/>
      <c r="D999" s="113"/>
      <c r="E999" s="113"/>
      <c r="F999" s="113"/>
      <c r="G999" s="113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5.75" customHeight="1">
      <c r="A1000" s="164"/>
      <c r="B1000" s="164"/>
      <c r="C1000" s="164"/>
      <c r="D1000" s="113"/>
      <c r="E1000" s="113"/>
      <c r="F1000" s="113"/>
      <c r="G1000" s="113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3">
    <mergeCell ref="D1:G1"/>
    <mergeCell ref="H1:K1"/>
    <mergeCell ref="L1:O1"/>
  </mergeCells>
  <conditionalFormatting sqref="D1 D2:G1000">
    <cfRule type="cellIs" dxfId="0" priority="1" operator="lessThan">
      <formula>-0.0001</formula>
    </cfRule>
  </conditionalFormatting>
  <conditionalFormatting sqref="D3:G1000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2.63" defaultRowHeight="15.0"/>
  <cols>
    <col customWidth="1" min="1" max="1" width="27.63"/>
    <col customWidth="1" min="2" max="2" width="10.13"/>
    <col customWidth="1" min="3" max="3" width="10.38"/>
    <col customWidth="1" min="4" max="4" width="10.75"/>
    <col customWidth="1" min="5" max="5" width="11.0"/>
    <col customWidth="1" min="6" max="6" width="11.75"/>
    <col customWidth="1" min="7" max="8" width="13.63"/>
    <col customWidth="1" min="9" max="9" width="12.0"/>
    <col customWidth="1" min="10" max="12" width="15.0"/>
    <col customWidth="1" min="13" max="13" width="13.63"/>
    <col customWidth="1" min="14" max="15" width="15.0"/>
    <col customWidth="1" min="16" max="26" width="8.63"/>
  </cols>
  <sheetData>
    <row r="1">
      <c r="A1" s="98"/>
      <c r="B1" s="98"/>
      <c r="C1" s="98"/>
      <c r="D1" s="143" t="s">
        <v>132</v>
      </c>
      <c r="E1" s="106"/>
      <c r="F1" s="106"/>
      <c r="G1" s="107"/>
      <c r="H1" s="166" t="s">
        <v>134</v>
      </c>
      <c r="I1" s="106"/>
      <c r="J1" s="106"/>
      <c r="K1" s="107"/>
      <c r="L1" s="109" t="s">
        <v>135</v>
      </c>
      <c r="M1" s="106"/>
      <c r="N1" s="106"/>
      <c r="O1" s="107"/>
    </row>
    <row r="2">
      <c r="A2" s="114" t="s">
        <v>61</v>
      </c>
      <c r="B2" s="115" t="s">
        <v>62</v>
      </c>
      <c r="C2" s="115" t="s">
        <v>63</v>
      </c>
      <c r="D2" s="116" t="s">
        <v>6</v>
      </c>
      <c r="E2" s="116" t="s">
        <v>10</v>
      </c>
      <c r="F2" s="116" t="s">
        <v>11</v>
      </c>
      <c r="G2" s="116" t="s">
        <v>9</v>
      </c>
      <c r="H2" s="146" t="s">
        <v>6</v>
      </c>
      <c r="I2" s="146" t="s">
        <v>7</v>
      </c>
      <c r="J2" s="146" t="s">
        <v>11</v>
      </c>
      <c r="K2" s="146" t="s">
        <v>9</v>
      </c>
      <c r="L2" s="117" t="s">
        <v>6</v>
      </c>
      <c r="M2" s="117" t="s">
        <v>7</v>
      </c>
      <c r="N2" s="117" t="s">
        <v>8</v>
      </c>
      <c r="O2" s="117" t="s">
        <v>9</v>
      </c>
    </row>
    <row r="3">
      <c r="A3" s="98" t="s">
        <v>53</v>
      </c>
      <c r="B3" s="98" t="s">
        <v>25</v>
      </c>
      <c r="C3" s="98" t="s">
        <v>13</v>
      </c>
      <c r="D3" s="88">
        <f t="shared" ref="D3:G3" si="1">IF(L3=0,0%,IF(H3=0,100%,L3/H3-1))</f>
        <v>-0.5639767397</v>
      </c>
      <c r="E3" s="88">
        <f t="shared" si="1"/>
        <v>-0.6894723137</v>
      </c>
      <c r="F3" s="88">
        <f t="shared" si="1"/>
        <v>0.06530583236</v>
      </c>
      <c r="G3" s="88">
        <f t="shared" si="1"/>
        <v>-0.562301715</v>
      </c>
      <c r="H3" s="121">
        <v>1530000.0</v>
      </c>
      <c r="I3" s="121">
        <v>110500.00000000001</v>
      </c>
      <c r="J3" s="121">
        <v>4000000.0</v>
      </c>
      <c r="K3" s="121">
        <v>8000000.0</v>
      </c>
      <c r="L3" s="120">
        <f>VLOOKUP(A3,'תפוקה חודשית מול אשתקד'!A:K,8,0)</f>
        <v>667115.5883</v>
      </c>
      <c r="M3" s="120">
        <f>VLOOKUP(A3,'תפוקה חודשית מול אשתקד'!A:K,9,0)</f>
        <v>34313.30934</v>
      </c>
      <c r="N3" s="120">
        <f>VLOOKUP(A3,'תפוקה חודשית מול אשתקד'!A:K,10,0)</f>
        <v>4261223.329</v>
      </c>
      <c r="O3" s="120">
        <f>VLOOKUP(A3,'תפוקה חודשית מול אשתקד'!A:K,11,0)</f>
        <v>3501586.28</v>
      </c>
    </row>
    <row r="4">
      <c r="A4" s="98" t="s">
        <v>64</v>
      </c>
      <c r="B4" s="98" t="s">
        <v>25</v>
      </c>
      <c r="C4" s="98" t="s">
        <v>13</v>
      </c>
      <c r="D4" s="88">
        <f t="shared" ref="D4:G4" si="2">IF(L4=0,0%,IF(H4=0,100%,L4/H4-1))</f>
        <v>-0.7769639216</v>
      </c>
      <c r="E4" s="88">
        <f t="shared" si="2"/>
        <v>1</v>
      </c>
      <c r="F4" s="88">
        <f t="shared" si="2"/>
        <v>-0.7881334447</v>
      </c>
      <c r="G4" s="88">
        <f t="shared" si="2"/>
        <v>-0.8329139625</v>
      </c>
      <c r="H4" s="121">
        <v>127500.00000000001</v>
      </c>
      <c r="I4" s="121">
        <v>0.0</v>
      </c>
      <c r="J4" s="121">
        <v>2000000.0</v>
      </c>
      <c r="K4" s="121">
        <v>1600000.0</v>
      </c>
      <c r="L4" s="120">
        <f>VLOOKUP(A4,'תפוקה חודשית מול אשתקד'!A:K,8,0)</f>
        <v>28437.1</v>
      </c>
      <c r="M4" s="120">
        <f>VLOOKUP(A4,'תפוקה חודשית מול אשתקד'!A:K,9,0)</f>
        <v>-0.02</v>
      </c>
      <c r="N4" s="120">
        <f>VLOOKUP(A4,'תפוקה חודשית מול אשתקד'!A:K,10,0)</f>
        <v>423733.1106</v>
      </c>
      <c r="O4" s="120">
        <f>VLOOKUP(A4,'תפוקה חודשית מול אשתקד'!A:K,11,0)</f>
        <v>267337.66</v>
      </c>
    </row>
    <row r="5">
      <c r="A5" s="98" t="s">
        <v>37</v>
      </c>
      <c r="B5" s="98" t="s">
        <v>25</v>
      </c>
      <c r="C5" s="98" t="s">
        <v>13</v>
      </c>
      <c r="D5" s="88">
        <f t="shared" ref="D5:G5" si="3">IF(L5=0,0%,IF(H5=0,100%,L5/H5-1))</f>
        <v>0</v>
      </c>
      <c r="E5" s="88">
        <f t="shared" si="3"/>
        <v>-1.024296922</v>
      </c>
      <c r="F5" s="88">
        <f t="shared" si="3"/>
        <v>1</v>
      </c>
      <c r="G5" s="88">
        <f t="shared" si="3"/>
        <v>0</v>
      </c>
      <c r="H5" s="121">
        <v>0.0</v>
      </c>
      <c r="I5" s="121">
        <v>25500.000000000004</v>
      </c>
      <c r="J5" s="121">
        <v>0.0</v>
      </c>
      <c r="K5" s="121">
        <v>0.0</v>
      </c>
      <c r="L5" s="120">
        <f>VLOOKUP(A5,'תפוקה חודשית מול אשתקד'!A:K,8,0)</f>
        <v>0</v>
      </c>
      <c r="M5" s="120">
        <f>VLOOKUP(A5,'תפוקה חודשית מול אשתקד'!A:K,9,0)</f>
        <v>-619.5715209</v>
      </c>
      <c r="N5" s="120">
        <f>VLOOKUP(A5,'תפוקה חודשית מול אשתקד'!A:K,10,0)</f>
        <v>300000</v>
      </c>
      <c r="O5" s="120">
        <f>VLOOKUP(A5,'תפוקה חודשית מול אשתקד'!A:K,11,0)</f>
        <v>0</v>
      </c>
    </row>
    <row r="6">
      <c r="A6" s="98" t="s">
        <v>65</v>
      </c>
      <c r="B6" s="98" t="s">
        <v>25</v>
      </c>
      <c r="C6" s="98" t="s">
        <v>13</v>
      </c>
      <c r="D6" s="88">
        <f t="shared" ref="D6:G6" si="4">IF(L6=0,0%,IF(H6=0,100%,L6/H6-1))</f>
        <v>-5.051217346</v>
      </c>
      <c r="E6" s="88">
        <f t="shared" si="4"/>
        <v>-1.245620572</v>
      </c>
      <c r="F6" s="88">
        <f t="shared" si="4"/>
        <v>-0.9154311875</v>
      </c>
      <c r="G6" s="88">
        <f t="shared" si="4"/>
        <v>-2.188424375</v>
      </c>
      <c r="H6" s="121">
        <v>42500.0</v>
      </c>
      <c r="I6" s="121">
        <v>21250.0</v>
      </c>
      <c r="J6" s="121">
        <v>160000.0</v>
      </c>
      <c r="K6" s="121">
        <v>80000.0</v>
      </c>
      <c r="L6" s="120">
        <f>VLOOKUP(A6,'תפוקה חודשית מול אשתקד'!A:K,8,0)</f>
        <v>-172176.7372</v>
      </c>
      <c r="M6" s="120">
        <f>VLOOKUP(A6,'תפוקה חודשית מול אשתקד'!A:K,9,0)</f>
        <v>-5219.437148</v>
      </c>
      <c r="N6" s="120">
        <f>VLOOKUP(A6,'תפוקה חודשית מול אשתקד'!A:K,10,0)</f>
        <v>13531.01</v>
      </c>
      <c r="O6" s="120">
        <f>VLOOKUP(A6,'תפוקה חודשית מול אשתקד'!A:K,11,0)</f>
        <v>-95073.95</v>
      </c>
    </row>
    <row r="7">
      <c r="A7" s="98" t="s">
        <v>66</v>
      </c>
      <c r="B7" s="98" t="s">
        <v>25</v>
      </c>
      <c r="C7" s="125" t="s">
        <v>13</v>
      </c>
      <c r="D7" s="88">
        <f t="shared" ref="D7:G7" si="5">IF(L7=0,0%,IF(H7=0,100%,L7/H7-1))</f>
        <v>1</v>
      </c>
      <c r="E7" s="88">
        <f t="shared" si="5"/>
        <v>1</v>
      </c>
      <c r="F7" s="88">
        <f t="shared" si="5"/>
        <v>-0.96236225</v>
      </c>
      <c r="G7" s="88">
        <f t="shared" si="5"/>
        <v>-1.00394075</v>
      </c>
      <c r="H7" s="121">
        <v>0.0</v>
      </c>
      <c r="I7" s="121">
        <v>0.0</v>
      </c>
      <c r="J7" s="121">
        <v>80000.0</v>
      </c>
      <c r="K7" s="121">
        <v>40000.0</v>
      </c>
      <c r="L7" s="120">
        <f>VLOOKUP(A7,'תפוקה חודשית מול אשתקד'!A:K,8,0)</f>
        <v>-24.57</v>
      </c>
      <c r="M7" s="120">
        <f>VLOOKUP(A7,'תפוקה חודשית מול אשתקד'!A:K,9,0)</f>
        <v>-1.18</v>
      </c>
      <c r="N7" s="120">
        <f>VLOOKUP(A7,'תפוקה חודשית מול אשתקד'!A:K,10,0)</f>
        <v>3011.02</v>
      </c>
      <c r="O7" s="120">
        <f>VLOOKUP(A7,'תפוקה חודשית מול אשתקד'!A:K,11,0)</f>
        <v>-157.63</v>
      </c>
    </row>
    <row r="8">
      <c r="A8" s="167" t="s">
        <v>67</v>
      </c>
      <c r="B8" s="168"/>
      <c r="C8" s="161"/>
      <c r="D8" s="88">
        <f t="shared" ref="D8:G8" si="6">IF(L8=0,0%,IF(H8=0,100%,L8/H8-1))</f>
        <v>-0.6921462464</v>
      </c>
      <c r="E8" s="88">
        <f t="shared" si="6"/>
        <v>-0.8189309973</v>
      </c>
      <c r="F8" s="88">
        <f t="shared" si="6"/>
        <v>-0.1984778093</v>
      </c>
      <c r="G8" s="88">
        <f t="shared" si="6"/>
        <v>-0.6220481111</v>
      </c>
      <c r="H8" s="169">
        <f t="shared" ref="H8:O8" si="7">SUM(H3:H7)</f>
        <v>1700000</v>
      </c>
      <c r="I8" s="169">
        <f t="shared" si="7"/>
        <v>157250</v>
      </c>
      <c r="J8" s="169">
        <f t="shared" si="7"/>
        <v>6240000</v>
      </c>
      <c r="K8" s="169">
        <f t="shared" si="7"/>
        <v>9720000</v>
      </c>
      <c r="L8" s="169">
        <f t="shared" si="7"/>
        <v>523351.3811</v>
      </c>
      <c r="M8" s="169">
        <f t="shared" si="7"/>
        <v>28473.10067</v>
      </c>
      <c r="N8" s="169">
        <f t="shared" si="7"/>
        <v>5001498.47</v>
      </c>
      <c r="O8" s="169">
        <f t="shared" si="7"/>
        <v>3673692.36</v>
      </c>
    </row>
    <row r="9">
      <c r="A9" s="98" t="s">
        <v>68</v>
      </c>
      <c r="B9" s="98" t="s">
        <v>25</v>
      </c>
      <c r="C9" s="98" t="s">
        <v>69</v>
      </c>
      <c r="D9" s="88">
        <f t="shared" ref="D9:G9" si="8">IF(L9=0,0%,IF(H9=0,100%,L9/H9-1))</f>
        <v>1</v>
      </c>
      <c r="E9" s="88">
        <f t="shared" si="8"/>
        <v>1</v>
      </c>
      <c r="F9" s="88">
        <f t="shared" si="8"/>
        <v>0</v>
      </c>
      <c r="G9" s="88">
        <f t="shared" si="8"/>
        <v>1</v>
      </c>
      <c r="H9" s="121">
        <v>0.0</v>
      </c>
      <c r="I9" s="121">
        <v>0.0</v>
      </c>
      <c r="J9" s="121">
        <v>0.0</v>
      </c>
      <c r="K9" s="121">
        <v>0.0</v>
      </c>
      <c r="L9" s="120">
        <f>VLOOKUP(A9,'תפוקה חודשית מול אשתקד'!A:K,8,0)</f>
        <v>-0.39</v>
      </c>
      <c r="M9" s="120">
        <f>VLOOKUP(A9,'תפוקה חודשית מול אשתקד'!A:K,9,0)</f>
        <v>-3.487</v>
      </c>
      <c r="N9" s="120">
        <f>VLOOKUP(A9,'תפוקה חודשית מול אשתקד'!A:K,10,0)</f>
        <v>0</v>
      </c>
      <c r="O9" s="120">
        <f>VLOOKUP(A9,'תפוקה חודשית מול אשתקד'!A:K,11,0)</f>
        <v>-91826.28</v>
      </c>
    </row>
    <row r="10">
      <c r="A10" s="98" t="s">
        <v>39</v>
      </c>
      <c r="B10" s="98" t="s">
        <v>25</v>
      </c>
      <c r="C10" s="98" t="s">
        <v>69</v>
      </c>
      <c r="D10" s="88">
        <f t="shared" ref="D10:G10" si="9">IF(L10=0,0%,IF(H10=0,100%,L10/H10-1))</f>
        <v>-0.4158034291</v>
      </c>
      <c r="E10" s="88">
        <f t="shared" si="9"/>
        <v>0.09972535391</v>
      </c>
      <c r="F10" s="88">
        <f t="shared" si="9"/>
        <v>-0.8531625</v>
      </c>
      <c r="G10" s="88">
        <f t="shared" si="9"/>
        <v>-0.48867395</v>
      </c>
      <c r="H10" s="121">
        <v>212500.00000000003</v>
      </c>
      <c r="I10" s="121">
        <v>85000.0</v>
      </c>
      <c r="J10" s="121">
        <v>80000.0</v>
      </c>
      <c r="K10" s="121">
        <v>200000.0</v>
      </c>
      <c r="L10" s="120">
        <f>VLOOKUP(A10,'תפוקה חודשית מול אשתקד'!A:K,8,0)</f>
        <v>124141.7713</v>
      </c>
      <c r="M10" s="120">
        <f>VLOOKUP(A10,'תפוקה חודשית מול אשתקד'!A:K,9,0)</f>
        <v>93476.65508</v>
      </c>
      <c r="N10" s="120">
        <f>VLOOKUP(A10,'תפוקה חודשית מול אשתקד'!A:K,10,0)</f>
        <v>11747</v>
      </c>
      <c r="O10" s="120">
        <f>VLOOKUP(A10,'תפוקה חודשית מול אשתקד'!A:K,11,0)</f>
        <v>102265.21</v>
      </c>
    </row>
    <row r="11">
      <c r="A11" s="98" t="s">
        <v>70</v>
      </c>
      <c r="B11" s="98" t="s">
        <v>25</v>
      </c>
      <c r="C11" s="98" t="s">
        <v>69</v>
      </c>
      <c r="D11" s="88">
        <f t="shared" ref="D11:G11" si="10">IF(L11=0,0%,IF(H11=0,100%,L11/H11-1))</f>
        <v>-0.4686652696</v>
      </c>
      <c r="E11" s="88">
        <f t="shared" si="10"/>
        <v>0.02925767141</v>
      </c>
      <c r="F11" s="88">
        <f t="shared" si="10"/>
        <v>1</v>
      </c>
      <c r="G11" s="88">
        <f t="shared" si="10"/>
        <v>1</v>
      </c>
      <c r="H11" s="121">
        <v>42500.0</v>
      </c>
      <c r="I11" s="121">
        <v>17000.0</v>
      </c>
      <c r="J11" s="121">
        <v>0.0</v>
      </c>
      <c r="K11" s="121">
        <v>0.0</v>
      </c>
      <c r="L11" s="120">
        <f>VLOOKUP(A11,'תפוקה חודשית מול אשתקד'!A:K,8,0)</f>
        <v>22581.72604</v>
      </c>
      <c r="M11" s="120">
        <f>VLOOKUP(A11,'תפוקה חודשית מול אשתקד'!A:K,9,0)</f>
        <v>17497.38041</v>
      </c>
      <c r="N11" s="120">
        <f>VLOOKUP(A11,'תפוקה חודשית מול אשתקד'!A:K,10,0)</f>
        <v>161738.066</v>
      </c>
      <c r="O11" s="120">
        <f>VLOOKUP(A11,'תפוקה חודשית מול אשתקד'!A:K,11,0)</f>
        <v>3833.08</v>
      </c>
    </row>
    <row r="12">
      <c r="A12" s="98" t="s">
        <v>71</v>
      </c>
      <c r="B12" s="98" t="s">
        <v>25</v>
      </c>
      <c r="C12" s="98" t="s">
        <v>69</v>
      </c>
      <c r="D12" s="88">
        <f t="shared" ref="D12:G12" si="11">IF(L12=0,0%,IF(H12=0,100%,L12/H12-1))</f>
        <v>1</v>
      </c>
      <c r="E12" s="88">
        <f t="shared" si="11"/>
        <v>1</v>
      </c>
      <c r="F12" s="88">
        <f t="shared" si="11"/>
        <v>1</v>
      </c>
      <c r="G12" s="88">
        <f t="shared" si="11"/>
        <v>1</v>
      </c>
      <c r="H12" s="121">
        <v>0.0</v>
      </c>
      <c r="I12" s="121">
        <v>0.0</v>
      </c>
      <c r="J12" s="121">
        <v>0.0</v>
      </c>
      <c r="K12" s="121">
        <v>0.0</v>
      </c>
      <c r="L12" s="120">
        <f>VLOOKUP(A12,'תפוקה חודשית מול אשתקד'!A:K,8,0)</f>
        <v>4065.75</v>
      </c>
      <c r="M12" s="120">
        <f>VLOOKUP(A12,'תפוקה חודשית מול אשתקד'!A:K,9,0)</f>
        <v>3284.996888</v>
      </c>
      <c r="N12" s="120">
        <f>VLOOKUP(A12,'תפוקה חודשית מול אשתקד'!A:K,10,0)</f>
        <v>260023.05</v>
      </c>
      <c r="O12" s="120">
        <f>VLOOKUP(A12,'תפוקה חודשית מול אשתקד'!A:K,11,0)</f>
        <v>56590.59</v>
      </c>
    </row>
    <row r="13">
      <c r="A13" s="98" t="s">
        <v>58</v>
      </c>
      <c r="B13" s="98" t="s">
        <v>25</v>
      </c>
      <c r="C13" s="98" t="s">
        <v>69</v>
      </c>
      <c r="D13" s="88">
        <f t="shared" ref="D13:G13" si="12">IF(L13=0,0%,IF(H13=0,100%,L13/H13-1))</f>
        <v>1</v>
      </c>
      <c r="E13" s="88">
        <f t="shared" si="12"/>
        <v>-0.525134772</v>
      </c>
      <c r="F13" s="88">
        <f t="shared" si="12"/>
        <v>0</v>
      </c>
      <c r="G13" s="88">
        <f t="shared" si="12"/>
        <v>0</v>
      </c>
      <c r="H13" s="121">
        <v>0.0</v>
      </c>
      <c r="I13" s="121">
        <v>51000.00000000001</v>
      </c>
      <c r="J13" s="121">
        <v>0.0</v>
      </c>
      <c r="K13" s="121">
        <v>0.0</v>
      </c>
      <c r="L13" s="120">
        <f>VLOOKUP(A13,'תפוקה חודשית מול אשתקד'!A:K,8,0)</f>
        <v>16949.80331</v>
      </c>
      <c r="M13" s="120">
        <f>VLOOKUP(A13,'תפוקה חודשית מול אשתקד'!A:K,9,0)</f>
        <v>24218.12663</v>
      </c>
      <c r="N13" s="120">
        <f>VLOOKUP(A13,'תפוקה חודשית מול אשתקד'!A:K,10,0)</f>
        <v>0</v>
      </c>
      <c r="O13" s="120">
        <f>VLOOKUP(A13,'תפוקה חודשית מול אשתקד'!A:K,11,0)</f>
        <v>0</v>
      </c>
    </row>
    <row r="14">
      <c r="A14" s="98" t="s">
        <v>72</v>
      </c>
      <c r="B14" s="98" t="s">
        <v>25</v>
      </c>
      <c r="C14" s="98" t="s">
        <v>69</v>
      </c>
      <c r="D14" s="88">
        <f t="shared" ref="D14:G14" si="13">IF(L14=0,0%,IF(H14=0,100%,L14/H14-1))</f>
        <v>-1.020892157</v>
      </c>
      <c r="E14" s="88">
        <f t="shared" si="13"/>
        <v>-1.004878118</v>
      </c>
      <c r="F14" s="88">
        <f t="shared" si="13"/>
        <v>-1.600390156</v>
      </c>
      <c r="G14" s="88">
        <f t="shared" si="13"/>
        <v>-1.001748635</v>
      </c>
      <c r="H14" s="121">
        <v>25500.000000000004</v>
      </c>
      <c r="I14" s="121">
        <v>12750.000000000002</v>
      </c>
      <c r="J14" s="121">
        <v>320000.0</v>
      </c>
      <c r="K14" s="121">
        <v>960000.0</v>
      </c>
      <c r="L14" s="120">
        <f>VLOOKUP(A14,'תפוקה חודשית מול אשתקד'!A:K,8,0)</f>
        <v>-532.75</v>
      </c>
      <c r="M14" s="120">
        <f>VLOOKUP(A14,'תפוקה חודשית מול אשתקד'!A:K,9,0)</f>
        <v>-62.196</v>
      </c>
      <c r="N14" s="120">
        <f>VLOOKUP(A14,'תפוקה חודשית מול אשתקד'!A:K,10,0)</f>
        <v>-192124.85</v>
      </c>
      <c r="O14" s="120">
        <f>VLOOKUP(A14,'תפוקה חודשית מול אשתקד'!A:K,11,0)</f>
        <v>-1678.69</v>
      </c>
    </row>
    <row r="15">
      <c r="A15" s="98" t="s">
        <v>73</v>
      </c>
      <c r="B15" s="98" t="s">
        <v>25</v>
      </c>
      <c r="C15" s="98" t="s">
        <v>69</v>
      </c>
      <c r="D15" s="88">
        <f t="shared" ref="D15:G15" si="14">IF(L15=0,0%,IF(H15=0,100%,L15/H15-1))</f>
        <v>1</v>
      </c>
      <c r="E15" s="88">
        <f t="shared" si="14"/>
        <v>0</v>
      </c>
      <c r="F15" s="88">
        <f t="shared" si="14"/>
        <v>1</v>
      </c>
      <c r="G15" s="88">
        <f t="shared" si="14"/>
        <v>1</v>
      </c>
      <c r="H15" s="121">
        <v>0.0</v>
      </c>
      <c r="I15" s="121">
        <v>0.0</v>
      </c>
      <c r="J15" s="121">
        <v>0.0</v>
      </c>
      <c r="K15" s="121">
        <v>0.0</v>
      </c>
      <c r="L15" s="120">
        <f>VLOOKUP(A15,'תפוקה חודשית מול אשתקד'!A:K,8,0)</f>
        <v>130856.11</v>
      </c>
      <c r="M15" s="120">
        <f>VLOOKUP(A15,'תפוקה חודשית מול אשתקד'!A:K,9,0)</f>
        <v>0</v>
      </c>
      <c r="N15" s="120">
        <f>VLOOKUP(A15,'תפוקה חודשית מול אשתקד'!A:K,10,0)</f>
        <v>54243.75</v>
      </c>
      <c r="O15" s="120">
        <f>VLOOKUP(A15,'תפוקה חודשית מול אשתקד'!A:K,11,0)</f>
        <v>113643.55</v>
      </c>
    </row>
    <row r="16">
      <c r="A16" s="98" t="s">
        <v>74</v>
      </c>
      <c r="B16" s="98" t="s">
        <v>25</v>
      </c>
      <c r="C16" s="98" t="s">
        <v>69</v>
      </c>
      <c r="D16" s="88">
        <f t="shared" ref="D16:G16" si="15">IF(L16=0,0%,IF(H16=0,100%,L16/H16-1))</f>
        <v>1</v>
      </c>
      <c r="E16" s="88">
        <f t="shared" si="15"/>
        <v>1</v>
      </c>
      <c r="F16" s="88">
        <f t="shared" si="15"/>
        <v>1</v>
      </c>
      <c r="G16" s="88">
        <f t="shared" si="15"/>
        <v>1</v>
      </c>
      <c r="H16" s="121">
        <v>0.0</v>
      </c>
      <c r="I16" s="121">
        <v>0.0</v>
      </c>
      <c r="J16" s="121">
        <v>0.0</v>
      </c>
      <c r="K16" s="121">
        <v>0.0</v>
      </c>
      <c r="L16" s="120">
        <f>VLOOKUP(A16,'תפוקה חודשית מול אשתקד'!A:K,8,0)</f>
        <v>23274.72759</v>
      </c>
      <c r="M16" s="120">
        <f>VLOOKUP(A16,'תפוקה חודשית מול אשתקד'!A:K,9,0)</f>
        <v>2077.072</v>
      </c>
      <c r="N16" s="120">
        <f>VLOOKUP(A16,'תפוקה חודשית מול אשתקד'!A:K,10,0)</f>
        <v>6094</v>
      </c>
      <c r="O16" s="120">
        <f>VLOOKUP(A16,'תפוקה חודשית מול אשתקד'!A:K,11,0)</f>
        <v>-218.23</v>
      </c>
    </row>
    <row r="17">
      <c r="A17" s="98" t="s">
        <v>33</v>
      </c>
      <c r="B17" s="98" t="s">
        <v>25</v>
      </c>
      <c r="C17" s="98" t="s">
        <v>69</v>
      </c>
      <c r="D17" s="88">
        <f t="shared" ref="D17:G17" si="16">IF(L17=0,0%,IF(H17=0,100%,L17/H17-1))</f>
        <v>-0.8783991859</v>
      </c>
      <c r="E17" s="88">
        <f t="shared" si="16"/>
        <v>-0.7902727345</v>
      </c>
      <c r="F17" s="88">
        <f t="shared" si="16"/>
        <v>-0.8180216458</v>
      </c>
      <c r="G17" s="88">
        <f t="shared" si="16"/>
        <v>-1.017936771</v>
      </c>
      <c r="H17" s="121">
        <v>127500.00000000001</v>
      </c>
      <c r="I17" s="121">
        <v>51000.00000000001</v>
      </c>
      <c r="J17" s="121">
        <v>960000.0</v>
      </c>
      <c r="K17" s="121">
        <v>480000.0</v>
      </c>
      <c r="L17" s="120">
        <f>VLOOKUP(A17,'תפוקה חודשית מול אשתקד'!A:K,8,0)</f>
        <v>15504.1038</v>
      </c>
      <c r="M17" s="120">
        <f>VLOOKUP(A17,'תפוקה חודשית מול אשתקד'!A:K,9,0)</f>
        <v>10696.09054</v>
      </c>
      <c r="N17" s="120">
        <f>VLOOKUP(A17,'תפוקה חודשית מול אשתקד'!A:K,10,0)</f>
        <v>174699.22</v>
      </c>
      <c r="O17" s="120">
        <f>VLOOKUP(A17,'תפוקה חודשית מול אשתקד'!A:K,11,0)</f>
        <v>-8609.65</v>
      </c>
    </row>
    <row r="18">
      <c r="A18" s="98" t="s">
        <v>75</v>
      </c>
      <c r="B18" s="98" t="s">
        <v>25</v>
      </c>
      <c r="C18" s="98" t="s">
        <v>69</v>
      </c>
      <c r="D18" s="88">
        <f t="shared" ref="D18:G18" si="17">IF(L18=0,0%,IF(H18=0,100%,L18/H18-1))</f>
        <v>-0.2486514847</v>
      </c>
      <c r="E18" s="88">
        <f t="shared" si="17"/>
        <v>0.1859009291</v>
      </c>
      <c r="F18" s="88">
        <f t="shared" si="17"/>
        <v>-0.7090073375</v>
      </c>
      <c r="G18" s="88">
        <f t="shared" si="17"/>
        <v>-0.6181891188</v>
      </c>
      <c r="H18" s="121">
        <v>255000.00000000003</v>
      </c>
      <c r="I18" s="121">
        <v>29750.000000000004</v>
      </c>
      <c r="J18" s="121">
        <v>2800000.0</v>
      </c>
      <c r="K18" s="121">
        <v>800000.0</v>
      </c>
      <c r="L18" s="120">
        <f>VLOOKUP(A18,'תפוקה חודשית מול אשתקד'!A:K,8,0)</f>
        <v>191593.8714</v>
      </c>
      <c r="M18" s="120">
        <f>VLOOKUP(A18,'תפוקה חודשית מול אשתקד'!A:K,9,0)</f>
        <v>35280.55264</v>
      </c>
      <c r="N18" s="120">
        <f>VLOOKUP(A18,'תפוקה חודשית מול אשתקד'!A:K,10,0)</f>
        <v>814779.455</v>
      </c>
      <c r="O18" s="120">
        <f>VLOOKUP(A18,'תפוקה חודשית מול אשתקד'!A:K,11,0)</f>
        <v>305448.705</v>
      </c>
    </row>
    <row r="19">
      <c r="A19" s="98" t="s">
        <v>41</v>
      </c>
      <c r="B19" s="98" t="s">
        <v>25</v>
      </c>
      <c r="C19" s="98" t="s">
        <v>69</v>
      </c>
      <c r="D19" s="88">
        <f t="shared" ref="D19:G19" si="18">IF(L19=0,0%,IF(H19=0,100%,L19/H19-1))</f>
        <v>1</v>
      </c>
      <c r="E19" s="88">
        <f t="shared" si="18"/>
        <v>1</v>
      </c>
      <c r="F19" s="88">
        <f t="shared" si="18"/>
        <v>0</v>
      </c>
      <c r="G19" s="88">
        <f t="shared" si="18"/>
        <v>0</v>
      </c>
      <c r="H19" s="121">
        <v>0.0</v>
      </c>
      <c r="I19" s="121">
        <v>0.0</v>
      </c>
      <c r="J19" s="121">
        <v>0.0</v>
      </c>
      <c r="K19" s="121">
        <v>0.0</v>
      </c>
      <c r="L19" s="120">
        <f>VLOOKUP(A19,'תפוקה חודשית מול אשתקד'!A:K,8,0)</f>
        <v>1198477.24</v>
      </c>
      <c r="M19" s="120">
        <f>VLOOKUP(A19,'תפוקה חודשית מול אשתקד'!A:K,9,0)</f>
        <v>61195.246</v>
      </c>
      <c r="N19" s="120">
        <f>VLOOKUP(A19,'תפוקה חודשית מול אשתקד'!A:K,10,0)</f>
        <v>0</v>
      </c>
      <c r="O19" s="120">
        <f>VLOOKUP(A19,'תפוקה חודשית מול אשתקד'!A:K,11,0)</f>
        <v>0</v>
      </c>
    </row>
    <row r="20">
      <c r="A20" s="123" t="s">
        <v>76</v>
      </c>
      <c r="B20" s="98" t="s">
        <v>25</v>
      </c>
      <c r="C20" s="98" t="s">
        <v>69</v>
      </c>
      <c r="D20" s="88">
        <f t="shared" ref="D20:G20" si="19">IF(L20=0,0%,IF(H20=0,100%,L20/H20-1))</f>
        <v>0</v>
      </c>
      <c r="E20" s="88">
        <f t="shared" si="19"/>
        <v>0</v>
      </c>
      <c r="F20" s="88">
        <f t="shared" si="19"/>
        <v>0</v>
      </c>
      <c r="G20" s="88">
        <f t="shared" si="19"/>
        <v>0</v>
      </c>
      <c r="H20" s="121"/>
      <c r="I20" s="121"/>
      <c r="J20" s="121"/>
      <c r="K20" s="121"/>
      <c r="L20" s="120" t="str">
        <f>VLOOKUP(A20,'תפוקה חודשית מול אשתקד'!A:K,8,0)</f>
        <v/>
      </c>
      <c r="M20" s="120" t="str">
        <f>VLOOKUP(A20,'תפוקה חודשית מול אשתקד'!A:K,9,0)</f>
        <v/>
      </c>
      <c r="N20" s="120" t="str">
        <f>VLOOKUP(A20,'תפוקה חודשית מול אשתקד'!A:K,10,0)</f>
        <v/>
      </c>
      <c r="O20" s="120" t="str">
        <f>VLOOKUP(A20,'תפוקה חודשית מול אשתקד'!A:K,11,0)</f>
        <v/>
      </c>
    </row>
    <row r="21" ht="15.75" customHeight="1">
      <c r="A21" s="98" t="s">
        <v>77</v>
      </c>
      <c r="B21" s="98" t="s">
        <v>25</v>
      </c>
      <c r="C21" s="98" t="s">
        <v>69</v>
      </c>
      <c r="D21" s="88">
        <f t="shared" ref="D21:G21" si="20">IF(L21=0,0%,IF(H21=0,100%,L21/H21-1))</f>
        <v>0</v>
      </c>
      <c r="E21" s="88">
        <f t="shared" si="20"/>
        <v>0</v>
      </c>
      <c r="F21" s="88">
        <f t="shared" si="20"/>
        <v>0</v>
      </c>
      <c r="G21" s="88">
        <f t="shared" si="20"/>
        <v>0</v>
      </c>
      <c r="H21" s="121">
        <v>0.0</v>
      </c>
      <c r="I21" s="121">
        <v>0.0</v>
      </c>
      <c r="J21" s="121">
        <v>0.0</v>
      </c>
      <c r="K21" s="121">
        <v>0.0</v>
      </c>
      <c r="L21" s="120">
        <f>VLOOKUP(A21,'תפוקה חודשית מול אשתקד'!A:K,8,0)</f>
        <v>0</v>
      </c>
      <c r="M21" s="120">
        <f>VLOOKUP(A21,'תפוקה חודשית מול אשתקד'!A:K,9,0)</f>
        <v>0</v>
      </c>
      <c r="N21" s="120">
        <f>VLOOKUP(A21,'תפוקה חודשית מול אשתקד'!A:K,10,0)</f>
        <v>0</v>
      </c>
      <c r="O21" s="120">
        <f>VLOOKUP(A21,'תפוקה חודשית מול אשתקד'!A:K,11,0)</f>
        <v>0</v>
      </c>
    </row>
    <row r="22" ht="15.75" customHeight="1">
      <c r="A22" s="170" t="s">
        <v>78</v>
      </c>
      <c r="B22" s="171"/>
      <c r="C22" s="161"/>
      <c r="D22" s="88">
        <f t="shared" ref="D22:G22" si="21">IF(L22=0,0%,IF(H22=0,100%,L22/H22-1))</f>
        <v>1.604693761</v>
      </c>
      <c r="E22" s="88">
        <f t="shared" si="21"/>
        <v>0.004707655952</v>
      </c>
      <c r="F22" s="88">
        <f t="shared" si="21"/>
        <v>-0.6896154589</v>
      </c>
      <c r="G22" s="88">
        <f t="shared" si="21"/>
        <v>-0.8035048012</v>
      </c>
      <c r="H22" s="155">
        <f t="shared" ref="H22:O22" si="22">SUM(H9:H21)</f>
        <v>663000</v>
      </c>
      <c r="I22" s="155">
        <f t="shared" si="22"/>
        <v>246500</v>
      </c>
      <c r="J22" s="155">
        <f t="shared" si="22"/>
        <v>4160000</v>
      </c>
      <c r="K22" s="155">
        <f t="shared" si="22"/>
        <v>2440000</v>
      </c>
      <c r="L22" s="155">
        <f t="shared" si="22"/>
        <v>1726911.963</v>
      </c>
      <c r="M22" s="155">
        <f t="shared" si="22"/>
        <v>247660.4372</v>
      </c>
      <c r="N22" s="155">
        <f t="shared" si="22"/>
        <v>1291199.691</v>
      </c>
      <c r="O22" s="155">
        <f t="shared" si="22"/>
        <v>479448.285</v>
      </c>
    </row>
    <row r="23" ht="15.75" customHeight="1">
      <c r="A23" s="125" t="s">
        <v>79</v>
      </c>
      <c r="B23" s="125" t="s">
        <v>23</v>
      </c>
      <c r="C23" s="125" t="s">
        <v>80</v>
      </c>
      <c r="D23" s="88">
        <f t="shared" ref="D23:G23" si="23">IF(L23=0,0%,IF(H23=0,100%,L23/H23-1))</f>
        <v>-0.3745414543</v>
      </c>
      <c r="E23" s="88">
        <f t="shared" si="23"/>
        <v>1.050919031</v>
      </c>
      <c r="F23" s="88">
        <f t="shared" si="23"/>
        <v>-0.4285858</v>
      </c>
      <c r="G23" s="88">
        <f t="shared" si="23"/>
        <v>0</v>
      </c>
      <c r="H23" s="121">
        <v>136000.0</v>
      </c>
      <c r="I23" s="121">
        <v>14450.000000000002</v>
      </c>
      <c r="J23" s="121">
        <v>200000.0</v>
      </c>
      <c r="K23" s="121">
        <v>400000.0</v>
      </c>
      <c r="L23" s="120">
        <f>VLOOKUP(A23,'תפוקה חודשית מול אשתקד'!A:K,8,0)</f>
        <v>85062.36222</v>
      </c>
      <c r="M23" s="120">
        <f>VLOOKUP(A23,'תפוקה חודשית מול אשתקד'!A:K,9,0)</f>
        <v>29635.78</v>
      </c>
      <c r="N23" s="120">
        <f>VLOOKUP(A23,'תפוקה חודשית מול אשתקד'!A:K,10,0)</f>
        <v>114282.84</v>
      </c>
      <c r="O23" s="120">
        <f>VLOOKUP(A23,'תפוקה חודשית מול אשתקד'!A:K,11,0)</f>
        <v>0</v>
      </c>
    </row>
    <row r="24" ht="15.75" customHeight="1">
      <c r="A24" s="99" t="s">
        <v>81</v>
      </c>
      <c r="B24" s="98" t="s">
        <v>23</v>
      </c>
      <c r="C24" s="125" t="s">
        <v>80</v>
      </c>
      <c r="D24" s="88">
        <f t="shared" ref="D24:G24" si="24">IF(L24=0,0%,IF(H24=0,100%,L24/H24-1))</f>
        <v>0</v>
      </c>
      <c r="E24" s="88">
        <f t="shared" si="24"/>
        <v>0</v>
      </c>
      <c r="F24" s="88">
        <f t="shared" si="24"/>
        <v>0</v>
      </c>
      <c r="G24" s="88">
        <f t="shared" si="24"/>
        <v>0</v>
      </c>
      <c r="H24" s="121">
        <v>0.0</v>
      </c>
      <c r="I24" s="121">
        <v>0.0</v>
      </c>
      <c r="J24" s="121">
        <v>0.0</v>
      </c>
      <c r="K24" s="121">
        <v>0.0</v>
      </c>
      <c r="L24" s="120">
        <f>VLOOKUP(A24,'תפוקה חודשית מול אשתקד'!A:K,8,0)</f>
        <v>0</v>
      </c>
      <c r="M24" s="120">
        <f>VLOOKUP(A24,'תפוקה חודשית מול אשתקד'!A:K,9,0)</f>
        <v>0</v>
      </c>
      <c r="N24" s="120">
        <f>VLOOKUP(A24,'תפוקה חודשית מול אשתקד'!A:K,10,0)</f>
        <v>0</v>
      </c>
      <c r="O24" s="120">
        <f>VLOOKUP(A24,'תפוקה חודשית מול אשתקד'!A:K,11,0)</f>
        <v>0</v>
      </c>
    </row>
    <row r="25" ht="15.75" customHeight="1">
      <c r="A25" s="99" t="s">
        <v>82</v>
      </c>
      <c r="B25" s="98" t="s">
        <v>23</v>
      </c>
      <c r="C25" s="125" t="s">
        <v>80</v>
      </c>
      <c r="D25" s="88">
        <f t="shared" ref="D25:G25" si="25">IF(L25=0,0%,IF(H25=0,100%,L25/H25-1))</f>
        <v>0</v>
      </c>
      <c r="E25" s="88">
        <f t="shared" si="25"/>
        <v>0.036</v>
      </c>
      <c r="F25" s="88">
        <f t="shared" si="25"/>
        <v>-0.834943738</v>
      </c>
      <c r="G25" s="88">
        <f t="shared" si="25"/>
        <v>0</v>
      </c>
      <c r="H25" s="121">
        <v>8500.0</v>
      </c>
      <c r="I25" s="121">
        <v>4250.0</v>
      </c>
      <c r="J25" s="121">
        <v>24000.0</v>
      </c>
      <c r="K25" s="121">
        <v>8000.0</v>
      </c>
      <c r="L25" s="120">
        <f>VLOOKUP(A25,'תפוקה חודשית מול אשתקד'!A:K,8,0)</f>
        <v>0</v>
      </c>
      <c r="M25" s="120">
        <f>VLOOKUP(A25,'תפוקה חודשית מול אשתקד'!A:K,9,0)</f>
        <v>4403</v>
      </c>
      <c r="N25" s="120">
        <f>VLOOKUP(A25,'תפוקה חודשית מול אשתקד'!A:K,10,0)</f>
        <v>3961.350288</v>
      </c>
      <c r="O25" s="120">
        <f>VLOOKUP(A25,'תפוקה חודשית מול אשתקד'!A:K,11,0)</f>
        <v>0</v>
      </c>
    </row>
    <row r="26" ht="15.75" customHeight="1">
      <c r="A26" s="98" t="s">
        <v>106</v>
      </c>
      <c r="B26" s="98" t="s">
        <v>24</v>
      </c>
      <c r="C26" s="125" t="s">
        <v>80</v>
      </c>
      <c r="D26" s="88">
        <f t="shared" ref="D26:G26" si="26">IF(L26=0,0%,IF(H26=0,100%,L26/H26-1))</f>
        <v>0</v>
      </c>
      <c r="E26" s="88">
        <f t="shared" si="26"/>
        <v>0</v>
      </c>
      <c r="F26" s="88">
        <f t="shared" si="26"/>
        <v>0</v>
      </c>
      <c r="G26" s="88">
        <f t="shared" si="26"/>
        <v>0</v>
      </c>
      <c r="H26" s="121">
        <v>0.0</v>
      </c>
      <c r="I26" s="121">
        <v>0.0</v>
      </c>
      <c r="J26" s="121">
        <v>0.0</v>
      </c>
      <c r="K26" s="121">
        <v>0.0</v>
      </c>
      <c r="L26" s="120">
        <f>VLOOKUP(A26,'תפוקה חודשית מול אשתקד'!A:K,8,0)</f>
        <v>0</v>
      </c>
      <c r="M26" s="120">
        <f>VLOOKUP(A26,'תפוקה חודשית מול אשתקד'!A:K,9,0)</f>
        <v>0</v>
      </c>
      <c r="N26" s="120">
        <f>VLOOKUP(A26,'תפוקה חודשית מול אשתקד'!A:K,10,0)</f>
        <v>0</v>
      </c>
      <c r="O26" s="120">
        <f>VLOOKUP(A26,'תפוקה חודשית מול אשתקד'!A:K,11,0)</f>
        <v>0</v>
      </c>
    </row>
    <row r="27" ht="15.75" customHeight="1">
      <c r="A27" s="99" t="s">
        <v>83</v>
      </c>
      <c r="B27" s="98" t="s">
        <v>23</v>
      </c>
      <c r="C27" s="125" t="s">
        <v>80</v>
      </c>
      <c r="D27" s="88">
        <f t="shared" ref="D27:G27" si="27">IF(L27=0,0%,IF(H27=0,100%,L27/H27-1))</f>
        <v>-0.9122516108</v>
      </c>
      <c r="E27" s="88">
        <f t="shared" si="27"/>
        <v>-0.8459723753</v>
      </c>
      <c r="F27" s="88">
        <f t="shared" si="27"/>
        <v>-0.2396452233</v>
      </c>
      <c r="G27" s="88">
        <f t="shared" si="27"/>
        <v>-0.4156794375</v>
      </c>
      <c r="H27" s="121">
        <v>212500.00000000003</v>
      </c>
      <c r="I27" s="121">
        <v>25500.000000000004</v>
      </c>
      <c r="J27" s="121">
        <v>240000.0</v>
      </c>
      <c r="K27" s="121">
        <v>320000.0</v>
      </c>
      <c r="L27" s="120">
        <f>VLOOKUP(A27,'תפוקה חודשית מול אשתקד'!A:K,8,0)</f>
        <v>18646.5327</v>
      </c>
      <c r="M27" s="120">
        <f>VLOOKUP(A27,'תפוקה חודשית מול אשתקד'!A:K,9,0)</f>
        <v>3927.70443</v>
      </c>
      <c r="N27" s="120">
        <f>VLOOKUP(A27,'תפוקה חודשית מול אשתקד'!A:K,10,0)</f>
        <v>182485.1464</v>
      </c>
      <c r="O27" s="120">
        <f>VLOOKUP(A27,'תפוקה חודשית מול אשתקד'!A:K,11,0)</f>
        <v>186982.58</v>
      </c>
    </row>
    <row r="28" ht="15.75" customHeight="1">
      <c r="A28" s="99" t="s">
        <v>84</v>
      </c>
      <c r="B28" s="98" t="s">
        <v>23</v>
      </c>
      <c r="C28" s="125" t="s">
        <v>80</v>
      </c>
      <c r="D28" s="88">
        <f t="shared" ref="D28:G28" si="28">IF(L28=0,0%,IF(H28=0,100%,L28/H28-1))</f>
        <v>-0.2082879224</v>
      </c>
      <c r="E28" s="88">
        <f t="shared" si="28"/>
        <v>-1.289444939</v>
      </c>
      <c r="F28" s="88">
        <f t="shared" si="28"/>
        <v>-0.9262482876</v>
      </c>
      <c r="G28" s="88">
        <f t="shared" si="28"/>
        <v>0</v>
      </c>
      <c r="H28" s="121">
        <v>25500.000000000004</v>
      </c>
      <c r="I28" s="121">
        <v>17000.0</v>
      </c>
      <c r="J28" s="121">
        <v>8000.0</v>
      </c>
      <c r="K28" s="121">
        <v>16000.0</v>
      </c>
      <c r="L28" s="120">
        <f>VLOOKUP(A28,'תפוקה חודשית מול אשתקד'!A:K,8,0)</f>
        <v>20188.65798</v>
      </c>
      <c r="M28" s="120">
        <f>VLOOKUP(A28,'תפוקה חודשית מול אשתקד'!A:K,9,0)</f>
        <v>-4920.563964</v>
      </c>
      <c r="N28" s="120">
        <f>VLOOKUP(A28,'תפוקה חודשית מול אשתקד'!A:K,10,0)</f>
        <v>590.0136996</v>
      </c>
      <c r="O28" s="120">
        <f>VLOOKUP(A28,'תפוקה חודשית מול אשתקד'!A:K,11,0)</f>
        <v>0</v>
      </c>
    </row>
    <row r="29" ht="15.75" customHeight="1">
      <c r="A29" s="99" t="s">
        <v>85</v>
      </c>
      <c r="B29" s="98" t="s">
        <v>23</v>
      </c>
      <c r="C29" s="125" t="s">
        <v>80</v>
      </c>
      <c r="D29" s="88">
        <f t="shared" ref="D29:G29" si="29">IF(L29=0,0%,IF(H29=0,100%,L29/H29-1))</f>
        <v>-0.3392588235</v>
      </c>
      <c r="E29" s="88">
        <f t="shared" si="29"/>
        <v>-0.3118725224</v>
      </c>
      <c r="F29" s="88">
        <f t="shared" si="29"/>
        <v>-0.7492306667</v>
      </c>
      <c r="G29" s="88">
        <f t="shared" si="29"/>
        <v>-1.007303333</v>
      </c>
      <c r="H29" s="121">
        <v>25500.000000000004</v>
      </c>
      <c r="I29" s="121">
        <v>12750.000000000002</v>
      </c>
      <c r="J29" s="121">
        <v>120000.0</v>
      </c>
      <c r="K29" s="121">
        <v>24000.0</v>
      </c>
      <c r="L29" s="120">
        <f>VLOOKUP(A29,'תפוקה חודשית מול אשתקד'!A:K,8,0)</f>
        <v>16848.9</v>
      </c>
      <c r="M29" s="120">
        <f>VLOOKUP(A29,'תפוקה חודשית מול אשתקד'!A:K,9,0)</f>
        <v>8773.62534</v>
      </c>
      <c r="N29" s="120">
        <f>VLOOKUP(A29,'תפוקה חודשית מול אשתקד'!A:K,10,0)</f>
        <v>30092.32</v>
      </c>
      <c r="O29" s="120">
        <f>VLOOKUP(A29,'תפוקה חודשית מול אשתקד'!A:K,11,0)</f>
        <v>-175.28</v>
      </c>
    </row>
    <row r="30" ht="15.75" customHeight="1">
      <c r="A30" s="98" t="s">
        <v>86</v>
      </c>
      <c r="B30" s="98" t="s">
        <v>23</v>
      </c>
      <c r="C30" s="125" t="s">
        <v>80</v>
      </c>
      <c r="D30" s="88">
        <f t="shared" ref="D30:G30" si="30">IF(L30=0,0%,IF(H30=0,100%,L30/H30-1))</f>
        <v>-0.1410061932</v>
      </c>
      <c r="E30" s="88">
        <f t="shared" si="30"/>
        <v>-0.09988313725</v>
      </c>
      <c r="F30" s="88">
        <f t="shared" si="30"/>
        <v>0.619361125</v>
      </c>
      <c r="G30" s="88">
        <f t="shared" si="30"/>
        <v>-0.617829725</v>
      </c>
      <c r="H30" s="121">
        <v>148750.0</v>
      </c>
      <c r="I30" s="121">
        <v>12750.000000000002</v>
      </c>
      <c r="J30" s="121">
        <v>240000.0</v>
      </c>
      <c r="K30" s="121">
        <v>400000.0</v>
      </c>
      <c r="L30" s="120">
        <f>VLOOKUP(A30,'תפוקה חודשית מול אשתקד'!A:K,8,0)</f>
        <v>127775.3288</v>
      </c>
      <c r="M30" s="120">
        <f>VLOOKUP(A30,'תפוקה חודשית מול אשתקד'!A:K,9,0)</f>
        <v>11476.49</v>
      </c>
      <c r="N30" s="120">
        <f>VLOOKUP(A30,'תפוקה חודשית מול אשתקד'!A:K,10,0)</f>
        <v>388646.67</v>
      </c>
      <c r="O30" s="120">
        <f>VLOOKUP(A30,'תפוקה חודשית מול אשתקד'!A:K,11,0)</f>
        <v>152868.11</v>
      </c>
    </row>
    <row r="31" ht="15.75" customHeight="1">
      <c r="A31" s="98" t="s">
        <v>87</v>
      </c>
      <c r="B31" s="98" t="s">
        <v>23</v>
      </c>
      <c r="C31" s="125" t="s">
        <v>80</v>
      </c>
      <c r="D31" s="88">
        <f t="shared" ref="D31:G31" si="31">IF(L31=0,0%,IF(H31=0,100%,L31/H31-1))</f>
        <v>-0.3483947059</v>
      </c>
      <c r="E31" s="88">
        <f t="shared" si="31"/>
        <v>-0.844297606</v>
      </c>
      <c r="F31" s="88">
        <f t="shared" si="31"/>
        <v>0.5085093438</v>
      </c>
      <c r="G31" s="88">
        <f t="shared" si="31"/>
        <v>-1.4203317</v>
      </c>
      <c r="H31" s="121">
        <v>85000.0</v>
      </c>
      <c r="I31" s="121">
        <v>17000.0</v>
      </c>
      <c r="J31" s="121">
        <v>320000.0</v>
      </c>
      <c r="K31" s="121">
        <v>200000.0</v>
      </c>
      <c r="L31" s="120">
        <f>VLOOKUP(A31,'תפוקה חודשית מול אשתקד'!A:K,8,0)</f>
        <v>55386.45</v>
      </c>
      <c r="M31" s="120">
        <f>VLOOKUP(A31,'תפוקה חודשית מול אשתקד'!A:K,9,0)</f>
        <v>2646.940699</v>
      </c>
      <c r="N31" s="120">
        <f>VLOOKUP(A31,'תפוקה חודשית מול אשתקד'!A:K,10,0)</f>
        <v>482722.99</v>
      </c>
      <c r="O31" s="120">
        <f>VLOOKUP(A31,'תפוקה חודשית מול אשתקד'!A:K,11,0)</f>
        <v>-84066.34</v>
      </c>
    </row>
    <row r="32" ht="15.75" customHeight="1">
      <c r="A32" s="98" t="s">
        <v>88</v>
      </c>
      <c r="B32" s="98" t="s">
        <v>23</v>
      </c>
      <c r="C32" s="125" t="s">
        <v>80</v>
      </c>
      <c r="D32" s="88">
        <f t="shared" ref="D32:G32" si="32">IF(L32=0,0%,IF(H32=0,100%,L32/H32-1))</f>
        <v>1</v>
      </c>
      <c r="E32" s="88">
        <f t="shared" si="32"/>
        <v>1</v>
      </c>
      <c r="F32" s="88">
        <f t="shared" si="32"/>
        <v>0</v>
      </c>
      <c r="G32" s="88">
        <f t="shared" si="32"/>
        <v>0</v>
      </c>
      <c r="H32" s="121">
        <v>0.0</v>
      </c>
      <c r="I32" s="121">
        <v>0.0</v>
      </c>
      <c r="J32" s="121">
        <v>0.0</v>
      </c>
      <c r="K32" s="121">
        <v>0.0</v>
      </c>
      <c r="L32" s="120">
        <f>VLOOKUP(A32,'תפוקה חודשית מול אשתקד'!A:K,8,0)</f>
        <v>-3534.26</v>
      </c>
      <c r="M32" s="120">
        <f>VLOOKUP(A32,'תפוקה חודשית מול אשתקד'!A:K,9,0)</f>
        <v>-0.03</v>
      </c>
      <c r="N32" s="120">
        <f>VLOOKUP(A32,'תפוקה חודשית מול אשתקד'!A:K,10,0)</f>
        <v>0</v>
      </c>
      <c r="O32" s="120">
        <f>VLOOKUP(A32,'תפוקה חודשית מול אשתקד'!A:K,11,0)</f>
        <v>0</v>
      </c>
    </row>
    <row r="33" ht="15.75" customHeight="1">
      <c r="A33" s="98" t="s">
        <v>89</v>
      </c>
      <c r="B33" s="98" t="s">
        <v>23</v>
      </c>
      <c r="C33" s="125" t="s">
        <v>80</v>
      </c>
      <c r="D33" s="88">
        <f t="shared" ref="D33:G33" si="33">IF(L33=0,0%,IF(H33=0,100%,L33/H33-1))</f>
        <v>1</v>
      </c>
      <c r="E33" s="88">
        <f t="shared" si="33"/>
        <v>1</v>
      </c>
      <c r="F33" s="88">
        <f t="shared" si="33"/>
        <v>1</v>
      </c>
      <c r="G33" s="88">
        <f t="shared" si="33"/>
        <v>0</v>
      </c>
      <c r="H33" s="121">
        <v>0.0</v>
      </c>
      <c r="I33" s="121">
        <v>0.0</v>
      </c>
      <c r="J33" s="121">
        <v>0.0</v>
      </c>
      <c r="K33" s="121">
        <v>0.0</v>
      </c>
      <c r="L33" s="120">
        <f>VLOOKUP(A33,'תפוקה חודשית מול אשתקד'!A:K,8,0)</f>
        <v>38955.94</v>
      </c>
      <c r="M33" s="120">
        <f>VLOOKUP(A33,'תפוקה חודשית מול אשתקד'!A:K,9,0)</f>
        <v>894.96</v>
      </c>
      <c r="N33" s="120">
        <f>VLOOKUP(A33,'תפוקה חודשית מול אשתקד'!A:K,10,0)</f>
        <v>32540.54</v>
      </c>
      <c r="O33" s="120">
        <f>VLOOKUP(A33,'תפוקה חודשית מול אשתקד'!A:K,11,0)</f>
        <v>0</v>
      </c>
    </row>
    <row r="34" ht="15.75" customHeight="1">
      <c r="A34" s="98" t="s">
        <v>90</v>
      </c>
      <c r="B34" s="98" t="s">
        <v>23</v>
      </c>
      <c r="C34" s="125" t="s">
        <v>80</v>
      </c>
      <c r="D34" s="88">
        <f t="shared" ref="D34:G34" si="34">IF(L34=0,0%,IF(H34=0,100%,L34/H34-1))</f>
        <v>0</v>
      </c>
      <c r="E34" s="88">
        <f t="shared" si="34"/>
        <v>0</v>
      </c>
      <c r="F34" s="88">
        <f t="shared" si="34"/>
        <v>0</v>
      </c>
      <c r="G34" s="88">
        <f t="shared" si="34"/>
        <v>0</v>
      </c>
      <c r="H34" s="121">
        <v>0.0</v>
      </c>
      <c r="I34" s="121">
        <v>0.0</v>
      </c>
      <c r="J34" s="121">
        <v>0.0</v>
      </c>
      <c r="K34" s="121">
        <v>0.0</v>
      </c>
      <c r="L34" s="120">
        <f>VLOOKUP(A34,'תפוקה חודשית מול אשתקד'!A:K,8,0)</f>
        <v>0</v>
      </c>
      <c r="M34" s="120">
        <f>VLOOKUP(A34,'תפוקה חודשית מול אשתקד'!A:K,9,0)</f>
        <v>0</v>
      </c>
      <c r="N34" s="120">
        <f>VLOOKUP(A34,'תפוקה חודשית מול אשתקד'!A:K,10,0)</f>
        <v>0</v>
      </c>
      <c r="O34" s="120">
        <f>VLOOKUP(A34,'תפוקה חודשית מול אשתקד'!A:K,11,0)</f>
        <v>0</v>
      </c>
    </row>
    <row r="35" ht="15.75" customHeight="1">
      <c r="A35" s="98" t="s">
        <v>91</v>
      </c>
      <c r="B35" s="98" t="s">
        <v>23</v>
      </c>
      <c r="C35" s="125" t="s">
        <v>80</v>
      </c>
      <c r="D35" s="88">
        <f t="shared" ref="D35:G35" si="35">IF(L35=0,0%,IF(H35=0,100%,L35/H35-1))</f>
        <v>0</v>
      </c>
      <c r="E35" s="88">
        <f t="shared" si="35"/>
        <v>1</v>
      </c>
      <c r="F35" s="88">
        <f t="shared" si="35"/>
        <v>0</v>
      </c>
      <c r="G35" s="88">
        <f t="shared" si="35"/>
        <v>0</v>
      </c>
      <c r="H35" s="121">
        <v>0.0</v>
      </c>
      <c r="I35" s="121">
        <v>0.0</v>
      </c>
      <c r="J35" s="121">
        <v>0.0</v>
      </c>
      <c r="K35" s="121">
        <v>0.0</v>
      </c>
      <c r="L35" s="120">
        <f>VLOOKUP(A35,'תפוקה חודשית מול אשתקד'!A:K,8,0)</f>
        <v>0</v>
      </c>
      <c r="M35" s="120">
        <f>VLOOKUP(A35,'תפוקה חודשית מול אשתקד'!A:K,9,0)</f>
        <v>-117.379</v>
      </c>
      <c r="N35" s="120">
        <f>VLOOKUP(A35,'תפוקה חודשית מול אשתקד'!A:K,10,0)</f>
        <v>0</v>
      </c>
      <c r="O35" s="120">
        <f>VLOOKUP(A35,'תפוקה חודשית מול אשתקד'!A:K,11,0)</f>
        <v>0</v>
      </c>
    </row>
    <row r="36" ht="15.75" customHeight="1">
      <c r="A36" s="99" t="s">
        <v>51</v>
      </c>
      <c r="B36" s="98" t="s">
        <v>23</v>
      </c>
      <c r="C36" s="125" t="s">
        <v>80</v>
      </c>
      <c r="D36" s="88">
        <f t="shared" ref="D36:G36" si="36">IF(L36=0,0%,IF(H36=0,100%,L36/H36-1))</f>
        <v>0.4596565761</v>
      </c>
      <c r="E36" s="88">
        <f t="shared" si="36"/>
        <v>-0.774503268</v>
      </c>
      <c r="F36" s="88">
        <f t="shared" si="36"/>
        <v>-0.6650324744</v>
      </c>
      <c r="G36" s="88">
        <f t="shared" si="36"/>
        <v>-1.982905</v>
      </c>
      <c r="H36" s="121">
        <v>212500.00000000003</v>
      </c>
      <c r="I36" s="121">
        <v>38250.0</v>
      </c>
      <c r="J36" s="121">
        <v>480000.0</v>
      </c>
      <c r="K36" s="121">
        <v>320000.0</v>
      </c>
      <c r="L36" s="120">
        <f>VLOOKUP(A36,'תפוקה חודשית מול אשתקד'!A:K,8,0)</f>
        <v>310177.0224</v>
      </c>
      <c r="M36" s="120">
        <f>VLOOKUP(A36,'תפוקה חודשית מול אשתקד'!A:K,9,0)</f>
        <v>8625.25</v>
      </c>
      <c r="N36" s="120">
        <f>VLOOKUP(A36,'תפוקה חודשית מול אשתקד'!A:K,10,0)</f>
        <v>160784.4123</v>
      </c>
      <c r="O36" s="120">
        <f>VLOOKUP(A36,'תפוקה חודשית מול אשתקד'!A:K,11,0)</f>
        <v>-314529.6</v>
      </c>
    </row>
    <row r="37" ht="15.75" customHeight="1">
      <c r="A37" s="98" t="s">
        <v>92</v>
      </c>
      <c r="B37" s="98" t="s">
        <v>23</v>
      </c>
      <c r="C37" s="125" t="s">
        <v>80</v>
      </c>
      <c r="D37" s="88">
        <f t="shared" ref="D37:G37" si="37">IF(L37=0,0%,IF(H37=0,100%,L37/H37-1))</f>
        <v>1</v>
      </c>
      <c r="E37" s="88">
        <f t="shared" si="37"/>
        <v>0</v>
      </c>
      <c r="F37" s="88">
        <f t="shared" si="37"/>
        <v>0</v>
      </c>
      <c r="G37" s="88">
        <f t="shared" si="37"/>
        <v>0</v>
      </c>
      <c r="H37" s="121">
        <v>0.0</v>
      </c>
      <c r="I37" s="121">
        <v>0.0</v>
      </c>
      <c r="J37" s="121">
        <v>0.0</v>
      </c>
      <c r="K37" s="121">
        <v>0.0</v>
      </c>
      <c r="L37" s="120">
        <f>VLOOKUP(A37,'תפוקה חודשית מול אשתקד'!A:K,8,0)</f>
        <v>2262</v>
      </c>
      <c r="M37" s="120">
        <f>VLOOKUP(A37,'תפוקה חודשית מול אשתקד'!A:K,9,0)</f>
        <v>0</v>
      </c>
      <c r="N37" s="120">
        <f>VLOOKUP(A37,'תפוקה חודשית מול אשתקד'!A:K,10,0)</f>
        <v>0</v>
      </c>
      <c r="O37" s="120">
        <f>VLOOKUP(A37,'תפוקה חודשית מול אשתקד'!A:K,11,0)</f>
        <v>0</v>
      </c>
    </row>
    <row r="38" ht="15.75" customHeight="1">
      <c r="A38" s="98" t="s">
        <v>93</v>
      </c>
      <c r="B38" s="98" t="s">
        <v>23</v>
      </c>
      <c r="C38" s="125" t="s">
        <v>80</v>
      </c>
      <c r="D38" s="88">
        <f t="shared" ref="D38:G38" si="38">IF(L38=0,0%,IF(H38=0,100%,L38/H38-1))</f>
        <v>0</v>
      </c>
      <c r="E38" s="88">
        <f t="shared" si="38"/>
        <v>1</v>
      </c>
      <c r="F38" s="88">
        <f t="shared" si="38"/>
        <v>1</v>
      </c>
      <c r="G38" s="88">
        <f t="shared" si="38"/>
        <v>0</v>
      </c>
      <c r="H38" s="121">
        <v>0.0</v>
      </c>
      <c r="I38" s="121">
        <v>0.0</v>
      </c>
      <c r="J38" s="121">
        <v>0.0</v>
      </c>
      <c r="K38" s="121">
        <v>0.0</v>
      </c>
      <c r="L38" s="120">
        <f>VLOOKUP(A38,'תפוקה חודשית מול אשתקד'!A:K,8,0)</f>
        <v>0</v>
      </c>
      <c r="M38" s="120">
        <f>VLOOKUP(A38,'תפוקה חודשית מול אשתקד'!A:K,9,0)</f>
        <v>10.234</v>
      </c>
      <c r="N38" s="120">
        <f>VLOOKUP(A38,'תפוקה חודשית מול אשתקד'!A:K,10,0)</f>
        <v>1000</v>
      </c>
      <c r="O38" s="120">
        <f>VLOOKUP(A38,'תפוקה חודשית מול אשתקד'!A:K,11,0)</f>
        <v>0</v>
      </c>
    </row>
    <row r="39" ht="15.75" customHeight="1">
      <c r="A39" s="98" t="s">
        <v>94</v>
      </c>
      <c r="B39" s="98" t="s">
        <v>23</v>
      </c>
      <c r="C39" s="125" t="s">
        <v>80</v>
      </c>
      <c r="D39" s="88">
        <f t="shared" ref="D39:G39" si="39">IF(L39=0,0%,IF(H39=0,100%,L39/H39-1))</f>
        <v>0</v>
      </c>
      <c r="E39" s="88">
        <f t="shared" si="39"/>
        <v>0</v>
      </c>
      <c r="F39" s="88">
        <f t="shared" si="39"/>
        <v>0</v>
      </c>
      <c r="G39" s="88">
        <f t="shared" si="39"/>
        <v>0</v>
      </c>
      <c r="H39" s="121">
        <v>0.0</v>
      </c>
      <c r="I39" s="121">
        <v>0.0</v>
      </c>
      <c r="J39" s="121">
        <v>0.0</v>
      </c>
      <c r="K39" s="121">
        <v>0.0</v>
      </c>
      <c r="L39" s="120">
        <f>VLOOKUP(A39,'תפוקה חודשית מול אשתקד'!A:K,8,0)</f>
        <v>0</v>
      </c>
      <c r="M39" s="120">
        <f>VLOOKUP(A39,'תפוקה חודשית מול אשתקד'!A:K,9,0)</f>
        <v>0</v>
      </c>
      <c r="N39" s="120">
        <f>VLOOKUP(A39,'תפוקה חודשית מול אשתקד'!A:K,10,0)</f>
        <v>0</v>
      </c>
      <c r="O39" s="120">
        <f>VLOOKUP(A39,'תפוקה חודשית מול אשתקד'!A:K,11,0)</f>
        <v>0</v>
      </c>
    </row>
    <row r="40" ht="15.75" customHeight="1">
      <c r="A40" s="98" t="s">
        <v>95</v>
      </c>
      <c r="B40" s="98" t="s">
        <v>23</v>
      </c>
      <c r="C40" s="125" t="s">
        <v>80</v>
      </c>
      <c r="D40" s="88">
        <f t="shared" ref="D40:G40" si="40">IF(L40=0,0%,IF(H40=0,100%,L40/H40-1))</f>
        <v>1</v>
      </c>
      <c r="E40" s="88">
        <f t="shared" si="40"/>
        <v>-1.009117647</v>
      </c>
      <c r="F40" s="88">
        <f t="shared" si="40"/>
        <v>1</v>
      </c>
      <c r="G40" s="88">
        <f t="shared" si="40"/>
        <v>1</v>
      </c>
      <c r="H40" s="121">
        <v>0.0</v>
      </c>
      <c r="I40" s="121">
        <v>850.0000000000001</v>
      </c>
      <c r="J40" s="121">
        <v>0.0</v>
      </c>
      <c r="K40" s="121">
        <v>0.0</v>
      </c>
      <c r="L40" s="120">
        <f>VLOOKUP(A40,'תפוקה חודשית מול אשתקד'!A:K,8,0)</f>
        <v>-79068.15</v>
      </c>
      <c r="M40" s="120">
        <f>VLOOKUP(A40,'תפוקה חודשית מול אשתקד'!A:K,9,0)</f>
        <v>-7.75</v>
      </c>
      <c r="N40" s="120">
        <f>VLOOKUP(A40,'תפוקה חודשית מול אשתקד'!A:K,10,0)</f>
        <v>7519.89</v>
      </c>
      <c r="O40" s="120">
        <f>VLOOKUP(A40,'תפוקה חודשית מול אשתקד'!A:K,11,0)</f>
        <v>-682.12</v>
      </c>
    </row>
    <row r="41" ht="15.75" customHeight="1">
      <c r="A41" s="98" t="s">
        <v>109</v>
      </c>
      <c r="B41" s="98" t="s">
        <v>24</v>
      </c>
      <c r="C41" s="125" t="s">
        <v>80</v>
      </c>
      <c r="D41" s="88">
        <f t="shared" ref="D41:G41" si="41">IF(L41=0,0%,IF(H41=0,100%,L41/H41-1))</f>
        <v>-1.004119412</v>
      </c>
      <c r="E41" s="88">
        <f t="shared" si="41"/>
        <v>-0.9819470588</v>
      </c>
      <c r="F41" s="88">
        <f t="shared" si="41"/>
        <v>0</v>
      </c>
      <c r="G41" s="88">
        <f t="shared" si="41"/>
        <v>0</v>
      </c>
      <c r="H41" s="121">
        <v>34000.0</v>
      </c>
      <c r="I41" s="121">
        <v>8500.0</v>
      </c>
      <c r="J41" s="121">
        <v>80000.0</v>
      </c>
      <c r="K41" s="121">
        <v>80000.0</v>
      </c>
      <c r="L41" s="120">
        <f>VLOOKUP(A41,'תפוקה חודשית מול אשתקד'!A:K,8,0)</f>
        <v>-140.06</v>
      </c>
      <c r="M41" s="120">
        <f>VLOOKUP(A41,'תפוקה חודשית מול אשתקד'!A:K,9,0)</f>
        <v>153.45</v>
      </c>
      <c r="N41" s="120">
        <f>VLOOKUP(A41,'תפוקה חודשית מול אשתקד'!A:K,10,0)</f>
        <v>0</v>
      </c>
      <c r="O41" s="120">
        <f>VLOOKUP(A41,'תפוקה חודשית מול אשתקד'!A:K,11,0)</f>
        <v>0</v>
      </c>
    </row>
    <row r="42" ht="15.75" customHeight="1">
      <c r="A42" s="98" t="s">
        <v>111</v>
      </c>
      <c r="B42" s="98" t="s">
        <v>24</v>
      </c>
      <c r="C42" s="125" t="s">
        <v>80</v>
      </c>
      <c r="D42" s="88">
        <f t="shared" ref="D42:G42" si="42">IF(L42=0,0%,IF(H42=0,100%,L42/H42-1))</f>
        <v>0</v>
      </c>
      <c r="E42" s="88">
        <f t="shared" si="42"/>
        <v>0</v>
      </c>
      <c r="F42" s="88">
        <f t="shared" si="42"/>
        <v>0</v>
      </c>
      <c r="G42" s="88">
        <f t="shared" si="42"/>
        <v>0</v>
      </c>
      <c r="H42" s="121">
        <v>0.0</v>
      </c>
      <c r="I42" s="121">
        <v>0.0</v>
      </c>
      <c r="J42" s="121">
        <v>0.0</v>
      </c>
      <c r="K42" s="121">
        <v>0.0</v>
      </c>
      <c r="L42" s="120">
        <f>VLOOKUP(A42,'תפוקה חודשית מול אשתקד'!A:K,8,0)</f>
        <v>0</v>
      </c>
      <c r="M42" s="120">
        <f>VLOOKUP(A42,'תפוקה חודשית מול אשתקד'!A:K,9,0)</f>
        <v>0</v>
      </c>
      <c r="N42" s="120">
        <f>VLOOKUP(A42,'תפוקה חודשית מול אשתקד'!A:K,10,0)</f>
        <v>0</v>
      </c>
      <c r="O42" s="120">
        <f>VLOOKUP(A42,'תפוקה חודשית מול אשתקד'!A:K,11,0)</f>
        <v>0</v>
      </c>
    </row>
    <row r="43" ht="15.75" customHeight="1">
      <c r="A43" s="99" t="s">
        <v>96</v>
      </c>
      <c r="B43" s="98" t="s">
        <v>23</v>
      </c>
      <c r="C43" s="125" t="s">
        <v>80</v>
      </c>
      <c r="D43" s="88">
        <f t="shared" ref="D43:G43" si="43">IF(L43=0,0%,IF(H43=0,100%,L43/H43-1))</f>
        <v>1</v>
      </c>
      <c r="E43" s="88">
        <f t="shared" si="43"/>
        <v>1</v>
      </c>
      <c r="F43" s="88">
        <f t="shared" si="43"/>
        <v>1</v>
      </c>
      <c r="G43" s="88">
        <f t="shared" si="43"/>
        <v>1</v>
      </c>
      <c r="H43" s="121">
        <v>0.0</v>
      </c>
      <c r="I43" s="121">
        <v>0.0</v>
      </c>
      <c r="J43" s="121">
        <v>0.0</v>
      </c>
      <c r="K43" s="121">
        <v>0.0</v>
      </c>
      <c r="L43" s="120">
        <f>VLOOKUP(A43,'תפוקה חודשית מול אשתקד'!A:K,8,0)</f>
        <v>89685.85</v>
      </c>
      <c r="M43" s="120">
        <f>VLOOKUP(A43,'תפוקה חודשית מול אשתקד'!A:K,9,0)</f>
        <v>682.920523</v>
      </c>
      <c r="N43" s="120">
        <f>VLOOKUP(A43,'תפוקה חודשית מול אשתקד'!A:K,10,0)</f>
        <v>167213.9697</v>
      </c>
      <c r="O43" s="120">
        <f>VLOOKUP(A43,'תפוקה חודשית מול אשתקד'!A:K,11,0)</f>
        <v>-787</v>
      </c>
    </row>
    <row r="44" ht="15.75" customHeight="1">
      <c r="A44" s="98" t="s">
        <v>97</v>
      </c>
      <c r="B44" s="98" t="s">
        <v>23</v>
      </c>
      <c r="C44" s="125" t="s">
        <v>80</v>
      </c>
      <c r="D44" s="88">
        <f t="shared" ref="D44:G44" si="44">IF(L44=0,0%,IF(H44=0,100%,L44/H44-1))</f>
        <v>0</v>
      </c>
      <c r="E44" s="88">
        <f t="shared" si="44"/>
        <v>-1.007488382</v>
      </c>
      <c r="F44" s="88">
        <f t="shared" si="44"/>
        <v>-1.0000175</v>
      </c>
      <c r="G44" s="88">
        <f t="shared" si="44"/>
        <v>0</v>
      </c>
      <c r="H44" s="121">
        <v>25500.000000000004</v>
      </c>
      <c r="I44" s="121">
        <v>6800.000000000001</v>
      </c>
      <c r="J44" s="121">
        <v>24000.0</v>
      </c>
      <c r="K44" s="121">
        <v>24000.0</v>
      </c>
      <c r="L44" s="120">
        <f>VLOOKUP(A44,'תפוקה חודשית מול אשתקד'!A:K,8,0)</f>
        <v>0</v>
      </c>
      <c r="M44" s="120">
        <f>VLOOKUP(A44,'תפוקה חודשית מול אשתקד'!A:K,9,0)</f>
        <v>-50.921</v>
      </c>
      <c r="N44" s="120">
        <f>VLOOKUP(A44,'תפוקה חודשית מול אשתקד'!A:K,10,0)</f>
        <v>-0.42</v>
      </c>
      <c r="O44" s="120">
        <f>VLOOKUP(A44,'תפוקה חודשית מול אשתקד'!A:K,11,0)</f>
        <v>0</v>
      </c>
    </row>
    <row r="45" ht="15.75" customHeight="1">
      <c r="A45" s="98" t="s">
        <v>98</v>
      </c>
      <c r="B45" s="98" t="s">
        <v>23</v>
      </c>
      <c r="C45" s="125" t="s">
        <v>80</v>
      </c>
      <c r="D45" s="88">
        <f t="shared" ref="D45:G45" si="45">IF(L45=0,0%,IF(H45=0,100%,L45/H45-1))</f>
        <v>-0.5571684764</v>
      </c>
      <c r="E45" s="88">
        <f t="shared" si="45"/>
        <v>3.536718645</v>
      </c>
      <c r="F45" s="88">
        <f t="shared" si="45"/>
        <v>0</v>
      </c>
      <c r="G45" s="88">
        <f t="shared" si="45"/>
        <v>0</v>
      </c>
      <c r="H45" s="121">
        <v>4250.0</v>
      </c>
      <c r="I45" s="121">
        <v>4250.0</v>
      </c>
      <c r="J45" s="121">
        <v>24000.0</v>
      </c>
      <c r="K45" s="121">
        <v>16000.0</v>
      </c>
      <c r="L45" s="120">
        <f>VLOOKUP(A45,'תפוקה חודשית מול אשתקד'!A:K,8,0)</f>
        <v>1882.033975</v>
      </c>
      <c r="M45" s="120">
        <f>VLOOKUP(A45,'תפוקה חודשית מול אשתקד'!A:K,9,0)</f>
        <v>19281.05424</v>
      </c>
      <c r="N45" s="120">
        <f>VLOOKUP(A45,'תפוקה חודשית מול אשתקד'!A:K,10,0)</f>
        <v>0</v>
      </c>
      <c r="O45" s="120">
        <f>VLOOKUP(A45,'תפוקה חודשית מול אשתקד'!A:K,11,0)</f>
        <v>0</v>
      </c>
    </row>
    <row r="46" ht="15.75" customHeight="1">
      <c r="A46" s="98" t="s">
        <v>107</v>
      </c>
      <c r="B46" s="98" t="s">
        <v>24</v>
      </c>
      <c r="C46" s="125" t="s">
        <v>80</v>
      </c>
      <c r="D46" s="88">
        <f t="shared" ref="D46:G46" si="46">IF(L46=0,0%,IF(H46=0,100%,L46/H46-1))</f>
        <v>0</v>
      </c>
      <c r="E46" s="88">
        <f t="shared" si="46"/>
        <v>0</v>
      </c>
      <c r="F46" s="88">
        <f t="shared" si="46"/>
        <v>0</v>
      </c>
      <c r="G46" s="88">
        <f t="shared" si="46"/>
        <v>0</v>
      </c>
      <c r="H46" s="121">
        <v>0.0</v>
      </c>
      <c r="I46" s="121">
        <v>0.0</v>
      </c>
      <c r="J46" s="121">
        <v>0.0</v>
      </c>
      <c r="K46" s="121">
        <v>0.0</v>
      </c>
      <c r="L46" s="120">
        <f>VLOOKUP(A46,'תפוקה חודשית מול אשתקד'!A:K,8,0)</f>
        <v>0</v>
      </c>
      <c r="M46" s="120">
        <f>VLOOKUP(A46,'תפוקה חודשית מול אשתקד'!A:K,9,0)</f>
        <v>0</v>
      </c>
      <c r="N46" s="120">
        <f>VLOOKUP(A46,'תפוקה חודשית מול אשתקד'!A:K,10,0)</f>
        <v>0</v>
      </c>
      <c r="O46" s="120">
        <f>VLOOKUP(A46,'תפוקה חודשית מול אשתקד'!A:K,11,0)</f>
        <v>0</v>
      </c>
    </row>
    <row r="47" ht="15.75" customHeight="1">
      <c r="A47" s="98" t="s">
        <v>108</v>
      </c>
      <c r="B47" s="98" t="s">
        <v>24</v>
      </c>
      <c r="C47" s="125" t="s">
        <v>80</v>
      </c>
      <c r="D47" s="88">
        <f t="shared" ref="D47:G47" si="47">IF(L47=0,0%,IF(H47=0,100%,L47/H47-1))</f>
        <v>0</v>
      </c>
      <c r="E47" s="88">
        <f t="shared" si="47"/>
        <v>0</v>
      </c>
      <c r="F47" s="88">
        <f t="shared" si="47"/>
        <v>0</v>
      </c>
      <c r="G47" s="88">
        <f t="shared" si="47"/>
        <v>0</v>
      </c>
      <c r="H47" s="121">
        <v>0.0</v>
      </c>
      <c r="I47" s="121">
        <v>0.0</v>
      </c>
      <c r="J47" s="121">
        <v>0.0</v>
      </c>
      <c r="K47" s="121">
        <v>0.0</v>
      </c>
      <c r="L47" s="120">
        <f>VLOOKUP(A47,'תפוקה חודשית מול אשתקד'!A:K,8,0)</f>
        <v>0</v>
      </c>
      <c r="M47" s="120">
        <f>VLOOKUP(A47,'תפוקה חודשית מול אשתקד'!A:K,9,0)</f>
        <v>0</v>
      </c>
      <c r="N47" s="120">
        <f>VLOOKUP(A47,'תפוקה חודשית מול אשתקד'!A:K,10,0)</f>
        <v>0</v>
      </c>
      <c r="O47" s="120">
        <f>VLOOKUP(A47,'תפוקה חודשית מול אשתקד'!A:K,11,0)</f>
        <v>0</v>
      </c>
    </row>
    <row r="48" ht="15.75" customHeight="1">
      <c r="A48" s="123" t="s">
        <v>99</v>
      </c>
      <c r="B48" s="98" t="s">
        <v>23</v>
      </c>
      <c r="C48" s="125" t="s">
        <v>80</v>
      </c>
      <c r="D48" s="88">
        <f t="shared" ref="D48:G48" si="48">IF(L48=0,0%,IF(H48=0,100%,L48/H48-1))</f>
        <v>0</v>
      </c>
      <c r="E48" s="88">
        <f t="shared" si="48"/>
        <v>-1.003915059</v>
      </c>
      <c r="F48" s="88">
        <f t="shared" si="48"/>
        <v>0</v>
      </c>
      <c r="G48" s="88">
        <f t="shared" si="48"/>
        <v>0</v>
      </c>
      <c r="H48" s="121">
        <v>4250.0</v>
      </c>
      <c r="I48" s="121">
        <v>4250.0</v>
      </c>
      <c r="J48" s="121">
        <v>40000.0</v>
      </c>
      <c r="K48" s="121">
        <v>16000.0</v>
      </c>
      <c r="L48" s="120">
        <f>VLOOKUP(A48,'תפוקה חודשית מול אשתקד'!A:K,8,0)</f>
        <v>0</v>
      </c>
      <c r="M48" s="120">
        <f>VLOOKUP(A48,'תפוקה חודשית מול אשתקד'!A:K,9,0)</f>
        <v>-16.639</v>
      </c>
      <c r="N48" s="120">
        <f>VLOOKUP(A48,'תפוקה חודשית מול אשתקד'!A:K,10,0)</f>
        <v>0</v>
      </c>
      <c r="O48" s="120">
        <f>VLOOKUP(A48,'תפוקה חודשית מול אשתקד'!A:K,11,0)</f>
        <v>0</v>
      </c>
    </row>
    <row r="49" ht="15.75" customHeight="1">
      <c r="A49" s="123" t="s">
        <v>100</v>
      </c>
      <c r="B49" s="98" t="s">
        <v>23</v>
      </c>
      <c r="C49" s="125" t="s">
        <v>80</v>
      </c>
      <c r="D49" s="88">
        <f t="shared" ref="D49:G49" si="49">IF(L49=0,0%,IF(H49=0,100%,L49/H49-1))</f>
        <v>0</v>
      </c>
      <c r="E49" s="88">
        <f t="shared" si="49"/>
        <v>-1.949059529</v>
      </c>
      <c r="F49" s="88">
        <f t="shared" si="49"/>
        <v>-0.85492175</v>
      </c>
      <c r="G49" s="88">
        <f t="shared" si="49"/>
        <v>0</v>
      </c>
      <c r="H49" s="121">
        <v>8500.0</v>
      </c>
      <c r="I49" s="121">
        <v>4250.0</v>
      </c>
      <c r="J49" s="121">
        <v>160000.0</v>
      </c>
      <c r="K49" s="121">
        <v>40000.0</v>
      </c>
      <c r="L49" s="120">
        <f>VLOOKUP(A49,'תפוקה חודשית מול אשתקד'!A:K,8,0)</f>
        <v>0</v>
      </c>
      <c r="M49" s="120">
        <f>VLOOKUP(A49,'תפוקה חודשית מול אשתקד'!A:K,9,0)</f>
        <v>-4033.503</v>
      </c>
      <c r="N49" s="120">
        <f>VLOOKUP(A49,'תפוקה חודשית מול אשתקד'!A:K,10,0)</f>
        <v>23212.52</v>
      </c>
      <c r="O49" s="120">
        <f>VLOOKUP(A49,'תפוקה חודשית מול אשתקד'!A:K,11,0)</f>
        <v>0</v>
      </c>
    </row>
    <row r="50" ht="15.75" customHeight="1">
      <c r="A50" s="98" t="s">
        <v>101</v>
      </c>
      <c r="B50" s="98" t="s">
        <v>23</v>
      </c>
      <c r="C50" s="98" t="s">
        <v>80</v>
      </c>
      <c r="D50" s="88">
        <f t="shared" ref="D50:G50" si="50">IF(L50=0,0%,IF(H50=0,100%,L50/H50-1))</f>
        <v>1</v>
      </c>
      <c r="E50" s="88">
        <f t="shared" si="50"/>
        <v>1</v>
      </c>
      <c r="F50" s="88">
        <f t="shared" si="50"/>
        <v>1</v>
      </c>
      <c r="G50" s="88">
        <f t="shared" si="50"/>
        <v>1</v>
      </c>
      <c r="H50" s="121">
        <v>0.0</v>
      </c>
      <c r="I50" s="121">
        <v>0.0</v>
      </c>
      <c r="J50" s="121">
        <v>0.0</v>
      </c>
      <c r="K50" s="121">
        <v>0.0</v>
      </c>
      <c r="L50" s="120">
        <f>VLOOKUP(A50,'תפוקה חודשית מול אשתקד'!A:K,8,0)</f>
        <v>2771.04178</v>
      </c>
      <c r="M50" s="120">
        <f>VLOOKUP(A50,'תפוקה חודשית מול אשתקד'!A:K,9,0)</f>
        <v>-4.91</v>
      </c>
      <c r="N50" s="120">
        <f>VLOOKUP(A50,'תפוקה חודשית מול אשתקד'!A:K,10,0)</f>
        <v>62033.09</v>
      </c>
      <c r="O50" s="120">
        <f>VLOOKUP(A50,'תפוקה חודשית מול אשתקד'!A:K,11,0)</f>
        <v>370212.19</v>
      </c>
    </row>
    <row r="51" ht="15.75" customHeight="1">
      <c r="A51" s="98" t="s">
        <v>102</v>
      </c>
      <c r="B51" s="98" t="s">
        <v>23</v>
      </c>
      <c r="C51" s="98" t="s">
        <v>80</v>
      </c>
      <c r="D51" s="88">
        <f t="shared" ref="D51:G51" si="51">IF(L51=0,0%,IF(H51=0,100%,L51/H51-1))</f>
        <v>1</v>
      </c>
      <c r="E51" s="88">
        <f t="shared" si="51"/>
        <v>1</v>
      </c>
      <c r="F51" s="88">
        <f t="shared" si="51"/>
        <v>0</v>
      </c>
      <c r="G51" s="88">
        <f t="shared" si="51"/>
        <v>1</v>
      </c>
      <c r="H51" s="121">
        <v>0.0</v>
      </c>
      <c r="I51" s="121">
        <v>0.0</v>
      </c>
      <c r="J51" s="121">
        <v>0.0</v>
      </c>
      <c r="K51" s="121">
        <v>0.0</v>
      </c>
      <c r="L51" s="120">
        <f>VLOOKUP(A51,'תפוקה חודשית מול אשתקד'!A:K,8,0)</f>
        <v>-79068.15</v>
      </c>
      <c r="M51" s="120">
        <f>VLOOKUP(A51,'תפוקה חודשית מול אשתקד'!A:K,9,0)</f>
        <v>2278.16</v>
      </c>
      <c r="N51" s="120">
        <f>VLOOKUP(A51,'תפוקה חודשית מול אשתקד'!A:K,10,0)</f>
        <v>0</v>
      </c>
      <c r="O51" s="120">
        <f>VLOOKUP(A51,'תפוקה חודשית מול אשתקד'!A:K,11,0)</f>
        <v>-417.57</v>
      </c>
    </row>
    <row r="52" ht="15.75" customHeight="1">
      <c r="A52" s="98" t="s">
        <v>103</v>
      </c>
      <c r="B52" s="98" t="s">
        <v>23</v>
      </c>
      <c r="C52" s="98" t="s">
        <v>80</v>
      </c>
      <c r="D52" s="88">
        <f t="shared" ref="D52:G52" si="52">IF(L52=0,0%,IF(H52=0,100%,L52/H52-1))</f>
        <v>1</v>
      </c>
      <c r="E52" s="88">
        <f t="shared" si="52"/>
        <v>1</v>
      </c>
      <c r="F52" s="88">
        <f t="shared" si="52"/>
        <v>1</v>
      </c>
      <c r="G52" s="88">
        <f t="shared" si="52"/>
        <v>1</v>
      </c>
      <c r="H52" s="121">
        <v>0.0</v>
      </c>
      <c r="I52" s="121">
        <v>0.0</v>
      </c>
      <c r="J52" s="121">
        <v>0.0</v>
      </c>
      <c r="K52" s="121">
        <v>0.0</v>
      </c>
      <c r="L52" s="120">
        <f>VLOOKUP(A52,'תפוקה חודשית מול אשתקד'!A:K,8,0)</f>
        <v>3796.4494</v>
      </c>
      <c r="M52" s="120">
        <f>VLOOKUP(A52,'תפוקה חודשית מול אשתקד'!A:K,9,0)</f>
        <v>-4.996</v>
      </c>
      <c r="N52" s="120">
        <f>VLOOKUP(A52,'תפוקה חודשית מול אשתקד'!A:K,10,0)</f>
        <v>40958.11</v>
      </c>
      <c r="O52" s="120">
        <f>VLOOKUP(A52,'תפוקה חודשית מול אשתקד'!A:K,11,0)</f>
        <v>22898.39</v>
      </c>
    </row>
    <row r="53" ht="15.75" customHeight="1">
      <c r="A53" s="98" t="s">
        <v>104</v>
      </c>
      <c r="B53" s="98" t="s">
        <v>23</v>
      </c>
      <c r="C53" s="98" t="s">
        <v>80</v>
      </c>
      <c r="D53" s="88">
        <f t="shared" ref="D53:G53" si="53">IF(L53=0,0%,IF(H53=0,100%,L53/H53-1))</f>
        <v>0</v>
      </c>
      <c r="E53" s="88">
        <f t="shared" si="53"/>
        <v>1</v>
      </c>
      <c r="F53" s="88">
        <f t="shared" si="53"/>
        <v>0</v>
      </c>
      <c r="G53" s="88">
        <f t="shared" si="53"/>
        <v>0</v>
      </c>
      <c r="H53" s="121">
        <v>0.0</v>
      </c>
      <c r="I53" s="121">
        <v>0.0</v>
      </c>
      <c r="J53" s="121">
        <v>0.0</v>
      </c>
      <c r="K53" s="121">
        <v>0.0</v>
      </c>
      <c r="L53" s="120">
        <f>VLOOKUP(A53,'תפוקה חודשית מול אשתקד'!A:K,8,0)</f>
        <v>0</v>
      </c>
      <c r="M53" s="120">
        <f>VLOOKUP(A53,'תפוקה חודשית מול אשתקד'!A:K,9,0)</f>
        <v>-2.58</v>
      </c>
      <c r="N53" s="120">
        <f>VLOOKUP(A53,'תפוקה חודשית מול אשתקד'!A:K,10,0)</f>
        <v>0</v>
      </c>
      <c r="O53" s="120">
        <f>VLOOKUP(A53,'תפוקה חודשית מול אשתקד'!A:K,11,0)</f>
        <v>0</v>
      </c>
    </row>
    <row r="54" ht="15.75" customHeight="1">
      <c r="A54" s="98" t="s">
        <v>110</v>
      </c>
      <c r="B54" s="98" t="s">
        <v>25</v>
      </c>
      <c r="C54" s="125" t="s">
        <v>80</v>
      </c>
      <c r="D54" s="88">
        <f t="shared" ref="D54:G54" si="54">IF(L54=0,0%,IF(H54=0,100%,L54/H54-1))</f>
        <v>0</v>
      </c>
      <c r="E54" s="88">
        <f t="shared" si="54"/>
        <v>0</v>
      </c>
      <c r="F54" s="88">
        <f t="shared" si="54"/>
        <v>0</v>
      </c>
      <c r="G54" s="88">
        <f t="shared" si="54"/>
        <v>0</v>
      </c>
      <c r="H54" s="121"/>
      <c r="I54" s="121"/>
      <c r="J54" s="121"/>
      <c r="K54" s="121"/>
      <c r="L54" s="120" t="str">
        <f>VLOOKUP(A54,'תפוקה חודשית מול אשתקד'!A:K,8,0)</f>
        <v/>
      </c>
      <c r="M54" s="120" t="str">
        <f>VLOOKUP(A54,'תפוקה חודשית מול אשתקד'!A:K,9,0)</f>
        <v/>
      </c>
      <c r="N54" s="120" t="str">
        <f>VLOOKUP(A54,'תפוקה חודשית מול אשתקד'!A:K,10,0)</f>
        <v/>
      </c>
      <c r="O54" s="120" t="str">
        <f>VLOOKUP(A54,'תפוקה חודשית מול אשתקד'!A:K,11,0)</f>
        <v/>
      </c>
    </row>
    <row r="55" ht="15.75" customHeight="1">
      <c r="A55" s="98" t="s">
        <v>105</v>
      </c>
      <c r="B55" s="98" t="s">
        <v>23</v>
      </c>
      <c r="C55" s="98" t="s">
        <v>80</v>
      </c>
      <c r="D55" s="88">
        <f t="shared" ref="D55:G55" si="55">IF(L55=0,0%,IF(H55=0,100%,L55/H55-1))</f>
        <v>0</v>
      </c>
      <c r="E55" s="88">
        <f t="shared" si="55"/>
        <v>1</v>
      </c>
      <c r="F55" s="88">
        <f t="shared" si="55"/>
        <v>0</v>
      </c>
      <c r="G55" s="88">
        <f t="shared" si="55"/>
        <v>0</v>
      </c>
      <c r="H55" s="121">
        <v>0.0</v>
      </c>
      <c r="I55" s="121">
        <v>0.0</v>
      </c>
      <c r="J55" s="121">
        <v>0.0</v>
      </c>
      <c r="K55" s="121">
        <v>0.0</v>
      </c>
      <c r="L55" s="120">
        <f>VLOOKUP(A55,'תפוקה חודשית מול אשתקד'!A:K,8,0)</f>
        <v>0</v>
      </c>
      <c r="M55" s="120">
        <f>VLOOKUP(A55,'תפוקה חודשית מול אשתקד'!A:K,9,0)</f>
        <v>-5.25</v>
      </c>
      <c r="N55" s="120">
        <f>VLOOKUP(A55,'תפוקה חודשית מול אשתקד'!A:K,10,0)</f>
        <v>0</v>
      </c>
      <c r="O55" s="120">
        <f>VLOOKUP(A55,'תפוקה חודשית מול אשתקד'!A:K,11,0)</f>
        <v>0</v>
      </c>
    </row>
    <row r="56" ht="15.75" customHeight="1">
      <c r="A56" s="172" t="s">
        <v>16</v>
      </c>
      <c r="B56" s="171"/>
      <c r="C56" s="161"/>
      <c r="D56" s="88">
        <f t="shared" ref="D56:G56" si="56">IF(L56=0,0%,IF(H56=0,100%,L56/H56-1))</f>
        <v>-0.3428654857</v>
      </c>
      <c r="E56" s="88">
        <f t="shared" si="56"/>
        <v>-0.5105352808</v>
      </c>
      <c r="F56" s="88">
        <f t="shared" si="56"/>
        <v>-0.1336513049</v>
      </c>
      <c r="G56" s="88">
        <f t="shared" si="56"/>
        <v>-0.8217256652</v>
      </c>
      <c r="H56" s="155">
        <f t="shared" ref="H56:O56" si="57">SUM(H23:H55)</f>
        <v>930750</v>
      </c>
      <c r="I56" s="155">
        <f t="shared" si="57"/>
        <v>170850</v>
      </c>
      <c r="J56" s="155">
        <f t="shared" si="57"/>
        <v>1960000</v>
      </c>
      <c r="K56" s="155">
        <f t="shared" si="57"/>
        <v>1864000</v>
      </c>
      <c r="L56" s="155">
        <f t="shared" si="57"/>
        <v>611627.9492</v>
      </c>
      <c r="M56" s="155">
        <f t="shared" si="57"/>
        <v>83625.04727</v>
      </c>
      <c r="N56" s="155">
        <f t="shared" si="57"/>
        <v>1698043.442</v>
      </c>
      <c r="O56" s="155">
        <f t="shared" si="57"/>
        <v>332303.36</v>
      </c>
    </row>
    <row r="57" ht="15.75" customHeight="1">
      <c r="A57" s="99" t="s">
        <v>113</v>
      </c>
      <c r="B57" s="98" t="s">
        <v>26</v>
      </c>
      <c r="C57" s="98" t="s">
        <v>80</v>
      </c>
      <c r="D57" s="88">
        <f t="shared" ref="D57:G57" si="58">IF(L57=0,0%,IF(H57=0,100%,L57/H57-1))</f>
        <v>0.2919924706</v>
      </c>
      <c r="E57" s="88">
        <f t="shared" si="58"/>
        <v>-0.9997352941</v>
      </c>
      <c r="F57" s="88">
        <f t="shared" si="58"/>
        <v>-0.8421409107</v>
      </c>
      <c r="G57" s="88">
        <f t="shared" si="58"/>
        <v>2.433636625</v>
      </c>
      <c r="H57" s="121">
        <v>42500.0</v>
      </c>
      <c r="I57" s="121">
        <v>6800.000000000001</v>
      </c>
      <c r="J57" s="121">
        <v>560000.0</v>
      </c>
      <c r="K57" s="121">
        <v>80000.0</v>
      </c>
      <c r="L57" s="120">
        <f>VLOOKUP(A57,'תפוקה חודשית מול אשתקד'!A:K,8,0)</f>
        <v>54909.68</v>
      </c>
      <c r="M57" s="120">
        <f>VLOOKUP(A57,'תפוקה חודשית מול אשתקד'!A:K,9,0)</f>
        <v>1.8</v>
      </c>
      <c r="N57" s="120">
        <f>VLOOKUP(A57,'תפוקה חודשית מול אשתקד'!A:K,10,0)</f>
        <v>88401.09</v>
      </c>
      <c r="O57" s="120">
        <f>VLOOKUP(A57,'תפוקה חודשית מול אשתקד'!A:K,11,0)</f>
        <v>274690.93</v>
      </c>
    </row>
    <row r="58" ht="15.75" customHeight="1">
      <c r="A58" s="98" t="s">
        <v>57</v>
      </c>
      <c r="B58" s="98" t="s">
        <v>26</v>
      </c>
      <c r="C58" s="125" t="s">
        <v>80</v>
      </c>
      <c r="D58" s="88">
        <f t="shared" ref="D58:G58" si="59">IF(L58=0,0%,IF(H58=0,100%,L58/H58-1))</f>
        <v>-3.149183876</v>
      </c>
      <c r="E58" s="88">
        <f t="shared" si="59"/>
        <v>-2.87447042</v>
      </c>
      <c r="F58" s="88">
        <f t="shared" si="59"/>
        <v>-0.723875</v>
      </c>
      <c r="G58" s="88">
        <f t="shared" si="59"/>
        <v>0</v>
      </c>
      <c r="H58" s="121">
        <v>340000.0</v>
      </c>
      <c r="I58" s="121">
        <v>29750.000000000004</v>
      </c>
      <c r="J58" s="121">
        <v>320000.0</v>
      </c>
      <c r="K58" s="121">
        <v>320000.0</v>
      </c>
      <c r="L58" s="120">
        <f>VLOOKUP(A58,'תפוקה חודשית מול אשתקד'!A:K,8,0)</f>
        <v>-730722.518</v>
      </c>
      <c r="M58" s="120">
        <f>VLOOKUP(A58,'תפוקה חודשית מול אשתקד'!A:K,9,0)</f>
        <v>-55765.495</v>
      </c>
      <c r="N58" s="120">
        <f>VLOOKUP(A58,'תפוקה חודשית מול אשתקד'!A:K,10,0)</f>
        <v>88360</v>
      </c>
      <c r="O58" s="120">
        <f>VLOOKUP(A58,'תפוקה חודשית מול אשתקד'!A:K,11,0)</f>
        <v>0</v>
      </c>
    </row>
    <row r="59" ht="15.75" customHeight="1">
      <c r="A59" s="98" t="s">
        <v>112</v>
      </c>
      <c r="B59" s="98" t="s">
        <v>26</v>
      </c>
      <c r="C59" s="125" t="s">
        <v>80</v>
      </c>
      <c r="D59" s="88">
        <f t="shared" ref="D59:G59" si="60">IF(L59=0,0%,IF(H59=0,100%,L59/H59-1))</f>
        <v>1</v>
      </c>
      <c r="E59" s="88">
        <f t="shared" si="60"/>
        <v>0</v>
      </c>
      <c r="F59" s="88">
        <f t="shared" si="60"/>
        <v>1</v>
      </c>
      <c r="G59" s="88">
        <f t="shared" si="60"/>
        <v>0</v>
      </c>
      <c r="H59" s="121">
        <v>0.0</v>
      </c>
      <c r="I59" s="121">
        <v>3400.0000000000005</v>
      </c>
      <c r="J59" s="121">
        <v>0.0</v>
      </c>
      <c r="K59" s="121">
        <v>0.0</v>
      </c>
      <c r="L59" s="120">
        <f>VLOOKUP(A59,'תפוקה חודשית מול אשתקד'!A:K,8,0)</f>
        <v>-178.35</v>
      </c>
      <c r="M59" s="120">
        <f>VLOOKUP(A59,'תפוקה חודשית מול אשתקד'!A:K,9,0)</f>
        <v>0</v>
      </c>
      <c r="N59" s="120">
        <f>VLOOKUP(A59,'תפוקה חודשית מול אשתקד'!A:K,10,0)</f>
        <v>582.76</v>
      </c>
      <c r="O59" s="120">
        <f>VLOOKUP(A59,'תפוקה חודשית מול אשתקד'!A:K,11,0)</f>
        <v>0</v>
      </c>
    </row>
    <row r="60" ht="15.75" customHeight="1">
      <c r="A60" s="125" t="s">
        <v>55</v>
      </c>
      <c r="B60" s="125" t="s">
        <v>26</v>
      </c>
      <c r="C60" s="125" t="s">
        <v>80</v>
      </c>
      <c r="D60" s="88">
        <f t="shared" ref="D60:G60" si="61">IF(L60=0,0%,IF(H60=0,100%,L60/H60-1))</f>
        <v>-1.278650588</v>
      </c>
      <c r="E60" s="88">
        <f t="shared" si="61"/>
        <v>-0.7571276471</v>
      </c>
      <c r="F60" s="88">
        <f t="shared" si="61"/>
        <v>2.8030229</v>
      </c>
      <c r="G60" s="88">
        <f t="shared" si="61"/>
        <v>-0.81962765</v>
      </c>
      <c r="H60" s="121">
        <v>85000.0</v>
      </c>
      <c r="I60" s="121">
        <v>17000.0</v>
      </c>
      <c r="J60" s="121">
        <v>200000.0</v>
      </c>
      <c r="K60" s="121">
        <v>800000.0</v>
      </c>
      <c r="L60" s="120">
        <f>VLOOKUP(A60,'תפוקה חודשית מול אשתקד'!A:K,8,0)</f>
        <v>-23685.3</v>
      </c>
      <c r="M60" s="120">
        <f>VLOOKUP(A60,'תפוקה חודשית מול אשתקד'!A:K,9,0)</f>
        <v>4128.83</v>
      </c>
      <c r="N60" s="120">
        <f>VLOOKUP(A60,'תפוקה חודשית מול אשתקד'!A:K,10,0)</f>
        <v>760604.58</v>
      </c>
      <c r="O60" s="120">
        <f>VLOOKUP(A60,'תפוקה חודשית מול אשתקד'!A:K,11,0)</f>
        <v>144297.88</v>
      </c>
    </row>
    <row r="61" ht="15.75" customHeight="1">
      <c r="A61" s="98" t="s">
        <v>114</v>
      </c>
      <c r="B61" s="98" t="s">
        <v>26</v>
      </c>
      <c r="C61" s="98" t="s">
        <v>80</v>
      </c>
      <c r="D61" s="88">
        <f t="shared" ref="D61:G61" si="62">IF(L61=0,0%,IF(H61=0,100%,L61/H61-1))</f>
        <v>0.9776921262</v>
      </c>
      <c r="E61" s="88">
        <f t="shared" si="62"/>
        <v>-0.6009973978</v>
      </c>
      <c r="F61" s="88">
        <f t="shared" si="62"/>
        <v>0.97517435</v>
      </c>
      <c r="G61" s="88">
        <f t="shared" si="62"/>
        <v>1.572431667</v>
      </c>
      <c r="H61" s="121">
        <v>85000.0</v>
      </c>
      <c r="I61" s="121">
        <v>8500.0</v>
      </c>
      <c r="J61" s="121">
        <v>200000.0</v>
      </c>
      <c r="K61" s="121">
        <v>120000.0</v>
      </c>
      <c r="L61" s="120">
        <f>VLOOKUP(A61,'תפוקה חודשית מול אשתקד'!A:K,8,0)</f>
        <v>168103.8307</v>
      </c>
      <c r="M61" s="120">
        <f>VLOOKUP(A61,'תפוקה חודשית מול אשתקד'!A:K,9,0)</f>
        <v>3391.522119</v>
      </c>
      <c r="N61" s="120">
        <f>VLOOKUP(A61,'תפוקה חודשית מול אשתקד'!A:K,10,0)</f>
        <v>395034.87</v>
      </c>
      <c r="O61" s="120">
        <f>VLOOKUP(A61,'תפוקה חודשית מול אשתקד'!A:K,11,0)</f>
        <v>308691.8</v>
      </c>
    </row>
    <row r="62" ht="15.75" customHeight="1">
      <c r="A62" s="136" t="s">
        <v>116</v>
      </c>
      <c r="B62" s="98" t="s">
        <v>26</v>
      </c>
      <c r="C62" s="125" t="s">
        <v>80</v>
      </c>
      <c r="D62" s="88">
        <f t="shared" ref="D62:G62" si="63">IF(L62=0,0%,IF(H62=0,100%,L62/H62-1))</f>
        <v>0</v>
      </c>
      <c r="E62" s="88">
        <f t="shared" si="63"/>
        <v>0</v>
      </c>
      <c r="F62" s="88">
        <f t="shared" si="63"/>
        <v>0</v>
      </c>
      <c r="G62" s="88">
        <f t="shared" si="63"/>
        <v>0</v>
      </c>
      <c r="H62" s="121">
        <v>85000.0</v>
      </c>
      <c r="I62" s="121">
        <v>12750.000000000002</v>
      </c>
      <c r="J62" s="121">
        <v>400000.0</v>
      </c>
      <c r="K62" s="121">
        <v>160000.0</v>
      </c>
      <c r="L62" s="120" t="str">
        <f>VLOOKUP(A62,'תפוקה חודשית מול אשתקד'!A:K,8,0)</f>
        <v/>
      </c>
      <c r="M62" s="120" t="str">
        <f>VLOOKUP(A62,'תפוקה חודשית מול אשתקד'!A:K,9,0)</f>
        <v/>
      </c>
      <c r="N62" s="120" t="str">
        <f>VLOOKUP(A62,'תפוקה חודשית מול אשתקד'!A:K,10,0)</f>
        <v/>
      </c>
      <c r="O62" s="120" t="str">
        <f>VLOOKUP(A62,'תפוקה חודשית מול אשתקד'!A:K,11,0)</f>
        <v/>
      </c>
    </row>
    <row r="63" ht="15.75" customHeight="1">
      <c r="A63" s="135" t="s">
        <v>115</v>
      </c>
      <c r="B63" s="98" t="s">
        <v>26</v>
      </c>
      <c r="C63" s="125" t="s">
        <v>80</v>
      </c>
      <c r="D63" s="88">
        <f t="shared" ref="D63:G63" si="64">IF(L63=0,0%,IF(H63=0,100%,L63/H63-1))</f>
        <v>7.026035294</v>
      </c>
      <c r="E63" s="88">
        <f t="shared" si="64"/>
        <v>-0.6732058544</v>
      </c>
      <c r="F63" s="88">
        <f t="shared" si="64"/>
        <v>-1.712759875</v>
      </c>
      <c r="G63" s="88">
        <f t="shared" si="64"/>
        <v>0.8743063333</v>
      </c>
      <c r="H63" s="121">
        <v>8500.0</v>
      </c>
      <c r="I63" s="121">
        <v>8500.0</v>
      </c>
      <c r="J63" s="121">
        <v>160000.0</v>
      </c>
      <c r="K63" s="121">
        <v>120000.0</v>
      </c>
      <c r="L63" s="120">
        <f>VLOOKUP(A63,'תפוקה חודשית מול אשתקד'!A:K,8,0)</f>
        <v>68221.3</v>
      </c>
      <c r="M63" s="120">
        <f>VLOOKUP(A63,'תפוקה חודשית מול אשתקד'!A:K,9,0)</f>
        <v>2777.750238</v>
      </c>
      <c r="N63" s="120">
        <f>VLOOKUP(A63,'תפוקה חודשית מול אשתקד'!A:K,10,0)</f>
        <v>-114041.58</v>
      </c>
      <c r="O63" s="120">
        <f>VLOOKUP(A63,'תפוקה חודשית מול אשתקד'!A:K,11,0)</f>
        <v>224916.76</v>
      </c>
    </row>
    <row r="64" ht="15.75" customHeight="1">
      <c r="A64" s="137" t="s">
        <v>117</v>
      </c>
      <c r="B64" s="98" t="s">
        <v>26</v>
      </c>
      <c r="C64" s="125" t="s">
        <v>80</v>
      </c>
      <c r="D64" s="88">
        <f t="shared" ref="D64:G64" si="65">IF(L64=0,0%,IF(H64=0,100%,L64/H64-1))</f>
        <v>0</v>
      </c>
      <c r="E64" s="88">
        <f t="shared" si="65"/>
        <v>0</v>
      </c>
      <c r="F64" s="88">
        <f t="shared" si="65"/>
        <v>0</v>
      </c>
      <c r="G64" s="88">
        <f t="shared" si="65"/>
        <v>0</v>
      </c>
      <c r="H64" s="121"/>
      <c r="I64" s="121"/>
      <c r="J64" s="121"/>
      <c r="K64" s="121"/>
      <c r="L64" s="120" t="str">
        <f>VLOOKUP(A64,'תפוקה חודשית מול אשתקד'!A:K,8,0)</f>
        <v/>
      </c>
      <c r="M64" s="120" t="str">
        <f>VLOOKUP(A64,'תפוקה חודשית מול אשתקד'!A:K,9,0)</f>
        <v/>
      </c>
      <c r="N64" s="120" t="str">
        <f>VLOOKUP(A64,'תפוקה חודשית מול אשתקד'!A:K,10,0)</f>
        <v/>
      </c>
      <c r="O64" s="120" t="str">
        <f>VLOOKUP(A64,'תפוקה חודשית מול אשתקד'!A:K,11,0)</f>
        <v/>
      </c>
    </row>
    <row r="65" ht="15.75" customHeight="1">
      <c r="A65" s="99" t="s">
        <v>118</v>
      </c>
      <c r="B65" s="98" t="s">
        <v>26</v>
      </c>
      <c r="C65" s="125" t="s">
        <v>80</v>
      </c>
      <c r="D65" s="88">
        <f t="shared" ref="D65:G65" si="66">IF(L65=0,0%,IF(H65=0,100%,L65/H65-1))</f>
        <v>0</v>
      </c>
      <c r="E65" s="88">
        <f t="shared" si="66"/>
        <v>0</v>
      </c>
      <c r="F65" s="88">
        <f t="shared" si="66"/>
        <v>0</v>
      </c>
      <c r="G65" s="88">
        <f t="shared" si="66"/>
        <v>0</v>
      </c>
      <c r="H65" s="121">
        <v>0.0</v>
      </c>
      <c r="I65" s="121">
        <v>8500.0</v>
      </c>
      <c r="J65" s="121">
        <v>0.0</v>
      </c>
      <c r="K65" s="121">
        <v>0.0</v>
      </c>
      <c r="L65" s="120">
        <f>VLOOKUP(A65,'תפוקה חודשית מול אשתקד'!A:K,8,0)</f>
        <v>0</v>
      </c>
      <c r="M65" s="120">
        <f>VLOOKUP(A65,'תפוקה חודשית מול אשתקד'!A:K,9,0)</f>
        <v>0</v>
      </c>
      <c r="N65" s="120">
        <f>VLOOKUP(A65,'תפוקה חודשית מול אשתקד'!A:K,10,0)</f>
        <v>0</v>
      </c>
      <c r="O65" s="120">
        <f>VLOOKUP(A65,'תפוקה חודשית מול אשתקד'!A:K,11,0)</f>
        <v>0</v>
      </c>
    </row>
    <row r="66" ht="15.75" customHeight="1">
      <c r="A66" s="172" t="s">
        <v>136</v>
      </c>
      <c r="B66" s="171"/>
      <c r="C66" s="161"/>
      <c r="D66" s="88">
        <f t="shared" ref="D66:G66" si="67">IF(L66=0,0%,IF(H66=0,100%,L66/H66-1))</f>
        <v>-1.717262163</v>
      </c>
      <c r="E66" s="88">
        <f t="shared" si="67"/>
        <v>-1.477579755</v>
      </c>
      <c r="F66" s="88">
        <f t="shared" si="67"/>
        <v>-0.3375316739</v>
      </c>
      <c r="G66" s="88">
        <f t="shared" si="67"/>
        <v>-0.4046266438</v>
      </c>
      <c r="H66" s="155">
        <f t="shared" ref="H66:O66" si="68">SUM(H57:H65)</f>
        <v>646000</v>
      </c>
      <c r="I66" s="155">
        <f t="shared" si="68"/>
        <v>95200</v>
      </c>
      <c r="J66" s="155">
        <f t="shared" si="68"/>
        <v>1840000</v>
      </c>
      <c r="K66" s="155">
        <f t="shared" si="68"/>
        <v>1600000</v>
      </c>
      <c r="L66" s="155">
        <f t="shared" si="68"/>
        <v>-463351.3573</v>
      </c>
      <c r="M66" s="155">
        <f t="shared" si="68"/>
        <v>-45465.59264</v>
      </c>
      <c r="N66" s="155">
        <f t="shared" si="68"/>
        <v>1218941.72</v>
      </c>
      <c r="O66" s="155">
        <f t="shared" si="68"/>
        <v>952597.37</v>
      </c>
    </row>
    <row r="67" ht="15.75" customHeight="1">
      <c r="A67" s="98" t="s">
        <v>119</v>
      </c>
      <c r="B67" s="98" t="s">
        <v>25</v>
      </c>
      <c r="C67" s="98" t="s">
        <v>120</v>
      </c>
      <c r="D67" s="88">
        <f t="shared" ref="D67:G67" si="69">IF(L67=0,0%,IF(H67=0,100%,L67/H67-1))</f>
        <v>-0.001295535543</v>
      </c>
      <c r="E67" s="88">
        <f t="shared" si="69"/>
        <v>-0.5244106078</v>
      </c>
      <c r="F67" s="88">
        <f t="shared" si="69"/>
        <v>-0.4606943958</v>
      </c>
      <c r="G67" s="88">
        <f t="shared" si="69"/>
        <v>-0.30707765</v>
      </c>
      <c r="H67" s="121">
        <v>85000.0</v>
      </c>
      <c r="I67" s="121">
        <v>12750.000000000002</v>
      </c>
      <c r="J67" s="121">
        <v>800000.0</v>
      </c>
      <c r="K67" s="121">
        <v>400000.0</v>
      </c>
      <c r="L67" s="120">
        <f>VLOOKUP(A67,'תפוקה חודשית מול אשתקד'!A:K,8,0)</f>
        <v>84889.87948</v>
      </c>
      <c r="M67" s="120">
        <f>VLOOKUP(A67,'תפוקה חודשית מול אשתקד'!A:K,9,0)</f>
        <v>6063.764751</v>
      </c>
      <c r="N67" s="120">
        <f>VLOOKUP(A67,'תפוקה חודשית מול אשתקד'!A:K,10,0)</f>
        <v>431444.4834</v>
      </c>
      <c r="O67" s="120">
        <f>VLOOKUP(A67,'תפוקה חודשית מול אשתקד'!A:K,11,0)</f>
        <v>277168.94</v>
      </c>
    </row>
    <row r="68" ht="15.75" customHeight="1">
      <c r="A68" s="99" t="s">
        <v>35</v>
      </c>
      <c r="B68" s="98" t="s">
        <v>23</v>
      </c>
      <c r="C68" s="98" t="s">
        <v>121</v>
      </c>
      <c r="D68" s="88">
        <f t="shared" ref="D68:G68" si="70">IF(L68=0,0%,IF(H68=0,100%,L68/H68-1))</f>
        <v>-0.4857787854</v>
      </c>
      <c r="E68" s="88">
        <f t="shared" si="70"/>
        <v>0.07436680392</v>
      </c>
      <c r="F68" s="88">
        <f t="shared" si="70"/>
        <v>0.40505235</v>
      </c>
      <c r="G68" s="88">
        <f t="shared" si="70"/>
        <v>1.597829625</v>
      </c>
      <c r="H68" s="121">
        <v>255000.00000000003</v>
      </c>
      <c r="I68" s="121">
        <v>51000.00000000001</v>
      </c>
      <c r="J68" s="121">
        <v>800000.0</v>
      </c>
      <c r="K68" s="121">
        <v>480000.0</v>
      </c>
      <c r="L68" s="120">
        <f>VLOOKUP(A68,'תפוקה חודשית מול אשתקד'!A:K,8,0)</f>
        <v>131126.4097</v>
      </c>
      <c r="M68" s="120">
        <f>VLOOKUP(A68,'תפוקה חודשית מול אשתקד'!A:K,9,0)</f>
        <v>54792.707</v>
      </c>
      <c r="N68" s="120">
        <f>VLOOKUP(A68,'תפוקה חודשית מול אשתקד'!A:K,10,0)</f>
        <v>1124041.88</v>
      </c>
      <c r="O68" s="120">
        <f>VLOOKUP(A68,'תפוקה חודשית מול אשתקד'!A:K,11,0)</f>
        <v>1246958.22</v>
      </c>
    </row>
    <row r="69" ht="15.75" customHeight="1">
      <c r="A69" s="98" t="s">
        <v>122</v>
      </c>
      <c r="B69" s="98" t="s">
        <v>25</v>
      </c>
      <c r="C69" s="98" t="s">
        <v>121</v>
      </c>
      <c r="D69" s="88">
        <f t="shared" ref="D69:G69" si="71">IF(L69=0,0%,IF(H69=0,100%,L69/H69-1))</f>
        <v>0</v>
      </c>
      <c r="E69" s="88">
        <f t="shared" si="71"/>
        <v>1</v>
      </c>
      <c r="F69" s="88">
        <f t="shared" si="71"/>
        <v>1</v>
      </c>
      <c r="G69" s="88">
        <f t="shared" si="71"/>
        <v>0</v>
      </c>
      <c r="H69" s="121">
        <v>0.0</v>
      </c>
      <c r="I69" s="121">
        <v>0.0</v>
      </c>
      <c r="J69" s="121">
        <v>0.0</v>
      </c>
      <c r="K69" s="121">
        <v>0.0</v>
      </c>
      <c r="L69" s="120">
        <f>VLOOKUP(A69,'תפוקה חודשית מול אשתקד'!A:K,8,0)</f>
        <v>0</v>
      </c>
      <c r="M69" s="120">
        <f>VLOOKUP(A69,'תפוקה חודשית מול אשתקד'!A:K,9,0)</f>
        <v>-6.146</v>
      </c>
      <c r="N69" s="120">
        <f>VLOOKUP(A69,'תפוקה חודשית מול אשתקד'!A:K,10,0)</f>
        <v>0.36</v>
      </c>
      <c r="O69" s="120">
        <f>VLOOKUP(A69,'תפוקה חודשית מול אשתקד'!A:K,11,0)</f>
        <v>0</v>
      </c>
    </row>
    <row r="70" ht="15.75" customHeight="1">
      <c r="A70" s="98" t="s">
        <v>123</v>
      </c>
      <c r="B70" s="98" t="s">
        <v>23</v>
      </c>
      <c r="C70" s="98" t="s">
        <v>121</v>
      </c>
      <c r="D70" s="88">
        <f t="shared" ref="D70:G70" si="72">IF(L70=0,0%,IF(H70=0,100%,L70/H70-1))</f>
        <v>1</v>
      </c>
      <c r="E70" s="88">
        <f t="shared" si="72"/>
        <v>1</v>
      </c>
      <c r="F70" s="88">
        <f t="shared" si="72"/>
        <v>1</v>
      </c>
      <c r="G70" s="88">
        <f t="shared" si="72"/>
        <v>1</v>
      </c>
      <c r="H70" s="121">
        <v>0.0</v>
      </c>
      <c r="I70" s="121">
        <v>0.0</v>
      </c>
      <c r="J70" s="121">
        <v>0.0</v>
      </c>
      <c r="K70" s="121">
        <v>0.0</v>
      </c>
      <c r="L70" s="120">
        <f>VLOOKUP(A70,'תפוקה חודשית מול אשתקד'!A:K,8,0)</f>
        <v>19757.03062</v>
      </c>
      <c r="M70" s="120">
        <f>VLOOKUP(A70,'תפוקה חודשית מול אשתקד'!A:K,9,0)</f>
        <v>183.96</v>
      </c>
      <c r="N70" s="120">
        <f>VLOOKUP(A70,'תפוקה חודשית מול אשתקד'!A:K,10,0)</f>
        <v>-0.37</v>
      </c>
      <c r="O70" s="120">
        <f>VLOOKUP(A70,'תפוקה חודשית מול אשתקד'!A:K,11,0)</f>
        <v>-4450.68</v>
      </c>
    </row>
    <row r="71" ht="15.75" customHeight="1">
      <c r="A71" s="98" t="s">
        <v>124</v>
      </c>
      <c r="B71" s="98" t="s">
        <v>23</v>
      </c>
      <c r="C71" s="98" t="s">
        <v>121</v>
      </c>
      <c r="D71" s="88">
        <f t="shared" ref="D71:G71" si="73">IF(L71=0,0%,IF(H71=0,100%,L71/H71-1))</f>
        <v>0</v>
      </c>
      <c r="E71" s="88">
        <f t="shared" si="73"/>
        <v>0.03343623529</v>
      </c>
      <c r="F71" s="88">
        <f t="shared" si="73"/>
        <v>0</v>
      </c>
      <c r="G71" s="88">
        <f t="shared" si="73"/>
        <v>0</v>
      </c>
      <c r="H71" s="121">
        <v>17000.0</v>
      </c>
      <c r="I71" s="121">
        <v>8500.0</v>
      </c>
      <c r="J71" s="121">
        <v>40000.0</v>
      </c>
      <c r="K71" s="121">
        <v>48000.0</v>
      </c>
      <c r="L71" s="120">
        <f>VLOOKUP(A71,'תפוקה חודשית מול אשתקד'!A:K,8,0)</f>
        <v>0</v>
      </c>
      <c r="M71" s="120">
        <f>VLOOKUP(A71,'תפוקה חודשית מול אשתקד'!A:K,9,0)</f>
        <v>8784.208</v>
      </c>
      <c r="N71" s="120">
        <f>VLOOKUP(A71,'תפוקה חודשית מול אשתקד'!A:K,10,0)</f>
        <v>0</v>
      </c>
      <c r="O71" s="120">
        <f>VLOOKUP(A71,'תפוקה חודשית מול אשתקד'!A:K,11,0)</f>
        <v>0</v>
      </c>
    </row>
    <row r="72" ht="15.75" customHeight="1">
      <c r="A72" s="98" t="s">
        <v>125</v>
      </c>
      <c r="B72" s="98" t="s">
        <v>23</v>
      </c>
      <c r="C72" s="98" t="s">
        <v>121</v>
      </c>
      <c r="D72" s="88">
        <f t="shared" ref="D72:G72" si="74">IF(L72=0,0%,IF(H72=0,100%,L72/H72-1))</f>
        <v>0.9687739526</v>
      </c>
      <c r="E72" s="88">
        <f t="shared" si="74"/>
        <v>0.03154912988</v>
      </c>
      <c r="F72" s="88">
        <f t="shared" si="74"/>
        <v>1.748309516</v>
      </c>
      <c r="G72" s="88">
        <f t="shared" si="74"/>
        <v>2.870678354</v>
      </c>
      <c r="H72" s="121">
        <v>85000.0</v>
      </c>
      <c r="I72" s="121">
        <v>12750.000000000002</v>
      </c>
      <c r="J72" s="121">
        <v>640000.0</v>
      </c>
      <c r="K72" s="121">
        <v>480000.0</v>
      </c>
      <c r="L72" s="120">
        <f>VLOOKUP(A72,'תפוקה חודשית מול אשתקד'!A:K,8,0)</f>
        <v>167345.786</v>
      </c>
      <c r="M72" s="120">
        <f>VLOOKUP(A72,'תפוקה חודשית מול אשתקד'!A:K,9,0)</f>
        <v>13152.25141</v>
      </c>
      <c r="N72" s="120">
        <f>VLOOKUP(A72,'תפוקה חודשית מול אשתקד'!A:K,10,0)</f>
        <v>1758918.09</v>
      </c>
      <c r="O72" s="120">
        <f>VLOOKUP(A72,'תפוקה חודשית מול אשתקד'!A:K,11,0)</f>
        <v>1857925.61</v>
      </c>
    </row>
    <row r="73" ht="15.75" customHeight="1">
      <c r="A73" s="138" t="s">
        <v>126</v>
      </c>
      <c r="B73" s="98" t="s">
        <v>23</v>
      </c>
      <c r="C73" s="98" t="s">
        <v>121</v>
      </c>
      <c r="D73" s="88">
        <f t="shared" ref="D73:G73" si="75">IF(L73=0,0%,IF(H73=0,100%,L73/H73-1))</f>
        <v>0.553455518</v>
      </c>
      <c r="E73" s="88">
        <f t="shared" si="75"/>
        <v>0.1916275987</v>
      </c>
      <c r="F73" s="88">
        <f t="shared" si="75"/>
        <v>0.5098185813</v>
      </c>
      <c r="G73" s="88">
        <f t="shared" si="75"/>
        <v>1.844056542</v>
      </c>
      <c r="H73" s="121">
        <v>255000.00000000003</v>
      </c>
      <c r="I73" s="121">
        <v>21250.0</v>
      </c>
      <c r="J73" s="121">
        <v>1600000.0</v>
      </c>
      <c r="K73" s="121">
        <v>480000.0</v>
      </c>
      <c r="L73" s="120">
        <f>VLOOKUP(A73,'תפוקה חודשית מול אשתקד'!A:K,8,0)</f>
        <v>396131.1571</v>
      </c>
      <c r="M73" s="120">
        <f>VLOOKUP(A73,'תפוקה חודשית מול אשתקד'!A:K,9,0)</f>
        <v>25322.08647</v>
      </c>
      <c r="N73" s="120">
        <f>VLOOKUP(A73,'תפוקה חודשית מול אשתקד'!A:K,10,0)</f>
        <v>2415709.73</v>
      </c>
      <c r="O73" s="120">
        <f>VLOOKUP(A73,'תפוקה חודשית מול אשתקד'!A:K,11,0)</f>
        <v>1365147.14</v>
      </c>
    </row>
    <row r="74" ht="15.75" customHeight="1">
      <c r="A74" s="98" t="s">
        <v>127</v>
      </c>
      <c r="B74" s="98" t="s">
        <v>23</v>
      </c>
      <c r="C74" s="98" t="s">
        <v>121</v>
      </c>
      <c r="D74" s="88">
        <f t="shared" ref="D74:G74" si="76">IF(L74=0,0%,IF(H74=0,100%,L74/H74-1))</f>
        <v>-1.021785412</v>
      </c>
      <c r="E74" s="88">
        <f t="shared" si="76"/>
        <v>-0.3923480784</v>
      </c>
      <c r="F74" s="88">
        <f t="shared" si="76"/>
        <v>0</v>
      </c>
      <c r="G74" s="88">
        <f t="shared" si="76"/>
        <v>0</v>
      </c>
      <c r="H74" s="121">
        <v>42500.0</v>
      </c>
      <c r="I74" s="121">
        <v>12750.000000000002</v>
      </c>
      <c r="J74" s="121">
        <v>80000.0</v>
      </c>
      <c r="K74" s="121">
        <v>160000.0</v>
      </c>
      <c r="L74" s="120">
        <f>VLOOKUP(A74,'תפוקה חודשית מול אשתקד'!A:K,8,0)</f>
        <v>-925.88</v>
      </c>
      <c r="M74" s="120">
        <f>VLOOKUP(A74,'תפוקה חודשית מול אשתקד'!A:K,9,0)</f>
        <v>7747.562</v>
      </c>
      <c r="N74" s="120">
        <f>VLOOKUP(A74,'תפוקה חודשית מול אשתקד'!A:K,10,0)</f>
        <v>0</v>
      </c>
      <c r="O74" s="120">
        <f>VLOOKUP(A74,'תפוקה חודשית מול אשתקד'!A:K,11,0)</f>
        <v>0</v>
      </c>
    </row>
    <row r="75" ht="15.75" customHeight="1">
      <c r="A75" s="151" t="s">
        <v>128</v>
      </c>
      <c r="B75" s="153"/>
      <c r="C75" s="173"/>
      <c r="D75" s="88">
        <f t="shared" ref="D75:G75" si="77">IF(L75=0,0%,IF(H75=0,100%,L75/H75-1))</f>
        <v>0.07954615671</v>
      </c>
      <c r="E75" s="88">
        <f t="shared" si="77"/>
        <v>-0.02487064176</v>
      </c>
      <c r="F75" s="88">
        <f t="shared" si="77"/>
        <v>0.4469985286</v>
      </c>
      <c r="G75" s="88">
        <f t="shared" si="77"/>
        <v>1.315795522</v>
      </c>
      <c r="H75" s="174">
        <f t="shared" ref="H75:O75" si="78">SUM(H67:H74)</f>
        <v>739500</v>
      </c>
      <c r="I75" s="174">
        <f t="shared" si="78"/>
        <v>119000</v>
      </c>
      <c r="J75" s="174">
        <f t="shared" si="78"/>
        <v>3960000</v>
      </c>
      <c r="K75" s="174">
        <f t="shared" si="78"/>
        <v>2048000</v>
      </c>
      <c r="L75" s="174">
        <f t="shared" si="78"/>
        <v>798324.3829</v>
      </c>
      <c r="M75" s="174">
        <f t="shared" si="78"/>
        <v>116040.3936</v>
      </c>
      <c r="N75" s="174">
        <f t="shared" si="78"/>
        <v>5730114.173</v>
      </c>
      <c r="O75" s="174">
        <f t="shared" si="78"/>
        <v>4742749.23</v>
      </c>
    </row>
    <row r="76" ht="15.75" customHeight="1">
      <c r="A76" s="151" t="s">
        <v>129</v>
      </c>
      <c r="B76" s="153"/>
      <c r="C76" s="173"/>
      <c r="D76" s="88">
        <f t="shared" ref="D76:G76" si="79">IF(L76=0,0%,IF(H76=0,100%,L76/H76-1))</f>
        <v>-0.3167998463</v>
      </c>
      <c r="E76" s="88">
        <f t="shared" si="79"/>
        <v>-0.4544455044</v>
      </c>
      <c r="F76" s="88">
        <f t="shared" si="79"/>
        <v>-0.1773239264</v>
      </c>
      <c r="G76" s="88">
        <f t="shared" si="79"/>
        <v>-0.4239027498</v>
      </c>
      <c r="H76" s="174">
        <f t="shared" ref="H76:O76" si="80">H75+H66+H56+H22+H8</f>
        <v>4679250</v>
      </c>
      <c r="I76" s="174">
        <f t="shared" si="80"/>
        <v>788800</v>
      </c>
      <c r="J76" s="174">
        <f t="shared" si="80"/>
        <v>18160000</v>
      </c>
      <c r="K76" s="174">
        <f t="shared" si="80"/>
        <v>17672000</v>
      </c>
      <c r="L76" s="174">
        <f t="shared" si="80"/>
        <v>3196864.319</v>
      </c>
      <c r="M76" s="174">
        <f t="shared" si="80"/>
        <v>430333.3861</v>
      </c>
      <c r="N76" s="174">
        <f t="shared" si="80"/>
        <v>14939797.5</v>
      </c>
      <c r="O76" s="174">
        <f t="shared" si="80"/>
        <v>10180790.61</v>
      </c>
    </row>
    <row r="77" ht="15.75" customHeight="1">
      <c r="A77" s="164"/>
      <c r="B77" s="164"/>
      <c r="C77" s="164"/>
      <c r="D77" s="119"/>
      <c r="E77" s="119"/>
      <c r="F77" s="119"/>
      <c r="G77" s="119"/>
      <c r="H77" s="119"/>
      <c r="I77" s="119"/>
      <c r="J77" s="119"/>
      <c r="K77" s="119"/>
      <c r="L77" s="141"/>
      <c r="M77" s="141"/>
      <c r="N77" s="141"/>
      <c r="O77" s="141"/>
    </row>
    <row r="78" ht="15.75" customHeight="1">
      <c r="A78" s="164"/>
      <c r="B78" s="164"/>
      <c r="C78" s="164"/>
      <c r="D78" s="113"/>
      <c r="E78" s="113"/>
      <c r="F78" s="113"/>
      <c r="G78" s="113"/>
      <c r="H78" s="113"/>
      <c r="I78" s="119"/>
      <c r="J78" s="119"/>
      <c r="K78" s="141"/>
    </row>
    <row r="79" ht="15.75" customHeight="1">
      <c r="A79" s="164"/>
      <c r="B79" s="113"/>
      <c r="C79" s="113"/>
      <c r="D79" s="113"/>
      <c r="E79" s="113"/>
      <c r="F79" s="113"/>
      <c r="G79" s="113"/>
      <c r="H79" s="119"/>
      <c r="I79" s="119"/>
      <c r="J79" s="119"/>
      <c r="K79" s="119"/>
    </row>
    <row r="80" ht="15.75" customHeight="1">
      <c r="A80" s="164"/>
      <c r="B80" s="113"/>
      <c r="C80" s="113"/>
      <c r="D80" s="113"/>
      <c r="E80" s="113"/>
      <c r="F80" s="113"/>
      <c r="G80" s="113"/>
      <c r="H80" s="119"/>
      <c r="I80" s="113"/>
      <c r="J80" s="113"/>
    </row>
    <row r="81" ht="15.75" customHeight="1">
      <c r="A81" s="164"/>
      <c r="B81" s="164"/>
      <c r="C81" s="164"/>
      <c r="D81" s="113"/>
      <c r="E81" s="113"/>
      <c r="F81" s="113"/>
      <c r="G81" s="113"/>
      <c r="H81" s="119"/>
      <c r="I81" s="119"/>
      <c r="J81" s="119"/>
    </row>
    <row r="82" ht="15.75" customHeight="1">
      <c r="A82" s="164"/>
      <c r="B82" s="164"/>
      <c r="C82" s="164"/>
      <c r="D82" s="113"/>
      <c r="E82" s="113"/>
      <c r="F82" s="113"/>
      <c r="G82" s="113"/>
      <c r="H82" s="113"/>
      <c r="I82" s="113"/>
      <c r="J82" s="113"/>
      <c r="L82" s="141"/>
      <c r="M82" s="141"/>
      <c r="N82" s="141"/>
      <c r="O82" s="141"/>
    </row>
    <row r="83" ht="15.75" customHeight="1">
      <c r="A83" s="164"/>
      <c r="B83" s="164"/>
      <c r="C83" s="164"/>
      <c r="D83" s="113"/>
      <c r="E83" s="113"/>
      <c r="F83" s="113"/>
      <c r="G83" s="113"/>
      <c r="H83" s="113"/>
      <c r="I83" s="113"/>
      <c r="J83" s="113"/>
    </row>
    <row r="84" ht="15.75" customHeight="1">
      <c r="A84" s="164"/>
      <c r="B84" s="164"/>
      <c r="C84" s="164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</row>
    <row r="85" ht="15.75" customHeight="1">
      <c r="A85" s="164"/>
      <c r="B85" s="164"/>
      <c r="C85" s="164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</row>
    <row r="86" ht="15.75" customHeight="1">
      <c r="A86" s="164"/>
      <c r="B86" s="164"/>
      <c r="C86" s="164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</row>
    <row r="87" ht="15.75" customHeight="1">
      <c r="A87" s="164"/>
      <c r="B87" s="164"/>
      <c r="C87" s="164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</row>
    <row r="88" ht="15.75" customHeight="1">
      <c r="A88" s="164"/>
      <c r="B88" s="164"/>
      <c r="C88" s="164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</row>
    <row r="89" ht="15.75" customHeight="1">
      <c r="A89" s="164"/>
      <c r="B89" s="164"/>
      <c r="C89" s="164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</row>
    <row r="90" ht="15.75" customHeight="1">
      <c r="A90" s="164"/>
      <c r="B90" s="164"/>
      <c r="C90" s="164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</row>
    <row r="91" ht="15.75" customHeight="1">
      <c r="A91" s="164"/>
      <c r="B91" s="164"/>
      <c r="C91" s="164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</row>
    <row r="92" ht="15.75" customHeight="1">
      <c r="A92" s="164"/>
      <c r="B92" s="164"/>
      <c r="C92" s="164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</row>
    <row r="93" ht="15.75" customHeight="1">
      <c r="A93" s="164"/>
      <c r="B93" s="164"/>
      <c r="C93" s="164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</row>
    <row r="94" ht="15.75" customHeight="1">
      <c r="A94" s="164"/>
      <c r="B94" s="164"/>
      <c r="C94" s="164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</row>
    <row r="95" ht="15.75" customHeight="1">
      <c r="A95" s="164"/>
      <c r="B95" s="164"/>
      <c r="C95" s="164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</row>
    <row r="96" ht="15.75" customHeight="1">
      <c r="A96" s="164"/>
      <c r="B96" s="164"/>
      <c r="C96" s="164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</row>
    <row r="97" ht="15.75" customHeight="1">
      <c r="A97" s="164"/>
      <c r="B97" s="164"/>
      <c r="C97" s="164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</row>
    <row r="98" ht="15.75" customHeight="1">
      <c r="A98" s="164"/>
      <c r="B98" s="164"/>
      <c r="C98" s="164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</row>
    <row r="99" ht="15.75" customHeight="1">
      <c r="A99" s="164"/>
      <c r="B99" s="164"/>
      <c r="C99" s="164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</row>
    <row r="100" ht="15.75" customHeight="1">
      <c r="A100" s="164"/>
      <c r="B100" s="164"/>
      <c r="C100" s="164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</row>
    <row r="101" ht="15.75" customHeight="1">
      <c r="A101" s="164"/>
      <c r="B101" s="164"/>
      <c r="C101" s="164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</row>
    <row r="102" ht="15.75" customHeight="1">
      <c r="A102" s="164"/>
      <c r="B102" s="164"/>
      <c r="C102" s="164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</row>
    <row r="103" ht="15.75" customHeight="1">
      <c r="A103" s="164"/>
      <c r="B103" s="164"/>
      <c r="C103" s="164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</row>
    <row r="104" ht="15.75" customHeight="1">
      <c r="A104" s="164"/>
      <c r="B104" s="164"/>
      <c r="C104" s="164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</row>
    <row r="105" ht="15.75" customHeight="1">
      <c r="A105" s="164"/>
      <c r="B105" s="164"/>
      <c r="C105" s="164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</row>
    <row r="106" ht="15.75" customHeight="1">
      <c r="A106" s="164"/>
      <c r="B106" s="164"/>
      <c r="C106" s="164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</row>
    <row r="107" ht="15.75" customHeight="1">
      <c r="A107" s="164"/>
      <c r="B107" s="164"/>
      <c r="C107" s="164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</row>
    <row r="108" ht="15.75" customHeight="1">
      <c r="A108" s="164"/>
      <c r="B108" s="164"/>
      <c r="C108" s="164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</row>
    <row r="109" ht="15.75" customHeight="1">
      <c r="A109" s="164"/>
      <c r="B109" s="164"/>
      <c r="C109" s="164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</row>
    <row r="110" ht="15.75" customHeight="1">
      <c r="A110" s="164"/>
      <c r="B110" s="164"/>
      <c r="C110" s="164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</row>
    <row r="111" ht="15.75" customHeight="1">
      <c r="A111" s="164"/>
      <c r="B111" s="164"/>
      <c r="C111" s="164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</row>
    <row r="112" ht="15.75" customHeight="1">
      <c r="A112" s="164"/>
      <c r="B112" s="164"/>
      <c r="C112" s="164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</row>
    <row r="113" ht="15.75" customHeight="1">
      <c r="A113" s="164"/>
      <c r="B113" s="164"/>
      <c r="C113" s="164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</row>
    <row r="114" ht="15.75" customHeight="1">
      <c r="A114" s="164"/>
      <c r="B114" s="164"/>
      <c r="C114" s="164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</row>
    <row r="115" ht="15.75" customHeight="1">
      <c r="A115" s="164"/>
      <c r="B115" s="164"/>
      <c r="C115" s="164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</row>
    <row r="116" ht="15.75" customHeight="1">
      <c r="A116" s="164"/>
      <c r="B116" s="164"/>
      <c r="C116" s="164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</row>
    <row r="117" ht="15.75" customHeight="1">
      <c r="A117" s="164"/>
      <c r="B117" s="164"/>
      <c r="C117" s="164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</row>
    <row r="118" ht="15.75" customHeight="1">
      <c r="A118" s="164"/>
      <c r="B118" s="164"/>
      <c r="C118" s="164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</row>
    <row r="119" ht="15.75" customHeight="1">
      <c r="A119" s="164"/>
      <c r="B119" s="164"/>
      <c r="C119" s="164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</row>
    <row r="120" ht="15.75" customHeight="1">
      <c r="A120" s="164"/>
      <c r="B120" s="164"/>
      <c r="C120" s="164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</row>
    <row r="121" ht="15.75" customHeight="1">
      <c r="A121" s="164"/>
      <c r="B121" s="164"/>
      <c r="C121" s="164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</row>
    <row r="122" ht="15.75" customHeight="1">
      <c r="A122" s="164"/>
      <c r="B122" s="164"/>
      <c r="C122" s="164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</row>
    <row r="123" ht="15.75" customHeight="1">
      <c r="A123" s="164"/>
      <c r="B123" s="164"/>
      <c r="C123" s="164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</row>
    <row r="124" ht="15.75" customHeight="1">
      <c r="A124" s="164"/>
      <c r="B124" s="164"/>
      <c r="C124" s="164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</row>
    <row r="125" ht="15.75" customHeight="1">
      <c r="A125" s="164"/>
      <c r="B125" s="164"/>
      <c r="C125" s="164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</row>
    <row r="126" ht="15.75" customHeight="1">
      <c r="A126" s="164"/>
      <c r="B126" s="164"/>
      <c r="C126" s="164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</row>
    <row r="127" ht="15.75" customHeight="1">
      <c r="A127" s="164"/>
      <c r="B127" s="164"/>
      <c r="C127" s="164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</row>
    <row r="128" ht="15.75" customHeight="1">
      <c r="A128" s="164"/>
      <c r="B128" s="164"/>
      <c r="C128" s="164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</row>
    <row r="129" ht="15.75" customHeight="1">
      <c r="A129" s="164"/>
      <c r="B129" s="164"/>
      <c r="C129" s="164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</row>
    <row r="130" ht="15.75" customHeight="1">
      <c r="A130" s="164"/>
      <c r="B130" s="164"/>
      <c r="C130" s="164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</row>
    <row r="131" ht="15.75" customHeight="1">
      <c r="A131" s="164"/>
      <c r="B131" s="164"/>
      <c r="C131" s="164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</row>
    <row r="132" ht="15.75" customHeight="1">
      <c r="A132" s="164"/>
      <c r="B132" s="164"/>
      <c r="C132" s="164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</row>
    <row r="133" ht="15.75" customHeight="1">
      <c r="A133" s="164"/>
      <c r="B133" s="164"/>
      <c r="C133" s="164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</row>
    <row r="134" ht="15.75" customHeight="1">
      <c r="A134" s="164"/>
      <c r="B134" s="164"/>
      <c r="C134" s="164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</row>
    <row r="135" ht="15.75" customHeight="1">
      <c r="A135" s="164"/>
      <c r="B135" s="164"/>
      <c r="C135" s="164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</row>
    <row r="136" ht="15.75" customHeight="1">
      <c r="A136" s="164"/>
      <c r="B136" s="164"/>
      <c r="C136" s="164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</row>
    <row r="137" ht="15.75" customHeight="1">
      <c r="A137" s="164"/>
      <c r="B137" s="164"/>
      <c r="C137" s="164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</row>
    <row r="138" ht="15.75" customHeight="1">
      <c r="A138" s="164"/>
      <c r="B138" s="164"/>
      <c r="C138" s="164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</row>
    <row r="139" ht="15.75" customHeight="1">
      <c r="A139" s="164"/>
      <c r="B139" s="164"/>
      <c r="C139" s="164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</row>
    <row r="140" ht="15.75" customHeight="1">
      <c r="A140" s="164"/>
      <c r="B140" s="164"/>
      <c r="C140" s="164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</row>
    <row r="141" ht="15.75" customHeight="1">
      <c r="A141" s="164"/>
      <c r="B141" s="164"/>
      <c r="C141" s="164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</row>
    <row r="142" ht="15.75" customHeight="1">
      <c r="A142" s="164"/>
      <c r="B142" s="164"/>
      <c r="C142" s="164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</row>
    <row r="143" ht="15.75" customHeight="1">
      <c r="A143" s="164"/>
      <c r="B143" s="164"/>
      <c r="C143" s="164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</row>
    <row r="144" ht="15.75" customHeight="1">
      <c r="A144" s="164"/>
      <c r="B144" s="164"/>
      <c r="C144" s="164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</row>
    <row r="145" ht="15.75" customHeight="1">
      <c r="A145" s="164"/>
      <c r="B145" s="164"/>
      <c r="C145" s="164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</row>
    <row r="146" ht="15.75" customHeight="1">
      <c r="A146" s="164"/>
      <c r="B146" s="164"/>
      <c r="C146" s="164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</row>
    <row r="147" ht="15.75" customHeight="1">
      <c r="A147" s="164"/>
      <c r="B147" s="164"/>
      <c r="C147" s="164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</row>
    <row r="148" ht="15.75" customHeight="1">
      <c r="A148" s="164"/>
      <c r="B148" s="164"/>
      <c r="C148" s="164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</row>
    <row r="149" ht="15.75" customHeight="1">
      <c r="A149" s="164"/>
      <c r="B149" s="164"/>
      <c r="C149" s="164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</row>
    <row r="150" ht="15.75" customHeight="1">
      <c r="A150" s="164"/>
      <c r="B150" s="164"/>
      <c r="C150" s="164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</row>
    <row r="151" ht="15.75" customHeight="1">
      <c r="A151" s="164"/>
      <c r="B151" s="164"/>
      <c r="C151" s="164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</row>
    <row r="152" ht="15.75" customHeight="1">
      <c r="A152" s="164"/>
      <c r="B152" s="164"/>
      <c r="C152" s="164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</row>
    <row r="153" ht="15.75" customHeight="1">
      <c r="A153" s="164"/>
      <c r="B153" s="164"/>
      <c r="C153" s="164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</row>
    <row r="154" ht="15.75" customHeight="1">
      <c r="A154" s="164"/>
      <c r="B154" s="164"/>
      <c r="C154" s="164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</row>
    <row r="155" ht="15.75" customHeight="1">
      <c r="A155" s="164"/>
      <c r="B155" s="164"/>
      <c r="C155" s="164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</row>
    <row r="156" ht="15.75" customHeight="1">
      <c r="A156" s="164"/>
      <c r="B156" s="164"/>
      <c r="C156" s="164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</row>
    <row r="157" ht="15.75" customHeight="1">
      <c r="A157" s="164"/>
      <c r="B157" s="164"/>
      <c r="C157" s="164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</row>
    <row r="158" ht="15.75" customHeight="1">
      <c r="A158" s="164"/>
      <c r="B158" s="164"/>
      <c r="C158" s="164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</row>
    <row r="159" ht="15.75" customHeight="1">
      <c r="A159" s="164"/>
      <c r="B159" s="164"/>
      <c r="C159" s="164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</row>
    <row r="160" ht="15.75" customHeight="1">
      <c r="A160" s="164"/>
      <c r="B160" s="164"/>
      <c r="C160" s="164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</row>
    <row r="161" ht="15.75" customHeight="1">
      <c r="A161" s="164"/>
      <c r="B161" s="164"/>
      <c r="C161" s="164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</row>
    <row r="162" ht="15.75" customHeight="1">
      <c r="A162" s="164"/>
      <c r="B162" s="164"/>
      <c r="C162" s="164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</row>
    <row r="163" ht="15.75" customHeight="1">
      <c r="A163" s="164"/>
      <c r="B163" s="164"/>
      <c r="C163" s="164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</row>
    <row r="164" ht="15.75" customHeight="1">
      <c r="A164" s="164"/>
      <c r="B164" s="164"/>
      <c r="C164" s="164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</row>
    <row r="165" ht="15.75" customHeight="1">
      <c r="A165" s="164"/>
      <c r="B165" s="164"/>
      <c r="C165" s="164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</row>
    <row r="166" ht="15.75" customHeight="1">
      <c r="A166" s="164"/>
      <c r="B166" s="164"/>
      <c r="C166" s="164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</row>
    <row r="167" ht="15.75" customHeight="1">
      <c r="A167" s="164"/>
      <c r="B167" s="164"/>
      <c r="C167" s="164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</row>
    <row r="168" ht="15.75" customHeight="1">
      <c r="A168" s="164"/>
      <c r="B168" s="164"/>
      <c r="C168" s="164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</row>
    <row r="169" ht="15.75" customHeight="1">
      <c r="A169" s="164"/>
      <c r="B169" s="164"/>
      <c r="C169" s="164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</row>
    <row r="170" ht="15.75" customHeight="1">
      <c r="A170" s="164"/>
      <c r="B170" s="164"/>
      <c r="C170" s="164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</row>
    <row r="171" ht="15.75" customHeight="1">
      <c r="A171" s="164"/>
      <c r="B171" s="164"/>
      <c r="C171" s="164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</row>
    <row r="172" ht="15.75" customHeight="1">
      <c r="A172" s="164"/>
      <c r="B172" s="164"/>
      <c r="C172" s="164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</row>
    <row r="173" ht="15.75" customHeight="1">
      <c r="A173" s="164"/>
      <c r="B173" s="164"/>
      <c r="C173" s="164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</row>
    <row r="174" ht="15.75" customHeight="1">
      <c r="A174" s="164"/>
      <c r="B174" s="164"/>
      <c r="C174" s="164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</row>
    <row r="175" ht="15.75" customHeight="1">
      <c r="A175" s="164"/>
      <c r="B175" s="164"/>
      <c r="C175" s="164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</row>
    <row r="176" ht="15.75" customHeight="1">
      <c r="A176" s="164"/>
      <c r="B176" s="164"/>
      <c r="C176" s="164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</row>
    <row r="177" ht="15.75" customHeight="1">
      <c r="A177" s="164"/>
      <c r="B177" s="164"/>
      <c r="C177" s="164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</row>
    <row r="178" ht="15.75" customHeight="1">
      <c r="A178" s="164"/>
      <c r="B178" s="164"/>
      <c r="C178" s="164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</row>
    <row r="179" ht="15.75" customHeight="1">
      <c r="A179" s="164"/>
      <c r="B179" s="164"/>
      <c r="C179" s="164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</row>
    <row r="180" ht="15.75" customHeight="1">
      <c r="A180" s="164"/>
      <c r="B180" s="164"/>
      <c r="C180" s="164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</row>
    <row r="181" ht="15.75" customHeight="1">
      <c r="A181" s="164"/>
      <c r="B181" s="164"/>
      <c r="C181" s="164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</row>
    <row r="182" ht="15.75" customHeight="1">
      <c r="A182" s="164"/>
      <c r="B182" s="164"/>
      <c r="C182" s="164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</row>
    <row r="183" ht="15.75" customHeight="1">
      <c r="A183" s="164"/>
      <c r="B183" s="164"/>
      <c r="C183" s="164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</row>
    <row r="184" ht="15.75" customHeight="1">
      <c r="A184" s="164"/>
      <c r="B184" s="164"/>
      <c r="C184" s="164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</row>
    <row r="185" ht="15.75" customHeight="1">
      <c r="A185" s="164"/>
      <c r="B185" s="164"/>
      <c r="C185" s="164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</row>
    <row r="186" ht="15.75" customHeight="1">
      <c r="A186" s="164"/>
      <c r="B186" s="164"/>
      <c r="C186" s="164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</row>
    <row r="187" ht="15.75" customHeight="1">
      <c r="A187" s="164"/>
      <c r="B187" s="164"/>
      <c r="C187" s="164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</row>
    <row r="188" ht="15.75" customHeight="1">
      <c r="A188" s="164"/>
      <c r="B188" s="164"/>
      <c r="C188" s="164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</row>
    <row r="189" ht="15.75" customHeight="1">
      <c r="A189" s="164"/>
      <c r="B189" s="164"/>
      <c r="C189" s="164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</row>
    <row r="190" ht="15.75" customHeight="1">
      <c r="A190" s="164"/>
      <c r="B190" s="164"/>
      <c r="C190" s="164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</row>
    <row r="191" ht="15.75" customHeight="1">
      <c r="A191" s="164"/>
      <c r="B191" s="164"/>
      <c r="C191" s="164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</row>
    <row r="192" ht="15.75" customHeight="1">
      <c r="A192" s="164"/>
      <c r="B192" s="164"/>
      <c r="C192" s="164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</row>
    <row r="193" ht="15.75" customHeight="1">
      <c r="A193" s="164"/>
      <c r="B193" s="164"/>
      <c r="C193" s="164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</row>
    <row r="194" ht="15.75" customHeight="1">
      <c r="A194" s="164"/>
      <c r="B194" s="164"/>
      <c r="C194" s="164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</row>
    <row r="195" ht="15.75" customHeight="1">
      <c r="A195" s="164"/>
      <c r="B195" s="164"/>
      <c r="C195" s="164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</row>
    <row r="196" ht="15.75" customHeight="1">
      <c r="A196" s="164"/>
      <c r="B196" s="164"/>
      <c r="C196" s="164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</row>
    <row r="197" ht="15.75" customHeight="1">
      <c r="A197" s="164"/>
      <c r="B197" s="164"/>
      <c r="C197" s="164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</row>
    <row r="198" ht="15.75" customHeight="1">
      <c r="A198" s="164"/>
      <c r="B198" s="164"/>
      <c r="C198" s="164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</row>
    <row r="199" ht="15.75" customHeight="1">
      <c r="A199" s="164"/>
      <c r="B199" s="164"/>
      <c r="C199" s="164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</row>
    <row r="200" ht="15.75" customHeight="1">
      <c r="A200" s="164"/>
      <c r="B200" s="164"/>
      <c r="C200" s="164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</row>
    <row r="201" ht="15.75" customHeight="1">
      <c r="A201" s="164"/>
      <c r="B201" s="164"/>
      <c r="C201" s="164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</row>
    <row r="202" ht="15.75" customHeight="1">
      <c r="A202" s="164"/>
      <c r="B202" s="164"/>
      <c r="C202" s="164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</row>
    <row r="203" ht="15.75" customHeight="1">
      <c r="A203" s="164"/>
      <c r="B203" s="164"/>
      <c r="C203" s="164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</row>
    <row r="204" ht="15.75" customHeight="1">
      <c r="A204" s="164"/>
      <c r="B204" s="164"/>
      <c r="C204" s="164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</row>
    <row r="205" ht="15.75" customHeight="1">
      <c r="A205" s="164"/>
      <c r="B205" s="164"/>
      <c r="C205" s="164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</row>
    <row r="206" ht="15.75" customHeight="1">
      <c r="A206" s="164"/>
      <c r="B206" s="164"/>
      <c r="C206" s="164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</row>
    <row r="207" ht="15.75" customHeight="1">
      <c r="A207" s="164"/>
      <c r="B207" s="164"/>
      <c r="C207" s="164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</row>
    <row r="208" ht="15.75" customHeight="1">
      <c r="A208" s="164"/>
      <c r="B208" s="164"/>
      <c r="C208" s="164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</row>
    <row r="209" ht="15.75" customHeight="1">
      <c r="A209" s="164"/>
      <c r="B209" s="164"/>
      <c r="C209" s="164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</row>
    <row r="210" ht="15.75" customHeight="1">
      <c r="A210" s="164"/>
      <c r="B210" s="164"/>
      <c r="C210" s="164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</row>
    <row r="211" ht="15.75" customHeight="1">
      <c r="A211" s="164"/>
      <c r="B211" s="164"/>
      <c r="C211" s="164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</row>
    <row r="212" ht="15.75" customHeight="1">
      <c r="A212" s="164"/>
      <c r="B212" s="164"/>
      <c r="C212" s="164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</row>
    <row r="213" ht="15.75" customHeight="1">
      <c r="A213" s="164"/>
      <c r="B213" s="164"/>
      <c r="C213" s="164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</row>
    <row r="214" ht="15.75" customHeight="1">
      <c r="A214" s="164"/>
      <c r="B214" s="164"/>
      <c r="C214" s="164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</row>
    <row r="215" ht="15.75" customHeight="1">
      <c r="A215" s="164"/>
      <c r="B215" s="164"/>
      <c r="C215" s="164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</row>
    <row r="216" ht="15.75" customHeight="1">
      <c r="A216" s="164"/>
      <c r="B216" s="164"/>
      <c r="C216" s="164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</row>
    <row r="217" ht="15.75" customHeight="1">
      <c r="A217" s="164"/>
      <c r="B217" s="164"/>
      <c r="C217" s="164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</row>
    <row r="218" ht="15.75" customHeight="1">
      <c r="A218" s="164"/>
      <c r="B218" s="164"/>
      <c r="C218" s="164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</row>
    <row r="219" ht="15.75" customHeight="1">
      <c r="A219" s="164"/>
      <c r="B219" s="164"/>
      <c r="C219" s="164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</row>
    <row r="220" ht="15.75" customHeight="1">
      <c r="A220" s="164"/>
      <c r="B220" s="164"/>
      <c r="C220" s="164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</row>
    <row r="221" ht="15.75" customHeight="1">
      <c r="A221" s="164"/>
      <c r="B221" s="164"/>
      <c r="C221" s="164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</row>
    <row r="222" ht="15.75" customHeight="1">
      <c r="A222" s="164"/>
      <c r="B222" s="164"/>
      <c r="C222" s="164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</row>
    <row r="223" ht="15.75" customHeight="1">
      <c r="A223" s="164"/>
      <c r="B223" s="164"/>
      <c r="C223" s="164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</row>
    <row r="224" ht="15.75" customHeight="1">
      <c r="A224" s="164"/>
      <c r="B224" s="164"/>
      <c r="C224" s="164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</row>
    <row r="225" ht="15.75" customHeight="1">
      <c r="A225" s="164"/>
      <c r="B225" s="164"/>
      <c r="C225" s="164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</row>
    <row r="226" ht="15.75" customHeight="1">
      <c r="A226" s="164"/>
      <c r="B226" s="164"/>
      <c r="C226" s="164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</row>
    <row r="227" ht="15.75" customHeight="1">
      <c r="A227" s="164"/>
      <c r="B227" s="164"/>
      <c r="C227" s="164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</row>
    <row r="228" ht="15.75" customHeight="1">
      <c r="A228" s="164"/>
      <c r="B228" s="164"/>
      <c r="C228" s="164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</row>
    <row r="229" ht="15.75" customHeight="1">
      <c r="A229" s="164"/>
      <c r="B229" s="164"/>
      <c r="C229" s="164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</row>
    <row r="230" ht="15.75" customHeight="1">
      <c r="A230" s="164"/>
      <c r="B230" s="164"/>
      <c r="C230" s="164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</row>
    <row r="231" ht="15.75" customHeight="1">
      <c r="A231" s="164"/>
      <c r="B231" s="164"/>
      <c r="C231" s="164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</row>
    <row r="232" ht="15.75" customHeight="1">
      <c r="A232" s="164"/>
      <c r="B232" s="164"/>
      <c r="C232" s="164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</row>
    <row r="233" ht="15.75" customHeight="1">
      <c r="A233" s="164"/>
      <c r="B233" s="164"/>
      <c r="C233" s="164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</row>
    <row r="234" ht="15.75" customHeight="1">
      <c r="A234" s="164"/>
      <c r="B234" s="164"/>
      <c r="C234" s="164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</row>
    <row r="235" ht="15.75" customHeight="1">
      <c r="A235" s="164"/>
      <c r="B235" s="164"/>
      <c r="C235" s="164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</row>
    <row r="236" ht="15.75" customHeight="1">
      <c r="A236" s="164"/>
      <c r="B236" s="164"/>
      <c r="C236" s="164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</row>
    <row r="237" ht="15.75" customHeight="1">
      <c r="A237" s="164"/>
      <c r="B237" s="164"/>
      <c r="C237" s="164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</row>
    <row r="238" ht="15.75" customHeight="1">
      <c r="A238" s="164"/>
      <c r="B238" s="164"/>
      <c r="C238" s="164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</row>
    <row r="239" ht="15.75" customHeight="1">
      <c r="A239" s="164"/>
      <c r="B239" s="164"/>
      <c r="C239" s="164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</row>
    <row r="240" ht="15.75" customHeight="1">
      <c r="A240" s="164"/>
      <c r="B240" s="164"/>
      <c r="C240" s="164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</row>
    <row r="241" ht="15.75" customHeight="1">
      <c r="A241" s="164"/>
      <c r="B241" s="164"/>
      <c r="C241" s="164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</row>
    <row r="242" ht="15.75" customHeight="1">
      <c r="A242" s="164"/>
      <c r="B242" s="164"/>
      <c r="C242" s="164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</row>
    <row r="243" ht="15.75" customHeight="1">
      <c r="A243" s="164"/>
      <c r="B243" s="164"/>
      <c r="C243" s="164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</row>
    <row r="244" ht="15.75" customHeight="1">
      <c r="A244" s="164"/>
      <c r="B244" s="164"/>
      <c r="C244" s="164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</row>
    <row r="245" ht="15.75" customHeight="1">
      <c r="A245" s="164"/>
      <c r="B245" s="164"/>
      <c r="C245" s="164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</row>
    <row r="246" ht="15.75" customHeight="1">
      <c r="A246" s="164"/>
      <c r="B246" s="164"/>
      <c r="C246" s="164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</row>
    <row r="247" ht="15.75" customHeight="1">
      <c r="A247" s="164"/>
      <c r="B247" s="164"/>
      <c r="C247" s="164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</row>
    <row r="248" ht="15.75" customHeight="1">
      <c r="A248" s="164"/>
      <c r="B248" s="164"/>
      <c r="C248" s="164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</row>
    <row r="249" ht="15.75" customHeight="1">
      <c r="A249" s="164"/>
      <c r="B249" s="164"/>
      <c r="C249" s="164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</row>
    <row r="250" ht="15.75" customHeight="1">
      <c r="A250" s="164"/>
      <c r="B250" s="164"/>
      <c r="C250" s="164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</row>
    <row r="251" ht="15.75" customHeight="1">
      <c r="A251" s="164"/>
      <c r="B251" s="164"/>
      <c r="C251" s="164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</row>
    <row r="252" ht="15.75" customHeight="1">
      <c r="A252" s="164"/>
      <c r="B252" s="164"/>
      <c r="C252" s="164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</row>
    <row r="253" ht="15.75" customHeight="1">
      <c r="A253" s="164"/>
      <c r="B253" s="164"/>
      <c r="C253" s="164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</row>
    <row r="254" ht="15.75" customHeight="1">
      <c r="A254" s="164"/>
      <c r="B254" s="164"/>
      <c r="C254" s="164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</row>
    <row r="255" ht="15.75" customHeight="1">
      <c r="A255" s="164"/>
      <c r="B255" s="164"/>
      <c r="C255" s="164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</row>
    <row r="256" ht="15.75" customHeight="1">
      <c r="A256" s="164"/>
      <c r="B256" s="164"/>
      <c r="C256" s="164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</row>
    <row r="257" ht="15.75" customHeight="1">
      <c r="A257" s="164"/>
      <c r="B257" s="164"/>
      <c r="C257" s="164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</row>
    <row r="258" ht="15.75" customHeight="1">
      <c r="A258" s="164"/>
      <c r="B258" s="164"/>
      <c r="C258" s="164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</row>
    <row r="259" ht="15.75" customHeight="1">
      <c r="A259" s="164"/>
      <c r="B259" s="164"/>
      <c r="C259" s="164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</row>
    <row r="260" ht="15.75" customHeight="1">
      <c r="A260" s="164"/>
      <c r="B260" s="164"/>
      <c r="C260" s="164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</row>
    <row r="261" ht="15.75" customHeight="1">
      <c r="A261" s="164"/>
      <c r="B261" s="164"/>
      <c r="C261" s="164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</row>
    <row r="262" ht="15.75" customHeight="1">
      <c r="A262" s="164"/>
      <c r="B262" s="164"/>
      <c r="C262" s="164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</row>
    <row r="263" ht="15.75" customHeight="1">
      <c r="A263" s="164"/>
      <c r="B263" s="164"/>
      <c r="C263" s="164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</row>
    <row r="264" ht="15.75" customHeight="1">
      <c r="A264" s="164"/>
      <c r="B264" s="164"/>
      <c r="C264" s="164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</row>
    <row r="265" ht="15.75" customHeight="1">
      <c r="A265" s="164"/>
      <c r="B265" s="164"/>
      <c r="C265" s="164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</row>
    <row r="266" ht="15.75" customHeight="1">
      <c r="A266" s="164"/>
      <c r="B266" s="164"/>
      <c r="C266" s="164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</row>
    <row r="267" ht="15.75" customHeight="1">
      <c r="A267" s="164"/>
      <c r="B267" s="164"/>
      <c r="C267" s="164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</row>
    <row r="268" ht="15.75" customHeight="1">
      <c r="A268" s="164"/>
      <c r="B268" s="164"/>
      <c r="C268" s="164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</row>
    <row r="269" ht="15.75" customHeight="1">
      <c r="A269" s="164"/>
      <c r="B269" s="164"/>
      <c r="C269" s="164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</row>
    <row r="270" ht="15.75" customHeight="1">
      <c r="A270" s="164"/>
      <c r="B270" s="164"/>
      <c r="C270" s="164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</row>
    <row r="271" ht="15.75" customHeight="1">
      <c r="A271" s="164"/>
      <c r="B271" s="164"/>
      <c r="C271" s="164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</row>
    <row r="272" ht="15.75" customHeight="1">
      <c r="A272" s="164"/>
      <c r="B272" s="164"/>
      <c r="C272" s="164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</row>
    <row r="273" ht="15.75" customHeight="1">
      <c r="A273" s="164"/>
      <c r="B273" s="164"/>
      <c r="C273" s="164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</row>
    <row r="274" ht="15.75" customHeight="1">
      <c r="A274" s="164"/>
      <c r="B274" s="164"/>
      <c r="C274" s="164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</row>
    <row r="275" ht="15.75" customHeight="1">
      <c r="A275" s="164"/>
      <c r="B275" s="164"/>
      <c r="C275" s="164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</row>
    <row r="276" ht="15.75" customHeight="1">
      <c r="A276" s="164"/>
      <c r="B276" s="164"/>
      <c r="C276" s="164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</row>
    <row r="277" ht="15.75" customHeight="1">
      <c r="A277" s="164"/>
      <c r="B277" s="164"/>
      <c r="C277" s="164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</row>
    <row r="278" ht="15.75" customHeight="1">
      <c r="A278" s="164"/>
      <c r="B278" s="164"/>
      <c r="C278" s="164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</row>
    <row r="279" ht="15.75" customHeight="1">
      <c r="A279" s="164"/>
      <c r="B279" s="164"/>
      <c r="C279" s="164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</row>
    <row r="280" ht="15.75" customHeight="1">
      <c r="A280" s="164"/>
      <c r="B280" s="164"/>
      <c r="C280" s="164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</row>
    <row r="281" ht="15.75" customHeight="1">
      <c r="A281" s="164"/>
      <c r="B281" s="164"/>
      <c r="C281" s="164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</row>
    <row r="282" ht="15.75" customHeight="1">
      <c r="A282" s="164"/>
      <c r="B282" s="164"/>
      <c r="C282" s="164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</row>
    <row r="283" ht="15.75" customHeight="1">
      <c r="A283" s="164"/>
      <c r="B283" s="164"/>
      <c r="C283" s="164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</row>
    <row r="284" ht="15.75" customHeight="1">
      <c r="A284" s="164"/>
      <c r="B284" s="164"/>
      <c r="C284" s="164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</row>
    <row r="285" ht="15.75" customHeight="1">
      <c r="A285" s="164"/>
      <c r="B285" s="164"/>
      <c r="C285" s="164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</row>
    <row r="286" ht="15.75" customHeight="1">
      <c r="A286" s="164"/>
      <c r="B286" s="164"/>
      <c r="C286" s="164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</row>
    <row r="287" ht="15.75" customHeight="1">
      <c r="A287" s="164"/>
      <c r="B287" s="164"/>
      <c r="C287" s="164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</row>
    <row r="288" ht="15.75" customHeight="1">
      <c r="A288" s="164"/>
      <c r="B288" s="164"/>
      <c r="C288" s="164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</row>
    <row r="289" ht="15.75" customHeight="1">
      <c r="A289" s="164"/>
      <c r="B289" s="164"/>
      <c r="C289" s="164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</row>
    <row r="290" ht="15.75" customHeight="1">
      <c r="A290" s="164"/>
      <c r="B290" s="164"/>
      <c r="C290" s="164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</row>
    <row r="291" ht="15.75" customHeight="1">
      <c r="A291" s="164"/>
      <c r="B291" s="164"/>
      <c r="C291" s="164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</row>
    <row r="292" ht="15.75" customHeight="1">
      <c r="A292" s="164"/>
      <c r="B292" s="164"/>
      <c r="C292" s="164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</row>
    <row r="293" ht="15.75" customHeight="1">
      <c r="A293" s="164"/>
      <c r="B293" s="164"/>
      <c r="C293" s="164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</row>
    <row r="294" ht="15.75" customHeight="1">
      <c r="A294" s="164"/>
      <c r="B294" s="164"/>
      <c r="C294" s="164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</row>
    <row r="295" ht="15.75" customHeight="1">
      <c r="A295" s="164"/>
      <c r="B295" s="164"/>
      <c r="C295" s="164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</row>
    <row r="296" ht="15.75" customHeight="1">
      <c r="A296" s="164"/>
      <c r="B296" s="164"/>
      <c r="C296" s="164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</row>
    <row r="297" ht="15.75" customHeight="1">
      <c r="A297" s="164"/>
      <c r="B297" s="164"/>
      <c r="C297" s="164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</row>
    <row r="298" ht="15.75" customHeight="1">
      <c r="A298" s="164"/>
      <c r="B298" s="164"/>
      <c r="C298" s="164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</row>
    <row r="299" ht="15.75" customHeight="1">
      <c r="A299" s="164"/>
      <c r="B299" s="164"/>
      <c r="C299" s="164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</row>
    <row r="300" ht="15.75" customHeight="1">
      <c r="A300" s="164"/>
      <c r="B300" s="164"/>
      <c r="C300" s="164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</row>
    <row r="301" ht="15.75" customHeight="1">
      <c r="A301" s="164"/>
      <c r="B301" s="164"/>
      <c r="C301" s="164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</row>
    <row r="302" ht="15.75" customHeight="1">
      <c r="A302" s="164"/>
      <c r="B302" s="164"/>
      <c r="C302" s="164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</row>
    <row r="303" ht="15.75" customHeight="1">
      <c r="A303" s="164"/>
      <c r="B303" s="164"/>
      <c r="C303" s="164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</row>
    <row r="304" ht="15.75" customHeight="1">
      <c r="A304" s="164"/>
      <c r="B304" s="164"/>
      <c r="C304" s="164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</row>
    <row r="305" ht="15.75" customHeight="1">
      <c r="A305" s="164"/>
      <c r="B305" s="164"/>
      <c r="C305" s="164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</row>
    <row r="306" ht="15.75" customHeight="1">
      <c r="A306" s="164"/>
      <c r="B306" s="164"/>
      <c r="C306" s="164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</row>
    <row r="307" ht="15.75" customHeight="1">
      <c r="A307" s="164"/>
      <c r="B307" s="164"/>
      <c r="C307" s="164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</row>
    <row r="308" ht="15.75" customHeight="1">
      <c r="A308" s="164"/>
      <c r="B308" s="164"/>
      <c r="C308" s="164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</row>
    <row r="309" ht="15.75" customHeight="1">
      <c r="A309" s="164"/>
      <c r="B309" s="164"/>
      <c r="C309" s="164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</row>
    <row r="310" ht="15.75" customHeight="1">
      <c r="A310" s="164"/>
      <c r="B310" s="164"/>
      <c r="C310" s="164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</row>
    <row r="311" ht="15.75" customHeight="1">
      <c r="A311" s="164"/>
      <c r="B311" s="164"/>
      <c r="C311" s="164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</row>
    <row r="312" ht="15.75" customHeight="1">
      <c r="A312" s="164"/>
      <c r="B312" s="164"/>
      <c r="C312" s="164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</row>
    <row r="313" ht="15.75" customHeight="1">
      <c r="A313" s="164"/>
      <c r="B313" s="164"/>
      <c r="C313" s="164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</row>
    <row r="314" ht="15.75" customHeight="1">
      <c r="A314" s="164"/>
      <c r="B314" s="164"/>
      <c r="C314" s="164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</row>
    <row r="315" ht="15.75" customHeight="1">
      <c r="A315" s="164"/>
      <c r="B315" s="164"/>
      <c r="C315" s="164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</row>
    <row r="316" ht="15.75" customHeight="1">
      <c r="A316" s="164"/>
      <c r="B316" s="164"/>
      <c r="C316" s="164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</row>
    <row r="317" ht="15.75" customHeight="1">
      <c r="A317" s="164"/>
      <c r="B317" s="164"/>
      <c r="C317" s="164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</row>
    <row r="318" ht="15.75" customHeight="1">
      <c r="A318" s="164"/>
      <c r="B318" s="164"/>
      <c r="C318" s="164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</row>
    <row r="319" ht="15.75" customHeight="1">
      <c r="A319" s="164"/>
      <c r="B319" s="164"/>
      <c r="C319" s="164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</row>
    <row r="320" ht="15.75" customHeight="1">
      <c r="A320" s="164"/>
      <c r="B320" s="164"/>
      <c r="C320" s="164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</row>
    <row r="321" ht="15.75" customHeight="1">
      <c r="A321" s="164"/>
      <c r="B321" s="164"/>
      <c r="C321" s="164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</row>
    <row r="322" ht="15.75" customHeight="1">
      <c r="A322" s="164"/>
      <c r="B322" s="164"/>
      <c r="C322" s="164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</row>
    <row r="323" ht="15.75" customHeight="1">
      <c r="A323" s="164"/>
      <c r="B323" s="164"/>
      <c r="C323" s="164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</row>
    <row r="324" ht="15.75" customHeight="1">
      <c r="A324" s="164"/>
      <c r="B324" s="164"/>
      <c r="C324" s="164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</row>
    <row r="325" ht="15.75" customHeight="1">
      <c r="A325" s="164"/>
      <c r="B325" s="164"/>
      <c r="C325" s="164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</row>
    <row r="326" ht="15.75" customHeight="1">
      <c r="A326" s="164"/>
      <c r="B326" s="164"/>
      <c r="C326" s="164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</row>
    <row r="327" ht="15.75" customHeight="1">
      <c r="A327" s="164"/>
      <c r="B327" s="164"/>
      <c r="C327" s="164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</row>
    <row r="328" ht="15.75" customHeight="1">
      <c r="A328" s="164"/>
      <c r="B328" s="164"/>
      <c r="C328" s="164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</row>
    <row r="329" ht="15.75" customHeight="1">
      <c r="A329" s="164"/>
      <c r="B329" s="164"/>
      <c r="C329" s="164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</row>
    <row r="330" ht="15.75" customHeight="1">
      <c r="A330" s="164"/>
      <c r="B330" s="164"/>
      <c r="C330" s="164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</row>
    <row r="331" ht="15.75" customHeight="1">
      <c r="A331" s="164"/>
      <c r="B331" s="164"/>
      <c r="C331" s="164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</row>
    <row r="332" ht="15.75" customHeight="1">
      <c r="A332" s="164"/>
      <c r="B332" s="164"/>
      <c r="C332" s="164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</row>
    <row r="333" ht="15.75" customHeight="1">
      <c r="A333" s="164"/>
      <c r="B333" s="164"/>
      <c r="C333" s="164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</row>
    <row r="334" ht="15.75" customHeight="1">
      <c r="A334" s="164"/>
      <c r="B334" s="164"/>
      <c r="C334" s="164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</row>
    <row r="335" ht="15.75" customHeight="1">
      <c r="A335" s="164"/>
      <c r="B335" s="164"/>
      <c r="C335" s="164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</row>
    <row r="336" ht="15.75" customHeight="1">
      <c r="A336" s="164"/>
      <c r="B336" s="164"/>
      <c r="C336" s="164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</row>
    <row r="337" ht="15.75" customHeight="1">
      <c r="A337" s="164"/>
      <c r="B337" s="164"/>
      <c r="C337" s="164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</row>
    <row r="338" ht="15.75" customHeight="1">
      <c r="A338" s="164"/>
      <c r="B338" s="164"/>
      <c r="C338" s="164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</row>
    <row r="339" ht="15.75" customHeight="1">
      <c r="A339" s="164"/>
      <c r="B339" s="164"/>
      <c r="C339" s="164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</row>
    <row r="340" ht="15.75" customHeight="1">
      <c r="A340" s="164"/>
      <c r="B340" s="164"/>
      <c r="C340" s="164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</row>
    <row r="341" ht="15.75" customHeight="1">
      <c r="A341" s="164"/>
      <c r="B341" s="164"/>
      <c r="C341" s="164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</row>
    <row r="342" ht="15.75" customHeight="1">
      <c r="A342" s="164"/>
      <c r="B342" s="164"/>
      <c r="C342" s="164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</row>
    <row r="343" ht="15.75" customHeight="1">
      <c r="A343" s="164"/>
      <c r="B343" s="164"/>
      <c r="C343" s="164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</row>
    <row r="344" ht="15.75" customHeight="1">
      <c r="A344" s="164"/>
      <c r="B344" s="164"/>
      <c r="C344" s="164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</row>
    <row r="345" ht="15.75" customHeight="1">
      <c r="A345" s="164"/>
      <c r="B345" s="164"/>
      <c r="C345" s="164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</row>
    <row r="346" ht="15.75" customHeight="1">
      <c r="A346" s="164"/>
      <c r="B346" s="164"/>
      <c r="C346" s="164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</row>
    <row r="347" ht="15.75" customHeight="1">
      <c r="A347" s="164"/>
      <c r="B347" s="164"/>
      <c r="C347" s="164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</row>
    <row r="348" ht="15.75" customHeight="1">
      <c r="A348" s="164"/>
      <c r="B348" s="164"/>
      <c r="C348" s="164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</row>
    <row r="349" ht="15.75" customHeight="1">
      <c r="A349" s="164"/>
      <c r="B349" s="164"/>
      <c r="C349" s="164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</row>
    <row r="350" ht="15.75" customHeight="1">
      <c r="A350" s="164"/>
      <c r="B350" s="164"/>
      <c r="C350" s="164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</row>
    <row r="351" ht="15.75" customHeight="1">
      <c r="A351" s="164"/>
      <c r="B351" s="164"/>
      <c r="C351" s="164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</row>
    <row r="352" ht="15.75" customHeight="1">
      <c r="A352" s="164"/>
      <c r="B352" s="164"/>
      <c r="C352" s="164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</row>
    <row r="353" ht="15.75" customHeight="1">
      <c r="A353" s="164"/>
      <c r="B353" s="164"/>
      <c r="C353" s="164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</row>
    <row r="354" ht="15.75" customHeight="1">
      <c r="A354" s="164"/>
      <c r="B354" s="164"/>
      <c r="C354" s="164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</row>
    <row r="355" ht="15.75" customHeight="1">
      <c r="A355" s="164"/>
      <c r="B355" s="164"/>
      <c r="C355" s="164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</row>
    <row r="356" ht="15.75" customHeight="1">
      <c r="A356" s="164"/>
      <c r="B356" s="164"/>
      <c r="C356" s="164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</row>
    <row r="357" ht="15.75" customHeight="1">
      <c r="A357" s="164"/>
      <c r="B357" s="164"/>
      <c r="C357" s="164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</row>
    <row r="358" ht="15.75" customHeight="1">
      <c r="A358" s="164"/>
      <c r="B358" s="164"/>
      <c r="C358" s="164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</row>
    <row r="359" ht="15.75" customHeight="1">
      <c r="A359" s="164"/>
      <c r="B359" s="164"/>
      <c r="C359" s="164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</row>
    <row r="360" ht="15.75" customHeight="1">
      <c r="A360" s="164"/>
      <c r="B360" s="164"/>
      <c r="C360" s="164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</row>
    <row r="361" ht="15.75" customHeight="1">
      <c r="A361" s="164"/>
      <c r="B361" s="164"/>
      <c r="C361" s="164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</row>
    <row r="362" ht="15.75" customHeight="1">
      <c r="A362" s="164"/>
      <c r="B362" s="164"/>
      <c r="C362" s="164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</row>
    <row r="363" ht="15.75" customHeight="1">
      <c r="A363" s="164"/>
      <c r="B363" s="164"/>
      <c r="C363" s="164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</row>
    <row r="364" ht="15.75" customHeight="1">
      <c r="A364" s="164"/>
      <c r="B364" s="164"/>
      <c r="C364" s="164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</row>
    <row r="365" ht="15.75" customHeight="1">
      <c r="A365" s="164"/>
      <c r="B365" s="164"/>
      <c r="C365" s="164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</row>
    <row r="366" ht="15.75" customHeight="1">
      <c r="A366" s="164"/>
      <c r="B366" s="164"/>
      <c r="C366" s="164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</row>
    <row r="367" ht="15.75" customHeight="1">
      <c r="A367" s="164"/>
      <c r="B367" s="164"/>
      <c r="C367" s="164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</row>
    <row r="368" ht="15.75" customHeight="1">
      <c r="A368" s="164"/>
      <c r="B368" s="164"/>
      <c r="C368" s="164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</row>
    <row r="369" ht="15.75" customHeight="1">
      <c r="A369" s="164"/>
      <c r="B369" s="164"/>
      <c r="C369" s="164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</row>
    <row r="370" ht="15.75" customHeight="1">
      <c r="A370" s="164"/>
      <c r="B370" s="164"/>
      <c r="C370" s="164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</row>
    <row r="371" ht="15.75" customHeight="1">
      <c r="A371" s="164"/>
      <c r="B371" s="164"/>
      <c r="C371" s="164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</row>
    <row r="372" ht="15.75" customHeight="1">
      <c r="A372" s="164"/>
      <c r="B372" s="164"/>
      <c r="C372" s="164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</row>
    <row r="373" ht="15.75" customHeight="1">
      <c r="A373" s="164"/>
      <c r="B373" s="164"/>
      <c r="C373" s="164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</row>
    <row r="374" ht="15.75" customHeight="1">
      <c r="A374" s="164"/>
      <c r="B374" s="164"/>
      <c r="C374" s="164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</row>
    <row r="375" ht="15.75" customHeight="1">
      <c r="A375" s="164"/>
      <c r="B375" s="164"/>
      <c r="C375" s="164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</row>
    <row r="376" ht="15.75" customHeight="1">
      <c r="A376" s="164"/>
      <c r="B376" s="164"/>
      <c r="C376" s="164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</row>
    <row r="377" ht="15.75" customHeight="1">
      <c r="A377" s="164"/>
      <c r="B377" s="164"/>
      <c r="C377" s="164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</row>
    <row r="378" ht="15.75" customHeight="1">
      <c r="A378" s="164"/>
      <c r="B378" s="164"/>
      <c r="C378" s="164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</row>
    <row r="379" ht="15.75" customHeight="1">
      <c r="A379" s="164"/>
      <c r="B379" s="164"/>
      <c r="C379" s="164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</row>
    <row r="380" ht="15.75" customHeight="1">
      <c r="A380" s="164"/>
      <c r="B380" s="164"/>
      <c r="C380" s="164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</row>
    <row r="381" ht="15.75" customHeight="1">
      <c r="A381" s="164"/>
      <c r="B381" s="164"/>
      <c r="C381" s="164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</row>
    <row r="382" ht="15.75" customHeight="1">
      <c r="A382" s="164"/>
      <c r="B382" s="164"/>
      <c r="C382" s="164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</row>
    <row r="383" ht="15.75" customHeight="1">
      <c r="A383" s="164"/>
      <c r="B383" s="164"/>
      <c r="C383" s="164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</row>
    <row r="384" ht="15.75" customHeight="1">
      <c r="A384" s="164"/>
      <c r="B384" s="164"/>
      <c r="C384" s="164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</row>
    <row r="385" ht="15.75" customHeight="1">
      <c r="A385" s="164"/>
      <c r="B385" s="164"/>
      <c r="C385" s="164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</row>
    <row r="386" ht="15.75" customHeight="1">
      <c r="A386" s="164"/>
      <c r="B386" s="164"/>
      <c r="C386" s="164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</row>
    <row r="387" ht="15.75" customHeight="1">
      <c r="A387" s="164"/>
      <c r="B387" s="164"/>
      <c r="C387" s="164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</row>
    <row r="388" ht="15.75" customHeight="1">
      <c r="A388" s="164"/>
      <c r="B388" s="164"/>
      <c r="C388" s="164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</row>
    <row r="389" ht="15.75" customHeight="1">
      <c r="A389" s="164"/>
      <c r="B389" s="164"/>
      <c r="C389" s="164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</row>
    <row r="390" ht="15.75" customHeight="1">
      <c r="A390" s="164"/>
      <c r="B390" s="164"/>
      <c r="C390" s="164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</row>
    <row r="391" ht="15.75" customHeight="1">
      <c r="A391" s="164"/>
      <c r="B391" s="164"/>
      <c r="C391" s="164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</row>
    <row r="392" ht="15.75" customHeight="1">
      <c r="A392" s="164"/>
      <c r="B392" s="164"/>
      <c r="C392" s="164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</row>
    <row r="393" ht="15.75" customHeight="1">
      <c r="A393" s="164"/>
      <c r="B393" s="164"/>
      <c r="C393" s="164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</row>
    <row r="394" ht="15.75" customHeight="1">
      <c r="A394" s="164"/>
      <c r="B394" s="164"/>
      <c r="C394" s="164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</row>
    <row r="395" ht="15.75" customHeight="1">
      <c r="A395" s="164"/>
      <c r="B395" s="164"/>
      <c r="C395" s="164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</row>
    <row r="396" ht="15.75" customHeight="1">
      <c r="A396" s="164"/>
      <c r="B396" s="164"/>
      <c r="C396" s="164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</row>
    <row r="397" ht="15.75" customHeight="1">
      <c r="A397" s="164"/>
      <c r="B397" s="164"/>
      <c r="C397" s="164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</row>
    <row r="398" ht="15.75" customHeight="1">
      <c r="A398" s="164"/>
      <c r="B398" s="164"/>
      <c r="C398" s="164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</row>
    <row r="399" ht="15.75" customHeight="1">
      <c r="A399" s="164"/>
      <c r="B399" s="164"/>
      <c r="C399" s="164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</row>
    <row r="400" ht="15.75" customHeight="1">
      <c r="A400" s="164"/>
      <c r="B400" s="164"/>
      <c r="C400" s="164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</row>
    <row r="401" ht="15.75" customHeight="1">
      <c r="A401" s="164"/>
      <c r="B401" s="164"/>
      <c r="C401" s="164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</row>
    <row r="402" ht="15.75" customHeight="1">
      <c r="A402" s="164"/>
      <c r="B402" s="164"/>
      <c r="C402" s="164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</row>
    <row r="403" ht="15.75" customHeight="1">
      <c r="A403" s="164"/>
      <c r="B403" s="164"/>
      <c r="C403" s="164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</row>
    <row r="404" ht="15.75" customHeight="1">
      <c r="A404" s="164"/>
      <c r="B404" s="164"/>
      <c r="C404" s="164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</row>
    <row r="405" ht="15.75" customHeight="1">
      <c r="A405" s="164"/>
      <c r="B405" s="164"/>
      <c r="C405" s="164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</row>
    <row r="406" ht="15.75" customHeight="1">
      <c r="A406" s="164"/>
      <c r="B406" s="164"/>
      <c r="C406" s="164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</row>
    <row r="407" ht="15.75" customHeight="1">
      <c r="A407" s="164"/>
      <c r="B407" s="164"/>
      <c r="C407" s="164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</row>
    <row r="408" ht="15.75" customHeight="1">
      <c r="A408" s="164"/>
      <c r="B408" s="164"/>
      <c r="C408" s="164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</row>
    <row r="409" ht="15.75" customHeight="1">
      <c r="A409" s="164"/>
      <c r="B409" s="164"/>
      <c r="C409" s="164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</row>
    <row r="410" ht="15.75" customHeight="1">
      <c r="A410" s="164"/>
      <c r="B410" s="164"/>
      <c r="C410" s="164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</row>
    <row r="411" ht="15.75" customHeight="1">
      <c r="A411" s="164"/>
      <c r="B411" s="164"/>
      <c r="C411" s="164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</row>
    <row r="412" ht="15.75" customHeight="1">
      <c r="A412" s="164"/>
      <c r="B412" s="164"/>
      <c r="C412" s="164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</row>
    <row r="413" ht="15.75" customHeight="1">
      <c r="A413" s="164"/>
      <c r="B413" s="164"/>
      <c r="C413" s="164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</row>
    <row r="414" ht="15.75" customHeight="1">
      <c r="A414" s="164"/>
      <c r="B414" s="164"/>
      <c r="C414" s="164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</row>
    <row r="415" ht="15.75" customHeight="1">
      <c r="A415" s="164"/>
      <c r="B415" s="164"/>
      <c r="C415" s="164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</row>
    <row r="416" ht="15.75" customHeight="1">
      <c r="A416" s="164"/>
      <c r="B416" s="164"/>
      <c r="C416" s="164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</row>
    <row r="417" ht="15.75" customHeight="1">
      <c r="A417" s="164"/>
      <c r="B417" s="164"/>
      <c r="C417" s="164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</row>
    <row r="418" ht="15.75" customHeight="1">
      <c r="A418" s="164"/>
      <c r="B418" s="164"/>
      <c r="C418" s="164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</row>
    <row r="419" ht="15.75" customHeight="1">
      <c r="A419" s="164"/>
      <c r="B419" s="164"/>
      <c r="C419" s="164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</row>
    <row r="420" ht="15.75" customHeight="1">
      <c r="A420" s="164"/>
      <c r="B420" s="164"/>
      <c r="C420" s="164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</row>
    <row r="421" ht="15.75" customHeight="1">
      <c r="A421" s="164"/>
      <c r="B421" s="164"/>
      <c r="C421" s="164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</row>
    <row r="422" ht="15.75" customHeight="1">
      <c r="A422" s="164"/>
      <c r="B422" s="164"/>
      <c r="C422" s="164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</row>
    <row r="423" ht="15.75" customHeight="1">
      <c r="A423" s="164"/>
      <c r="B423" s="164"/>
      <c r="C423" s="164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</row>
    <row r="424" ht="15.75" customHeight="1">
      <c r="A424" s="164"/>
      <c r="B424" s="164"/>
      <c r="C424" s="164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</row>
    <row r="425" ht="15.75" customHeight="1">
      <c r="A425" s="164"/>
      <c r="B425" s="164"/>
      <c r="C425" s="164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</row>
    <row r="426" ht="15.75" customHeight="1">
      <c r="A426" s="164"/>
      <c r="B426" s="164"/>
      <c r="C426" s="164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</row>
    <row r="427" ht="15.75" customHeight="1">
      <c r="A427" s="164"/>
      <c r="B427" s="164"/>
      <c r="C427" s="164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</row>
    <row r="428" ht="15.75" customHeight="1">
      <c r="A428" s="164"/>
      <c r="B428" s="164"/>
      <c r="C428" s="164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</row>
    <row r="429" ht="15.75" customHeight="1">
      <c r="A429" s="164"/>
      <c r="B429" s="164"/>
      <c r="C429" s="164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</row>
    <row r="430" ht="15.75" customHeight="1">
      <c r="A430" s="164"/>
      <c r="B430" s="164"/>
      <c r="C430" s="164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</row>
    <row r="431" ht="15.75" customHeight="1">
      <c r="A431" s="164"/>
      <c r="B431" s="164"/>
      <c r="C431" s="164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</row>
    <row r="432" ht="15.75" customHeight="1">
      <c r="A432" s="164"/>
      <c r="B432" s="164"/>
      <c r="C432" s="164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</row>
    <row r="433" ht="15.75" customHeight="1">
      <c r="A433" s="164"/>
      <c r="B433" s="164"/>
      <c r="C433" s="164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</row>
    <row r="434" ht="15.75" customHeight="1">
      <c r="A434" s="164"/>
      <c r="B434" s="164"/>
      <c r="C434" s="164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</row>
    <row r="435" ht="15.75" customHeight="1">
      <c r="A435" s="164"/>
      <c r="B435" s="164"/>
      <c r="C435" s="164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</row>
    <row r="436" ht="15.75" customHeight="1">
      <c r="A436" s="164"/>
      <c r="B436" s="164"/>
      <c r="C436" s="164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</row>
    <row r="437" ht="15.75" customHeight="1">
      <c r="A437" s="164"/>
      <c r="B437" s="164"/>
      <c r="C437" s="164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</row>
    <row r="438" ht="15.75" customHeight="1">
      <c r="A438" s="164"/>
      <c r="B438" s="164"/>
      <c r="C438" s="164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</row>
    <row r="439" ht="15.75" customHeight="1">
      <c r="A439" s="164"/>
      <c r="B439" s="164"/>
      <c r="C439" s="164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</row>
    <row r="440" ht="15.75" customHeight="1">
      <c r="A440" s="164"/>
      <c r="B440" s="164"/>
      <c r="C440" s="164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</row>
    <row r="441" ht="15.75" customHeight="1">
      <c r="A441" s="164"/>
      <c r="B441" s="164"/>
      <c r="C441" s="164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</row>
    <row r="442" ht="15.75" customHeight="1">
      <c r="A442" s="164"/>
      <c r="B442" s="164"/>
      <c r="C442" s="164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</row>
    <row r="443" ht="15.75" customHeight="1">
      <c r="A443" s="164"/>
      <c r="B443" s="164"/>
      <c r="C443" s="164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</row>
    <row r="444" ht="15.75" customHeight="1">
      <c r="A444" s="164"/>
      <c r="B444" s="164"/>
      <c r="C444" s="164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</row>
    <row r="445" ht="15.75" customHeight="1">
      <c r="A445" s="164"/>
      <c r="B445" s="164"/>
      <c r="C445" s="164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</row>
    <row r="446" ht="15.75" customHeight="1">
      <c r="A446" s="164"/>
      <c r="B446" s="164"/>
      <c r="C446" s="164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</row>
    <row r="447" ht="15.75" customHeight="1">
      <c r="A447" s="164"/>
      <c r="B447" s="164"/>
      <c r="C447" s="164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</row>
    <row r="448" ht="15.75" customHeight="1">
      <c r="A448" s="164"/>
      <c r="B448" s="164"/>
      <c r="C448" s="164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</row>
    <row r="449" ht="15.75" customHeight="1">
      <c r="A449" s="164"/>
      <c r="B449" s="164"/>
      <c r="C449" s="164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</row>
    <row r="450" ht="15.75" customHeight="1">
      <c r="A450" s="164"/>
      <c r="B450" s="164"/>
      <c r="C450" s="164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</row>
    <row r="451" ht="15.75" customHeight="1">
      <c r="A451" s="164"/>
      <c r="B451" s="164"/>
      <c r="C451" s="164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</row>
    <row r="452" ht="15.75" customHeight="1">
      <c r="A452" s="164"/>
      <c r="B452" s="164"/>
      <c r="C452" s="164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</row>
    <row r="453" ht="15.75" customHeight="1">
      <c r="A453" s="164"/>
      <c r="B453" s="164"/>
      <c r="C453" s="164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</row>
    <row r="454" ht="15.75" customHeight="1">
      <c r="A454" s="164"/>
      <c r="B454" s="164"/>
      <c r="C454" s="164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</row>
    <row r="455" ht="15.75" customHeight="1">
      <c r="A455" s="164"/>
      <c r="B455" s="164"/>
      <c r="C455" s="164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</row>
    <row r="456" ht="15.75" customHeight="1">
      <c r="A456" s="164"/>
      <c r="B456" s="164"/>
      <c r="C456" s="164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</row>
    <row r="457" ht="15.75" customHeight="1">
      <c r="A457" s="164"/>
      <c r="B457" s="164"/>
      <c r="C457" s="164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</row>
    <row r="458" ht="15.75" customHeight="1">
      <c r="A458" s="164"/>
      <c r="B458" s="164"/>
      <c r="C458" s="164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</row>
    <row r="459" ht="15.75" customHeight="1">
      <c r="A459" s="164"/>
      <c r="B459" s="164"/>
      <c r="C459" s="164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</row>
    <row r="460" ht="15.75" customHeight="1">
      <c r="A460" s="164"/>
      <c r="B460" s="164"/>
      <c r="C460" s="164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</row>
    <row r="461" ht="15.75" customHeight="1">
      <c r="A461" s="164"/>
      <c r="B461" s="164"/>
      <c r="C461" s="164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</row>
    <row r="462" ht="15.75" customHeight="1">
      <c r="A462" s="164"/>
      <c r="B462" s="164"/>
      <c r="C462" s="164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</row>
    <row r="463" ht="15.75" customHeight="1">
      <c r="A463" s="164"/>
      <c r="B463" s="164"/>
      <c r="C463" s="164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</row>
    <row r="464" ht="15.75" customHeight="1">
      <c r="A464" s="164"/>
      <c r="B464" s="164"/>
      <c r="C464" s="164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</row>
    <row r="465" ht="15.75" customHeight="1">
      <c r="A465" s="164"/>
      <c r="B465" s="164"/>
      <c r="C465" s="164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</row>
    <row r="466" ht="15.75" customHeight="1">
      <c r="A466" s="164"/>
      <c r="B466" s="164"/>
      <c r="C466" s="164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</row>
    <row r="467" ht="15.75" customHeight="1">
      <c r="A467" s="164"/>
      <c r="B467" s="164"/>
      <c r="C467" s="164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</row>
    <row r="468" ht="15.75" customHeight="1">
      <c r="A468" s="164"/>
      <c r="B468" s="164"/>
      <c r="C468" s="164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</row>
    <row r="469" ht="15.75" customHeight="1">
      <c r="A469" s="164"/>
      <c r="B469" s="164"/>
      <c r="C469" s="164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</row>
    <row r="470" ht="15.75" customHeight="1">
      <c r="A470" s="164"/>
      <c r="B470" s="164"/>
      <c r="C470" s="164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</row>
    <row r="471" ht="15.75" customHeight="1">
      <c r="A471" s="164"/>
      <c r="B471" s="164"/>
      <c r="C471" s="164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</row>
    <row r="472" ht="15.75" customHeight="1">
      <c r="A472" s="164"/>
      <c r="B472" s="164"/>
      <c r="C472" s="164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</row>
    <row r="473" ht="15.75" customHeight="1">
      <c r="A473" s="164"/>
      <c r="B473" s="164"/>
      <c r="C473" s="164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</row>
    <row r="474" ht="15.75" customHeight="1">
      <c r="A474" s="164"/>
      <c r="B474" s="164"/>
      <c r="C474" s="164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</row>
    <row r="475" ht="15.75" customHeight="1">
      <c r="A475" s="164"/>
      <c r="B475" s="164"/>
      <c r="C475" s="164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</row>
    <row r="476" ht="15.75" customHeight="1">
      <c r="A476" s="164"/>
      <c r="B476" s="164"/>
      <c r="C476" s="164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</row>
    <row r="477" ht="15.75" customHeight="1">
      <c r="A477" s="164"/>
      <c r="B477" s="164"/>
      <c r="C477" s="164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</row>
    <row r="478" ht="15.75" customHeight="1">
      <c r="A478" s="164"/>
      <c r="B478" s="164"/>
      <c r="C478" s="164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</row>
    <row r="479" ht="15.75" customHeight="1">
      <c r="A479" s="164"/>
      <c r="B479" s="164"/>
      <c r="C479" s="164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</row>
    <row r="480" ht="15.75" customHeight="1">
      <c r="A480" s="164"/>
      <c r="B480" s="164"/>
      <c r="C480" s="164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</row>
    <row r="481" ht="15.75" customHeight="1">
      <c r="A481" s="164"/>
      <c r="B481" s="164"/>
      <c r="C481" s="164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</row>
    <row r="482" ht="15.75" customHeight="1">
      <c r="A482" s="164"/>
      <c r="B482" s="164"/>
      <c r="C482" s="164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</row>
    <row r="483" ht="15.75" customHeight="1">
      <c r="A483" s="164"/>
      <c r="B483" s="164"/>
      <c r="C483" s="164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</row>
    <row r="484" ht="15.75" customHeight="1">
      <c r="A484" s="164"/>
      <c r="B484" s="164"/>
      <c r="C484" s="164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</row>
    <row r="485" ht="15.75" customHeight="1">
      <c r="A485" s="164"/>
      <c r="B485" s="164"/>
      <c r="C485" s="164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</row>
    <row r="486" ht="15.75" customHeight="1">
      <c r="A486" s="164"/>
      <c r="B486" s="164"/>
      <c r="C486" s="164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</row>
    <row r="487" ht="15.75" customHeight="1">
      <c r="A487" s="164"/>
      <c r="B487" s="164"/>
      <c r="C487" s="164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</row>
    <row r="488" ht="15.75" customHeight="1">
      <c r="A488" s="164"/>
      <c r="B488" s="164"/>
      <c r="C488" s="164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</row>
    <row r="489" ht="15.75" customHeight="1">
      <c r="A489" s="164"/>
      <c r="B489" s="164"/>
      <c r="C489" s="164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</row>
    <row r="490" ht="15.75" customHeight="1">
      <c r="A490" s="164"/>
      <c r="B490" s="164"/>
      <c r="C490" s="164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</row>
    <row r="491" ht="15.75" customHeight="1">
      <c r="A491" s="164"/>
      <c r="B491" s="164"/>
      <c r="C491" s="164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</row>
    <row r="492" ht="15.75" customHeight="1">
      <c r="A492" s="164"/>
      <c r="B492" s="164"/>
      <c r="C492" s="164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</row>
    <row r="493" ht="15.75" customHeight="1">
      <c r="A493" s="164"/>
      <c r="B493" s="164"/>
      <c r="C493" s="164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</row>
    <row r="494" ht="15.75" customHeight="1">
      <c r="A494" s="164"/>
      <c r="B494" s="164"/>
      <c r="C494" s="164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</row>
    <row r="495" ht="15.75" customHeight="1">
      <c r="A495" s="164"/>
      <c r="B495" s="164"/>
      <c r="C495" s="164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</row>
    <row r="496" ht="15.75" customHeight="1">
      <c r="A496" s="164"/>
      <c r="B496" s="164"/>
      <c r="C496" s="164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</row>
    <row r="497" ht="15.75" customHeight="1">
      <c r="A497" s="164"/>
      <c r="B497" s="164"/>
      <c r="C497" s="164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</row>
    <row r="498" ht="15.75" customHeight="1">
      <c r="A498" s="164"/>
      <c r="B498" s="164"/>
      <c r="C498" s="164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</row>
    <row r="499" ht="15.75" customHeight="1">
      <c r="A499" s="164"/>
      <c r="B499" s="164"/>
      <c r="C499" s="164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</row>
    <row r="500" ht="15.75" customHeight="1">
      <c r="A500" s="164"/>
      <c r="B500" s="164"/>
      <c r="C500" s="164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</row>
    <row r="501" ht="15.75" customHeight="1">
      <c r="A501" s="164"/>
      <c r="B501" s="164"/>
      <c r="C501" s="164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</row>
    <row r="502" ht="15.75" customHeight="1">
      <c r="A502" s="164"/>
      <c r="B502" s="164"/>
      <c r="C502" s="164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</row>
    <row r="503" ht="15.75" customHeight="1">
      <c r="A503" s="164"/>
      <c r="B503" s="164"/>
      <c r="C503" s="164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</row>
    <row r="504" ht="15.75" customHeight="1">
      <c r="A504" s="164"/>
      <c r="B504" s="164"/>
      <c r="C504" s="164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</row>
    <row r="505" ht="15.75" customHeight="1">
      <c r="A505" s="164"/>
      <c r="B505" s="164"/>
      <c r="C505" s="164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</row>
    <row r="506" ht="15.75" customHeight="1">
      <c r="A506" s="164"/>
      <c r="B506" s="164"/>
      <c r="C506" s="164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</row>
    <row r="507" ht="15.75" customHeight="1">
      <c r="A507" s="164"/>
      <c r="B507" s="164"/>
      <c r="C507" s="164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</row>
    <row r="508" ht="15.75" customHeight="1">
      <c r="A508" s="164"/>
      <c r="B508" s="164"/>
      <c r="C508" s="164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</row>
    <row r="509" ht="15.75" customHeight="1">
      <c r="A509" s="164"/>
      <c r="B509" s="164"/>
      <c r="C509" s="164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</row>
    <row r="510" ht="15.75" customHeight="1">
      <c r="A510" s="164"/>
      <c r="B510" s="164"/>
      <c r="C510" s="164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</row>
    <row r="511" ht="15.75" customHeight="1">
      <c r="A511" s="164"/>
      <c r="B511" s="164"/>
      <c r="C511" s="164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</row>
    <row r="512" ht="15.75" customHeight="1">
      <c r="A512" s="164"/>
      <c r="B512" s="164"/>
      <c r="C512" s="164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</row>
    <row r="513" ht="15.75" customHeight="1">
      <c r="A513" s="164"/>
      <c r="B513" s="164"/>
      <c r="C513" s="164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</row>
    <row r="514" ht="15.75" customHeight="1">
      <c r="A514" s="164"/>
      <c r="B514" s="164"/>
      <c r="C514" s="164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</row>
    <row r="515" ht="15.75" customHeight="1">
      <c r="A515" s="164"/>
      <c r="B515" s="164"/>
      <c r="C515" s="164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</row>
    <row r="516" ht="15.75" customHeight="1">
      <c r="A516" s="164"/>
      <c r="B516" s="164"/>
      <c r="C516" s="164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</row>
    <row r="517" ht="15.75" customHeight="1">
      <c r="A517" s="164"/>
      <c r="B517" s="164"/>
      <c r="C517" s="164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</row>
    <row r="518" ht="15.75" customHeight="1">
      <c r="A518" s="164"/>
      <c r="B518" s="164"/>
      <c r="C518" s="164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</row>
    <row r="519" ht="15.75" customHeight="1">
      <c r="A519" s="164"/>
      <c r="B519" s="164"/>
      <c r="C519" s="164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</row>
    <row r="520" ht="15.75" customHeight="1">
      <c r="A520" s="164"/>
      <c r="B520" s="164"/>
      <c r="C520" s="164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</row>
    <row r="521" ht="15.75" customHeight="1">
      <c r="A521" s="164"/>
      <c r="B521" s="164"/>
      <c r="C521" s="164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</row>
    <row r="522" ht="15.75" customHeight="1">
      <c r="A522" s="164"/>
      <c r="B522" s="164"/>
      <c r="C522" s="164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</row>
    <row r="523" ht="15.75" customHeight="1">
      <c r="A523" s="164"/>
      <c r="B523" s="164"/>
      <c r="C523" s="164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</row>
    <row r="524" ht="15.75" customHeight="1">
      <c r="A524" s="164"/>
      <c r="B524" s="164"/>
      <c r="C524" s="164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</row>
    <row r="525" ht="15.75" customHeight="1">
      <c r="A525" s="164"/>
      <c r="B525" s="164"/>
      <c r="C525" s="164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</row>
    <row r="526" ht="15.75" customHeight="1">
      <c r="A526" s="164"/>
      <c r="B526" s="164"/>
      <c r="C526" s="164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</row>
    <row r="527" ht="15.75" customHeight="1">
      <c r="A527" s="164"/>
      <c r="B527" s="164"/>
      <c r="C527" s="164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</row>
    <row r="528" ht="15.75" customHeight="1">
      <c r="A528" s="164"/>
      <c r="B528" s="164"/>
      <c r="C528" s="164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</row>
    <row r="529" ht="15.75" customHeight="1">
      <c r="A529" s="164"/>
      <c r="B529" s="164"/>
      <c r="C529" s="164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</row>
    <row r="530" ht="15.75" customHeight="1">
      <c r="A530" s="164"/>
      <c r="B530" s="164"/>
      <c r="C530" s="164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</row>
    <row r="531" ht="15.75" customHeight="1">
      <c r="A531" s="164"/>
      <c r="B531" s="164"/>
      <c r="C531" s="164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</row>
    <row r="532" ht="15.75" customHeight="1">
      <c r="A532" s="164"/>
      <c r="B532" s="164"/>
      <c r="C532" s="164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</row>
    <row r="533" ht="15.75" customHeight="1">
      <c r="A533" s="164"/>
      <c r="B533" s="164"/>
      <c r="C533" s="164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</row>
    <row r="534" ht="15.75" customHeight="1">
      <c r="A534" s="164"/>
      <c r="B534" s="164"/>
      <c r="C534" s="164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</row>
    <row r="535" ht="15.75" customHeight="1">
      <c r="A535" s="164"/>
      <c r="B535" s="164"/>
      <c r="C535" s="164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</row>
    <row r="536" ht="15.75" customHeight="1">
      <c r="A536" s="164"/>
      <c r="B536" s="164"/>
      <c r="C536" s="164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</row>
    <row r="537" ht="15.75" customHeight="1">
      <c r="A537" s="164"/>
      <c r="B537" s="164"/>
      <c r="C537" s="164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</row>
    <row r="538" ht="15.75" customHeight="1">
      <c r="A538" s="164"/>
      <c r="B538" s="164"/>
      <c r="C538" s="164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</row>
    <row r="539" ht="15.75" customHeight="1">
      <c r="A539" s="164"/>
      <c r="B539" s="164"/>
      <c r="C539" s="164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</row>
    <row r="540" ht="15.75" customHeight="1">
      <c r="A540" s="164"/>
      <c r="B540" s="164"/>
      <c r="C540" s="164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</row>
    <row r="541" ht="15.75" customHeight="1">
      <c r="A541" s="164"/>
      <c r="B541" s="164"/>
      <c r="C541" s="164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</row>
    <row r="542" ht="15.75" customHeight="1">
      <c r="A542" s="164"/>
      <c r="B542" s="164"/>
      <c r="C542" s="164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</row>
    <row r="543" ht="15.75" customHeight="1">
      <c r="A543" s="164"/>
      <c r="B543" s="164"/>
      <c r="C543" s="164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</row>
    <row r="544" ht="15.75" customHeight="1">
      <c r="A544" s="164"/>
      <c r="B544" s="164"/>
      <c r="C544" s="164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</row>
    <row r="545" ht="15.75" customHeight="1">
      <c r="A545" s="164"/>
      <c r="B545" s="164"/>
      <c r="C545" s="164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</row>
    <row r="546" ht="15.75" customHeight="1">
      <c r="A546" s="164"/>
      <c r="B546" s="164"/>
      <c r="C546" s="164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</row>
    <row r="547" ht="15.75" customHeight="1">
      <c r="A547" s="164"/>
      <c r="B547" s="164"/>
      <c r="C547" s="164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</row>
    <row r="548" ht="15.75" customHeight="1">
      <c r="A548" s="164"/>
      <c r="B548" s="164"/>
      <c r="C548" s="164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</row>
    <row r="549" ht="15.75" customHeight="1">
      <c r="A549" s="164"/>
      <c r="B549" s="164"/>
      <c r="C549" s="164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</row>
    <row r="550" ht="15.75" customHeight="1">
      <c r="A550" s="164"/>
      <c r="B550" s="164"/>
      <c r="C550" s="164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</row>
    <row r="551" ht="15.75" customHeight="1">
      <c r="A551" s="164"/>
      <c r="B551" s="164"/>
      <c r="C551" s="164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</row>
    <row r="552" ht="15.75" customHeight="1">
      <c r="A552" s="164"/>
      <c r="B552" s="164"/>
      <c r="C552" s="164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</row>
    <row r="553" ht="15.75" customHeight="1">
      <c r="A553" s="164"/>
      <c r="B553" s="164"/>
      <c r="C553" s="164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</row>
    <row r="554" ht="15.75" customHeight="1">
      <c r="A554" s="164"/>
      <c r="B554" s="164"/>
      <c r="C554" s="164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</row>
    <row r="555" ht="15.75" customHeight="1">
      <c r="A555" s="164"/>
      <c r="B555" s="164"/>
      <c r="C555" s="164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</row>
    <row r="556" ht="15.75" customHeight="1">
      <c r="A556" s="164"/>
      <c r="B556" s="164"/>
      <c r="C556" s="164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</row>
    <row r="557" ht="15.75" customHeight="1">
      <c r="A557" s="164"/>
      <c r="B557" s="164"/>
      <c r="C557" s="164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</row>
    <row r="558" ht="15.75" customHeight="1">
      <c r="A558" s="164"/>
      <c r="B558" s="164"/>
      <c r="C558" s="164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</row>
    <row r="559" ht="15.75" customHeight="1">
      <c r="A559" s="164"/>
      <c r="B559" s="164"/>
      <c r="C559" s="164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</row>
    <row r="560" ht="15.75" customHeight="1">
      <c r="A560" s="164"/>
      <c r="B560" s="164"/>
      <c r="C560" s="164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</row>
    <row r="561" ht="15.75" customHeight="1">
      <c r="A561" s="164"/>
      <c r="B561" s="164"/>
      <c r="C561" s="164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</row>
    <row r="562" ht="15.75" customHeight="1">
      <c r="A562" s="164"/>
      <c r="B562" s="164"/>
      <c r="C562" s="164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</row>
    <row r="563" ht="15.75" customHeight="1">
      <c r="A563" s="164"/>
      <c r="B563" s="164"/>
      <c r="C563" s="164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</row>
    <row r="564" ht="15.75" customHeight="1">
      <c r="A564" s="164"/>
      <c r="B564" s="164"/>
      <c r="C564" s="164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</row>
    <row r="565" ht="15.75" customHeight="1">
      <c r="A565" s="164"/>
      <c r="B565" s="164"/>
      <c r="C565" s="164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</row>
    <row r="566" ht="15.75" customHeight="1">
      <c r="A566" s="164"/>
      <c r="B566" s="164"/>
      <c r="C566" s="164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</row>
    <row r="567" ht="15.75" customHeight="1">
      <c r="A567" s="164"/>
      <c r="B567" s="164"/>
      <c r="C567" s="164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</row>
    <row r="568" ht="15.75" customHeight="1">
      <c r="A568" s="164"/>
      <c r="B568" s="164"/>
      <c r="C568" s="164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</row>
    <row r="569" ht="15.75" customHeight="1">
      <c r="A569" s="164"/>
      <c r="B569" s="164"/>
      <c r="C569" s="164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</row>
    <row r="570" ht="15.75" customHeight="1">
      <c r="A570" s="164"/>
      <c r="B570" s="164"/>
      <c r="C570" s="164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</row>
    <row r="571" ht="15.75" customHeight="1">
      <c r="A571" s="164"/>
      <c r="B571" s="164"/>
      <c r="C571" s="164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</row>
    <row r="572" ht="15.75" customHeight="1">
      <c r="A572" s="164"/>
      <c r="B572" s="164"/>
      <c r="C572" s="164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</row>
    <row r="573" ht="15.75" customHeight="1">
      <c r="A573" s="164"/>
      <c r="B573" s="164"/>
      <c r="C573" s="164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</row>
    <row r="574" ht="15.75" customHeight="1">
      <c r="A574" s="164"/>
      <c r="B574" s="164"/>
      <c r="C574" s="164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</row>
    <row r="575" ht="15.75" customHeight="1">
      <c r="A575" s="164"/>
      <c r="B575" s="164"/>
      <c r="C575" s="164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</row>
    <row r="576" ht="15.75" customHeight="1">
      <c r="A576" s="164"/>
      <c r="B576" s="164"/>
      <c r="C576" s="164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</row>
    <row r="577" ht="15.75" customHeight="1">
      <c r="A577" s="164"/>
      <c r="B577" s="164"/>
      <c r="C577" s="164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</row>
    <row r="578" ht="15.75" customHeight="1">
      <c r="A578" s="164"/>
      <c r="B578" s="164"/>
      <c r="C578" s="164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</row>
    <row r="579" ht="15.75" customHeight="1">
      <c r="A579" s="164"/>
      <c r="B579" s="164"/>
      <c r="C579" s="164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</row>
    <row r="580" ht="15.75" customHeight="1">
      <c r="A580" s="164"/>
      <c r="B580" s="164"/>
      <c r="C580" s="164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</row>
    <row r="581" ht="15.75" customHeight="1">
      <c r="A581" s="164"/>
      <c r="B581" s="164"/>
      <c r="C581" s="164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</row>
    <row r="582" ht="15.75" customHeight="1">
      <c r="A582" s="164"/>
      <c r="B582" s="164"/>
      <c r="C582" s="164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</row>
    <row r="583" ht="15.75" customHeight="1">
      <c r="A583" s="164"/>
      <c r="B583" s="164"/>
      <c r="C583" s="164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</row>
    <row r="584" ht="15.75" customHeight="1">
      <c r="A584" s="164"/>
      <c r="B584" s="164"/>
      <c r="C584" s="164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</row>
    <row r="585" ht="15.75" customHeight="1">
      <c r="A585" s="164"/>
      <c r="B585" s="164"/>
      <c r="C585" s="164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</row>
    <row r="586" ht="15.75" customHeight="1">
      <c r="A586" s="164"/>
      <c r="B586" s="164"/>
      <c r="C586" s="164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</row>
    <row r="587" ht="15.75" customHeight="1">
      <c r="A587" s="164"/>
      <c r="B587" s="164"/>
      <c r="C587" s="164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</row>
    <row r="588" ht="15.75" customHeight="1">
      <c r="A588" s="164"/>
      <c r="B588" s="164"/>
      <c r="C588" s="164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</row>
    <row r="589" ht="15.75" customHeight="1">
      <c r="A589" s="164"/>
      <c r="B589" s="164"/>
      <c r="C589" s="164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</row>
    <row r="590" ht="15.75" customHeight="1">
      <c r="A590" s="164"/>
      <c r="B590" s="164"/>
      <c r="C590" s="164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</row>
    <row r="591" ht="15.75" customHeight="1">
      <c r="A591" s="164"/>
      <c r="B591" s="164"/>
      <c r="C591" s="164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</row>
    <row r="592" ht="15.75" customHeight="1">
      <c r="A592" s="164"/>
      <c r="B592" s="164"/>
      <c r="C592" s="164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</row>
    <row r="593" ht="15.75" customHeight="1">
      <c r="A593" s="164"/>
      <c r="B593" s="164"/>
      <c r="C593" s="164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</row>
    <row r="594" ht="15.75" customHeight="1">
      <c r="A594" s="164"/>
      <c r="B594" s="164"/>
      <c r="C594" s="164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</row>
    <row r="595" ht="15.75" customHeight="1">
      <c r="A595" s="164"/>
      <c r="B595" s="164"/>
      <c r="C595" s="164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</row>
    <row r="596" ht="15.75" customHeight="1">
      <c r="A596" s="164"/>
      <c r="B596" s="164"/>
      <c r="C596" s="164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</row>
    <row r="597" ht="15.75" customHeight="1">
      <c r="A597" s="164"/>
      <c r="B597" s="164"/>
      <c r="C597" s="164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</row>
    <row r="598" ht="15.75" customHeight="1">
      <c r="A598" s="164"/>
      <c r="B598" s="164"/>
      <c r="C598" s="164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</row>
    <row r="599" ht="15.75" customHeight="1">
      <c r="A599" s="164"/>
      <c r="B599" s="164"/>
      <c r="C599" s="164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</row>
    <row r="600" ht="15.75" customHeight="1">
      <c r="A600" s="164"/>
      <c r="B600" s="164"/>
      <c r="C600" s="164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</row>
    <row r="601" ht="15.75" customHeight="1">
      <c r="A601" s="164"/>
      <c r="B601" s="164"/>
      <c r="C601" s="164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</row>
    <row r="602" ht="15.75" customHeight="1">
      <c r="A602" s="164"/>
      <c r="B602" s="164"/>
      <c r="C602" s="164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</row>
    <row r="603" ht="15.75" customHeight="1">
      <c r="A603" s="164"/>
      <c r="B603" s="164"/>
      <c r="C603" s="164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</row>
    <row r="604" ht="15.75" customHeight="1">
      <c r="A604" s="164"/>
      <c r="B604" s="164"/>
      <c r="C604" s="164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</row>
    <row r="605" ht="15.75" customHeight="1">
      <c r="A605" s="164"/>
      <c r="B605" s="164"/>
      <c r="C605" s="164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</row>
    <row r="606" ht="15.75" customHeight="1">
      <c r="A606" s="164"/>
      <c r="B606" s="164"/>
      <c r="C606" s="164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</row>
    <row r="607" ht="15.75" customHeight="1">
      <c r="A607" s="164"/>
      <c r="B607" s="164"/>
      <c r="C607" s="164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</row>
    <row r="608" ht="15.75" customHeight="1">
      <c r="A608" s="164"/>
      <c r="B608" s="164"/>
      <c r="C608" s="164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</row>
    <row r="609" ht="15.75" customHeight="1">
      <c r="A609" s="164"/>
      <c r="B609" s="164"/>
      <c r="C609" s="164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</row>
    <row r="610" ht="15.75" customHeight="1">
      <c r="A610" s="164"/>
      <c r="B610" s="164"/>
      <c r="C610" s="164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</row>
    <row r="611" ht="15.75" customHeight="1">
      <c r="A611" s="164"/>
      <c r="B611" s="164"/>
      <c r="C611" s="164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</row>
    <row r="612" ht="15.75" customHeight="1">
      <c r="A612" s="164"/>
      <c r="B612" s="164"/>
      <c r="C612" s="164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</row>
    <row r="613" ht="15.75" customHeight="1">
      <c r="A613" s="164"/>
      <c r="B613" s="164"/>
      <c r="C613" s="164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</row>
    <row r="614" ht="15.75" customHeight="1">
      <c r="A614" s="164"/>
      <c r="B614" s="164"/>
      <c r="C614" s="164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</row>
    <row r="615" ht="15.75" customHeight="1">
      <c r="A615" s="164"/>
      <c r="B615" s="164"/>
      <c r="C615" s="164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</row>
    <row r="616" ht="15.75" customHeight="1">
      <c r="A616" s="164"/>
      <c r="B616" s="164"/>
      <c r="C616" s="164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</row>
    <row r="617" ht="15.75" customHeight="1">
      <c r="A617" s="164"/>
      <c r="B617" s="164"/>
      <c r="C617" s="164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</row>
    <row r="618" ht="15.75" customHeight="1">
      <c r="A618" s="164"/>
      <c r="B618" s="164"/>
      <c r="C618" s="164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</row>
    <row r="619" ht="15.75" customHeight="1">
      <c r="A619" s="164"/>
      <c r="B619" s="164"/>
      <c r="C619" s="164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</row>
    <row r="620" ht="15.75" customHeight="1">
      <c r="A620" s="164"/>
      <c r="B620" s="164"/>
      <c r="C620" s="164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</row>
    <row r="621" ht="15.75" customHeight="1">
      <c r="A621" s="164"/>
      <c r="B621" s="164"/>
      <c r="C621" s="164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</row>
    <row r="622" ht="15.75" customHeight="1">
      <c r="A622" s="164"/>
      <c r="B622" s="164"/>
      <c r="C622" s="164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</row>
    <row r="623" ht="15.75" customHeight="1">
      <c r="A623" s="164"/>
      <c r="B623" s="164"/>
      <c r="C623" s="164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</row>
    <row r="624" ht="15.75" customHeight="1">
      <c r="A624" s="164"/>
      <c r="B624" s="164"/>
      <c r="C624" s="164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</row>
    <row r="625" ht="15.75" customHeight="1">
      <c r="A625" s="164"/>
      <c r="B625" s="164"/>
      <c r="C625" s="164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</row>
    <row r="626" ht="15.75" customHeight="1">
      <c r="A626" s="164"/>
      <c r="B626" s="164"/>
      <c r="C626" s="164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</row>
    <row r="627" ht="15.75" customHeight="1">
      <c r="A627" s="164"/>
      <c r="B627" s="164"/>
      <c r="C627" s="164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</row>
    <row r="628" ht="15.75" customHeight="1">
      <c r="A628" s="164"/>
      <c r="B628" s="164"/>
      <c r="C628" s="164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</row>
    <row r="629" ht="15.75" customHeight="1">
      <c r="A629" s="164"/>
      <c r="B629" s="164"/>
      <c r="C629" s="164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</row>
    <row r="630" ht="15.75" customHeight="1">
      <c r="A630" s="164"/>
      <c r="B630" s="164"/>
      <c r="C630" s="164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</row>
    <row r="631" ht="15.75" customHeight="1">
      <c r="A631" s="164"/>
      <c r="B631" s="164"/>
      <c r="C631" s="164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</row>
    <row r="632" ht="15.75" customHeight="1">
      <c r="A632" s="164"/>
      <c r="B632" s="164"/>
      <c r="C632" s="164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</row>
    <row r="633" ht="15.75" customHeight="1">
      <c r="A633" s="164"/>
      <c r="B633" s="164"/>
      <c r="C633" s="164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</row>
    <row r="634" ht="15.75" customHeight="1">
      <c r="A634" s="164"/>
      <c r="B634" s="164"/>
      <c r="C634" s="164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</row>
    <row r="635" ht="15.75" customHeight="1">
      <c r="A635" s="164"/>
      <c r="B635" s="164"/>
      <c r="C635" s="164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</row>
    <row r="636" ht="15.75" customHeight="1">
      <c r="A636" s="164"/>
      <c r="B636" s="164"/>
      <c r="C636" s="164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</row>
    <row r="637" ht="15.75" customHeight="1">
      <c r="A637" s="164"/>
      <c r="B637" s="164"/>
      <c r="C637" s="164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</row>
    <row r="638" ht="15.75" customHeight="1">
      <c r="A638" s="164"/>
      <c r="B638" s="164"/>
      <c r="C638" s="164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</row>
    <row r="639" ht="15.75" customHeight="1">
      <c r="A639" s="164"/>
      <c r="B639" s="164"/>
      <c r="C639" s="164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</row>
    <row r="640" ht="15.75" customHeight="1">
      <c r="A640" s="164"/>
      <c r="B640" s="164"/>
      <c r="C640" s="164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</row>
    <row r="641" ht="15.75" customHeight="1">
      <c r="A641" s="164"/>
      <c r="B641" s="164"/>
      <c r="C641" s="164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</row>
    <row r="642" ht="15.75" customHeight="1">
      <c r="A642" s="164"/>
      <c r="B642" s="164"/>
      <c r="C642" s="164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</row>
    <row r="643" ht="15.75" customHeight="1">
      <c r="A643" s="164"/>
      <c r="B643" s="164"/>
      <c r="C643" s="164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</row>
    <row r="644" ht="15.75" customHeight="1">
      <c r="A644" s="164"/>
      <c r="B644" s="164"/>
      <c r="C644" s="164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</row>
    <row r="645" ht="15.75" customHeight="1">
      <c r="A645" s="164"/>
      <c r="B645" s="164"/>
      <c r="C645" s="164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</row>
    <row r="646" ht="15.75" customHeight="1">
      <c r="A646" s="164"/>
      <c r="B646" s="164"/>
      <c r="C646" s="164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</row>
    <row r="647" ht="15.75" customHeight="1">
      <c r="A647" s="164"/>
      <c r="B647" s="164"/>
      <c r="C647" s="164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</row>
    <row r="648" ht="15.75" customHeight="1">
      <c r="A648" s="164"/>
      <c r="B648" s="164"/>
      <c r="C648" s="164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</row>
    <row r="649" ht="15.75" customHeight="1">
      <c r="A649" s="164"/>
      <c r="B649" s="164"/>
      <c r="C649" s="164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</row>
    <row r="650" ht="15.75" customHeight="1">
      <c r="A650" s="164"/>
      <c r="B650" s="164"/>
      <c r="C650" s="164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</row>
    <row r="651" ht="15.75" customHeight="1">
      <c r="A651" s="164"/>
      <c r="B651" s="164"/>
      <c r="C651" s="164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</row>
    <row r="652" ht="15.75" customHeight="1">
      <c r="A652" s="164"/>
      <c r="B652" s="164"/>
      <c r="C652" s="164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</row>
    <row r="653" ht="15.75" customHeight="1">
      <c r="A653" s="164"/>
      <c r="B653" s="164"/>
      <c r="C653" s="164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</row>
    <row r="654" ht="15.75" customHeight="1">
      <c r="A654" s="164"/>
      <c r="B654" s="164"/>
      <c r="C654" s="164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</row>
    <row r="655" ht="15.75" customHeight="1">
      <c r="A655" s="164"/>
      <c r="B655" s="164"/>
      <c r="C655" s="164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</row>
    <row r="656" ht="15.75" customHeight="1">
      <c r="A656" s="164"/>
      <c r="B656" s="164"/>
      <c r="C656" s="164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</row>
    <row r="657" ht="15.75" customHeight="1">
      <c r="A657" s="164"/>
      <c r="B657" s="164"/>
      <c r="C657" s="164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</row>
    <row r="658" ht="15.75" customHeight="1">
      <c r="A658" s="164"/>
      <c r="B658" s="164"/>
      <c r="C658" s="164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</row>
    <row r="659" ht="15.75" customHeight="1">
      <c r="A659" s="164"/>
      <c r="B659" s="164"/>
      <c r="C659" s="164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</row>
    <row r="660" ht="15.75" customHeight="1">
      <c r="A660" s="164"/>
      <c r="B660" s="164"/>
      <c r="C660" s="164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</row>
    <row r="661" ht="15.75" customHeight="1">
      <c r="A661" s="164"/>
      <c r="B661" s="164"/>
      <c r="C661" s="164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</row>
    <row r="662" ht="15.75" customHeight="1">
      <c r="A662" s="164"/>
      <c r="B662" s="164"/>
      <c r="C662" s="164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</row>
    <row r="663" ht="15.75" customHeight="1">
      <c r="A663" s="164"/>
      <c r="B663" s="164"/>
      <c r="C663" s="164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</row>
    <row r="664" ht="15.75" customHeight="1">
      <c r="A664" s="164"/>
      <c r="B664" s="164"/>
      <c r="C664" s="164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</row>
    <row r="665" ht="15.75" customHeight="1">
      <c r="A665" s="164"/>
      <c r="B665" s="164"/>
      <c r="C665" s="164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</row>
    <row r="666" ht="15.75" customHeight="1">
      <c r="A666" s="164"/>
      <c r="B666" s="164"/>
      <c r="C666" s="164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</row>
    <row r="667" ht="15.75" customHeight="1">
      <c r="A667" s="164"/>
      <c r="B667" s="164"/>
      <c r="C667" s="164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</row>
    <row r="668" ht="15.75" customHeight="1">
      <c r="A668" s="164"/>
      <c r="B668" s="164"/>
      <c r="C668" s="164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</row>
    <row r="669" ht="15.75" customHeight="1">
      <c r="A669" s="164"/>
      <c r="B669" s="164"/>
      <c r="C669" s="164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</row>
    <row r="670" ht="15.75" customHeight="1">
      <c r="A670" s="164"/>
      <c r="B670" s="164"/>
      <c r="C670" s="164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</row>
    <row r="671" ht="15.75" customHeight="1">
      <c r="A671" s="164"/>
      <c r="B671" s="164"/>
      <c r="C671" s="164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</row>
    <row r="672" ht="15.75" customHeight="1">
      <c r="A672" s="164"/>
      <c r="B672" s="164"/>
      <c r="C672" s="164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</row>
    <row r="673" ht="15.75" customHeight="1">
      <c r="A673" s="164"/>
      <c r="B673" s="164"/>
      <c r="C673" s="164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</row>
    <row r="674" ht="15.75" customHeight="1">
      <c r="A674" s="164"/>
      <c r="B674" s="164"/>
      <c r="C674" s="164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</row>
    <row r="675" ht="15.75" customHeight="1">
      <c r="A675" s="164"/>
      <c r="B675" s="164"/>
      <c r="C675" s="164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</row>
    <row r="676" ht="15.75" customHeight="1">
      <c r="A676" s="164"/>
      <c r="B676" s="164"/>
      <c r="C676" s="164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</row>
    <row r="677" ht="15.75" customHeight="1">
      <c r="A677" s="164"/>
      <c r="B677" s="164"/>
      <c r="C677" s="164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</row>
    <row r="678" ht="15.75" customHeight="1">
      <c r="A678" s="164"/>
      <c r="B678" s="164"/>
      <c r="C678" s="164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</row>
    <row r="679" ht="15.75" customHeight="1">
      <c r="A679" s="164"/>
      <c r="B679" s="164"/>
      <c r="C679" s="164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</row>
    <row r="680" ht="15.75" customHeight="1">
      <c r="A680" s="164"/>
      <c r="B680" s="164"/>
      <c r="C680" s="164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</row>
    <row r="681" ht="15.75" customHeight="1">
      <c r="A681" s="164"/>
      <c r="B681" s="164"/>
      <c r="C681" s="164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</row>
    <row r="682" ht="15.75" customHeight="1">
      <c r="A682" s="164"/>
      <c r="B682" s="164"/>
      <c r="C682" s="164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</row>
    <row r="683" ht="15.75" customHeight="1">
      <c r="A683" s="164"/>
      <c r="B683" s="164"/>
      <c r="C683" s="164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</row>
    <row r="684" ht="15.75" customHeight="1">
      <c r="A684" s="164"/>
      <c r="B684" s="164"/>
      <c r="C684" s="164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</row>
    <row r="685" ht="15.75" customHeight="1">
      <c r="A685" s="164"/>
      <c r="B685" s="164"/>
      <c r="C685" s="164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</row>
    <row r="686" ht="15.75" customHeight="1">
      <c r="A686" s="164"/>
      <c r="B686" s="164"/>
      <c r="C686" s="164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</row>
    <row r="687" ht="15.75" customHeight="1">
      <c r="A687" s="164"/>
      <c r="B687" s="164"/>
      <c r="C687" s="164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</row>
    <row r="688" ht="15.75" customHeight="1">
      <c r="A688" s="164"/>
      <c r="B688" s="164"/>
      <c r="C688" s="164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</row>
    <row r="689" ht="15.75" customHeight="1">
      <c r="A689" s="164"/>
      <c r="B689" s="164"/>
      <c r="C689" s="164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</row>
    <row r="690" ht="15.75" customHeight="1">
      <c r="A690" s="164"/>
      <c r="B690" s="164"/>
      <c r="C690" s="164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</row>
    <row r="691" ht="15.75" customHeight="1">
      <c r="A691" s="164"/>
      <c r="B691" s="164"/>
      <c r="C691" s="164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</row>
    <row r="692" ht="15.75" customHeight="1">
      <c r="A692" s="164"/>
      <c r="B692" s="164"/>
      <c r="C692" s="164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</row>
    <row r="693" ht="15.75" customHeight="1">
      <c r="A693" s="164"/>
      <c r="B693" s="164"/>
      <c r="C693" s="164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</row>
    <row r="694" ht="15.75" customHeight="1">
      <c r="A694" s="164"/>
      <c r="B694" s="164"/>
      <c r="C694" s="164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</row>
    <row r="695" ht="15.75" customHeight="1">
      <c r="A695" s="164"/>
      <c r="B695" s="164"/>
      <c r="C695" s="164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</row>
    <row r="696" ht="15.75" customHeight="1">
      <c r="A696" s="164"/>
      <c r="B696" s="164"/>
      <c r="C696" s="164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</row>
    <row r="697" ht="15.75" customHeight="1">
      <c r="A697" s="164"/>
      <c r="B697" s="164"/>
      <c r="C697" s="164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</row>
    <row r="698" ht="15.75" customHeight="1">
      <c r="A698" s="164"/>
      <c r="B698" s="164"/>
      <c r="C698" s="164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</row>
    <row r="699" ht="15.75" customHeight="1">
      <c r="A699" s="164"/>
      <c r="B699" s="164"/>
      <c r="C699" s="164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</row>
    <row r="700" ht="15.75" customHeight="1">
      <c r="A700" s="164"/>
      <c r="B700" s="164"/>
      <c r="C700" s="164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</row>
    <row r="701" ht="15.75" customHeight="1">
      <c r="A701" s="164"/>
      <c r="B701" s="164"/>
      <c r="C701" s="164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</row>
    <row r="702" ht="15.75" customHeight="1">
      <c r="A702" s="164"/>
      <c r="B702" s="164"/>
      <c r="C702" s="164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</row>
    <row r="703" ht="15.75" customHeight="1">
      <c r="A703" s="164"/>
      <c r="B703" s="164"/>
      <c r="C703" s="164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</row>
    <row r="704" ht="15.75" customHeight="1">
      <c r="A704" s="164"/>
      <c r="B704" s="164"/>
      <c r="C704" s="164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</row>
    <row r="705" ht="15.75" customHeight="1">
      <c r="A705" s="164"/>
      <c r="B705" s="164"/>
      <c r="C705" s="164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</row>
    <row r="706" ht="15.75" customHeight="1">
      <c r="A706" s="164"/>
      <c r="B706" s="164"/>
      <c r="C706" s="164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</row>
    <row r="707" ht="15.75" customHeight="1">
      <c r="A707" s="164"/>
      <c r="B707" s="164"/>
      <c r="C707" s="164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</row>
    <row r="708" ht="15.75" customHeight="1">
      <c r="A708" s="164"/>
      <c r="B708" s="164"/>
      <c r="C708" s="164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</row>
    <row r="709" ht="15.75" customHeight="1">
      <c r="A709" s="164"/>
      <c r="B709" s="164"/>
      <c r="C709" s="164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</row>
    <row r="710" ht="15.75" customHeight="1">
      <c r="A710" s="164"/>
      <c r="B710" s="164"/>
      <c r="C710" s="164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</row>
    <row r="711" ht="15.75" customHeight="1">
      <c r="A711" s="164"/>
      <c r="B711" s="164"/>
      <c r="C711" s="164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</row>
    <row r="712" ht="15.75" customHeight="1">
      <c r="A712" s="164"/>
      <c r="B712" s="164"/>
      <c r="C712" s="164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</row>
    <row r="713" ht="15.75" customHeight="1">
      <c r="A713" s="164"/>
      <c r="B713" s="164"/>
      <c r="C713" s="164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</row>
    <row r="714" ht="15.75" customHeight="1">
      <c r="A714" s="164"/>
      <c r="B714" s="164"/>
      <c r="C714" s="164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</row>
    <row r="715" ht="15.75" customHeight="1">
      <c r="A715" s="164"/>
      <c r="B715" s="164"/>
      <c r="C715" s="164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</row>
    <row r="716" ht="15.75" customHeight="1">
      <c r="A716" s="164"/>
      <c r="B716" s="164"/>
      <c r="C716" s="164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</row>
    <row r="717" ht="15.75" customHeight="1">
      <c r="A717" s="164"/>
      <c r="B717" s="164"/>
      <c r="C717" s="164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</row>
    <row r="718" ht="15.75" customHeight="1">
      <c r="A718" s="164"/>
      <c r="B718" s="164"/>
      <c r="C718" s="164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</row>
    <row r="719" ht="15.75" customHeight="1">
      <c r="A719" s="164"/>
      <c r="B719" s="164"/>
      <c r="C719" s="164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</row>
    <row r="720" ht="15.75" customHeight="1">
      <c r="A720" s="164"/>
      <c r="B720" s="164"/>
      <c r="C720" s="164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</row>
    <row r="721" ht="15.75" customHeight="1">
      <c r="A721" s="164"/>
      <c r="B721" s="164"/>
      <c r="C721" s="164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</row>
    <row r="722" ht="15.75" customHeight="1">
      <c r="A722" s="164"/>
      <c r="B722" s="164"/>
      <c r="C722" s="164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</row>
    <row r="723" ht="15.75" customHeight="1">
      <c r="A723" s="164"/>
      <c r="B723" s="164"/>
      <c r="C723" s="164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</row>
    <row r="724" ht="15.75" customHeight="1">
      <c r="A724" s="164"/>
      <c r="B724" s="164"/>
      <c r="C724" s="164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</row>
    <row r="725" ht="15.75" customHeight="1">
      <c r="A725" s="164"/>
      <c r="B725" s="164"/>
      <c r="C725" s="164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</row>
    <row r="726" ht="15.75" customHeight="1">
      <c r="A726" s="164"/>
      <c r="B726" s="164"/>
      <c r="C726" s="164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</row>
    <row r="727" ht="15.75" customHeight="1">
      <c r="A727" s="164"/>
      <c r="B727" s="164"/>
      <c r="C727" s="164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</row>
    <row r="728" ht="15.75" customHeight="1">
      <c r="A728" s="164"/>
      <c r="B728" s="164"/>
      <c r="C728" s="164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</row>
    <row r="729" ht="15.75" customHeight="1">
      <c r="A729" s="164"/>
      <c r="B729" s="164"/>
      <c r="C729" s="164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</row>
    <row r="730" ht="15.75" customHeight="1">
      <c r="A730" s="164"/>
      <c r="B730" s="164"/>
      <c r="C730" s="164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</row>
    <row r="731" ht="15.75" customHeight="1">
      <c r="A731" s="164"/>
      <c r="B731" s="164"/>
      <c r="C731" s="164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</row>
    <row r="732" ht="15.75" customHeight="1">
      <c r="A732" s="164"/>
      <c r="B732" s="164"/>
      <c r="C732" s="164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</row>
    <row r="733" ht="15.75" customHeight="1">
      <c r="A733" s="164"/>
      <c r="B733" s="164"/>
      <c r="C733" s="164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</row>
    <row r="734" ht="15.75" customHeight="1">
      <c r="A734" s="164"/>
      <c r="B734" s="164"/>
      <c r="C734" s="164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</row>
    <row r="735" ht="15.75" customHeight="1">
      <c r="A735" s="164"/>
      <c r="B735" s="164"/>
      <c r="C735" s="164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</row>
    <row r="736" ht="15.75" customHeight="1">
      <c r="A736" s="164"/>
      <c r="B736" s="164"/>
      <c r="C736" s="164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</row>
    <row r="737" ht="15.75" customHeight="1">
      <c r="A737" s="164"/>
      <c r="B737" s="164"/>
      <c r="C737" s="164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</row>
    <row r="738" ht="15.75" customHeight="1">
      <c r="A738" s="164"/>
      <c r="B738" s="164"/>
      <c r="C738" s="164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</row>
    <row r="739" ht="15.75" customHeight="1">
      <c r="A739" s="164"/>
      <c r="B739" s="164"/>
      <c r="C739" s="164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</row>
    <row r="740" ht="15.75" customHeight="1">
      <c r="A740" s="164"/>
      <c r="B740" s="164"/>
      <c r="C740" s="164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</row>
    <row r="741" ht="15.75" customHeight="1">
      <c r="A741" s="164"/>
      <c r="B741" s="164"/>
      <c r="C741" s="164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</row>
    <row r="742" ht="15.75" customHeight="1">
      <c r="A742" s="164"/>
      <c r="B742" s="164"/>
      <c r="C742" s="164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</row>
    <row r="743" ht="15.75" customHeight="1">
      <c r="A743" s="164"/>
      <c r="B743" s="164"/>
      <c r="C743" s="164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</row>
    <row r="744" ht="15.75" customHeight="1">
      <c r="A744" s="164"/>
      <c r="B744" s="164"/>
      <c r="C744" s="164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</row>
    <row r="745" ht="15.75" customHeight="1">
      <c r="A745" s="164"/>
      <c r="B745" s="164"/>
      <c r="C745" s="164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</row>
    <row r="746" ht="15.75" customHeight="1">
      <c r="A746" s="164"/>
      <c r="B746" s="164"/>
      <c r="C746" s="164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</row>
    <row r="747" ht="15.75" customHeight="1">
      <c r="A747" s="164"/>
      <c r="B747" s="164"/>
      <c r="C747" s="164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</row>
    <row r="748" ht="15.75" customHeight="1">
      <c r="A748" s="164"/>
      <c r="B748" s="164"/>
      <c r="C748" s="164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</row>
    <row r="749" ht="15.75" customHeight="1">
      <c r="A749" s="164"/>
      <c r="B749" s="164"/>
      <c r="C749" s="164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</row>
    <row r="750" ht="15.75" customHeight="1">
      <c r="A750" s="164"/>
      <c r="B750" s="164"/>
      <c r="C750" s="164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</row>
    <row r="751" ht="15.75" customHeight="1">
      <c r="A751" s="164"/>
      <c r="B751" s="164"/>
      <c r="C751" s="164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</row>
    <row r="752" ht="15.75" customHeight="1">
      <c r="A752" s="164"/>
      <c r="B752" s="164"/>
      <c r="C752" s="164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</row>
    <row r="753" ht="15.75" customHeight="1">
      <c r="A753" s="164"/>
      <c r="B753" s="164"/>
      <c r="C753" s="164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</row>
    <row r="754" ht="15.75" customHeight="1">
      <c r="A754" s="164"/>
      <c r="B754" s="164"/>
      <c r="C754" s="164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</row>
    <row r="755" ht="15.75" customHeight="1">
      <c r="A755" s="164"/>
      <c r="B755" s="164"/>
      <c r="C755" s="164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</row>
    <row r="756" ht="15.75" customHeight="1">
      <c r="A756" s="164"/>
      <c r="B756" s="164"/>
      <c r="C756" s="164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</row>
    <row r="757" ht="15.75" customHeight="1">
      <c r="A757" s="164"/>
      <c r="B757" s="164"/>
      <c r="C757" s="164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</row>
    <row r="758" ht="15.75" customHeight="1">
      <c r="A758" s="164"/>
      <c r="B758" s="164"/>
      <c r="C758" s="164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</row>
    <row r="759" ht="15.75" customHeight="1">
      <c r="A759" s="164"/>
      <c r="B759" s="164"/>
      <c r="C759" s="164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</row>
    <row r="760" ht="15.75" customHeight="1">
      <c r="A760" s="164"/>
      <c r="B760" s="164"/>
      <c r="C760" s="164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</row>
    <row r="761" ht="15.75" customHeight="1">
      <c r="A761" s="164"/>
      <c r="B761" s="164"/>
      <c r="C761" s="164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</row>
    <row r="762" ht="15.75" customHeight="1">
      <c r="A762" s="164"/>
      <c r="B762" s="164"/>
      <c r="C762" s="164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</row>
    <row r="763" ht="15.75" customHeight="1">
      <c r="A763" s="164"/>
      <c r="B763" s="164"/>
      <c r="C763" s="164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</row>
    <row r="764" ht="15.75" customHeight="1">
      <c r="A764" s="164"/>
      <c r="B764" s="164"/>
      <c r="C764" s="164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</row>
    <row r="765" ht="15.75" customHeight="1">
      <c r="A765" s="164"/>
      <c r="B765" s="164"/>
      <c r="C765" s="164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</row>
    <row r="766" ht="15.75" customHeight="1">
      <c r="A766" s="164"/>
      <c r="B766" s="164"/>
      <c r="C766" s="164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</row>
    <row r="767" ht="15.75" customHeight="1">
      <c r="A767" s="164"/>
      <c r="B767" s="164"/>
      <c r="C767" s="164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</row>
    <row r="768" ht="15.75" customHeight="1">
      <c r="A768" s="164"/>
      <c r="B768" s="164"/>
      <c r="C768" s="164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</row>
    <row r="769" ht="15.75" customHeight="1">
      <c r="A769" s="164"/>
      <c r="B769" s="164"/>
      <c r="C769" s="164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</row>
    <row r="770" ht="15.75" customHeight="1">
      <c r="A770" s="164"/>
      <c r="B770" s="164"/>
      <c r="C770" s="164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</row>
    <row r="771" ht="15.75" customHeight="1">
      <c r="A771" s="164"/>
      <c r="B771" s="164"/>
      <c r="C771" s="164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</row>
    <row r="772" ht="15.75" customHeight="1">
      <c r="A772" s="164"/>
      <c r="B772" s="164"/>
      <c r="C772" s="164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</row>
    <row r="773" ht="15.75" customHeight="1">
      <c r="A773" s="164"/>
      <c r="B773" s="164"/>
      <c r="C773" s="164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</row>
    <row r="774" ht="15.75" customHeight="1">
      <c r="A774" s="164"/>
      <c r="B774" s="164"/>
      <c r="C774" s="164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</row>
    <row r="775" ht="15.75" customHeight="1">
      <c r="A775" s="164"/>
      <c r="B775" s="164"/>
      <c r="C775" s="164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</row>
    <row r="776" ht="15.75" customHeight="1">
      <c r="A776" s="164"/>
      <c r="B776" s="164"/>
      <c r="C776" s="164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</row>
    <row r="777" ht="15.75" customHeight="1">
      <c r="A777" s="164"/>
      <c r="B777" s="164"/>
      <c r="C777" s="164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</row>
    <row r="778" ht="15.75" customHeight="1">
      <c r="A778" s="164"/>
      <c r="B778" s="164"/>
      <c r="C778" s="164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</row>
    <row r="779" ht="15.75" customHeight="1">
      <c r="A779" s="164"/>
      <c r="B779" s="164"/>
      <c r="C779" s="164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</row>
    <row r="780" ht="15.75" customHeight="1">
      <c r="A780" s="164"/>
      <c r="B780" s="164"/>
      <c r="C780" s="164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</row>
    <row r="781" ht="15.75" customHeight="1">
      <c r="A781" s="164"/>
      <c r="B781" s="164"/>
      <c r="C781" s="164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</row>
    <row r="782" ht="15.75" customHeight="1">
      <c r="A782" s="164"/>
      <c r="B782" s="164"/>
      <c r="C782" s="164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</row>
    <row r="783" ht="15.75" customHeight="1">
      <c r="A783" s="164"/>
      <c r="B783" s="164"/>
      <c r="C783" s="164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</row>
    <row r="784" ht="15.75" customHeight="1">
      <c r="A784" s="164"/>
      <c r="B784" s="164"/>
      <c r="C784" s="164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</row>
    <row r="785" ht="15.75" customHeight="1">
      <c r="A785" s="164"/>
      <c r="B785" s="164"/>
      <c r="C785" s="164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</row>
    <row r="786" ht="15.75" customHeight="1">
      <c r="A786" s="164"/>
      <c r="B786" s="164"/>
      <c r="C786" s="164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</row>
    <row r="787" ht="15.75" customHeight="1">
      <c r="A787" s="164"/>
      <c r="B787" s="164"/>
      <c r="C787" s="164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</row>
    <row r="788" ht="15.75" customHeight="1">
      <c r="A788" s="164"/>
      <c r="B788" s="164"/>
      <c r="C788" s="164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</row>
    <row r="789" ht="15.75" customHeight="1">
      <c r="A789" s="164"/>
      <c r="B789" s="164"/>
      <c r="C789" s="164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</row>
    <row r="790" ht="15.75" customHeight="1">
      <c r="A790" s="164"/>
      <c r="B790" s="164"/>
      <c r="C790" s="164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</row>
    <row r="791" ht="15.75" customHeight="1">
      <c r="A791" s="164"/>
      <c r="B791" s="164"/>
      <c r="C791" s="164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</row>
    <row r="792" ht="15.75" customHeight="1">
      <c r="A792" s="164"/>
      <c r="B792" s="164"/>
      <c r="C792" s="164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</row>
    <row r="793" ht="15.75" customHeight="1">
      <c r="A793" s="164"/>
      <c r="B793" s="164"/>
      <c r="C793" s="164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</row>
    <row r="794" ht="15.75" customHeight="1">
      <c r="A794" s="164"/>
      <c r="B794" s="164"/>
      <c r="C794" s="164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</row>
    <row r="795" ht="15.75" customHeight="1">
      <c r="A795" s="164"/>
      <c r="B795" s="164"/>
      <c r="C795" s="164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</row>
    <row r="796" ht="15.75" customHeight="1">
      <c r="A796" s="164"/>
      <c r="B796" s="164"/>
      <c r="C796" s="164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</row>
    <row r="797" ht="15.75" customHeight="1">
      <c r="A797" s="164"/>
      <c r="B797" s="164"/>
      <c r="C797" s="164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</row>
    <row r="798" ht="15.75" customHeight="1">
      <c r="A798" s="164"/>
      <c r="B798" s="164"/>
      <c r="C798" s="164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</row>
    <row r="799" ht="15.75" customHeight="1">
      <c r="A799" s="164"/>
      <c r="B799" s="164"/>
      <c r="C799" s="164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</row>
    <row r="800" ht="15.75" customHeight="1">
      <c r="A800" s="164"/>
      <c r="B800" s="164"/>
      <c r="C800" s="164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</row>
    <row r="801" ht="15.75" customHeight="1">
      <c r="A801" s="164"/>
      <c r="B801" s="164"/>
      <c r="C801" s="164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</row>
    <row r="802" ht="15.75" customHeight="1">
      <c r="A802" s="164"/>
      <c r="B802" s="164"/>
      <c r="C802" s="164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</row>
    <row r="803" ht="15.75" customHeight="1">
      <c r="A803" s="164"/>
      <c r="B803" s="164"/>
      <c r="C803" s="164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</row>
    <row r="804" ht="15.75" customHeight="1">
      <c r="A804" s="164"/>
      <c r="B804" s="164"/>
      <c r="C804" s="164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</row>
    <row r="805" ht="15.75" customHeight="1">
      <c r="A805" s="164"/>
      <c r="B805" s="164"/>
      <c r="C805" s="164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</row>
    <row r="806" ht="15.75" customHeight="1">
      <c r="A806" s="164"/>
      <c r="B806" s="164"/>
      <c r="C806" s="164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</row>
    <row r="807" ht="15.75" customHeight="1">
      <c r="A807" s="164"/>
      <c r="B807" s="164"/>
      <c r="C807" s="164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</row>
    <row r="808" ht="15.75" customHeight="1">
      <c r="A808" s="164"/>
      <c r="B808" s="164"/>
      <c r="C808" s="164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</row>
    <row r="809" ht="15.75" customHeight="1">
      <c r="A809" s="164"/>
      <c r="B809" s="164"/>
      <c r="C809" s="164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</row>
    <row r="810" ht="15.75" customHeight="1">
      <c r="A810" s="164"/>
      <c r="B810" s="164"/>
      <c r="C810" s="164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</row>
    <row r="811" ht="15.75" customHeight="1">
      <c r="A811" s="164"/>
      <c r="B811" s="164"/>
      <c r="C811" s="164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</row>
    <row r="812" ht="15.75" customHeight="1">
      <c r="A812" s="164"/>
      <c r="B812" s="164"/>
      <c r="C812" s="164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</row>
    <row r="813" ht="15.75" customHeight="1">
      <c r="A813" s="164"/>
      <c r="B813" s="164"/>
      <c r="C813" s="164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</row>
    <row r="814" ht="15.75" customHeight="1">
      <c r="A814" s="164"/>
      <c r="B814" s="164"/>
      <c r="C814" s="164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</row>
    <row r="815" ht="15.75" customHeight="1">
      <c r="A815" s="164"/>
      <c r="B815" s="164"/>
      <c r="C815" s="164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</row>
    <row r="816" ht="15.75" customHeight="1">
      <c r="A816" s="164"/>
      <c r="B816" s="164"/>
      <c r="C816" s="164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</row>
    <row r="817" ht="15.75" customHeight="1">
      <c r="A817" s="164"/>
      <c r="B817" s="164"/>
      <c r="C817" s="164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</row>
    <row r="818" ht="15.75" customHeight="1">
      <c r="A818" s="164"/>
      <c r="B818" s="164"/>
      <c r="C818" s="164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</row>
    <row r="819" ht="15.75" customHeight="1">
      <c r="A819" s="164"/>
      <c r="B819" s="164"/>
      <c r="C819" s="164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</row>
    <row r="820" ht="15.75" customHeight="1">
      <c r="A820" s="164"/>
      <c r="B820" s="164"/>
      <c r="C820" s="164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</row>
    <row r="821" ht="15.75" customHeight="1">
      <c r="A821" s="164"/>
      <c r="B821" s="164"/>
      <c r="C821" s="164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</row>
    <row r="822" ht="15.75" customHeight="1">
      <c r="A822" s="164"/>
      <c r="B822" s="164"/>
      <c r="C822" s="164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</row>
    <row r="823" ht="15.75" customHeight="1">
      <c r="A823" s="164"/>
      <c r="B823" s="164"/>
      <c r="C823" s="164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</row>
    <row r="824" ht="15.75" customHeight="1">
      <c r="A824" s="164"/>
      <c r="B824" s="164"/>
      <c r="C824" s="164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</row>
    <row r="825" ht="15.75" customHeight="1">
      <c r="A825" s="164"/>
      <c r="B825" s="164"/>
      <c r="C825" s="164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</row>
    <row r="826" ht="15.75" customHeight="1">
      <c r="A826" s="164"/>
      <c r="B826" s="164"/>
      <c r="C826" s="164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</row>
    <row r="827" ht="15.75" customHeight="1">
      <c r="A827" s="164"/>
      <c r="B827" s="164"/>
      <c r="C827" s="164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</row>
    <row r="828" ht="15.75" customHeight="1">
      <c r="A828" s="164"/>
      <c r="B828" s="164"/>
      <c r="C828" s="164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</row>
    <row r="829" ht="15.75" customHeight="1">
      <c r="A829" s="164"/>
      <c r="B829" s="164"/>
      <c r="C829" s="164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</row>
    <row r="830" ht="15.75" customHeight="1">
      <c r="A830" s="164"/>
      <c r="B830" s="164"/>
      <c r="C830" s="164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</row>
    <row r="831" ht="15.75" customHeight="1">
      <c r="A831" s="164"/>
      <c r="B831" s="164"/>
      <c r="C831" s="164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</row>
    <row r="832" ht="15.75" customHeight="1">
      <c r="A832" s="164"/>
      <c r="B832" s="164"/>
      <c r="C832" s="164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</row>
    <row r="833" ht="15.75" customHeight="1">
      <c r="A833" s="164"/>
      <c r="B833" s="164"/>
      <c r="C833" s="164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</row>
    <row r="834" ht="15.75" customHeight="1">
      <c r="A834" s="164"/>
      <c r="B834" s="164"/>
      <c r="C834" s="164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</row>
    <row r="835" ht="15.75" customHeight="1">
      <c r="A835" s="164"/>
      <c r="B835" s="164"/>
      <c r="C835" s="164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</row>
    <row r="836" ht="15.75" customHeight="1">
      <c r="A836" s="164"/>
      <c r="B836" s="164"/>
      <c r="C836" s="164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</row>
    <row r="837" ht="15.75" customHeight="1">
      <c r="A837" s="164"/>
      <c r="B837" s="164"/>
      <c r="C837" s="164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</row>
    <row r="838" ht="15.75" customHeight="1">
      <c r="A838" s="164"/>
      <c r="B838" s="164"/>
      <c r="C838" s="164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</row>
    <row r="839" ht="15.75" customHeight="1">
      <c r="A839" s="164"/>
      <c r="B839" s="164"/>
      <c r="C839" s="164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</row>
    <row r="840" ht="15.75" customHeight="1">
      <c r="A840" s="164"/>
      <c r="B840" s="164"/>
      <c r="C840" s="164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</row>
    <row r="841" ht="15.75" customHeight="1">
      <c r="A841" s="164"/>
      <c r="B841" s="164"/>
      <c r="C841" s="164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</row>
    <row r="842" ht="15.75" customHeight="1">
      <c r="A842" s="164"/>
      <c r="B842" s="164"/>
      <c r="C842" s="164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</row>
    <row r="843" ht="15.75" customHeight="1">
      <c r="A843" s="164"/>
      <c r="B843" s="164"/>
      <c r="C843" s="164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</row>
    <row r="844" ht="15.75" customHeight="1">
      <c r="A844" s="164"/>
      <c r="B844" s="164"/>
      <c r="C844" s="164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</row>
    <row r="845" ht="15.75" customHeight="1">
      <c r="A845" s="164"/>
      <c r="B845" s="164"/>
      <c r="C845" s="164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</row>
    <row r="846" ht="15.75" customHeight="1">
      <c r="A846" s="164"/>
      <c r="B846" s="164"/>
      <c r="C846" s="164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</row>
    <row r="847" ht="15.75" customHeight="1">
      <c r="A847" s="164"/>
      <c r="B847" s="164"/>
      <c r="C847" s="164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</row>
    <row r="848" ht="15.75" customHeight="1">
      <c r="A848" s="164"/>
      <c r="B848" s="164"/>
      <c r="C848" s="164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</row>
    <row r="849" ht="15.75" customHeight="1">
      <c r="A849" s="164"/>
      <c r="B849" s="164"/>
      <c r="C849" s="164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</row>
    <row r="850" ht="15.75" customHeight="1">
      <c r="A850" s="164"/>
      <c r="B850" s="164"/>
      <c r="C850" s="164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</row>
    <row r="851" ht="15.75" customHeight="1">
      <c r="A851" s="164"/>
      <c r="B851" s="164"/>
      <c r="C851" s="164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</row>
    <row r="852" ht="15.75" customHeight="1">
      <c r="A852" s="164"/>
      <c r="B852" s="164"/>
      <c r="C852" s="164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</row>
    <row r="853" ht="15.75" customHeight="1">
      <c r="A853" s="164"/>
      <c r="B853" s="164"/>
      <c r="C853" s="164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</row>
    <row r="854" ht="15.75" customHeight="1">
      <c r="A854" s="164"/>
      <c r="B854" s="164"/>
      <c r="C854" s="164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</row>
    <row r="855" ht="15.75" customHeight="1">
      <c r="A855" s="164"/>
      <c r="B855" s="164"/>
      <c r="C855" s="164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</row>
    <row r="856" ht="15.75" customHeight="1">
      <c r="A856" s="164"/>
      <c r="B856" s="164"/>
      <c r="C856" s="164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</row>
    <row r="857" ht="15.75" customHeight="1">
      <c r="A857" s="164"/>
      <c r="B857" s="164"/>
      <c r="C857" s="164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</row>
    <row r="858" ht="15.75" customHeight="1">
      <c r="A858" s="164"/>
      <c r="B858" s="164"/>
      <c r="C858" s="164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</row>
    <row r="859" ht="15.75" customHeight="1">
      <c r="A859" s="164"/>
      <c r="B859" s="164"/>
      <c r="C859" s="164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</row>
    <row r="860" ht="15.75" customHeight="1">
      <c r="A860" s="164"/>
      <c r="B860" s="164"/>
      <c r="C860" s="164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</row>
    <row r="861" ht="15.75" customHeight="1">
      <c r="A861" s="164"/>
      <c r="B861" s="164"/>
      <c r="C861" s="164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</row>
    <row r="862" ht="15.75" customHeight="1">
      <c r="A862" s="164"/>
      <c r="B862" s="164"/>
      <c r="C862" s="164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</row>
    <row r="863" ht="15.75" customHeight="1">
      <c r="A863" s="164"/>
      <c r="B863" s="164"/>
      <c r="C863" s="164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</row>
    <row r="864" ht="15.75" customHeight="1">
      <c r="A864" s="164"/>
      <c r="B864" s="164"/>
      <c r="C864" s="164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</row>
    <row r="865" ht="15.75" customHeight="1">
      <c r="A865" s="164"/>
      <c r="B865" s="164"/>
      <c r="C865" s="164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</row>
    <row r="866" ht="15.75" customHeight="1">
      <c r="A866" s="164"/>
      <c r="B866" s="164"/>
      <c r="C866" s="164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</row>
    <row r="867" ht="15.75" customHeight="1">
      <c r="A867" s="164"/>
      <c r="B867" s="164"/>
      <c r="C867" s="164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</row>
    <row r="868" ht="15.75" customHeight="1">
      <c r="A868" s="164"/>
      <c r="B868" s="164"/>
      <c r="C868" s="164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</row>
    <row r="869" ht="15.75" customHeight="1">
      <c r="A869" s="164"/>
      <c r="B869" s="164"/>
      <c r="C869" s="164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</row>
    <row r="870" ht="15.75" customHeight="1">
      <c r="A870" s="164"/>
      <c r="B870" s="164"/>
      <c r="C870" s="164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</row>
    <row r="871" ht="15.75" customHeight="1">
      <c r="A871" s="164"/>
      <c r="B871" s="164"/>
      <c r="C871" s="164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</row>
    <row r="872" ht="15.75" customHeight="1">
      <c r="A872" s="164"/>
      <c r="B872" s="164"/>
      <c r="C872" s="164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</row>
    <row r="873" ht="15.75" customHeight="1">
      <c r="A873" s="164"/>
      <c r="B873" s="164"/>
      <c r="C873" s="164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</row>
    <row r="874" ht="15.75" customHeight="1">
      <c r="A874" s="164"/>
      <c r="B874" s="164"/>
      <c r="C874" s="164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</row>
    <row r="875" ht="15.75" customHeight="1">
      <c r="A875" s="164"/>
      <c r="B875" s="164"/>
      <c r="C875" s="164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</row>
    <row r="876" ht="15.75" customHeight="1">
      <c r="A876" s="164"/>
      <c r="B876" s="164"/>
      <c r="C876" s="164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</row>
    <row r="877" ht="15.75" customHeight="1">
      <c r="A877" s="164"/>
      <c r="B877" s="164"/>
      <c r="C877" s="164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</row>
    <row r="878" ht="15.75" customHeight="1">
      <c r="A878" s="164"/>
      <c r="B878" s="164"/>
      <c r="C878" s="164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</row>
    <row r="879" ht="15.75" customHeight="1">
      <c r="A879" s="164"/>
      <c r="B879" s="164"/>
      <c r="C879" s="164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</row>
    <row r="880" ht="15.75" customHeight="1">
      <c r="A880" s="164"/>
      <c r="B880" s="164"/>
      <c r="C880" s="164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</row>
    <row r="881" ht="15.75" customHeight="1">
      <c r="A881" s="164"/>
      <c r="B881" s="164"/>
      <c r="C881" s="164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</row>
    <row r="882" ht="15.75" customHeight="1">
      <c r="A882" s="164"/>
      <c r="B882" s="164"/>
      <c r="C882" s="164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</row>
    <row r="883" ht="15.75" customHeight="1">
      <c r="A883" s="164"/>
      <c r="B883" s="164"/>
      <c r="C883" s="164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</row>
    <row r="884" ht="15.75" customHeight="1">
      <c r="A884" s="164"/>
      <c r="B884" s="164"/>
      <c r="C884" s="164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</row>
    <row r="885" ht="15.75" customHeight="1">
      <c r="A885" s="164"/>
      <c r="B885" s="164"/>
      <c r="C885" s="164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</row>
    <row r="886" ht="15.75" customHeight="1">
      <c r="A886" s="164"/>
      <c r="B886" s="164"/>
      <c r="C886" s="164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</row>
    <row r="887" ht="15.75" customHeight="1">
      <c r="A887" s="164"/>
      <c r="B887" s="164"/>
      <c r="C887" s="164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</row>
    <row r="888" ht="15.75" customHeight="1">
      <c r="A888" s="164"/>
      <c r="B888" s="164"/>
      <c r="C888" s="164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</row>
    <row r="889" ht="15.75" customHeight="1">
      <c r="A889" s="164"/>
      <c r="B889" s="164"/>
      <c r="C889" s="164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</row>
    <row r="890" ht="15.75" customHeight="1">
      <c r="A890" s="164"/>
      <c r="B890" s="164"/>
      <c r="C890" s="164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</row>
    <row r="891" ht="15.75" customHeight="1">
      <c r="A891" s="164"/>
      <c r="B891" s="164"/>
      <c r="C891" s="164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</row>
    <row r="892" ht="15.75" customHeight="1">
      <c r="A892" s="164"/>
      <c r="B892" s="164"/>
      <c r="C892" s="164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</row>
    <row r="893" ht="15.75" customHeight="1">
      <c r="A893" s="164"/>
      <c r="B893" s="164"/>
      <c r="C893" s="164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</row>
    <row r="894" ht="15.75" customHeight="1">
      <c r="A894" s="164"/>
      <c r="B894" s="164"/>
      <c r="C894" s="164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</row>
    <row r="895" ht="15.75" customHeight="1">
      <c r="A895" s="164"/>
      <c r="B895" s="164"/>
      <c r="C895" s="164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</row>
    <row r="896" ht="15.75" customHeight="1">
      <c r="A896" s="164"/>
      <c r="B896" s="164"/>
      <c r="C896" s="164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</row>
    <row r="897" ht="15.75" customHeight="1">
      <c r="A897" s="164"/>
      <c r="B897" s="164"/>
      <c r="C897" s="164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</row>
    <row r="898" ht="15.75" customHeight="1">
      <c r="A898" s="164"/>
      <c r="B898" s="164"/>
      <c r="C898" s="164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</row>
    <row r="899" ht="15.75" customHeight="1">
      <c r="A899" s="164"/>
      <c r="B899" s="164"/>
      <c r="C899" s="164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</row>
    <row r="900" ht="15.75" customHeight="1">
      <c r="A900" s="164"/>
      <c r="B900" s="164"/>
      <c r="C900" s="164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</row>
    <row r="901" ht="15.75" customHeight="1">
      <c r="A901" s="164"/>
      <c r="B901" s="164"/>
      <c r="C901" s="164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</row>
    <row r="902" ht="15.75" customHeight="1">
      <c r="A902" s="164"/>
      <c r="B902" s="164"/>
      <c r="C902" s="164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</row>
    <row r="903" ht="15.75" customHeight="1">
      <c r="A903" s="164"/>
      <c r="B903" s="164"/>
      <c r="C903" s="164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</row>
    <row r="904" ht="15.75" customHeight="1">
      <c r="A904" s="164"/>
      <c r="B904" s="164"/>
      <c r="C904" s="164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</row>
    <row r="905" ht="15.75" customHeight="1">
      <c r="A905" s="164"/>
      <c r="B905" s="164"/>
      <c r="C905" s="164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</row>
    <row r="906" ht="15.75" customHeight="1">
      <c r="A906" s="164"/>
      <c r="B906" s="164"/>
      <c r="C906" s="164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</row>
    <row r="907" ht="15.75" customHeight="1">
      <c r="A907" s="164"/>
      <c r="B907" s="164"/>
      <c r="C907" s="164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</row>
    <row r="908" ht="15.75" customHeight="1">
      <c r="A908" s="164"/>
      <c r="B908" s="164"/>
      <c r="C908" s="164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</row>
    <row r="909" ht="15.75" customHeight="1">
      <c r="A909" s="164"/>
      <c r="B909" s="164"/>
      <c r="C909" s="164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</row>
    <row r="910" ht="15.75" customHeight="1">
      <c r="A910" s="164"/>
      <c r="B910" s="164"/>
      <c r="C910" s="164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</row>
    <row r="911" ht="15.75" customHeight="1">
      <c r="A911" s="164"/>
      <c r="B911" s="164"/>
      <c r="C911" s="164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</row>
    <row r="912" ht="15.75" customHeight="1">
      <c r="A912" s="164"/>
      <c r="B912" s="164"/>
      <c r="C912" s="164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</row>
    <row r="913" ht="15.75" customHeight="1">
      <c r="A913" s="164"/>
      <c r="B913" s="164"/>
      <c r="C913" s="164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</row>
    <row r="914" ht="15.75" customHeight="1">
      <c r="A914" s="164"/>
      <c r="B914" s="164"/>
      <c r="C914" s="164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</row>
    <row r="915" ht="15.75" customHeight="1">
      <c r="A915" s="164"/>
      <c r="B915" s="164"/>
      <c r="C915" s="164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</row>
    <row r="916" ht="15.75" customHeight="1">
      <c r="A916" s="164"/>
      <c r="B916" s="164"/>
      <c r="C916" s="164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</row>
    <row r="917" ht="15.75" customHeight="1">
      <c r="A917" s="164"/>
      <c r="B917" s="164"/>
      <c r="C917" s="164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</row>
    <row r="918" ht="15.75" customHeight="1">
      <c r="A918" s="164"/>
      <c r="B918" s="164"/>
      <c r="C918" s="164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</row>
    <row r="919" ht="15.75" customHeight="1">
      <c r="A919" s="164"/>
      <c r="B919" s="164"/>
      <c r="C919" s="164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</row>
    <row r="920" ht="15.75" customHeight="1">
      <c r="A920" s="164"/>
      <c r="B920" s="164"/>
      <c r="C920" s="164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</row>
    <row r="921" ht="15.75" customHeight="1">
      <c r="A921" s="164"/>
      <c r="B921" s="164"/>
      <c r="C921" s="164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</row>
    <row r="922" ht="15.75" customHeight="1">
      <c r="A922" s="164"/>
      <c r="B922" s="164"/>
      <c r="C922" s="164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</row>
    <row r="923" ht="15.75" customHeight="1">
      <c r="A923" s="164"/>
      <c r="B923" s="164"/>
      <c r="C923" s="164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</row>
    <row r="924" ht="15.75" customHeight="1">
      <c r="A924" s="164"/>
      <c r="B924" s="164"/>
      <c r="C924" s="164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</row>
    <row r="925" ht="15.75" customHeight="1">
      <c r="A925" s="164"/>
      <c r="B925" s="164"/>
      <c r="C925" s="164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</row>
    <row r="926" ht="15.75" customHeight="1">
      <c r="A926" s="164"/>
      <c r="B926" s="164"/>
      <c r="C926" s="164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</row>
    <row r="927" ht="15.75" customHeight="1">
      <c r="A927" s="164"/>
      <c r="B927" s="164"/>
      <c r="C927" s="164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</row>
    <row r="928" ht="15.75" customHeight="1">
      <c r="A928" s="164"/>
      <c r="B928" s="164"/>
      <c r="C928" s="164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</row>
    <row r="929" ht="15.75" customHeight="1">
      <c r="A929" s="164"/>
      <c r="B929" s="164"/>
      <c r="C929" s="164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</row>
    <row r="930" ht="15.75" customHeight="1">
      <c r="A930" s="164"/>
      <c r="B930" s="164"/>
      <c r="C930" s="164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</row>
    <row r="931" ht="15.75" customHeight="1">
      <c r="A931" s="164"/>
      <c r="B931" s="164"/>
      <c r="C931" s="164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</row>
    <row r="932" ht="15.75" customHeight="1">
      <c r="A932" s="164"/>
      <c r="B932" s="164"/>
      <c r="C932" s="164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</row>
    <row r="933" ht="15.75" customHeight="1">
      <c r="A933" s="164"/>
      <c r="B933" s="164"/>
      <c r="C933" s="164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</row>
    <row r="934" ht="15.75" customHeight="1">
      <c r="A934" s="164"/>
      <c r="B934" s="164"/>
      <c r="C934" s="164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</row>
    <row r="935" ht="15.75" customHeight="1">
      <c r="A935" s="164"/>
      <c r="B935" s="164"/>
      <c r="C935" s="164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</row>
    <row r="936" ht="15.75" customHeight="1">
      <c r="A936" s="164"/>
      <c r="B936" s="164"/>
      <c r="C936" s="164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</row>
    <row r="937" ht="15.75" customHeight="1">
      <c r="A937" s="164"/>
      <c r="B937" s="164"/>
      <c r="C937" s="164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</row>
    <row r="938" ht="15.75" customHeight="1">
      <c r="A938" s="164"/>
      <c r="B938" s="164"/>
      <c r="C938" s="164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</row>
    <row r="939" ht="15.75" customHeight="1">
      <c r="A939" s="164"/>
      <c r="B939" s="164"/>
      <c r="C939" s="164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</row>
    <row r="940" ht="15.75" customHeight="1">
      <c r="A940" s="164"/>
      <c r="B940" s="164"/>
      <c r="C940" s="164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</row>
    <row r="941" ht="15.75" customHeight="1">
      <c r="A941" s="164"/>
      <c r="B941" s="164"/>
      <c r="C941" s="164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</row>
    <row r="942" ht="15.75" customHeight="1">
      <c r="A942" s="164"/>
      <c r="B942" s="164"/>
      <c r="C942" s="164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</row>
    <row r="943" ht="15.75" customHeight="1">
      <c r="A943" s="164"/>
      <c r="B943" s="164"/>
      <c r="C943" s="164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</row>
    <row r="944" ht="15.75" customHeight="1">
      <c r="A944" s="164"/>
      <c r="B944" s="164"/>
      <c r="C944" s="164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</row>
    <row r="945" ht="15.75" customHeight="1">
      <c r="A945" s="164"/>
      <c r="B945" s="164"/>
      <c r="C945" s="164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</row>
    <row r="946" ht="15.75" customHeight="1">
      <c r="A946" s="164"/>
      <c r="B946" s="164"/>
      <c r="C946" s="164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</row>
    <row r="947" ht="15.75" customHeight="1">
      <c r="A947" s="164"/>
      <c r="B947" s="164"/>
      <c r="C947" s="164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</row>
    <row r="948" ht="15.75" customHeight="1">
      <c r="A948" s="164"/>
      <c r="B948" s="164"/>
      <c r="C948" s="164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</row>
    <row r="949" ht="15.75" customHeight="1">
      <c r="A949" s="164"/>
      <c r="B949" s="164"/>
      <c r="C949" s="164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</row>
    <row r="950" ht="15.75" customHeight="1">
      <c r="A950" s="164"/>
      <c r="B950" s="164"/>
      <c r="C950" s="164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</row>
    <row r="951" ht="15.75" customHeight="1">
      <c r="A951" s="164"/>
      <c r="B951" s="164"/>
      <c r="C951" s="164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</row>
    <row r="952" ht="15.75" customHeight="1">
      <c r="A952" s="164"/>
      <c r="B952" s="164"/>
      <c r="C952" s="164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</row>
    <row r="953" ht="15.75" customHeight="1">
      <c r="A953" s="164"/>
      <c r="B953" s="164"/>
      <c r="C953" s="164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</row>
    <row r="954" ht="15.75" customHeight="1">
      <c r="A954" s="164"/>
      <c r="B954" s="164"/>
      <c r="C954" s="164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</row>
    <row r="955" ht="15.75" customHeight="1">
      <c r="A955" s="164"/>
      <c r="B955" s="164"/>
      <c r="C955" s="164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</row>
    <row r="956" ht="15.75" customHeight="1">
      <c r="A956" s="164"/>
      <c r="B956" s="164"/>
      <c r="C956" s="164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</row>
    <row r="957" ht="15.75" customHeight="1">
      <c r="A957" s="164"/>
      <c r="B957" s="164"/>
      <c r="C957" s="164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</row>
    <row r="958" ht="15.75" customHeight="1">
      <c r="A958" s="164"/>
      <c r="B958" s="164"/>
      <c r="C958" s="164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</row>
    <row r="959" ht="15.75" customHeight="1">
      <c r="A959" s="164"/>
      <c r="B959" s="164"/>
      <c r="C959" s="164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</row>
    <row r="960" ht="15.75" customHeight="1">
      <c r="A960" s="164"/>
      <c r="B960" s="164"/>
      <c r="C960" s="164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</row>
    <row r="961" ht="15.75" customHeight="1">
      <c r="A961" s="164"/>
      <c r="B961" s="164"/>
      <c r="C961" s="164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</row>
    <row r="962" ht="15.75" customHeight="1">
      <c r="A962" s="164"/>
      <c r="B962" s="164"/>
      <c r="C962" s="164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</row>
    <row r="963" ht="15.75" customHeight="1">
      <c r="A963" s="164"/>
      <c r="B963" s="164"/>
      <c r="C963" s="164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</row>
    <row r="964" ht="15.75" customHeight="1">
      <c r="A964" s="164"/>
      <c r="B964" s="164"/>
      <c r="C964" s="164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</row>
    <row r="965" ht="15.75" customHeight="1">
      <c r="A965" s="164"/>
      <c r="B965" s="164"/>
      <c r="C965" s="164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</row>
    <row r="966" ht="15.75" customHeight="1">
      <c r="A966" s="164"/>
      <c r="B966" s="164"/>
      <c r="C966" s="164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</row>
    <row r="967" ht="15.75" customHeight="1">
      <c r="A967" s="164"/>
      <c r="B967" s="164"/>
      <c r="C967" s="164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</row>
    <row r="968" ht="15.75" customHeight="1">
      <c r="A968" s="164"/>
      <c r="B968" s="164"/>
      <c r="C968" s="164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</row>
    <row r="969" ht="15.75" customHeight="1">
      <c r="A969" s="164"/>
      <c r="B969" s="164"/>
      <c r="C969" s="164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</row>
    <row r="970" ht="15.75" customHeight="1">
      <c r="A970" s="164"/>
      <c r="B970" s="164"/>
      <c r="C970" s="164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</row>
    <row r="971" ht="15.75" customHeight="1">
      <c r="A971" s="164"/>
      <c r="B971" s="164"/>
      <c r="C971" s="164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</row>
    <row r="972" ht="15.75" customHeight="1">
      <c r="A972" s="164"/>
      <c r="B972" s="164"/>
      <c r="C972" s="164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</row>
    <row r="973" ht="15.75" customHeight="1">
      <c r="A973" s="164"/>
      <c r="B973" s="164"/>
      <c r="C973" s="164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</row>
    <row r="974" ht="15.75" customHeight="1">
      <c r="A974" s="164"/>
      <c r="B974" s="164"/>
      <c r="C974" s="164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</row>
    <row r="975" ht="15.75" customHeight="1">
      <c r="A975" s="164"/>
      <c r="B975" s="164"/>
      <c r="C975" s="164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</row>
    <row r="976" ht="15.75" customHeight="1">
      <c r="A976" s="164"/>
      <c r="B976" s="164"/>
      <c r="C976" s="164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</row>
    <row r="977" ht="15.75" customHeight="1">
      <c r="A977" s="164"/>
      <c r="B977" s="164"/>
      <c r="C977" s="164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</row>
    <row r="978" ht="15.75" customHeight="1">
      <c r="A978" s="164"/>
      <c r="B978" s="164"/>
      <c r="C978" s="164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</row>
    <row r="979" ht="15.75" customHeight="1">
      <c r="A979" s="164"/>
      <c r="B979" s="164"/>
      <c r="C979" s="164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</row>
    <row r="980" ht="15.75" customHeight="1">
      <c r="A980" s="164"/>
      <c r="B980" s="164"/>
      <c r="C980" s="164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</row>
    <row r="981" ht="15.75" customHeight="1">
      <c r="A981" s="164"/>
      <c r="B981" s="164"/>
      <c r="C981" s="164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</row>
    <row r="982" ht="15.75" customHeight="1">
      <c r="A982" s="164"/>
      <c r="B982" s="164"/>
      <c r="C982" s="164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</row>
    <row r="983" ht="15.75" customHeight="1">
      <c r="A983" s="164"/>
      <c r="B983" s="164"/>
      <c r="C983" s="164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</row>
    <row r="984" ht="15.75" customHeight="1">
      <c r="A984" s="164"/>
      <c r="B984" s="164"/>
      <c r="C984" s="164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</row>
    <row r="985" ht="15.75" customHeight="1">
      <c r="A985" s="164"/>
      <c r="B985" s="164"/>
      <c r="C985" s="164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</row>
    <row r="986" ht="15.75" customHeight="1">
      <c r="A986" s="164"/>
      <c r="B986" s="164"/>
      <c r="C986" s="164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</row>
    <row r="987" ht="15.75" customHeight="1">
      <c r="A987" s="164"/>
      <c r="B987" s="164"/>
      <c r="C987" s="164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</row>
    <row r="988" ht="15.75" customHeight="1">
      <c r="A988" s="164"/>
      <c r="B988" s="164"/>
      <c r="C988" s="164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</row>
    <row r="989" ht="15.75" customHeight="1">
      <c r="A989" s="164"/>
      <c r="B989" s="164"/>
      <c r="C989" s="164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</row>
    <row r="990" ht="15.75" customHeight="1">
      <c r="A990" s="164"/>
      <c r="B990" s="164"/>
      <c r="C990" s="164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</row>
    <row r="991" ht="15.75" customHeight="1">
      <c r="A991" s="164"/>
      <c r="B991" s="164"/>
      <c r="C991" s="164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</row>
    <row r="992" ht="15.75" customHeight="1">
      <c r="A992" s="164"/>
      <c r="B992" s="164"/>
      <c r="C992" s="164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</row>
    <row r="993" ht="15.75" customHeight="1">
      <c r="A993" s="164"/>
      <c r="B993" s="164"/>
      <c r="C993" s="164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</row>
    <row r="994" ht="15.75" customHeight="1">
      <c r="A994" s="164"/>
      <c r="B994" s="164"/>
      <c r="C994" s="164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</row>
    <row r="995" ht="15.75" customHeight="1">
      <c r="A995" s="164"/>
      <c r="B995" s="164"/>
      <c r="C995" s="164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</row>
    <row r="996" ht="15.75" customHeight="1">
      <c r="A996" s="164"/>
      <c r="B996" s="164"/>
      <c r="C996" s="164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</row>
    <row r="997" ht="15.75" customHeight="1">
      <c r="A997" s="164"/>
      <c r="B997" s="164"/>
      <c r="C997" s="164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</row>
    <row r="998" ht="15.75" customHeight="1">
      <c r="A998" s="164"/>
      <c r="B998" s="164"/>
      <c r="C998" s="164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</row>
    <row r="999" ht="15.75" customHeight="1">
      <c r="A999" s="164"/>
      <c r="B999" s="164"/>
      <c r="C999" s="164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</row>
    <row r="1000" ht="15.75" customHeight="1">
      <c r="A1000" s="164"/>
      <c r="B1000" s="164"/>
      <c r="C1000" s="164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</row>
  </sheetData>
  <mergeCells count="3">
    <mergeCell ref="D1:G1"/>
    <mergeCell ref="H1:K1"/>
    <mergeCell ref="L1:O1"/>
  </mergeCells>
  <conditionalFormatting sqref="B79:C80 D1 D2:G78 D81:G1000 E79:G80">
    <cfRule type="cellIs" dxfId="0" priority="1" operator="lessThan">
      <formula>-0.0001</formula>
    </cfRule>
  </conditionalFormatting>
  <conditionalFormatting sqref="B79:C80 D3:G78 D81:G1000 E79:G80">
    <cfRule type="cellIs" dxfId="1" priority="2" operator="greaterThan">
      <formula>0.1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2.63" defaultRowHeight="15.0"/>
  <cols>
    <col customWidth="1" min="1" max="1" width="30.0"/>
    <col customWidth="1" min="2" max="2" width="11.5"/>
    <col customWidth="1" min="3" max="3" width="14.63"/>
    <col customWidth="1" min="4" max="4" width="26.38"/>
    <col customWidth="1" min="5" max="5" width="27.5"/>
    <col customWidth="1" min="6" max="26" width="21.75"/>
  </cols>
  <sheetData>
    <row r="1">
      <c r="A1" s="114" t="s">
        <v>61</v>
      </c>
      <c r="B1" s="175" t="s">
        <v>137</v>
      </c>
      <c r="C1" s="176" t="s">
        <v>138</v>
      </c>
      <c r="D1" s="177" t="s">
        <v>139</v>
      </c>
      <c r="E1" s="178" t="s">
        <v>140</v>
      </c>
    </row>
    <row r="2" hidden="1">
      <c r="A2" s="99" t="s">
        <v>85</v>
      </c>
      <c r="B2" s="88">
        <f t="shared" ref="B2:B69" si="1">IF(D2=0,0%,IF(E2=0,100%,D2/E2-1))</f>
        <v>0.2876535065</v>
      </c>
      <c r="C2" s="89">
        <f t="shared" ref="C2:C69" si="2">D2-E2</f>
        <v>11724.40517</v>
      </c>
      <c r="D2" s="90">
        <f>VLOOKUP(A2,'תפוקה מצטברת מול אשתקד'!A:K,9,0)</f>
        <v>52483.18234</v>
      </c>
      <c r="E2" s="179">
        <f>VLOOKUP(A2,'תפוקה מצטברת מול אשתקד'!A:O,13,0)</f>
        <v>40758.77717</v>
      </c>
    </row>
    <row r="3" hidden="1">
      <c r="A3" s="98" t="s">
        <v>92</v>
      </c>
      <c r="B3" s="88">
        <f t="shared" si="1"/>
        <v>0</v>
      </c>
      <c r="C3" s="89">
        <f t="shared" si="2"/>
        <v>-2887.83</v>
      </c>
      <c r="D3" s="90">
        <f>VLOOKUP(A3,'תפוקה מצטברת מול אשתקד'!A:K,9,0)</f>
        <v>0</v>
      </c>
      <c r="E3" s="179">
        <f>VLOOKUP(A3,'תפוקה מצטברת מול אשתקד'!A:O,13,0)</f>
        <v>2887.83</v>
      </c>
    </row>
    <row r="4" hidden="1">
      <c r="A4" s="98" t="s">
        <v>111</v>
      </c>
      <c r="B4" s="88">
        <f t="shared" si="1"/>
        <v>0</v>
      </c>
      <c r="C4" s="89">
        <f t="shared" si="2"/>
        <v>0</v>
      </c>
      <c r="D4" s="90">
        <f>VLOOKUP(A4,'תפוקה מצטברת מול אשתקד'!A:K,9,0)</f>
        <v>0</v>
      </c>
      <c r="E4" s="179">
        <f>VLOOKUP(A4,'תפוקה מצטברת מול אשתקד'!A:O,13,0)</f>
        <v>0</v>
      </c>
    </row>
    <row r="5" hidden="1">
      <c r="A5" s="98" t="s">
        <v>86</v>
      </c>
      <c r="B5" s="88">
        <f t="shared" si="1"/>
        <v>-0.2371030688</v>
      </c>
      <c r="C5" s="89">
        <f t="shared" si="2"/>
        <v>-19180.42253</v>
      </c>
      <c r="D5" s="90">
        <f>VLOOKUP(A5,'תפוקה מצטברת מול אשתקד'!A:K,9,0)</f>
        <v>61714.45</v>
      </c>
      <c r="E5" s="179">
        <f>VLOOKUP(A5,'תפוקה מצטברת מול אשתקד'!A:O,13,0)</f>
        <v>80894.87253</v>
      </c>
    </row>
    <row r="6" hidden="1">
      <c r="A6" s="98" t="s">
        <v>100</v>
      </c>
      <c r="B6" s="88">
        <f t="shared" si="1"/>
        <v>-2.162707765</v>
      </c>
      <c r="C6" s="89">
        <f t="shared" si="2"/>
        <v>-7502.563</v>
      </c>
      <c r="D6" s="90">
        <f>VLOOKUP(A6,'תפוקה מצטברת מול אשתקד'!A:K,9,0)</f>
        <v>-4033.503</v>
      </c>
      <c r="E6" s="179">
        <f>VLOOKUP(A6,'תפוקה מצטברת מול אשתקד'!A:O,13,0)</f>
        <v>3469.06</v>
      </c>
      <c r="F6" s="180"/>
    </row>
    <row r="7" hidden="1">
      <c r="A7" s="98" t="s">
        <v>106</v>
      </c>
      <c r="B7" s="88">
        <f t="shared" si="1"/>
        <v>0</v>
      </c>
      <c r="C7" s="89">
        <f t="shared" si="2"/>
        <v>0</v>
      </c>
      <c r="D7" s="90">
        <f>VLOOKUP(A7,'תפוקה מצטברת מול אשתקד'!A:K,9,0)</f>
        <v>0</v>
      </c>
      <c r="E7" s="179">
        <f>VLOOKUP(A7,'תפוקה מצטברת מול אשתקד'!A:O,13,0)</f>
        <v>0</v>
      </c>
    </row>
    <row r="8" hidden="1">
      <c r="A8" s="98" t="s">
        <v>65</v>
      </c>
      <c r="B8" s="88">
        <f t="shared" si="1"/>
        <v>1</v>
      </c>
      <c r="C8" s="89">
        <f t="shared" si="2"/>
        <v>34130.66896</v>
      </c>
      <c r="D8" s="90">
        <f>VLOOKUP(A8,'תפוקה מצטברת מול אשתקד'!A:K,9,0)</f>
        <v>34130.66896</v>
      </c>
      <c r="E8" s="179">
        <f>VLOOKUP(A8,'תפוקה מצטברת מול אשתקד'!A:O,13,0)</f>
        <v>0</v>
      </c>
    </row>
    <row r="9" hidden="1">
      <c r="A9" s="99" t="s">
        <v>51</v>
      </c>
      <c r="B9" s="88">
        <f t="shared" si="1"/>
        <v>-0.4194298844</v>
      </c>
      <c r="C9" s="89">
        <f t="shared" si="2"/>
        <v>-138690.4489</v>
      </c>
      <c r="D9" s="90">
        <f>VLOOKUP(A9,'תפוקה מצטברת מול אשתקד'!A:K,9,0)</f>
        <v>191973.7551</v>
      </c>
      <c r="E9" s="179">
        <f>VLOOKUP(A9,'תפוקה מצטברת מול אשתקד'!A:O,13,0)</f>
        <v>330664.204</v>
      </c>
    </row>
    <row r="10">
      <c r="A10" s="98" t="s">
        <v>33</v>
      </c>
      <c r="B10" s="88">
        <f t="shared" si="1"/>
        <v>0.505778063</v>
      </c>
      <c r="C10" s="89">
        <f t="shared" si="2"/>
        <v>72482.85253</v>
      </c>
      <c r="D10" s="90">
        <f>VLOOKUP(A10,'תפוקה מצטברת מול אשתקד'!A:K,9,0)</f>
        <v>215792.4538</v>
      </c>
      <c r="E10" s="179">
        <f>VLOOKUP(A10,'תפוקה מצטברת מול אשתקד'!A:O,13,0)</f>
        <v>143309.6013</v>
      </c>
    </row>
    <row r="11" hidden="1">
      <c r="A11" s="98" t="s">
        <v>90</v>
      </c>
      <c r="B11" s="88">
        <f t="shared" si="1"/>
        <v>0</v>
      </c>
      <c r="C11" s="89">
        <f t="shared" si="2"/>
        <v>-7.45</v>
      </c>
      <c r="D11" s="90">
        <f>VLOOKUP(A11,'תפוקה מצטברת מול אשתקד'!A:K,9,0)</f>
        <v>0</v>
      </c>
      <c r="E11" s="179">
        <f>VLOOKUP(A11,'תפוקה מצטברת מול אשתקד'!A:O,13,0)</f>
        <v>7.45</v>
      </c>
    </row>
    <row r="12" hidden="1">
      <c r="A12" s="98" t="s">
        <v>99</v>
      </c>
      <c r="B12" s="88">
        <f t="shared" si="1"/>
        <v>1</v>
      </c>
      <c r="C12" s="89">
        <f t="shared" si="2"/>
        <v>5594.839</v>
      </c>
      <c r="D12" s="90">
        <f>VLOOKUP(A12,'תפוקה מצטברת מול אשתקד'!A:K,9,0)</f>
        <v>5594.839</v>
      </c>
      <c r="E12" s="179">
        <f>VLOOKUP(A12,'תפוקה מצטברת מול אשתקד'!A:O,13,0)</f>
        <v>0</v>
      </c>
    </row>
    <row r="13" hidden="1">
      <c r="A13" s="98" t="s">
        <v>77</v>
      </c>
      <c r="B13" s="88">
        <f t="shared" si="1"/>
        <v>0</v>
      </c>
      <c r="C13" s="89">
        <f t="shared" si="2"/>
        <v>-3527.391374</v>
      </c>
      <c r="D13" s="90">
        <f>VLOOKUP(A13,'תפוקה מצטברת מול אשתקד'!A:K,9,0)</f>
        <v>0</v>
      </c>
      <c r="E13" s="179">
        <f>VLOOKUP(A13,'תפוקה מצטברת מול אשתקד'!A:O,13,0)</f>
        <v>3527.391374</v>
      </c>
    </row>
    <row r="14" hidden="1">
      <c r="A14" s="98" t="s">
        <v>102</v>
      </c>
      <c r="B14" s="88">
        <f t="shared" si="1"/>
        <v>9.6301714</v>
      </c>
      <c r="C14" s="89">
        <f t="shared" si="2"/>
        <v>18591.72</v>
      </c>
      <c r="D14" s="90">
        <f>VLOOKUP(A14,'תפוקה מצטברת מול אשתקד'!A:K,9,0)</f>
        <v>20522.29</v>
      </c>
      <c r="E14" s="179">
        <f>VLOOKUP(A14,'תפוקה מצטברת מול אשתקד'!A:O,13,0)</f>
        <v>1930.57</v>
      </c>
    </row>
    <row r="15" hidden="1">
      <c r="A15" s="98" t="s">
        <v>119</v>
      </c>
      <c r="B15" s="88">
        <f t="shared" si="1"/>
        <v>1.475310563</v>
      </c>
      <c r="C15" s="89">
        <f t="shared" si="2"/>
        <v>16531.51939</v>
      </c>
      <c r="D15" s="90">
        <f>VLOOKUP(A15,'תפוקה מצטברת מול אשתקד'!A:K,9,0)</f>
        <v>27736.96983</v>
      </c>
      <c r="E15" s="179">
        <f>VLOOKUP(A15,'תפוקה מצטברת מול אשתקד'!A:O,13,0)</f>
        <v>11205.45044</v>
      </c>
    </row>
    <row r="16" hidden="1">
      <c r="A16" s="98" t="s">
        <v>112</v>
      </c>
      <c r="B16" s="88">
        <f t="shared" si="1"/>
        <v>0</v>
      </c>
      <c r="C16" s="89">
        <f t="shared" si="2"/>
        <v>-2467.98</v>
      </c>
      <c r="D16" s="90">
        <f>VLOOKUP(A16,'תפוקה מצטברת מול אשתקד'!A:K,9,0)</f>
        <v>0</v>
      </c>
      <c r="E16" s="179">
        <f>VLOOKUP(A16,'תפוקה מצטברת מול אשתקד'!A:O,13,0)</f>
        <v>2467.98</v>
      </c>
    </row>
    <row r="17" hidden="1">
      <c r="A17" s="125" t="s">
        <v>101</v>
      </c>
      <c r="B17" s="88">
        <f t="shared" si="1"/>
        <v>0.3088460748</v>
      </c>
      <c r="C17" s="89">
        <f t="shared" si="2"/>
        <v>390.82</v>
      </c>
      <c r="D17" s="90">
        <f>VLOOKUP(A17,'תפוקה מצטברת מול אשתקד'!A:K,9,0)</f>
        <v>1656.24</v>
      </c>
      <c r="E17" s="179">
        <f>VLOOKUP(A17,'תפוקה מצטברת מול אשתקד'!A:O,13,0)</f>
        <v>1265.42</v>
      </c>
    </row>
    <row r="18" hidden="1">
      <c r="A18" s="98" t="s">
        <v>87</v>
      </c>
      <c r="B18" s="88">
        <f t="shared" si="1"/>
        <v>0.0569101402</v>
      </c>
      <c r="C18" s="89">
        <f t="shared" si="2"/>
        <v>4746.528446</v>
      </c>
      <c r="D18" s="90">
        <f>VLOOKUP(A18,'תפוקה מצטברת מול אשתקד'!A:K,9,0)</f>
        <v>88150.44257</v>
      </c>
      <c r="E18" s="179">
        <f>VLOOKUP(A18,'תפוקה מצטברת מול אשתקד'!A:O,13,0)</f>
        <v>83403.91413</v>
      </c>
    </row>
    <row r="19" hidden="1">
      <c r="A19" s="98" t="s">
        <v>114</v>
      </c>
      <c r="B19" s="88">
        <f t="shared" si="1"/>
        <v>0.06793598782</v>
      </c>
      <c r="C19" s="89">
        <f t="shared" si="2"/>
        <v>2004.988878</v>
      </c>
      <c r="D19" s="90">
        <f>VLOOKUP(A19,'תפוקה מצטברת מול אשתקד'!A:K,9,0)</f>
        <v>31517.90158</v>
      </c>
      <c r="E19" s="179">
        <f>VLOOKUP(A19,'תפוקה מצטברת מול אשתקד'!A:O,13,0)</f>
        <v>29512.9127</v>
      </c>
    </row>
    <row r="20" hidden="1">
      <c r="A20" s="98" t="s">
        <v>105</v>
      </c>
      <c r="B20" s="88">
        <f t="shared" si="1"/>
        <v>-5.957167311</v>
      </c>
      <c r="C20" s="89">
        <f t="shared" si="2"/>
        <v>3926.826863</v>
      </c>
      <c r="D20" s="90">
        <f>VLOOKUP(A20,'תפוקה מצטברת מול אשתקד'!A:K,9,0)</f>
        <v>3267.65</v>
      </c>
      <c r="E20" s="179">
        <f>VLOOKUP(A20,'תפוקה מצטברת מול אשתקד'!A:O,13,0)</f>
        <v>-659.1768635</v>
      </c>
    </row>
    <row r="21" ht="15.75" hidden="1" customHeight="1">
      <c r="A21" s="98" t="s">
        <v>104</v>
      </c>
      <c r="B21" s="88">
        <f t="shared" si="1"/>
        <v>-1.071430835</v>
      </c>
      <c r="C21" s="89">
        <f t="shared" si="2"/>
        <v>13010.91514</v>
      </c>
      <c r="D21" s="90">
        <f>VLOOKUP(A21,'תפוקה מצטברת מול אשתקד'!A:K,9,0)</f>
        <v>867.42</v>
      </c>
      <c r="E21" s="179">
        <f>VLOOKUP(A21,'תפוקה מצטברת מול אשתקד'!A:O,13,0)</f>
        <v>-12143.49514</v>
      </c>
    </row>
    <row r="22" ht="15.75" hidden="1" customHeight="1">
      <c r="A22" s="123" t="s">
        <v>76</v>
      </c>
      <c r="B22" s="88">
        <f t="shared" si="1"/>
        <v>0</v>
      </c>
      <c r="C22" s="89">
        <f t="shared" si="2"/>
        <v>0</v>
      </c>
      <c r="D22" s="90">
        <f>VLOOKUP(A22,'תפוקה מצטברת מול אשתקד'!A:K,9,0)</f>
        <v>0</v>
      </c>
      <c r="E22" s="179">
        <f>VLOOKUP(A22,'תפוקה מצטברת מול אשתקד'!A:O,13,0)</f>
        <v>0</v>
      </c>
    </row>
    <row r="23" ht="15.75" hidden="1" customHeight="1">
      <c r="A23" s="99" t="s">
        <v>96</v>
      </c>
      <c r="B23" s="88">
        <f t="shared" si="1"/>
        <v>-0.3557740976</v>
      </c>
      <c r="C23" s="89">
        <f t="shared" si="2"/>
        <v>-16733.4714</v>
      </c>
      <c r="D23" s="90">
        <f>VLOOKUP(A23,'תפוקה מצטברת מול אשתקד'!A:K,9,0)</f>
        <v>30300.50749</v>
      </c>
      <c r="E23" s="179">
        <f>VLOOKUP(A23,'תפוקה מצטברת מול אשתקד'!A:O,13,0)</f>
        <v>47033.97889</v>
      </c>
    </row>
    <row r="24" ht="15.75" hidden="1" customHeight="1">
      <c r="A24" s="98" t="s">
        <v>75</v>
      </c>
      <c r="B24" s="88">
        <f t="shared" si="1"/>
        <v>0.1640440326</v>
      </c>
      <c r="C24" s="89">
        <f t="shared" si="2"/>
        <v>17301.40829</v>
      </c>
      <c r="D24" s="90">
        <f>VLOOKUP(A24,'תפוקה מצטברת מול אשתקד'!A:K,9,0)</f>
        <v>122769.483</v>
      </c>
      <c r="E24" s="179">
        <f>VLOOKUP(A24,'תפוקה מצטברת מול אשתקד'!A:O,13,0)</f>
        <v>105468.0748</v>
      </c>
    </row>
    <row r="25" ht="15.75" hidden="1" customHeight="1">
      <c r="A25" s="98" t="s">
        <v>94</v>
      </c>
      <c r="B25" s="88">
        <f t="shared" si="1"/>
        <v>0</v>
      </c>
      <c r="C25" s="89">
        <f t="shared" si="2"/>
        <v>0</v>
      </c>
      <c r="D25" s="90">
        <f>VLOOKUP(A25,'תפוקה מצטברת מול אשתקד'!A:K,9,0)</f>
        <v>0</v>
      </c>
      <c r="E25" s="179">
        <f>VLOOKUP(A25,'תפוקה מצטברת מול אשתקד'!A:O,13,0)</f>
        <v>0</v>
      </c>
    </row>
    <row r="26" ht="15.75" customHeight="1">
      <c r="A26" s="99" t="s">
        <v>35</v>
      </c>
      <c r="B26" s="88">
        <f t="shared" si="1"/>
        <v>0.09812025873</v>
      </c>
      <c r="C26" s="89">
        <f t="shared" si="2"/>
        <v>34397.55526</v>
      </c>
      <c r="D26" s="90">
        <f>VLOOKUP(A26,'תפוקה מצטברת מול אשתקד'!A:K,9,0)</f>
        <v>384962.828</v>
      </c>
      <c r="E26" s="179">
        <f>VLOOKUP(A26,'תפוקה מצטברת מול אשתקד'!A:O,13,0)</f>
        <v>350565.2727</v>
      </c>
    </row>
    <row r="27" ht="15.75" hidden="1" customHeight="1">
      <c r="A27" s="137" t="s">
        <v>117</v>
      </c>
      <c r="B27" s="88">
        <f t="shared" si="1"/>
        <v>1</v>
      </c>
      <c r="C27" s="89">
        <f t="shared" si="2"/>
        <v>22615.3474</v>
      </c>
      <c r="D27" s="90">
        <f>VLOOKUP(A27,'תפוקה מצטברת מול אשתקד'!A:K,9,0)</f>
        <v>22615.3474</v>
      </c>
      <c r="E27" s="179">
        <f>VLOOKUP(A27,'תפוקה מצטברת מול אשתקד'!A:O,13,0)</f>
        <v>0</v>
      </c>
    </row>
    <row r="28" ht="15.75" hidden="1" customHeight="1">
      <c r="A28" s="98" t="s">
        <v>124</v>
      </c>
      <c r="B28" s="88">
        <f t="shared" si="1"/>
        <v>0.5293671344</v>
      </c>
      <c r="C28" s="89">
        <f t="shared" si="2"/>
        <v>26039.66787</v>
      </c>
      <c r="D28" s="90">
        <f>VLOOKUP(A28,'תפוקה מצטברת מול אשתקד'!A:K,9,0)</f>
        <v>75229.854</v>
      </c>
      <c r="E28" s="179">
        <f>VLOOKUP(A28,'תפוקה מצטברת מול אשתקד'!A:O,13,0)</f>
        <v>49190.18613</v>
      </c>
    </row>
    <row r="29" ht="15.75" hidden="1" customHeight="1">
      <c r="A29" s="99" t="s">
        <v>118</v>
      </c>
      <c r="B29" s="88">
        <f t="shared" si="1"/>
        <v>0</v>
      </c>
      <c r="C29" s="89">
        <f t="shared" si="2"/>
        <v>0</v>
      </c>
      <c r="D29" s="90">
        <f>VLOOKUP(A29,'תפוקה מצטברת מול אשתקד'!A:K,9,0)</f>
        <v>0</v>
      </c>
      <c r="E29" s="179">
        <f>VLOOKUP(A29,'תפוקה מצטברת מול אשתקד'!A:O,13,0)</f>
        <v>0</v>
      </c>
    </row>
    <row r="30" ht="15.75" hidden="1" customHeight="1">
      <c r="A30" s="98" t="s">
        <v>53</v>
      </c>
      <c r="B30" s="88">
        <f t="shared" si="1"/>
        <v>-0.672437518</v>
      </c>
      <c r="C30" s="89">
        <f t="shared" si="2"/>
        <v>-502390.8896</v>
      </c>
      <c r="D30" s="90">
        <f>VLOOKUP(A30,'תפוקה מצטברת מול אשתקד'!A:K,9,0)</f>
        <v>244728.1752</v>
      </c>
      <c r="E30" s="179">
        <f>VLOOKUP(A30,'תפוקה מצטברת מול אשתקד'!A:O,13,0)</f>
        <v>747119.0649</v>
      </c>
    </row>
    <row r="31" ht="15.75" hidden="1" customHeight="1">
      <c r="A31" s="98" t="s">
        <v>127</v>
      </c>
      <c r="B31" s="88">
        <f t="shared" si="1"/>
        <v>-0.06380705416</v>
      </c>
      <c r="C31" s="89">
        <f t="shared" si="2"/>
        <v>-1578.32954</v>
      </c>
      <c r="D31" s="90">
        <f>VLOOKUP(A31,'תפוקה מצטברת מול אשתקד'!A:K,9,0)</f>
        <v>23157.643</v>
      </c>
      <c r="E31" s="179">
        <f>VLOOKUP(A31,'תפוקה מצטברת מול אשתקד'!A:O,13,0)</f>
        <v>24735.97254</v>
      </c>
    </row>
    <row r="32" ht="15.75" hidden="1" customHeight="1">
      <c r="A32" s="98" t="s">
        <v>110</v>
      </c>
      <c r="B32" s="88">
        <f t="shared" si="1"/>
        <v>0</v>
      </c>
      <c r="C32" s="89">
        <f t="shared" si="2"/>
        <v>0</v>
      </c>
      <c r="D32" s="90">
        <f>VLOOKUP(A32,'תפוקה מצטברת מול אשתקד'!A:K,9,0)</f>
        <v>0</v>
      </c>
      <c r="E32" s="179">
        <f>VLOOKUP(A32,'תפוקה מצטברת מול אשתקד'!A:O,13,0)</f>
        <v>0</v>
      </c>
    </row>
    <row r="33" ht="15.75" hidden="1" customHeight="1">
      <c r="A33" s="181" t="s">
        <v>115</v>
      </c>
      <c r="B33" s="88">
        <f t="shared" si="1"/>
        <v>1</v>
      </c>
      <c r="C33" s="89">
        <f t="shared" si="2"/>
        <v>8491.540238</v>
      </c>
      <c r="D33" s="90">
        <f>VLOOKUP(A33,'תפוקה מצטברת מול אשתקד'!A:K,9,0)</f>
        <v>8491.540238</v>
      </c>
      <c r="E33" s="179">
        <f>VLOOKUP(A33,'תפוקה מצטברת מול אשתקד'!A:O,13,0)</f>
        <v>0</v>
      </c>
    </row>
    <row r="34" ht="15.75" hidden="1" customHeight="1">
      <c r="A34" s="98" t="s">
        <v>66</v>
      </c>
      <c r="B34" s="88">
        <f t="shared" si="1"/>
        <v>-0.5657927249</v>
      </c>
      <c r="C34" s="89">
        <f t="shared" si="2"/>
        <v>-1632.79676</v>
      </c>
      <c r="D34" s="90">
        <f>VLOOKUP(A34,'תפוקה מצטברת מול אשתקד'!A:K,9,0)</f>
        <v>1253.06</v>
      </c>
      <c r="E34" s="179">
        <f>VLOOKUP(A34,'תפוקה מצטברת מול אשתקד'!A:O,13,0)</f>
        <v>2885.85676</v>
      </c>
    </row>
    <row r="35" ht="15.75" hidden="1" customHeight="1">
      <c r="A35" s="98" t="s">
        <v>122</v>
      </c>
      <c r="B35" s="88">
        <f t="shared" si="1"/>
        <v>-1.07318118</v>
      </c>
      <c r="C35" s="89">
        <f t="shared" si="2"/>
        <v>-23016.36652</v>
      </c>
      <c r="D35" s="90">
        <f>VLOOKUP(A35,'תפוקה מצטברת מול אשתקד'!A:K,9,0)</f>
        <v>-1569.506517</v>
      </c>
      <c r="E35" s="179">
        <f>VLOOKUP(A35,'תפוקה מצטברת מול אשתקד'!A:O,13,0)</f>
        <v>21446.86</v>
      </c>
    </row>
    <row r="36" ht="15.75" hidden="1" customHeight="1">
      <c r="A36" s="98" t="s">
        <v>95</v>
      </c>
      <c r="B36" s="88">
        <f t="shared" si="1"/>
        <v>2.429095837</v>
      </c>
      <c r="C36" s="89">
        <f t="shared" si="2"/>
        <v>1846.21</v>
      </c>
      <c r="D36" s="90">
        <f>VLOOKUP(A36,'תפוקה מצטברת מול אשתקד'!A:K,9,0)</f>
        <v>2606.25</v>
      </c>
      <c r="E36" s="179">
        <f>VLOOKUP(A36,'תפוקה מצטברת מול אשתקד'!A:O,13,0)</f>
        <v>760.04</v>
      </c>
    </row>
    <row r="37" ht="15.75" hidden="1" customHeight="1">
      <c r="A37" s="98" t="s">
        <v>125</v>
      </c>
      <c r="B37" s="88">
        <f t="shared" si="1"/>
        <v>0.2881289739</v>
      </c>
      <c r="C37" s="89">
        <f t="shared" si="2"/>
        <v>13664.75745</v>
      </c>
      <c r="D37" s="90">
        <f>VLOOKUP(A37,'תפוקה מצטברת מול אשתקד'!A:K,9,0)</f>
        <v>61090.59341</v>
      </c>
      <c r="E37" s="179">
        <f>VLOOKUP(A37,'תפוקה מצטברת מול אשתקד'!A:O,13,0)</f>
        <v>47425.83596</v>
      </c>
    </row>
    <row r="38" ht="15.75" hidden="1" customHeight="1">
      <c r="A38" s="98" t="s">
        <v>68</v>
      </c>
      <c r="B38" s="88">
        <f t="shared" si="1"/>
        <v>0.6736298518</v>
      </c>
      <c r="C38" s="89">
        <f t="shared" si="2"/>
        <v>470.777</v>
      </c>
      <c r="D38" s="90">
        <f>VLOOKUP(A38,'תפוקה מצטברת מול אשתקד'!A:K,9,0)</f>
        <v>1169.643</v>
      </c>
      <c r="E38" s="179">
        <f>VLOOKUP(A38,'תפוקה מצטברת מול אשתקד'!A:O,13,0)</f>
        <v>698.866</v>
      </c>
    </row>
    <row r="39" ht="15.75" customHeight="1">
      <c r="A39" s="98" t="s">
        <v>37</v>
      </c>
      <c r="B39" s="88">
        <f t="shared" si="1"/>
        <v>1</v>
      </c>
      <c r="C39" s="89">
        <f t="shared" si="2"/>
        <v>47762.66378</v>
      </c>
      <c r="D39" s="90">
        <f>VLOOKUP(A39,'תפוקה מצטברת מול אשתקד'!A:K,9,0)</f>
        <v>47762.66378</v>
      </c>
      <c r="E39" s="179">
        <f>VLOOKUP(A39,'תפוקה מצטברת מול אשתקד'!A:O,13,0)</f>
        <v>0</v>
      </c>
    </row>
    <row r="40" ht="15.75" hidden="1" customHeight="1">
      <c r="A40" s="98" t="s">
        <v>123</v>
      </c>
      <c r="B40" s="88">
        <f t="shared" si="1"/>
        <v>-1.064302257</v>
      </c>
      <c r="C40" s="89">
        <f t="shared" si="2"/>
        <v>-4868.862953</v>
      </c>
      <c r="D40" s="90">
        <f>VLOOKUP(A40,'תפוקה מצטברת מול אשתקד'!A:K,9,0)</f>
        <v>-294.1634999</v>
      </c>
      <c r="E40" s="179">
        <f>VLOOKUP(A40,'תפוקה מצטברת מול אשתקד'!A:O,13,0)</f>
        <v>4574.699454</v>
      </c>
    </row>
    <row r="41" ht="15.75" hidden="1" customHeight="1">
      <c r="A41" s="99" t="s">
        <v>81</v>
      </c>
      <c r="B41" s="88">
        <f t="shared" si="1"/>
        <v>1</v>
      </c>
      <c r="C41" s="89">
        <f t="shared" si="2"/>
        <v>3071.944288</v>
      </c>
      <c r="D41" s="90">
        <f>VLOOKUP(A41,'תפוקה מצטברת מול אשתקד'!A:K,9,0)</f>
        <v>3071.944288</v>
      </c>
      <c r="E41" s="179">
        <f>VLOOKUP(A41,'תפוקה מצטברת מול אשתקד'!A:O,13,0)</f>
        <v>0</v>
      </c>
    </row>
    <row r="42" ht="15.75" hidden="1" customHeight="1">
      <c r="A42" s="98" t="s">
        <v>55</v>
      </c>
      <c r="B42" s="88">
        <f t="shared" si="1"/>
        <v>-0.7253185559</v>
      </c>
      <c r="C42" s="89">
        <f t="shared" si="2"/>
        <v>-76929.91614</v>
      </c>
      <c r="D42" s="90">
        <f>VLOOKUP(A42,'תפוקה מצטברת מול אשתקד'!A:K,9,0)</f>
        <v>29133.71</v>
      </c>
      <c r="E42" s="179">
        <f>VLOOKUP(A42,'תפוקה מצטברת מול אשתקד'!A:O,13,0)</f>
        <v>106063.6261</v>
      </c>
    </row>
    <row r="43" ht="15.75" hidden="1" customHeight="1">
      <c r="A43" s="98" t="s">
        <v>109</v>
      </c>
      <c r="B43" s="88">
        <f t="shared" si="1"/>
        <v>1</v>
      </c>
      <c r="C43" s="89">
        <f t="shared" si="2"/>
        <v>17842.41</v>
      </c>
      <c r="D43" s="90">
        <f>VLOOKUP(A43,'תפוקה מצטברת מול אשתקד'!A:K,9,0)</f>
        <v>17842.41</v>
      </c>
      <c r="E43" s="179">
        <f>VLOOKUP(A43,'תפוקה מצטברת מול אשתקד'!A:O,13,0)</f>
        <v>0</v>
      </c>
    </row>
    <row r="44" ht="15.75" customHeight="1">
      <c r="A44" s="98" t="s">
        <v>39</v>
      </c>
      <c r="B44" s="88">
        <f t="shared" si="1"/>
        <v>0.6998451095</v>
      </c>
      <c r="C44" s="89">
        <f t="shared" si="2"/>
        <v>330261.052</v>
      </c>
      <c r="D44" s="90">
        <f>VLOOKUP(A44,'תפוקה מצטברת מול אשתקד'!A:K,9,0)</f>
        <v>802166.9745</v>
      </c>
      <c r="E44" s="179">
        <f>VLOOKUP(A44,'תפוקה מצטברת מול אשתקד'!A:O,13,0)</f>
        <v>471905.9225</v>
      </c>
    </row>
    <row r="45" ht="15.75" hidden="1" customHeight="1">
      <c r="A45" s="98" t="s">
        <v>72</v>
      </c>
      <c r="B45" s="88">
        <f t="shared" si="1"/>
        <v>-0.07254261491</v>
      </c>
      <c r="C45" s="89">
        <f t="shared" si="2"/>
        <v>-2241.083484</v>
      </c>
      <c r="D45" s="90">
        <f>VLOOKUP(A45,'תפוקה מצטברת מול אשתקד'!A:K,9,0)</f>
        <v>28652.254</v>
      </c>
      <c r="E45" s="179">
        <f>VLOOKUP(A45,'תפוקה מצטברת מול אשתקד'!A:O,13,0)</f>
        <v>30893.33748</v>
      </c>
    </row>
    <row r="46" ht="15.75" hidden="1" customHeight="1">
      <c r="A46" s="125" t="s">
        <v>73</v>
      </c>
      <c r="B46" s="88">
        <f t="shared" si="1"/>
        <v>0</v>
      </c>
      <c r="C46" s="89">
        <f t="shared" si="2"/>
        <v>0</v>
      </c>
      <c r="D46" s="90">
        <f>VLOOKUP(A46,'תפוקה מצטברת מול אשתקד'!A:K,9,0)</f>
        <v>0</v>
      </c>
      <c r="E46" s="179">
        <f>VLOOKUP(A46,'תפוקה מצטברת מול אשתקד'!A:O,13,0)</f>
        <v>0</v>
      </c>
    </row>
    <row r="47" ht="15.75" hidden="1" customHeight="1">
      <c r="A47" s="99" t="s">
        <v>113</v>
      </c>
      <c r="B47" s="88">
        <f t="shared" si="1"/>
        <v>-0.5551948361</v>
      </c>
      <c r="C47" s="89">
        <f t="shared" si="2"/>
        <v>-5497.752691</v>
      </c>
      <c r="D47" s="90">
        <f>VLOOKUP(A47,'תפוקה מצטברת מול אשתקד'!A:K,9,0)</f>
        <v>4404.631722</v>
      </c>
      <c r="E47" s="179">
        <f>VLOOKUP(A47,'תפוקה מצטברת מול אשתקד'!A:O,13,0)</f>
        <v>9902.384413</v>
      </c>
    </row>
    <row r="48" ht="15.75" hidden="1" customHeight="1">
      <c r="A48" s="98" t="s">
        <v>97</v>
      </c>
      <c r="B48" s="88">
        <f t="shared" si="1"/>
        <v>-0.4176697903</v>
      </c>
      <c r="C48" s="89">
        <f t="shared" si="2"/>
        <v>-16038.59581</v>
      </c>
      <c r="D48" s="90">
        <f>VLOOKUP(A48,'תפוקה מצטברת מול אשתקד'!A:K,9,0)</f>
        <v>22361.58583</v>
      </c>
      <c r="E48" s="179">
        <f>VLOOKUP(A48,'תפוקה מצטברת מול אשתקד'!A:O,13,0)</f>
        <v>38400.18164</v>
      </c>
    </row>
    <row r="49" ht="15.75" hidden="1" customHeight="1">
      <c r="A49" s="87" t="s">
        <v>126</v>
      </c>
      <c r="B49" s="88">
        <f t="shared" si="1"/>
        <v>0.196895113</v>
      </c>
      <c r="C49" s="89">
        <f t="shared" si="2"/>
        <v>32641.36153</v>
      </c>
      <c r="D49" s="90">
        <f>VLOOKUP(A49,'תפוקה מצטברת מול אשתקד'!A:K,9,0)</f>
        <v>198421.8171</v>
      </c>
      <c r="E49" s="179">
        <f>VLOOKUP(A49,'תפוקה מצטברת מול אשתקד'!A:O,13,0)</f>
        <v>165780.4556</v>
      </c>
    </row>
    <row r="50" ht="15.75" hidden="1" customHeight="1">
      <c r="A50" s="98" t="s">
        <v>57</v>
      </c>
      <c r="B50" s="88">
        <f t="shared" si="1"/>
        <v>-0.9357186391</v>
      </c>
      <c r="C50" s="89">
        <f t="shared" si="2"/>
        <v>-115972.941</v>
      </c>
      <c r="D50" s="90">
        <f>VLOOKUP(A50,'תפוקה מצטברת מול אשתקד'!A:K,9,0)</f>
        <v>7967.03</v>
      </c>
      <c r="E50" s="179">
        <f>VLOOKUP(A50,'תפוקה מצטברת מול אשתקד'!A:O,13,0)</f>
        <v>123939.971</v>
      </c>
    </row>
    <row r="51" ht="15.75" hidden="1" customHeight="1">
      <c r="A51" s="98" t="s">
        <v>91</v>
      </c>
      <c r="B51" s="88">
        <f t="shared" si="1"/>
        <v>-14.05326758</v>
      </c>
      <c r="C51" s="89">
        <f t="shared" si="2"/>
        <v>7120.875</v>
      </c>
      <c r="D51" s="90">
        <f>VLOOKUP(A51,'תפוקה מצטברת מול אשתקד'!A:K,9,0)</f>
        <v>6614.169</v>
      </c>
      <c r="E51" s="179">
        <f>VLOOKUP(A51,'תפוקה מצטברת מול אשתקד'!A:O,13,0)</f>
        <v>-506.706</v>
      </c>
    </row>
    <row r="52" ht="15.75" hidden="1" customHeight="1">
      <c r="A52" s="123" t="s">
        <v>79</v>
      </c>
      <c r="B52" s="88">
        <f t="shared" si="1"/>
        <v>-0.5999926042</v>
      </c>
      <c r="C52" s="89">
        <f t="shared" si="2"/>
        <v>-62332.66414</v>
      </c>
      <c r="D52" s="90">
        <f>VLOOKUP(A52,'תפוקה מצטברת מול אשתקד'!A:K,9,0)</f>
        <v>41556.39</v>
      </c>
      <c r="E52" s="179">
        <f>VLOOKUP(A52,'תפוקה מצטברת מול אשתקד'!A:O,13,0)</f>
        <v>103889.0541</v>
      </c>
    </row>
    <row r="53" ht="15.75" hidden="1" customHeight="1">
      <c r="A53" s="123" t="s">
        <v>74</v>
      </c>
      <c r="B53" s="88">
        <f t="shared" si="1"/>
        <v>1.123012096</v>
      </c>
      <c r="C53" s="89">
        <f t="shared" si="2"/>
        <v>19728.798</v>
      </c>
      <c r="D53" s="90">
        <f>VLOOKUP(A53,'תפוקה מצטברת מול אשתקד'!A:K,9,0)</f>
        <v>37296.55</v>
      </c>
      <c r="E53" s="179">
        <f>VLOOKUP(A53,'תפוקה מצטברת מול אשתקד'!A:O,13,0)</f>
        <v>17567.752</v>
      </c>
    </row>
    <row r="54" ht="15.75" customHeight="1">
      <c r="A54" s="98" t="s">
        <v>41</v>
      </c>
      <c r="B54" s="88">
        <f t="shared" si="1"/>
        <v>6.325276338</v>
      </c>
      <c r="C54" s="89">
        <f t="shared" si="2"/>
        <v>52841.26136</v>
      </c>
      <c r="D54" s="90">
        <f>VLOOKUP(A54,'תפוקה מצטברת מול אשתקד'!A:K,9,0)</f>
        <v>61195.246</v>
      </c>
      <c r="E54" s="179">
        <f>VLOOKUP(A54,'תפוקה מצטברת מול אשתקד'!A:O,13,0)</f>
        <v>8353.984639</v>
      </c>
    </row>
    <row r="55" ht="15.75" hidden="1" customHeight="1">
      <c r="A55" s="136" t="s">
        <v>116</v>
      </c>
      <c r="B55" s="88">
        <f t="shared" si="1"/>
        <v>0</v>
      </c>
      <c r="C55" s="89">
        <f t="shared" si="2"/>
        <v>0</v>
      </c>
      <c r="D55" s="90">
        <f>VLOOKUP(A55,'תפוקה מצטברת מול אשתקד'!A:K,9,0)</f>
        <v>0</v>
      </c>
      <c r="E55" s="179">
        <f>VLOOKUP(A55,'תפוקה מצטברת מול אשתקד'!A:O,13,0)</f>
        <v>0</v>
      </c>
    </row>
    <row r="56" ht="15.75" hidden="1" customHeight="1">
      <c r="A56" s="98" t="s">
        <v>108</v>
      </c>
      <c r="B56" s="88">
        <f t="shared" si="1"/>
        <v>0</v>
      </c>
      <c r="C56" s="89">
        <f t="shared" si="2"/>
        <v>-3405.926197</v>
      </c>
      <c r="D56" s="90">
        <f>VLOOKUP(A56,'תפוקה מצטברת מול אשתקד'!A:K,9,0)</f>
        <v>0</v>
      </c>
      <c r="E56" s="179">
        <f>VLOOKUP(A56,'תפוקה מצטברת מול אשתקד'!A:O,13,0)</f>
        <v>3405.926197</v>
      </c>
    </row>
    <row r="57" ht="15.75" hidden="1" customHeight="1">
      <c r="A57" s="98" t="s">
        <v>71</v>
      </c>
      <c r="B57" s="88">
        <f t="shared" si="1"/>
        <v>36.9346844</v>
      </c>
      <c r="C57" s="89">
        <f t="shared" si="2"/>
        <v>6402.996888</v>
      </c>
      <c r="D57" s="90">
        <f>VLOOKUP(A57,'תפוקה מצטברת מול אשתקד'!A:K,9,0)</f>
        <v>6576.356888</v>
      </c>
      <c r="E57" s="179">
        <f>VLOOKUP(A57,'תפוקה מצטברת מול אשתקד'!A:O,13,0)</f>
        <v>173.36</v>
      </c>
    </row>
    <row r="58" ht="15.75" hidden="1" customHeight="1">
      <c r="A58" s="98" t="s">
        <v>93</v>
      </c>
      <c r="B58" s="88">
        <f t="shared" si="1"/>
        <v>-0.3709015314</v>
      </c>
      <c r="C58" s="89">
        <f t="shared" si="2"/>
        <v>2028.594</v>
      </c>
      <c r="D58" s="90">
        <f>VLOOKUP(A58,'תפוקה מצטברת מול אשתקד'!A:K,9,0)</f>
        <v>-3440.766</v>
      </c>
      <c r="E58" s="179">
        <f>VLOOKUP(A58,'תפוקה מצטברת מול אשתקד'!A:O,13,0)</f>
        <v>-5469.36</v>
      </c>
    </row>
    <row r="59" ht="15.75" hidden="1" customHeight="1">
      <c r="A59" s="98" t="s">
        <v>70</v>
      </c>
      <c r="B59" s="88">
        <f t="shared" si="1"/>
        <v>-0.4529976349</v>
      </c>
      <c r="C59" s="89">
        <f t="shared" si="2"/>
        <v>-33504.40678</v>
      </c>
      <c r="D59" s="90">
        <f>VLOOKUP(A59,'תפוקה מצטברת מול אשתקד'!A:K,9,0)</f>
        <v>40457.14224</v>
      </c>
      <c r="E59" s="179">
        <f>VLOOKUP(A59,'תפוקה מצטברת מול אשתקד'!A:O,13,0)</f>
        <v>73961.54901</v>
      </c>
    </row>
    <row r="60" ht="15.75" hidden="1" customHeight="1">
      <c r="A60" s="98" t="s">
        <v>103</v>
      </c>
      <c r="B60" s="88">
        <f t="shared" si="1"/>
        <v>-0.2343291784</v>
      </c>
      <c r="C60" s="89">
        <f t="shared" si="2"/>
        <v>-2256.51684</v>
      </c>
      <c r="D60" s="90">
        <f>VLOOKUP(A60,'תפוקה מצטברת מול אשתקד'!A:K,9,0)</f>
        <v>7373.171</v>
      </c>
      <c r="E60" s="179">
        <f>VLOOKUP(A60,'תפוקה מצטברת מול אשתקד'!A:O,13,0)</f>
        <v>9629.68784</v>
      </c>
    </row>
    <row r="61" ht="15.75" hidden="1" customHeight="1">
      <c r="A61" s="98" t="s">
        <v>58</v>
      </c>
      <c r="B61" s="88">
        <f t="shared" si="1"/>
        <v>-0.3318261982</v>
      </c>
      <c r="C61" s="89">
        <f t="shared" si="2"/>
        <v>-68976.85606</v>
      </c>
      <c r="D61" s="90">
        <f>VLOOKUP(A61,'תפוקה מצטברת מול אשתקד'!A:K,9,0)</f>
        <v>138893.5786</v>
      </c>
      <c r="E61" s="179">
        <f>VLOOKUP(A61,'תפוקה מצטברת מול אשתקד'!A:O,13,0)</f>
        <v>207870.4347</v>
      </c>
    </row>
    <row r="62" ht="15.75" hidden="1" customHeight="1">
      <c r="A62" s="99" t="s">
        <v>82</v>
      </c>
      <c r="B62" s="88">
        <f t="shared" si="1"/>
        <v>-0.47418267</v>
      </c>
      <c r="C62" s="89">
        <f t="shared" si="2"/>
        <v>-10663.79854</v>
      </c>
      <c r="D62" s="90">
        <f>VLOOKUP(A62,'תפוקה מצטברת מול אשתקד'!A:K,9,0)</f>
        <v>11825</v>
      </c>
      <c r="E62" s="179">
        <f>VLOOKUP(A62,'תפוקה מצטברת מול אשתקד'!A:O,13,0)</f>
        <v>22488.79854</v>
      </c>
    </row>
    <row r="63" ht="15.75" hidden="1" customHeight="1">
      <c r="A63" s="98" t="s">
        <v>88</v>
      </c>
      <c r="B63" s="88">
        <f t="shared" si="1"/>
        <v>-0.9944245877</v>
      </c>
      <c r="C63" s="89">
        <f t="shared" si="2"/>
        <v>-1737.216</v>
      </c>
      <c r="D63" s="90">
        <f>VLOOKUP(A63,'תפוקה מצטברת מול אשתקד'!A:K,9,0)</f>
        <v>9.74</v>
      </c>
      <c r="E63" s="179">
        <f>VLOOKUP(A63,'תפוקה מצטברת מול אשתקד'!A:O,13,0)</f>
        <v>1746.956</v>
      </c>
    </row>
    <row r="64" ht="15.75" hidden="1" customHeight="1">
      <c r="A64" s="98" t="s">
        <v>64</v>
      </c>
      <c r="B64" s="88">
        <f t="shared" si="1"/>
        <v>-0.4230920521</v>
      </c>
      <c r="C64" s="89">
        <f t="shared" si="2"/>
        <v>-2886.658981</v>
      </c>
      <c r="D64" s="90">
        <f>VLOOKUP(A64,'תפוקה מצטברת מול אשתקד'!A:K,9,0)</f>
        <v>3936.109177</v>
      </c>
      <c r="E64" s="179">
        <f>VLOOKUP(A64,'תפוקה מצטברת מול אשתקד'!A:O,13,0)</f>
        <v>6822.768158</v>
      </c>
    </row>
    <row r="65" ht="15.75" hidden="1" customHeight="1">
      <c r="A65" s="99" t="s">
        <v>83</v>
      </c>
      <c r="B65" s="88">
        <f t="shared" si="1"/>
        <v>-0.02265493445</v>
      </c>
      <c r="C65" s="89">
        <f t="shared" si="2"/>
        <v>-1988.326658</v>
      </c>
      <c r="D65" s="90">
        <f>VLOOKUP(A65,'תפוקה מצטברת מול אשתקד'!A:K,9,0)</f>
        <v>85777.39443</v>
      </c>
      <c r="E65" s="179">
        <f>VLOOKUP(A65,'תפוקה מצטברת מול אשתקד'!A:O,13,0)</f>
        <v>87765.72109</v>
      </c>
    </row>
    <row r="66" ht="15.75" hidden="1" customHeight="1">
      <c r="A66" s="99" t="s">
        <v>84</v>
      </c>
      <c r="B66" s="88">
        <f t="shared" si="1"/>
        <v>0.2353001179</v>
      </c>
      <c r="C66" s="89">
        <f t="shared" si="2"/>
        <v>11116.53078</v>
      </c>
      <c r="D66" s="90">
        <f>VLOOKUP(A66,'תפוקה מצטברת מול אשתקד'!A:K,9,0)</f>
        <v>58360.58182</v>
      </c>
      <c r="E66" s="179">
        <f>VLOOKUP(A66,'תפוקה מצטברת מול אשתקד'!A:O,13,0)</f>
        <v>47244.05104</v>
      </c>
    </row>
    <row r="67" ht="15.75" hidden="1" customHeight="1">
      <c r="A67" s="182" t="s">
        <v>107</v>
      </c>
      <c r="B67" s="88">
        <f t="shared" si="1"/>
        <v>0</v>
      </c>
      <c r="C67" s="89">
        <f t="shared" si="2"/>
        <v>0</v>
      </c>
      <c r="D67" s="90">
        <f>VLOOKUP(A67,'תפוקה מצטברת מול אשתקד'!A:K,9,0)</f>
        <v>0</v>
      </c>
      <c r="E67" s="179">
        <f>VLOOKUP(A67,'תפוקה מצטברת מול אשתקד'!A:O,13,0)</f>
        <v>0</v>
      </c>
    </row>
    <row r="68" ht="15.75" hidden="1" customHeight="1">
      <c r="A68" s="98" t="s">
        <v>98</v>
      </c>
      <c r="B68" s="88">
        <f t="shared" si="1"/>
        <v>7.175926993</v>
      </c>
      <c r="C68" s="89">
        <f t="shared" si="2"/>
        <v>21910.27224</v>
      </c>
      <c r="D68" s="90">
        <f>VLOOKUP(A68,'תפוקה מצטברת מול אשתקד'!A:K,9,0)</f>
        <v>24963.57424</v>
      </c>
      <c r="E68" s="179">
        <f>VLOOKUP(A68,'תפוקה מצטברת מול אשתקד'!A:O,13,0)</f>
        <v>3053.302</v>
      </c>
    </row>
    <row r="69" ht="15.75" hidden="1" customHeight="1">
      <c r="A69" s="98" t="s">
        <v>89</v>
      </c>
      <c r="B69" s="88">
        <f t="shared" si="1"/>
        <v>0.1618949011</v>
      </c>
      <c r="C69" s="89">
        <f t="shared" si="2"/>
        <v>677.5768922</v>
      </c>
      <c r="D69" s="90">
        <f>VLOOKUP(A69,'תפוקה מצטברת מול אשתקד'!A:K,9,0)</f>
        <v>4862.865542</v>
      </c>
      <c r="E69" s="179">
        <f>VLOOKUP(A69,'תפוקה מצטברת מול אשתקד'!A:O,13,0)</f>
        <v>4185.28865</v>
      </c>
    </row>
    <row r="70" ht="15.75" customHeight="1">
      <c r="A70" s="183"/>
      <c r="B70" s="180"/>
      <c r="C70" s="180"/>
      <c r="D70" s="180"/>
      <c r="E70" s="180"/>
    </row>
    <row r="71" ht="15.75" customHeight="1">
      <c r="A71" s="183"/>
      <c r="B71" s="180"/>
      <c r="C71" s="180"/>
      <c r="D71" s="180"/>
      <c r="E71" s="180"/>
    </row>
    <row r="72" ht="15.75" customHeight="1">
      <c r="A72" s="183"/>
      <c r="B72" s="180"/>
      <c r="C72" s="180"/>
      <c r="D72" s="180"/>
      <c r="E72" s="180"/>
    </row>
    <row r="73" ht="15.75" customHeight="1">
      <c r="A73" s="183"/>
      <c r="B73" s="180"/>
      <c r="C73" s="180"/>
      <c r="D73" s="180"/>
      <c r="E73" s="180"/>
    </row>
    <row r="74" ht="15.75" customHeight="1">
      <c r="A74" s="183"/>
      <c r="B74" s="180"/>
      <c r="C74" s="180"/>
      <c r="D74" s="180"/>
      <c r="E74" s="180"/>
    </row>
    <row r="75" ht="15.75" customHeight="1">
      <c r="A75" s="183"/>
      <c r="B75" s="180"/>
      <c r="C75" s="180"/>
      <c r="D75" s="180"/>
      <c r="E75" s="180"/>
    </row>
    <row r="76" ht="15.75" customHeight="1">
      <c r="A76" s="183"/>
      <c r="B76" s="180"/>
      <c r="C76" s="180"/>
      <c r="D76" s="180"/>
      <c r="E76" s="180"/>
    </row>
    <row r="77" ht="15.75" customHeight="1">
      <c r="A77" s="183"/>
      <c r="B77" s="180"/>
      <c r="C77" s="180"/>
      <c r="D77" s="180"/>
      <c r="E77" s="180"/>
    </row>
    <row r="78" ht="15.75" customHeight="1">
      <c r="A78" s="183"/>
      <c r="B78" s="180"/>
      <c r="C78" s="180"/>
      <c r="D78" s="180"/>
      <c r="E78" s="180"/>
    </row>
    <row r="79" ht="15.75" customHeight="1">
      <c r="A79" s="183"/>
      <c r="B79" s="180"/>
      <c r="C79" s="180"/>
      <c r="D79" s="180"/>
      <c r="E79" s="180"/>
    </row>
    <row r="80" ht="15.75" customHeight="1">
      <c r="A80" s="183"/>
      <c r="B80" s="180"/>
      <c r="C80" s="180"/>
      <c r="D80" s="180"/>
      <c r="E80" s="180"/>
    </row>
    <row r="81" ht="15.75" customHeight="1">
      <c r="A81" s="183"/>
      <c r="B81" s="180"/>
      <c r="C81" s="180"/>
      <c r="D81" s="180"/>
      <c r="E81" s="180"/>
    </row>
    <row r="82" ht="15.75" customHeight="1">
      <c r="A82" s="183"/>
      <c r="B82" s="180"/>
      <c r="C82" s="180"/>
      <c r="D82" s="180"/>
      <c r="E82" s="180"/>
    </row>
    <row r="83" ht="15.75" customHeight="1">
      <c r="A83" s="183"/>
      <c r="B83" s="180"/>
      <c r="C83" s="180"/>
      <c r="D83" s="180"/>
      <c r="E83" s="180"/>
    </row>
    <row r="84" ht="15.75" customHeight="1">
      <c r="A84" s="183"/>
      <c r="B84" s="180"/>
      <c r="C84" s="180"/>
      <c r="D84" s="180"/>
      <c r="E84" s="180"/>
    </row>
    <row r="85" ht="15.75" customHeight="1">
      <c r="A85" s="183"/>
      <c r="B85" s="180"/>
      <c r="C85" s="180"/>
      <c r="D85" s="180"/>
      <c r="E85" s="180"/>
    </row>
    <row r="86" ht="15.75" customHeight="1">
      <c r="A86" s="183"/>
      <c r="B86" s="180"/>
      <c r="C86" s="180"/>
      <c r="D86" s="180"/>
      <c r="E86" s="180"/>
    </row>
    <row r="87" ht="15.75" customHeight="1">
      <c r="A87" s="183"/>
      <c r="B87" s="180"/>
      <c r="C87" s="180"/>
      <c r="D87" s="180"/>
      <c r="E87" s="180"/>
    </row>
    <row r="88" ht="15.75" customHeight="1">
      <c r="A88" s="183"/>
      <c r="B88" s="180"/>
      <c r="C88" s="180"/>
      <c r="D88" s="180"/>
      <c r="E88" s="180"/>
    </row>
    <row r="89" ht="15.75" customHeight="1">
      <c r="A89" s="183"/>
      <c r="B89" s="180"/>
      <c r="C89" s="180"/>
      <c r="D89" s="180"/>
      <c r="E89" s="180"/>
    </row>
    <row r="90" ht="15.75" customHeight="1">
      <c r="A90" s="183"/>
      <c r="B90" s="180"/>
      <c r="C90" s="180"/>
      <c r="D90" s="180"/>
      <c r="E90" s="180"/>
    </row>
    <row r="91" ht="15.75" customHeight="1">
      <c r="A91" s="183"/>
      <c r="B91" s="180"/>
      <c r="C91" s="180"/>
      <c r="D91" s="180"/>
      <c r="E91" s="180"/>
    </row>
    <row r="92" ht="15.75" customHeight="1">
      <c r="A92" s="183"/>
      <c r="B92" s="180"/>
      <c r="C92" s="180"/>
      <c r="D92" s="180"/>
      <c r="E92" s="180"/>
    </row>
    <row r="93" ht="15.75" customHeight="1">
      <c r="A93" s="183"/>
      <c r="B93" s="180"/>
      <c r="C93" s="180"/>
      <c r="D93" s="180"/>
      <c r="E93" s="180"/>
    </row>
    <row r="94" ht="15.75" customHeight="1">
      <c r="A94" s="183"/>
      <c r="B94" s="180"/>
      <c r="C94" s="180"/>
      <c r="D94" s="180"/>
      <c r="E94" s="180"/>
    </row>
    <row r="95" ht="15.75" customHeight="1">
      <c r="A95" s="183"/>
      <c r="B95" s="180"/>
      <c r="C95" s="180"/>
      <c r="D95" s="180"/>
      <c r="E95" s="180"/>
    </row>
    <row r="96" ht="15.75" customHeight="1">
      <c r="A96" s="183"/>
      <c r="B96" s="180"/>
      <c r="C96" s="180"/>
      <c r="D96" s="180"/>
      <c r="E96" s="180"/>
    </row>
    <row r="97" ht="15.75" customHeight="1">
      <c r="A97" s="183"/>
      <c r="B97" s="180"/>
      <c r="C97" s="180"/>
      <c r="D97" s="180"/>
      <c r="E97" s="180"/>
    </row>
    <row r="98" ht="15.75" customHeight="1">
      <c r="A98" s="183"/>
      <c r="B98" s="180"/>
      <c r="C98" s="180"/>
      <c r="D98" s="180"/>
      <c r="E98" s="180"/>
    </row>
    <row r="99" ht="15.75" customHeight="1">
      <c r="A99" s="183"/>
      <c r="B99" s="180"/>
      <c r="C99" s="180"/>
      <c r="D99" s="180"/>
      <c r="E99" s="180"/>
    </row>
    <row r="100" ht="15.75" customHeight="1">
      <c r="A100" s="183"/>
      <c r="B100" s="180"/>
      <c r="C100" s="180"/>
      <c r="D100" s="180"/>
      <c r="E100" s="180"/>
    </row>
    <row r="101" ht="15.75" customHeight="1">
      <c r="A101" s="183"/>
      <c r="B101" s="180"/>
      <c r="C101" s="180"/>
      <c r="D101" s="180"/>
      <c r="E101" s="180"/>
    </row>
    <row r="102" ht="15.75" customHeight="1">
      <c r="A102" s="183"/>
      <c r="B102" s="180"/>
      <c r="C102" s="180"/>
      <c r="D102" s="180"/>
      <c r="E102" s="180"/>
    </row>
    <row r="103" ht="15.75" customHeight="1">
      <c r="A103" s="183"/>
      <c r="B103" s="180"/>
      <c r="C103" s="180"/>
      <c r="D103" s="180"/>
      <c r="E103" s="180"/>
    </row>
    <row r="104" ht="15.75" customHeight="1">
      <c r="A104" s="183"/>
      <c r="B104" s="180"/>
      <c r="C104" s="180"/>
      <c r="D104" s="180"/>
      <c r="E104" s="180"/>
    </row>
    <row r="105" ht="15.75" customHeight="1">
      <c r="A105" s="183"/>
      <c r="B105" s="180"/>
      <c r="C105" s="180"/>
      <c r="D105" s="180"/>
      <c r="E105" s="180"/>
    </row>
    <row r="106" ht="15.75" customHeight="1">
      <c r="A106" s="183"/>
      <c r="B106" s="180"/>
      <c r="C106" s="180"/>
      <c r="D106" s="180"/>
      <c r="E106" s="180"/>
    </row>
    <row r="107" ht="15.75" customHeight="1">
      <c r="A107" s="183"/>
      <c r="B107" s="180"/>
      <c r="C107" s="180"/>
      <c r="D107" s="180"/>
      <c r="E107" s="180"/>
    </row>
    <row r="108" ht="15.75" customHeight="1">
      <c r="A108" s="183"/>
      <c r="B108" s="180"/>
      <c r="C108" s="180"/>
      <c r="D108" s="180"/>
      <c r="E108" s="180"/>
    </row>
    <row r="109" ht="15.75" customHeight="1">
      <c r="A109" s="183"/>
      <c r="B109" s="180"/>
      <c r="C109" s="180"/>
      <c r="D109" s="180"/>
      <c r="E109" s="180"/>
    </row>
    <row r="110" ht="15.75" customHeight="1">
      <c r="A110" s="183"/>
      <c r="B110" s="180"/>
      <c r="C110" s="180"/>
      <c r="D110" s="180"/>
      <c r="E110" s="180"/>
    </row>
    <row r="111" ht="15.75" customHeight="1">
      <c r="A111" s="183"/>
      <c r="B111" s="180"/>
      <c r="C111" s="180"/>
      <c r="D111" s="180"/>
      <c r="E111" s="180"/>
    </row>
    <row r="112" ht="15.75" customHeight="1">
      <c r="A112" s="183"/>
      <c r="B112" s="180"/>
      <c r="C112" s="180"/>
      <c r="D112" s="180"/>
      <c r="E112" s="180"/>
    </row>
    <row r="113" ht="15.75" customHeight="1">
      <c r="A113" s="183"/>
      <c r="B113" s="180"/>
      <c r="C113" s="180"/>
      <c r="D113" s="180"/>
      <c r="E113" s="180"/>
    </row>
    <row r="114" ht="15.75" customHeight="1">
      <c r="A114" s="183"/>
      <c r="B114" s="180"/>
      <c r="C114" s="180"/>
      <c r="D114" s="180"/>
      <c r="E114" s="180"/>
    </row>
    <row r="115" ht="15.75" customHeight="1">
      <c r="A115" s="183"/>
      <c r="B115" s="180"/>
      <c r="C115" s="180"/>
      <c r="D115" s="180"/>
      <c r="E115" s="180"/>
    </row>
    <row r="116" ht="15.75" customHeight="1">
      <c r="A116" s="183"/>
      <c r="B116" s="180"/>
      <c r="C116" s="180"/>
      <c r="D116" s="180"/>
      <c r="E116" s="180"/>
    </row>
    <row r="117" ht="15.75" customHeight="1">
      <c r="A117" s="183"/>
      <c r="B117" s="180"/>
      <c r="C117" s="180"/>
      <c r="D117" s="180"/>
      <c r="E117" s="180"/>
    </row>
    <row r="118" ht="15.75" customHeight="1">
      <c r="A118" s="183"/>
      <c r="B118" s="180"/>
      <c r="C118" s="180"/>
      <c r="D118" s="180"/>
      <c r="E118" s="180"/>
    </row>
    <row r="119" ht="15.75" customHeight="1">
      <c r="A119" s="183"/>
      <c r="B119" s="180"/>
      <c r="C119" s="180"/>
      <c r="D119" s="180"/>
      <c r="E119" s="180"/>
    </row>
    <row r="120" ht="15.75" customHeight="1">
      <c r="A120" s="183"/>
      <c r="B120" s="180"/>
      <c r="C120" s="180"/>
      <c r="D120" s="180"/>
      <c r="E120" s="180"/>
    </row>
    <row r="121" ht="15.75" customHeight="1">
      <c r="A121" s="183"/>
      <c r="B121" s="180"/>
      <c r="C121" s="180"/>
      <c r="D121" s="180"/>
      <c r="E121" s="180"/>
    </row>
    <row r="122" ht="15.75" customHeight="1">
      <c r="A122" s="183"/>
      <c r="B122" s="180"/>
      <c r="C122" s="180"/>
      <c r="D122" s="180"/>
      <c r="E122" s="180"/>
    </row>
    <row r="123" ht="15.75" customHeight="1">
      <c r="A123" s="183"/>
      <c r="B123" s="180"/>
      <c r="C123" s="180"/>
      <c r="D123" s="180"/>
      <c r="E123" s="180"/>
    </row>
    <row r="124" ht="15.75" customHeight="1">
      <c r="A124" s="183"/>
      <c r="B124" s="180"/>
      <c r="C124" s="180"/>
      <c r="D124" s="180"/>
      <c r="E124" s="180"/>
    </row>
    <row r="125" ht="15.75" customHeight="1">
      <c r="A125" s="183"/>
      <c r="B125" s="180"/>
      <c r="C125" s="180"/>
      <c r="D125" s="180"/>
      <c r="E125" s="180"/>
    </row>
    <row r="126" ht="15.75" customHeight="1">
      <c r="A126" s="183"/>
      <c r="B126" s="180"/>
      <c r="C126" s="180"/>
      <c r="D126" s="180"/>
      <c r="E126" s="180"/>
    </row>
    <row r="127" ht="15.75" customHeight="1">
      <c r="A127" s="183"/>
      <c r="B127" s="180"/>
      <c r="C127" s="180"/>
      <c r="D127" s="180"/>
      <c r="E127" s="180"/>
    </row>
    <row r="128" ht="15.75" customHeight="1">
      <c r="A128" s="183"/>
      <c r="B128" s="180"/>
      <c r="C128" s="180"/>
      <c r="D128" s="180"/>
      <c r="E128" s="180"/>
    </row>
    <row r="129" ht="15.75" customHeight="1">
      <c r="A129" s="183"/>
      <c r="B129" s="180"/>
      <c r="C129" s="180"/>
      <c r="D129" s="180"/>
      <c r="E129" s="180"/>
    </row>
    <row r="130" ht="15.75" customHeight="1">
      <c r="A130" s="183"/>
      <c r="B130" s="180"/>
      <c r="C130" s="180"/>
      <c r="D130" s="180"/>
      <c r="E130" s="180"/>
    </row>
    <row r="131" ht="15.75" customHeight="1">
      <c r="A131" s="183"/>
      <c r="B131" s="180"/>
      <c r="C131" s="180"/>
      <c r="D131" s="180"/>
      <c r="E131" s="180"/>
    </row>
    <row r="132" ht="15.75" customHeight="1">
      <c r="A132" s="183"/>
      <c r="B132" s="180"/>
      <c r="C132" s="180"/>
      <c r="D132" s="180"/>
      <c r="E132" s="180"/>
    </row>
    <row r="133" ht="15.75" customHeight="1">
      <c r="A133" s="183"/>
      <c r="B133" s="180"/>
      <c r="C133" s="180"/>
      <c r="D133" s="180"/>
      <c r="E133" s="180"/>
    </row>
    <row r="134" ht="15.75" customHeight="1">
      <c r="A134" s="183"/>
      <c r="B134" s="180"/>
      <c r="C134" s="180"/>
      <c r="D134" s="180"/>
      <c r="E134" s="180"/>
    </row>
    <row r="135" ht="15.75" customHeight="1">
      <c r="A135" s="183"/>
      <c r="B135" s="180"/>
      <c r="C135" s="180"/>
      <c r="D135" s="180"/>
      <c r="E135" s="180"/>
    </row>
    <row r="136" ht="15.75" customHeight="1">
      <c r="A136" s="183"/>
      <c r="B136" s="180"/>
      <c r="C136" s="180"/>
      <c r="D136" s="180"/>
      <c r="E136" s="180"/>
    </row>
    <row r="137" ht="15.75" customHeight="1">
      <c r="A137" s="183"/>
      <c r="B137" s="180"/>
      <c r="C137" s="180"/>
      <c r="D137" s="180"/>
      <c r="E137" s="180"/>
    </row>
    <row r="138" ht="15.75" customHeight="1">
      <c r="A138" s="183"/>
      <c r="B138" s="180"/>
      <c r="C138" s="180"/>
      <c r="D138" s="180"/>
      <c r="E138" s="180"/>
    </row>
    <row r="139" ht="15.75" customHeight="1">
      <c r="A139" s="183"/>
      <c r="B139" s="180"/>
      <c r="C139" s="180"/>
      <c r="D139" s="180"/>
      <c r="E139" s="180"/>
    </row>
    <row r="140" ht="15.75" customHeight="1">
      <c r="A140" s="183"/>
      <c r="B140" s="180"/>
      <c r="C140" s="180"/>
      <c r="D140" s="180"/>
      <c r="E140" s="180"/>
    </row>
    <row r="141" ht="15.75" customHeight="1">
      <c r="A141" s="183"/>
      <c r="B141" s="180"/>
      <c r="C141" s="180"/>
      <c r="D141" s="180"/>
      <c r="E141" s="180"/>
    </row>
    <row r="142" ht="15.75" customHeight="1">
      <c r="A142" s="183"/>
      <c r="B142" s="180"/>
      <c r="C142" s="180"/>
      <c r="D142" s="180"/>
      <c r="E142" s="180"/>
    </row>
    <row r="143" ht="15.75" customHeight="1">
      <c r="A143" s="183"/>
      <c r="B143" s="180"/>
      <c r="C143" s="180"/>
      <c r="D143" s="180"/>
      <c r="E143" s="180"/>
    </row>
    <row r="144" ht="15.75" customHeight="1">
      <c r="A144" s="183"/>
      <c r="B144" s="180"/>
      <c r="C144" s="180"/>
      <c r="D144" s="180"/>
      <c r="E144" s="180"/>
    </row>
    <row r="145" ht="15.75" customHeight="1">
      <c r="A145" s="183"/>
      <c r="B145" s="180"/>
      <c r="C145" s="180"/>
      <c r="D145" s="180"/>
      <c r="E145" s="180"/>
    </row>
    <row r="146" ht="15.75" customHeight="1">
      <c r="A146" s="183"/>
      <c r="B146" s="180"/>
      <c r="C146" s="180"/>
      <c r="D146" s="180"/>
      <c r="E146" s="180"/>
    </row>
    <row r="147" ht="15.75" customHeight="1">
      <c r="A147" s="183"/>
      <c r="B147" s="180"/>
      <c r="C147" s="180"/>
      <c r="D147" s="180"/>
      <c r="E147" s="180"/>
    </row>
    <row r="148" ht="15.75" customHeight="1">
      <c r="A148" s="183"/>
      <c r="B148" s="180"/>
      <c r="C148" s="180"/>
      <c r="D148" s="180"/>
      <c r="E148" s="180"/>
    </row>
    <row r="149" ht="15.75" customHeight="1">
      <c r="A149" s="183"/>
      <c r="B149" s="180"/>
      <c r="C149" s="180"/>
      <c r="D149" s="180"/>
      <c r="E149" s="180"/>
    </row>
    <row r="150" ht="15.75" customHeight="1">
      <c r="A150" s="183"/>
      <c r="B150" s="180"/>
      <c r="C150" s="180"/>
      <c r="D150" s="180"/>
      <c r="E150" s="180"/>
    </row>
    <row r="151" ht="15.75" customHeight="1">
      <c r="A151" s="183"/>
      <c r="B151" s="180"/>
      <c r="C151" s="180"/>
      <c r="D151" s="180"/>
      <c r="E151" s="180"/>
    </row>
    <row r="152" ht="15.75" customHeight="1">
      <c r="A152" s="183"/>
      <c r="B152" s="180"/>
      <c r="C152" s="180"/>
      <c r="D152" s="180"/>
      <c r="E152" s="180"/>
    </row>
    <row r="153" ht="15.75" customHeight="1">
      <c r="A153" s="183"/>
      <c r="B153" s="180"/>
      <c r="C153" s="180"/>
      <c r="D153" s="180"/>
      <c r="E153" s="180"/>
    </row>
    <row r="154" ht="15.75" customHeight="1">
      <c r="A154" s="183"/>
      <c r="B154" s="180"/>
      <c r="C154" s="180"/>
      <c r="D154" s="180"/>
      <c r="E154" s="180"/>
    </row>
    <row r="155" ht="15.75" customHeight="1">
      <c r="A155" s="183"/>
      <c r="B155" s="180"/>
      <c r="C155" s="180"/>
      <c r="D155" s="180"/>
      <c r="E155" s="180"/>
    </row>
    <row r="156" ht="15.75" customHeight="1">
      <c r="A156" s="183"/>
      <c r="B156" s="180"/>
      <c r="C156" s="180"/>
      <c r="D156" s="180"/>
      <c r="E156" s="180"/>
    </row>
    <row r="157" ht="15.75" customHeight="1">
      <c r="A157" s="183"/>
      <c r="B157" s="180"/>
      <c r="C157" s="180"/>
      <c r="D157" s="180"/>
      <c r="E157" s="180"/>
    </row>
    <row r="158" ht="15.75" customHeight="1">
      <c r="A158" s="183"/>
      <c r="B158" s="180"/>
      <c r="C158" s="180"/>
      <c r="D158" s="180"/>
      <c r="E158" s="180"/>
    </row>
    <row r="159" ht="15.75" customHeight="1">
      <c r="A159" s="183"/>
      <c r="B159" s="180"/>
      <c r="C159" s="180"/>
      <c r="D159" s="180"/>
      <c r="E159" s="180"/>
    </row>
    <row r="160" ht="15.75" customHeight="1">
      <c r="A160" s="183"/>
      <c r="B160" s="180"/>
      <c r="C160" s="180"/>
      <c r="D160" s="180"/>
      <c r="E160" s="180"/>
    </row>
    <row r="161" ht="15.75" customHeight="1">
      <c r="A161" s="183"/>
      <c r="B161" s="180"/>
      <c r="C161" s="180"/>
      <c r="D161" s="180"/>
      <c r="E161" s="180"/>
    </row>
    <row r="162" ht="15.75" customHeight="1">
      <c r="A162" s="183"/>
      <c r="B162" s="180"/>
      <c r="C162" s="180"/>
      <c r="D162" s="180"/>
      <c r="E162" s="180"/>
    </row>
    <row r="163" ht="15.75" customHeight="1">
      <c r="A163" s="183"/>
      <c r="B163" s="180"/>
      <c r="C163" s="180"/>
      <c r="D163" s="180"/>
      <c r="E163" s="180"/>
    </row>
    <row r="164" ht="15.75" customHeight="1">
      <c r="A164" s="183"/>
      <c r="B164" s="180"/>
      <c r="C164" s="180"/>
      <c r="D164" s="180"/>
      <c r="E164" s="180"/>
    </row>
    <row r="165" ht="15.75" customHeight="1">
      <c r="A165" s="183"/>
      <c r="B165" s="180"/>
      <c r="C165" s="180"/>
      <c r="D165" s="180"/>
      <c r="E165" s="180"/>
    </row>
    <row r="166" ht="15.75" customHeight="1">
      <c r="A166" s="183"/>
      <c r="B166" s="180"/>
      <c r="C166" s="180"/>
      <c r="D166" s="180"/>
      <c r="E166" s="180"/>
    </row>
    <row r="167" ht="15.75" customHeight="1">
      <c r="A167" s="183"/>
      <c r="B167" s="180"/>
      <c r="C167" s="180"/>
      <c r="D167" s="180"/>
      <c r="E167" s="180"/>
    </row>
    <row r="168" ht="15.75" customHeight="1">
      <c r="A168" s="183"/>
      <c r="B168" s="180"/>
      <c r="C168" s="180"/>
      <c r="D168" s="180"/>
      <c r="E168" s="180"/>
    </row>
    <row r="169" ht="15.75" customHeight="1">
      <c r="A169" s="183"/>
      <c r="B169" s="180"/>
      <c r="C169" s="180"/>
      <c r="D169" s="180"/>
      <c r="E169" s="180"/>
    </row>
    <row r="170" ht="15.75" customHeight="1">
      <c r="A170" s="183"/>
      <c r="B170" s="180"/>
      <c r="C170" s="180"/>
      <c r="D170" s="180"/>
      <c r="E170" s="180"/>
    </row>
    <row r="171" ht="15.75" customHeight="1">
      <c r="A171" s="183"/>
      <c r="B171" s="180"/>
      <c r="C171" s="180"/>
      <c r="D171" s="180"/>
      <c r="E171" s="180"/>
    </row>
    <row r="172" ht="15.75" customHeight="1">
      <c r="A172" s="183"/>
      <c r="B172" s="180"/>
      <c r="C172" s="180"/>
      <c r="D172" s="180"/>
      <c r="E172" s="180"/>
    </row>
    <row r="173" ht="15.75" customHeight="1">
      <c r="A173" s="183"/>
      <c r="B173" s="180"/>
      <c r="C173" s="180"/>
      <c r="D173" s="180"/>
      <c r="E173" s="180"/>
    </row>
    <row r="174" ht="15.75" customHeight="1">
      <c r="A174" s="183"/>
      <c r="B174" s="180"/>
      <c r="C174" s="180"/>
      <c r="D174" s="180"/>
      <c r="E174" s="180"/>
    </row>
    <row r="175" ht="15.75" customHeight="1">
      <c r="A175" s="183"/>
      <c r="B175" s="180"/>
      <c r="C175" s="180"/>
      <c r="D175" s="180"/>
      <c r="E175" s="180"/>
    </row>
    <row r="176" ht="15.75" customHeight="1">
      <c r="A176" s="183"/>
      <c r="B176" s="180"/>
      <c r="C176" s="180"/>
      <c r="D176" s="180"/>
      <c r="E176" s="180"/>
    </row>
    <row r="177" ht="15.75" customHeight="1">
      <c r="A177" s="183"/>
      <c r="B177" s="180"/>
      <c r="C177" s="180"/>
      <c r="D177" s="180"/>
      <c r="E177" s="180"/>
    </row>
    <row r="178" ht="15.75" customHeight="1">
      <c r="A178" s="183"/>
      <c r="B178" s="180"/>
      <c r="C178" s="180"/>
      <c r="D178" s="180"/>
      <c r="E178" s="180"/>
    </row>
    <row r="179" ht="15.75" customHeight="1">
      <c r="A179" s="183"/>
      <c r="B179" s="180"/>
      <c r="C179" s="180"/>
      <c r="D179" s="180"/>
      <c r="E179" s="180"/>
    </row>
    <row r="180" ht="15.75" customHeight="1">
      <c r="A180" s="183"/>
      <c r="B180" s="180"/>
      <c r="C180" s="180"/>
      <c r="D180" s="180"/>
      <c r="E180" s="180"/>
    </row>
    <row r="181" ht="15.75" customHeight="1">
      <c r="A181" s="183"/>
      <c r="B181" s="180"/>
      <c r="C181" s="180"/>
      <c r="D181" s="180"/>
      <c r="E181" s="180"/>
    </row>
    <row r="182" ht="15.75" customHeight="1">
      <c r="A182" s="183"/>
      <c r="B182" s="180"/>
      <c r="C182" s="180"/>
      <c r="D182" s="180"/>
      <c r="E182" s="180"/>
    </row>
    <row r="183" ht="15.75" customHeight="1">
      <c r="A183" s="183"/>
      <c r="B183" s="180"/>
      <c r="C183" s="180"/>
      <c r="D183" s="180"/>
      <c r="E183" s="180"/>
    </row>
    <row r="184" ht="15.75" customHeight="1">
      <c r="A184" s="183"/>
      <c r="B184" s="180"/>
      <c r="C184" s="180"/>
      <c r="D184" s="180"/>
      <c r="E184" s="180"/>
    </row>
    <row r="185" ht="15.75" customHeight="1">
      <c r="A185" s="183"/>
      <c r="B185" s="180"/>
      <c r="C185" s="180"/>
      <c r="D185" s="180"/>
      <c r="E185" s="180"/>
    </row>
    <row r="186" ht="15.75" customHeight="1">
      <c r="A186" s="183"/>
      <c r="B186" s="180"/>
      <c r="C186" s="180"/>
      <c r="D186" s="180"/>
      <c r="E186" s="180"/>
    </row>
    <row r="187" ht="15.75" customHeight="1">
      <c r="A187" s="183"/>
      <c r="B187" s="180"/>
      <c r="C187" s="180"/>
      <c r="D187" s="180"/>
      <c r="E187" s="180"/>
    </row>
    <row r="188" ht="15.75" customHeight="1">
      <c r="A188" s="183"/>
      <c r="B188" s="180"/>
      <c r="C188" s="180"/>
      <c r="D188" s="180"/>
      <c r="E188" s="180"/>
    </row>
    <row r="189" ht="15.75" customHeight="1">
      <c r="A189" s="183"/>
      <c r="B189" s="180"/>
      <c r="C189" s="180"/>
      <c r="D189" s="180"/>
      <c r="E189" s="180"/>
    </row>
    <row r="190" ht="15.75" customHeight="1">
      <c r="A190" s="183"/>
      <c r="B190" s="180"/>
      <c r="C190" s="180"/>
      <c r="D190" s="180"/>
      <c r="E190" s="180"/>
    </row>
    <row r="191" ht="15.75" customHeight="1">
      <c r="A191" s="183"/>
      <c r="B191" s="180"/>
      <c r="C191" s="180"/>
      <c r="D191" s="180"/>
      <c r="E191" s="180"/>
    </row>
    <row r="192" ht="15.75" customHeight="1">
      <c r="A192" s="183"/>
      <c r="B192" s="180"/>
      <c r="C192" s="180"/>
      <c r="D192" s="180"/>
      <c r="E192" s="180"/>
    </row>
    <row r="193" ht="15.75" customHeight="1">
      <c r="A193" s="183"/>
      <c r="B193" s="180"/>
      <c r="C193" s="180"/>
      <c r="D193" s="180"/>
      <c r="E193" s="180"/>
    </row>
    <row r="194" ht="15.75" customHeight="1">
      <c r="A194" s="183"/>
      <c r="B194" s="180"/>
      <c r="C194" s="180"/>
      <c r="D194" s="180"/>
      <c r="E194" s="180"/>
    </row>
    <row r="195" ht="15.75" customHeight="1">
      <c r="A195" s="183"/>
      <c r="B195" s="180"/>
      <c r="C195" s="180"/>
      <c r="D195" s="180"/>
      <c r="E195" s="180"/>
    </row>
    <row r="196" ht="15.75" customHeight="1">
      <c r="A196" s="183"/>
      <c r="B196" s="180"/>
      <c r="C196" s="180"/>
      <c r="D196" s="180"/>
      <c r="E196" s="180"/>
    </row>
    <row r="197" ht="15.75" customHeight="1">
      <c r="A197" s="183"/>
      <c r="B197" s="180"/>
      <c r="C197" s="180"/>
      <c r="D197" s="180"/>
      <c r="E197" s="180"/>
    </row>
    <row r="198" ht="15.75" customHeight="1">
      <c r="A198" s="183"/>
      <c r="B198" s="180"/>
      <c r="C198" s="180"/>
      <c r="D198" s="180"/>
      <c r="E198" s="180"/>
    </row>
    <row r="199" ht="15.75" customHeight="1">
      <c r="A199" s="183"/>
      <c r="B199" s="180"/>
      <c r="C199" s="180"/>
      <c r="D199" s="180"/>
      <c r="E199" s="180"/>
    </row>
    <row r="200" ht="15.75" customHeight="1">
      <c r="A200" s="183"/>
      <c r="B200" s="180"/>
      <c r="C200" s="180"/>
      <c r="D200" s="180"/>
      <c r="E200" s="180"/>
    </row>
    <row r="201" ht="15.75" customHeight="1">
      <c r="A201" s="183"/>
      <c r="B201" s="180"/>
      <c r="C201" s="180"/>
      <c r="D201" s="180"/>
      <c r="E201" s="180"/>
    </row>
    <row r="202" ht="15.75" customHeight="1">
      <c r="A202" s="183"/>
      <c r="B202" s="180"/>
      <c r="C202" s="180"/>
      <c r="D202" s="180"/>
      <c r="E202" s="180"/>
    </row>
    <row r="203" ht="15.75" customHeight="1">
      <c r="A203" s="183"/>
      <c r="B203" s="180"/>
      <c r="C203" s="180"/>
      <c r="D203" s="180"/>
      <c r="E203" s="180"/>
    </row>
    <row r="204" ht="15.75" customHeight="1">
      <c r="A204" s="183"/>
      <c r="B204" s="180"/>
      <c r="C204" s="180"/>
      <c r="D204" s="180"/>
      <c r="E204" s="180"/>
    </row>
    <row r="205" ht="15.75" customHeight="1">
      <c r="A205" s="183"/>
      <c r="B205" s="180"/>
      <c r="C205" s="180"/>
      <c r="D205" s="180"/>
      <c r="E205" s="180"/>
    </row>
    <row r="206" ht="15.75" customHeight="1">
      <c r="A206" s="183"/>
      <c r="B206" s="180"/>
      <c r="C206" s="180"/>
      <c r="D206" s="180"/>
      <c r="E206" s="180"/>
    </row>
    <row r="207" ht="15.75" customHeight="1">
      <c r="A207" s="183"/>
      <c r="B207" s="180"/>
      <c r="C207" s="180"/>
      <c r="D207" s="180"/>
      <c r="E207" s="180"/>
    </row>
    <row r="208" ht="15.75" customHeight="1">
      <c r="A208" s="183"/>
      <c r="B208" s="180"/>
      <c r="C208" s="180"/>
      <c r="D208" s="180"/>
      <c r="E208" s="180"/>
    </row>
    <row r="209" ht="15.75" customHeight="1">
      <c r="A209" s="183"/>
      <c r="B209" s="180"/>
      <c r="C209" s="180"/>
      <c r="D209" s="180"/>
      <c r="E209" s="180"/>
    </row>
    <row r="210" ht="15.75" customHeight="1">
      <c r="A210" s="183"/>
      <c r="B210" s="180"/>
      <c r="C210" s="180"/>
      <c r="D210" s="180"/>
      <c r="E210" s="180"/>
    </row>
    <row r="211" ht="15.75" customHeight="1">
      <c r="A211" s="183"/>
      <c r="B211" s="180"/>
      <c r="C211" s="180"/>
      <c r="D211" s="180"/>
      <c r="E211" s="180"/>
    </row>
    <row r="212" ht="15.75" customHeight="1">
      <c r="A212" s="183"/>
      <c r="B212" s="180"/>
      <c r="C212" s="180"/>
      <c r="D212" s="180"/>
      <c r="E212" s="180"/>
    </row>
    <row r="213" ht="15.75" customHeight="1">
      <c r="A213" s="183"/>
      <c r="B213" s="180"/>
      <c r="C213" s="180"/>
      <c r="D213" s="180"/>
      <c r="E213" s="180"/>
    </row>
    <row r="214" ht="15.75" customHeight="1">
      <c r="A214" s="183"/>
      <c r="B214" s="180"/>
      <c r="C214" s="180"/>
      <c r="D214" s="180"/>
      <c r="E214" s="180"/>
    </row>
    <row r="215" ht="15.75" customHeight="1">
      <c r="A215" s="183"/>
      <c r="B215" s="180"/>
      <c r="C215" s="180"/>
      <c r="D215" s="180"/>
      <c r="E215" s="180"/>
    </row>
    <row r="216" ht="15.75" customHeight="1">
      <c r="A216" s="183"/>
      <c r="B216" s="180"/>
      <c r="C216" s="180"/>
      <c r="D216" s="180"/>
      <c r="E216" s="180"/>
    </row>
    <row r="217" ht="15.75" customHeight="1">
      <c r="A217" s="183"/>
      <c r="B217" s="180"/>
      <c r="C217" s="180"/>
      <c r="D217" s="180"/>
      <c r="E217" s="180"/>
    </row>
    <row r="218" ht="15.75" customHeight="1">
      <c r="A218" s="183"/>
      <c r="B218" s="180"/>
      <c r="C218" s="180"/>
      <c r="D218" s="180"/>
      <c r="E218" s="180"/>
    </row>
    <row r="219" ht="15.75" customHeight="1">
      <c r="A219" s="183"/>
      <c r="B219" s="180"/>
      <c r="C219" s="180"/>
      <c r="D219" s="180"/>
      <c r="E219" s="180"/>
    </row>
    <row r="220" ht="15.75" customHeight="1">
      <c r="A220" s="183"/>
      <c r="B220" s="180"/>
      <c r="C220" s="180"/>
      <c r="D220" s="180"/>
      <c r="E220" s="180"/>
    </row>
    <row r="221" ht="15.75" customHeight="1">
      <c r="A221" s="183"/>
      <c r="B221" s="180"/>
      <c r="C221" s="180"/>
      <c r="D221" s="180"/>
      <c r="E221" s="180"/>
    </row>
    <row r="222" ht="15.75" customHeight="1">
      <c r="A222" s="183"/>
      <c r="B222" s="180"/>
      <c r="C222" s="180"/>
      <c r="D222" s="180"/>
      <c r="E222" s="180"/>
    </row>
    <row r="223" ht="15.75" customHeight="1">
      <c r="A223" s="183"/>
      <c r="B223" s="180"/>
      <c r="C223" s="180"/>
      <c r="D223" s="180"/>
      <c r="E223" s="180"/>
    </row>
    <row r="224" ht="15.75" customHeight="1">
      <c r="A224" s="183"/>
      <c r="B224" s="180"/>
      <c r="C224" s="180"/>
      <c r="D224" s="180"/>
      <c r="E224" s="180"/>
    </row>
    <row r="225" ht="15.75" customHeight="1">
      <c r="A225" s="183"/>
      <c r="B225" s="180"/>
      <c r="C225" s="180"/>
      <c r="D225" s="180"/>
      <c r="E225" s="180"/>
    </row>
    <row r="226" ht="15.75" customHeight="1">
      <c r="A226" s="183"/>
      <c r="B226" s="180"/>
      <c r="C226" s="180"/>
      <c r="D226" s="180"/>
      <c r="E226" s="180"/>
    </row>
    <row r="227" ht="15.75" customHeight="1">
      <c r="A227" s="183"/>
      <c r="B227" s="180"/>
      <c r="C227" s="180"/>
      <c r="D227" s="180"/>
      <c r="E227" s="180"/>
    </row>
    <row r="228" ht="15.75" customHeight="1">
      <c r="A228" s="183"/>
      <c r="B228" s="180"/>
      <c r="C228" s="180"/>
      <c r="D228" s="180"/>
      <c r="E228" s="180"/>
    </row>
    <row r="229" ht="15.75" customHeight="1">
      <c r="A229" s="183"/>
      <c r="B229" s="180"/>
      <c r="C229" s="180"/>
      <c r="D229" s="180"/>
      <c r="E229" s="180"/>
    </row>
    <row r="230" ht="15.75" customHeight="1">
      <c r="A230" s="183"/>
      <c r="B230" s="180"/>
      <c r="C230" s="180"/>
      <c r="D230" s="180"/>
      <c r="E230" s="180"/>
    </row>
    <row r="231" ht="15.75" customHeight="1">
      <c r="A231" s="183"/>
      <c r="B231" s="180"/>
      <c r="C231" s="180"/>
      <c r="D231" s="180"/>
      <c r="E231" s="180"/>
    </row>
    <row r="232" ht="15.75" customHeight="1">
      <c r="A232" s="183"/>
      <c r="B232" s="180"/>
      <c r="C232" s="180"/>
      <c r="D232" s="180"/>
      <c r="E232" s="180"/>
    </row>
    <row r="233" ht="15.75" customHeight="1">
      <c r="A233" s="183"/>
      <c r="B233" s="180"/>
      <c r="C233" s="180"/>
      <c r="D233" s="180"/>
      <c r="E233" s="180"/>
    </row>
    <row r="234" ht="15.75" customHeight="1">
      <c r="A234" s="183"/>
      <c r="B234" s="180"/>
      <c r="C234" s="180"/>
      <c r="D234" s="180"/>
      <c r="E234" s="180"/>
    </row>
    <row r="235" ht="15.75" customHeight="1">
      <c r="A235" s="183"/>
      <c r="B235" s="180"/>
      <c r="C235" s="180"/>
      <c r="D235" s="180"/>
      <c r="E235" s="180"/>
    </row>
    <row r="236" ht="15.75" customHeight="1">
      <c r="A236" s="183"/>
      <c r="B236" s="180"/>
      <c r="C236" s="180"/>
      <c r="D236" s="180"/>
      <c r="E236" s="180"/>
    </row>
    <row r="237" ht="15.75" customHeight="1">
      <c r="A237" s="183"/>
      <c r="B237" s="180"/>
      <c r="C237" s="180"/>
      <c r="D237" s="180"/>
      <c r="E237" s="180"/>
    </row>
    <row r="238" ht="15.75" customHeight="1">
      <c r="A238" s="183"/>
      <c r="B238" s="180"/>
      <c r="C238" s="180"/>
      <c r="D238" s="180"/>
      <c r="E238" s="180"/>
    </row>
    <row r="239" ht="15.75" customHeight="1">
      <c r="A239" s="183"/>
      <c r="B239" s="180"/>
      <c r="C239" s="180"/>
      <c r="D239" s="180"/>
      <c r="E239" s="180"/>
    </row>
    <row r="240" ht="15.75" customHeight="1">
      <c r="A240" s="183"/>
      <c r="B240" s="180"/>
      <c r="C240" s="180"/>
      <c r="D240" s="180"/>
      <c r="E240" s="180"/>
    </row>
    <row r="241" ht="15.75" customHeight="1">
      <c r="A241" s="183"/>
      <c r="B241" s="180"/>
      <c r="C241" s="180"/>
      <c r="D241" s="180"/>
      <c r="E241" s="180"/>
    </row>
    <row r="242" ht="15.75" customHeight="1">
      <c r="A242" s="183"/>
      <c r="B242" s="180"/>
      <c r="C242" s="180"/>
      <c r="D242" s="180"/>
      <c r="E242" s="180"/>
    </row>
    <row r="243" ht="15.75" customHeight="1">
      <c r="A243" s="183"/>
      <c r="B243" s="180"/>
      <c r="C243" s="180"/>
      <c r="D243" s="180"/>
      <c r="E243" s="180"/>
    </row>
    <row r="244" ht="15.75" customHeight="1">
      <c r="A244" s="183"/>
      <c r="B244" s="180"/>
      <c r="C244" s="180"/>
      <c r="D244" s="180"/>
      <c r="E244" s="180"/>
    </row>
    <row r="245" ht="15.75" customHeight="1">
      <c r="A245" s="183"/>
      <c r="B245" s="180"/>
      <c r="C245" s="180"/>
      <c r="D245" s="180"/>
      <c r="E245" s="180"/>
    </row>
    <row r="246" ht="15.75" customHeight="1">
      <c r="A246" s="183"/>
      <c r="B246" s="180"/>
      <c r="C246" s="180"/>
      <c r="D246" s="180"/>
      <c r="E246" s="180"/>
    </row>
    <row r="247" ht="15.75" customHeight="1">
      <c r="A247" s="183"/>
      <c r="B247" s="180"/>
      <c r="C247" s="180"/>
      <c r="D247" s="180"/>
      <c r="E247" s="180"/>
    </row>
    <row r="248" ht="15.75" customHeight="1">
      <c r="A248" s="183"/>
      <c r="B248" s="180"/>
      <c r="C248" s="180"/>
      <c r="D248" s="180"/>
      <c r="E248" s="180"/>
    </row>
    <row r="249" ht="15.75" customHeight="1">
      <c r="A249" s="183"/>
      <c r="B249" s="180"/>
      <c r="C249" s="180"/>
      <c r="D249" s="180"/>
      <c r="E249" s="180"/>
    </row>
    <row r="250" ht="15.75" customHeight="1">
      <c r="A250" s="183"/>
      <c r="B250" s="180"/>
      <c r="C250" s="180"/>
      <c r="D250" s="180"/>
      <c r="E250" s="180"/>
    </row>
    <row r="251" ht="15.75" customHeight="1">
      <c r="A251" s="183"/>
      <c r="B251" s="180"/>
      <c r="C251" s="180"/>
      <c r="D251" s="180"/>
      <c r="E251" s="180"/>
    </row>
    <row r="252" ht="15.75" customHeight="1">
      <c r="A252" s="183"/>
      <c r="B252" s="180"/>
      <c r="C252" s="180"/>
      <c r="D252" s="180"/>
      <c r="E252" s="180"/>
    </row>
    <row r="253" ht="15.75" customHeight="1">
      <c r="A253" s="183"/>
      <c r="B253" s="180"/>
      <c r="C253" s="180"/>
      <c r="D253" s="180"/>
      <c r="E253" s="180"/>
    </row>
    <row r="254" ht="15.75" customHeight="1">
      <c r="A254" s="183"/>
      <c r="B254" s="180"/>
      <c r="C254" s="180"/>
      <c r="D254" s="180"/>
      <c r="E254" s="180"/>
    </row>
    <row r="255" ht="15.75" customHeight="1">
      <c r="A255" s="183"/>
      <c r="B255" s="180"/>
      <c r="C255" s="180"/>
      <c r="D255" s="180"/>
      <c r="E255" s="180"/>
    </row>
    <row r="256" ht="15.75" customHeight="1">
      <c r="A256" s="183"/>
      <c r="B256" s="180"/>
      <c r="C256" s="180"/>
      <c r="D256" s="180"/>
      <c r="E256" s="180"/>
    </row>
    <row r="257" ht="15.75" customHeight="1">
      <c r="A257" s="183"/>
      <c r="B257" s="180"/>
      <c r="C257" s="180"/>
      <c r="D257" s="180"/>
      <c r="E257" s="180"/>
    </row>
    <row r="258" ht="15.75" customHeight="1">
      <c r="A258" s="183"/>
      <c r="B258" s="180"/>
      <c r="C258" s="180"/>
      <c r="D258" s="180"/>
      <c r="E258" s="180"/>
    </row>
    <row r="259" ht="15.75" customHeight="1">
      <c r="A259" s="183"/>
      <c r="B259" s="180"/>
      <c r="C259" s="180"/>
      <c r="D259" s="180"/>
      <c r="E259" s="180"/>
    </row>
    <row r="260" ht="15.75" customHeight="1">
      <c r="A260" s="183"/>
      <c r="B260" s="180"/>
      <c r="C260" s="180"/>
      <c r="D260" s="180"/>
      <c r="E260" s="180"/>
    </row>
    <row r="261" ht="15.75" customHeight="1">
      <c r="A261" s="183"/>
      <c r="B261" s="180"/>
      <c r="C261" s="180"/>
      <c r="D261" s="180"/>
      <c r="E261" s="180"/>
    </row>
    <row r="262" ht="15.75" customHeight="1">
      <c r="A262" s="183"/>
      <c r="B262" s="180"/>
      <c r="C262" s="180"/>
      <c r="D262" s="180"/>
      <c r="E262" s="180"/>
    </row>
    <row r="263" ht="15.75" customHeight="1">
      <c r="A263" s="183"/>
      <c r="B263" s="180"/>
      <c r="C263" s="180"/>
      <c r="D263" s="180"/>
      <c r="E263" s="180"/>
    </row>
    <row r="264" ht="15.75" customHeight="1">
      <c r="A264" s="183"/>
      <c r="B264" s="180"/>
      <c r="C264" s="180"/>
      <c r="D264" s="180"/>
      <c r="E264" s="180"/>
    </row>
    <row r="265" ht="15.75" customHeight="1">
      <c r="A265" s="183"/>
      <c r="B265" s="180"/>
      <c r="C265" s="180"/>
      <c r="D265" s="180"/>
      <c r="E265" s="180"/>
    </row>
    <row r="266" ht="15.75" customHeight="1">
      <c r="A266" s="183"/>
      <c r="B266" s="180"/>
      <c r="C266" s="180"/>
      <c r="D266" s="180"/>
      <c r="E266" s="180"/>
    </row>
    <row r="267" ht="15.75" customHeight="1">
      <c r="A267" s="183"/>
      <c r="B267" s="180"/>
      <c r="C267" s="180"/>
      <c r="D267" s="180"/>
      <c r="E267" s="180"/>
    </row>
    <row r="268" ht="15.75" customHeight="1">
      <c r="A268" s="183"/>
      <c r="B268" s="180"/>
      <c r="C268" s="180"/>
      <c r="D268" s="180"/>
      <c r="E268" s="180"/>
    </row>
    <row r="269" ht="15.75" customHeight="1">
      <c r="A269" s="183"/>
      <c r="B269" s="180"/>
      <c r="C269" s="180"/>
      <c r="D269" s="180"/>
      <c r="E269" s="180"/>
    </row>
    <row r="270" ht="15.75" customHeight="1">
      <c r="A270" s="183"/>
      <c r="B270" s="180"/>
      <c r="C270" s="180"/>
      <c r="D270" s="180"/>
      <c r="E270" s="180"/>
    </row>
    <row r="271" ht="15.75" customHeight="1">
      <c r="A271" s="183"/>
      <c r="B271" s="180"/>
      <c r="C271" s="180"/>
      <c r="D271" s="180"/>
      <c r="E271" s="180"/>
    </row>
    <row r="272" ht="15.75" customHeight="1">
      <c r="A272" s="183"/>
      <c r="B272" s="180"/>
      <c r="C272" s="180"/>
      <c r="D272" s="180"/>
      <c r="E272" s="180"/>
    </row>
    <row r="273" ht="15.75" customHeight="1">
      <c r="A273" s="183"/>
      <c r="B273" s="180"/>
      <c r="C273" s="180"/>
      <c r="D273" s="180"/>
      <c r="E273" s="180"/>
    </row>
    <row r="274" ht="15.75" customHeight="1">
      <c r="A274" s="183"/>
      <c r="B274" s="180"/>
      <c r="C274" s="180"/>
      <c r="D274" s="180"/>
      <c r="E274" s="180"/>
    </row>
    <row r="275" ht="15.75" customHeight="1">
      <c r="A275" s="183"/>
      <c r="B275" s="180"/>
      <c r="C275" s="180"/>
      <c r="D275" s="180"/>
      <c r="E275" s="180"/>
    </row>
    <row r="276" ht="15.75" customHeight="1">
      <c r="A276" s="183"/>
      <c r="B276" s="180"/>
      <c r="C276" s="180"/>
      <c r="D276" s="180"/>
      <c r="E276" s="180"/>
    </row>
    <row r="277" ht="15.75" customHeight="1">
      <c r="A277" s="183"/>
      <c r="B277" s="180"/>
      <c r="C277" s="180"/>
      <c r="D277" s="180"/>
      <c r="E277" s="180"/>
    </row>
    <row r="278" ht="15.75" customHeight="1">
      <c r="A278" s="183"/>
      <c r="B278" s="180"/>
      <c r="C278" s="180"/>
      <c r="D278" s="180"/>
      <c r="E278" s="180"/>
    </row>
    <row r="279" ht="15.75" customHeight="1">
      <c r="A279" s="183"/>
      <c r="B279" s="180"/>
      <c r="C279" s="180"/>
      <c r="D279" s="180"/>
      <c r="E279" s="180"/>
    </row>
    <row r="280" ht="15.75" customHeight="1">
      <c r="A280" s="183"/>
      <c r="B280" s="180"/>
      <c r="C280" s="180"/>
      <c r="D280" s="180"/>
      <c r="E280" s="180"/>
    </row>
    <row r="281" ht="15.75" customHeight="1">
      <c r="A281" s="183"/>
      <c r="B281" s="180"/>
      <c r="C281" s="180"/>
      <c r="D281" s="180"/>
      <c r="E281" s="180"/>
    </row>
    <row r="282" ht="15.75" customHeight="1">
      <c r="A282" s="183"/>
      <c r="B282" s="180"/>
      <c r="C282" s="180"/>
      <c r="D282" s="180"/>
      <c r="E282" s="180"/>
    </row>
    <row r="283" ht="15.75" customHeight="1">
      <c r="A283" s="183"/>
      <c r="B283" s="180"/>
      <c r="C283" s="180"/>
      <c r="D283" s="180"/>
      <c r="E283" s="180"/>
    </row>
    <row r="284" ht="15.75" customHeight="1">
      <c r="A284" s="183"/>
      <c r="B284" s="180"/>
      <c r="C284" s="180"/>
      <c r="D284" s="180"/>
      <c r="E284" s="180"/>
    </row>
    <row r="285" ht="15.75" customHeight="1">
      <c r="A285" s="183"/>
      <c r="B285" s="180"/>
      <c r="C285" s="180"/>
      <c r="D285" s="180"/>
      <c r="E285" s="180"/>
    </row>
    <row r="286" ht="15.75" customHeight="1">
      <c r="A286" s="183"/>
      <c r="B286" s="180"/>
      <c r="C286" s="180"/>
      <c r="D286" s="180"/>
      <c r="E286" s="180"/>
    </row>
    <row r="287" ht="15.75" customHeight="1">
      <c r="A287" s="183"/>
      <c r="B287" s="180"/>
      <c r="C287" s="180"/>
      <c r="D287" s="180"/>
      <c r="E287" s="180"/>
    </row>
    <row r="288" ht="15.75" customHeight="1">
      <c r="A288" s="183"/>
      <c r="B288" s="180"/>
      <c r="C288" s="180"/>
      <c r="D288" s="180"/>
      <c r="E288" s="180"/>
    </row>
    <row r="289" ht="15.75" customHeight="1">
      <c r="A289" s="183"/>
      <c r="B289" s="180"/>
      <c r="C289" s="180"/>
      <c r="D289" s="180"/>
      <c r="E289" s="180"/>
    </row>
    <row r="290" ht="15.75" customHeight="1">
      <c r="A290" s="183"/>
      <c r="B290" s="180"/>
      <c r="C290" s="180"/>
      <c r="D290" s="180"/>
      <c r="E290" s="180"/>
    </row>
    <row r="291" ht="15.75" customHeight="1">
      <c r="A291" s="183"/>
      <c r="B291" s="180"/>
      <c r="C291" s="180"/>
      <c r="D291" s="180"/>
      <c r="E291" s="180"/>
    </row>
    <row r="292" ht="15.75" customHeight="1">
      <c r="A292" s="183"/>
      <c r="B292" s="180"/>
      <c r="C292" s="180"/>
      <c r="D292" s="180"/>
      <c r="E292" s="180"/>
    </row>
    <row r="293" ht="15.75" customHeight="1">
      <c r="A293" s="183"/>
      <c r="B293" s="180"/>
      <c r="C293" s="180"/>
      <c r="D293" s="180"/>
      <c r="E293" s="180"/>
    </row>
    <row r="294" ht="15.75" customHeight="1">
      <c r="A294" s="183"/>
      <c r="B294" s="180"/>
      <c r="C294" s="180"/>
      <c r="D294" s="180"/>
      <c r="E294" s="180"/>
    </row>
    <row r="295" ht="15.75" customHeight="1">
      <c r="A295" s="183"/>
      <c r="B295" s="180"/>
      <c r="C295" s="180"/>
      <c r="D295" s="180"/>
      <c r="E295" s="180"/>
    </row>
    <row r="296" ht="15.75" customHeight="1">
      <c r="A296" s="183"/>
      <c r="B296" s="180"/>
      <c r="C296" s="180"/>
      <c r="D296" s="180"/>
      <c r="E296" s="180"/>
    </row>
    <row r="297" ht="15.75" customHeight="1">
      <c r="A297" s="183"/>
      <c r="B297" s="180"/>
      <c r="C297" s="180"/>
      <c r="D297" s="180"/>
      <c r="E297" s="180"/>
    </row>
    <row r="298" ht="15.75" customHeight="1">
      <c r="A298" s="183"/>
      <c r="B298" s="180"/>
      <c r="C298" s="180"/>
      <c r="D298" s="180"/>
      <c r="E298" s="180"/>
    </row>
    <row r="299" ht="15.75" customHeight="1">
      <c r="A299" s="183"/>
      <c r="B299" s="180"/>
      <c r="C299" s="180"/>
      <c r="D299" s="180"/>
      <c r="E299" s="180"/>
    </row>
    <row r="300" ht="15.75" customHeight="1">
      <c r="A300" s="183"/>
      <c r="B300" s="180"/>
      <c r="C300" s="180"/>
      <c r="D300" s="180"/>
      <c r="E300" s="180"/>
    </row>
    <row r="301" ht="15.75" customHeight="1">
      <c r="A301" s="183"/>
      <c r="B301" s="180"/>
      <c r="C301" s="180"/>
      <c r="D301" s="180"/>
      <c r="E301" s="180"/>
    </row>
    <row r="302" ht="15.75" customHeight="1">
      <c r="A302" s="183"/>
      <c r="B302" s="180"/>
      <c r="C302" s="180"/>
      <c r="D302" s="180"/>
      <c r="E302" s="180"/>
    </row>
    <row r="303" ht="15.75" customHeight="1">
      <c r="A303" s="183"/>
      <c r="B303" s="180"/>
      <c r="C303" s="180"/>
      <c r="D303" s="180"/>
      <c r="E303" s="180"/>
    </row>
    <row r="304" ht="15.75" customHeight="1">
      <c r="A304" s="183"/>
      <c r="B304" s="180"/>
      <c r="C304" s="180"/>
      <c r="D304" s="180"/>
      <c r="E304" s="180"/>
    </row>
    <row r="305" ht="15.75" customHeight="1">
      <c r="A305" s="183"/>
      <c r="B305" s="180"/>
      <c r="C305" s="180"/>
      <c r="D305" s="180"/>
      <c r="E305" s="180"/>
    </row>
    <row r="306" ht="15.75" customHeight="1">
      <c r="A306" s="183"/>
      <c r="B306" s="180"/>
      <c r="C306" s="180"/>
      <c r="D306" s="180"/>
      <c r="E306" s="180"/>
    </row>
    <row r="307" ht="15.75" customHeight="1">
      <c r="A307" s="183"/>
      <c r="B307" s="180"/>
      <c r="C307" s="180"/>
      <c r="D307" s="180"/>
      <c r="E307" s="180"/>
    </row>
    <row r="308" ht="15.75" customHeight="1">
      <c r="A308" s="183"/>
      <c r="B308" s="180"/>
      <c r="C308" s="180"/>
      <c r="D308" s="180"/>
      <c r="E308" s="180"/>
    </row>
    <row r="309" ht="15.75" customHeight="1">
      <c r="A309" s="183"/>
      <c r="B309" s="180"/>
      <c r="C309" s="180"/>
      <c r="D309" s="180"/>
      <c r="E309" s="180"/>
    </row>
    <row r="310" ht="15.75" customHeight="1">
      <c r="A310" s="183"/>
      <c r="B310" s="180"/>
      <c r="C310" s="180"/>
      <c r="D310" s="180"/>
      <c r="E310" s="180"/>
    </row>
    <row r="311" ht="15.75" customHeight="1">
      <c r="A311" s="183"/>
      <c r="B311" s="180"/>
      <c r="C311" s="180"/>
      <c r="D311" s="180"/>
      <c r="E311" s="180"/>
    </row>
    <row r="312" ht="15.75" customHeight="1">
      <c r="A312" s="183"/>
      <c r="B312" s="180"/>
      <c r="C312" s="180"/>
      <c r="D312" s="180"/>
      <c r="E312" s="180"/>
    </row>
    <row r="313" ht="15.75" customHeight="1">
      <c r="A313" s="183"/>
      <c r="B313" s="180"/>
      <c r="C313" s="180"/>
      <c r="D313" s="180"/>
      <c r="E313" s="180"/>
    </row>
    <row r="314" ht="15.75" customHeight="1">
      <c r="A314" s="183"/>
      <c r="B314" s="180"/>
      <c r="C314" s="180"/>
      <c r="D314" s="180"/>
      <c r="E314" s="180"/>
    </row>
    <row r="315" ht="15.75" customHeight="1">
      <c r="A315" s="183"/>
      <c r="B315" s="180"/>
      <c r="C315" s="180"/>
      <c r="D315" s="180"/>
      <c r="E315" s="180"/>
    </row>
    <row r="316" ht="15.75" customHeight="1">
      <c r="A316" s="183"/>
      <c r="B316" s="180"/>
      <c r="C316" s="180"/>
      <c r="D316" s="180"/>
      <c r="E316" s="180"/>
    </row>
    <row r="317" ht="15.75" customHeight="1">
      <c r="A317" s="183"/>
      <c r="B317" s="180"/>
      <c r="C317" s="180"/>
      <c r="D317" s="180"/>
      <c r="E317" s="180"/>
    </row>
    <row r="318" ht="15.75" customHeight="1">
      <c r="A318" s="183"/>
      <c r="B318" s="180"/>
      <c r="C318" s="180"/>
      <c r="D318" s="180"/>
      <c r="E318" s="180"/>
    </row>
    <row r="319" ht="15.75" customHeight="1">
      <c r="A319" s="183"/>
      <c r="B319" s="180"/>
      <c r="C319" s="180"/>
      <c r="D319" s="180"/>
      <c r="E319" s="180"/>
    </row>
    <row r="320" ht="15.75" customHeight="1">
      <c r="A320" s="183"/>
      <c r="B320" s="180"/>
      <c r="C320" s="180"/>
      <c r="D320" s="180"/>
      <c r="E320" s="180"/>
    </row>
    <row r="321" ht="15.75" customHeight="1">
      <c r="A321" s="183"/>
      <c r="B321" s="180"/>
      <c r="C321" s="180"/>
      <c r="D321" s="180"/>
      <c r="E321" s="180"/>
    </row>
    <row r="322" ht="15.75" customHeight="1">
      <c r="A322" s="183"/>
      <c r="B322" s="180"/>
      <c r="C322" s="180"/>
      <c r="D322" s="180"/>
      <c r="E322" s="180"/>
    </row>
    <row r="323" ht="15.75" customHeight="1">
      <c r="A323" s="183"/>
      <c r="B323" s="180"/>
      <c r="C323" s="180"/>
      <c r="D323" s="180"/>
      <c r="E323" s="180"/>
    </row>
    <row r="324" ht="15.75" customHeight="1">
      <c r="A324" s="183"/>
      <c r="B324" s="180"/>
      <c r="C324" s="180"/>
      <c r="D324" s="180"/>
      <c r="E324" s="180"/>
    </row>
    <row r="325" ht="15.75" customHeight="1">
      <c r="A325" s="183"/>
      <c r="B325" s="180"/>
      <c r="C325" s="180"/>
      <c r="D325" s="180"/>
      <c r="E325" s="180"/>
    </row>
    <row r="326" ht="15.75" customHeight="1">
      <c r="A326" s="183"/>
      <c r="B326" s="180"/>
      <c r="C326" s="180"/>
      <c r="D326" s="180"/>
      <c r="E326" s="180"/>
    </row>
    <row r="327" ht="15.75" customHeight="1">
      <c r="A327" s="183"/>
      <c r="B327" s="180"/>
      <c r="C327" s="180"/>
      <c r="D327" s="180"/>
      <c r="E327" s="180"/>
    </row>
    <row r="328" ht="15.75" customHeight="1">
      <c r="A328" s="183"/>
      <c r="B328" s="180"/>
      <c r="C328" s="180"/>
      <c r="D328" s="180"/>
      <c r="E328" s="180"/>
    </row>
    <row r="329" ht="15.75" customHeight="1">
      <c r="A329" s="183"/>
      <c r="B329" s="180"/>
      <c r="C329" s="180"/>
      <c r="D329" s="180"/>
      <c r="E329" s="180"/>
    </row>
    <row r="330" ht="15.75" customHeight="1">
      <c r="A330" s="183"/>
      <c r="B330" s="180"/>
      <c r="C330" s="180"/>
      <c r="D330" s="180"/>
      <c r="E330" s="180"/>
    </row>
    <row r="331" ht="15.75" customHeight="1">
      <c r="A331" s="183"/>
      <c r="B331" s="180"/>
      <c r="C331" s="180"/>
      <c r="D331" s="180"/>
      <c r="E331" s="180"/>
    </row>
    <row r="332" ht="15.75" customHeight="1">
      <c r="A332" s="183"/>
      <c r="B332" s="180"/>
      <c r="C332" s="180"/>
      <c r="D332" s="180"/>
      <c r="E332" s="180"/>
    </row>
    <row r="333" ht="15.75" customHeight="1">
      <c r="A333" s="183"/>
      <c r="B333" s="180"/>
      <c r="C333" s="180"/>
      <c r="D333" s="180"/>
      <c r="E333" s="180"/>
    </row>
    <row r="334" ht="15.75" customHeight="1">
      <c r="A334" s="183"/>
      <c r="B334" s="180"/>
      <c r="C334" s="180"/>
      <c r="D334" s="180"/>
      <c r="E334" s="180"/>
    </row>
    <row r="335" ht="15.75" customHeight="1">
      <c r="A335" s="183"/>
      <c r="B335" s="180"/>
      <c r="C335" s="180"/>
      <c r="D335" s="180"/>
      <c r="E335" s="180"/>
    </row>
    <row r="336" ht="15.75" customHeight="1">
      <c r="A336" s="183"/>
      <c r="B336" s="180"/>
      <c r="C336" s="180"/>
      <c r="D336" s="180"/>
      <c r="E336" s="180"/>
    </row>
    <row r="337" ht="15.75" customHeight="1">
      <c r="A337" s="183"/>
      <c r="B337" s="180"/>
      <c r="C337" s="180"/>
      <c r="D337" s="180"/>
      <c r="E337" s="180"/>
    </row>
    <row r="338" ht="15.75" customHeight="1">
      <c r="A338" s="183"/>
      <c r="B338" s="180"/>
      <c r="C338" s="180"/>
      <c r="D338" s="180"/>
      <c r="E338" s="180"/>
    </row>
    <row r="339" ht="15.75" customHeight="1">
      <c r="A339" s="183"/>
      <c r="B339" s="180"/>
      <c r="C339" s="180"/>
      <c r="D339" s="180"/>
      <c r="E339" s="180"/>
    </row>
    <row r="340" ht="15.75" customHeight="1">
      <c r="A340" s="183"/>
      <c r="B340" s="180"/>
      <c r="C340" s="180"/>
      <c r="D340" s="180"/>
      <c r="E340" s="180"/>
    </row>
    <row r="341" ht="15.75" customHeight="1">
      <c r="A341" s="183"/>
      <c r="B341" s="180"/>
      <c r="C341" s="180"/>
      <c r="D341" s="180"/>
      <c r="E341" s="180"/>
    </row>
    <row r="342" ht="15.75" customHeight="1">
      <c r="A342" s="183"/>
      <c r="B342" s="180"/>
      <c r="C342" s="180"/>
      <c r="D342" s="180"/>
      <c r="E342" s="180"/>
    </row>
    <row r="343" ht="15.75" customHeight="1">
      <c r="A343" s="183"/>
      <c r="B343" s="180"/>
      <c r="C343" s="180"/>
      <c r="D343" s="180"/>
      <c r="E343" s="180"/>
    </row>
    <row r="344" ht="15.75" customHeight="1">
      <c r="A344" s="183"/>
      <c r="B344" s="180"/>
      <c r="C344" s="180"/>
      <c r="D344" s="180"/>
      <c r="E344" s="180"/>
    </row>
    <row r="345" ht="15.75" customHeight="1">
      <c r="A345" s="183"/>
      <c r="B345" s="180"/>
      <c r="C345" s="180"/>
      <c r="D345" s="180"/>
      <c r="E345" s="180"/>
    </row>
    <row r="346" ht="15.75" customHeight="1">
      <c r="A346" s="183"/>
      <c r="B346" s="180"/>
      <c r="C346" s="180"/>
      <c r="D346" s="180"/>
      <c r="E346" s="180"/>
    </row>
    <row r="347" ht="15.75" customHeight="1">
      <c r="A347" s="183"/>
      <c r="B347" s="180"/>
      <c r="C347" s="180"/>
      <c r="D347" s="180"/>
      <c r="E347" s="180"/>
    </row>
    <row r="348" ht="15.75" customHeight="1">
      <c r="A348" s="183"/>
      <c r="B348" s="180"/>
      <c r="C348" s="180"/>
      <c r="D348" s="180"/>
      <c r="E348" s="180"/>
    </row>
    <row r="349" ht="15.75" customHeight="1">
      <c r="A349" s="183"/>
      <c r="B349" s="180"/>
      <c r="C349" s="180"/>
      <c r="D349" s="180"/>
      <c r="E349" s="180"/>
    </row>
    <row r="350" ht="15.75" customHeight="1">
      <c r="A350" s="183"/>
      <c r="B350" s="180"/>
      <c r="C350" s="180"/>
      <c r="D350" s="180"/>
      <c r="E350" s="180"/>
    </row>
    <row r="351" ht="15.75" customHeight="1">
      <c r="A351" s="183"/>
      <c r="B351" s="180"/>
      <c r="C351" s="180"/>
      <c r="D351" s="180"/>
      <c r="E351" s="180"/>
    </row>
    <row r="352" ht="15.75" customHeight="1">
      <c r="A352" s="183"/>
      <c r="B352" s="180"/>
      <c r="C352" s="180"/>
      <c r="D352" s="180"/>
      <c r="E352" s="180"/>
    </row>
    <row r="353" ht="15.75" customHeight="1">
      <c r="A353" s="183"/>
      <c r="B353" s="180"/>
      <c r="C353" s="180"/>
      <c r="D353" s="180"/>
      <c r="E353" s="180"/>
    </row>
    <row r="354" ht="15.75" customHeight="1">
      <c r="A354" s="183"/>
      <c r="B354" s="180"/>
      <c r="C354" s="180"/>
      <c r="D354" s="180"/>
      <c r="E354" s="180"/>
    </row>
    <row r="355" ht="15.75" customHeight="1">
      <c r="A355" s="183"/>
      <c r="B355" s="180"/>
      <c r="C355" s="180"/>
      <c r="D355" s="180"/>
      <c r="E355" s="180"/>
    </row>
    <row r="356" ht="15.75" customHeight="1">
      <c r="A356" s="183"/>
      <c r="B356" s="180"/>
      <c r="C356" s="180"/>
      <c r="D356" s="180"/>
      <c r="E356" s="180"/>
    </row>
    <row r="357" ht="15.75" customHeight="1">
      <c r="A357" s="183"/>
      <c r="B357" s="180"/>
      <c r="C357" s="180"/>
      <c r="D357" s="180"/>
      <c r="E357" s="180"/>
    </row>
    <row r="358" ht="15.75" customHeight="1">
      <c r="A358" s="183"/>
      <c r="B358" s="180"/>
      <c r="C358" s="180"/>
      <c r="D358" s="180"/>
      <c r="E358" s="180"/>
    </row>
    <row r="359" ht="15.75" customHeight="1">
      <c r="A359" s="183"/>
      <c r="B359" s="180"/>
      <c r="C359" s="180"/>
      <c r="D359" s="180"/>
      <c r="E359" s="180"/>
    </row>
    <row r="360" ht="15.75" customHeight="1">
      <c r="A360" s="183"/>
      <c r="B360" s="180"/>
      <c r="C360" s="180"/>
      <c r="D360" s="180"/>
      <c r="E360" s="180"/>
    </row>
    <row r="361" ht="15.75" customHeight="1">
      <c r="A361" s="183"/>
      <c r="B361" s="180"/>
      <c r="C361" s="180"/>
      <c r="D361" s="180"/>
      <c r="E361" s="180"/>
    </row>
    <row r="362" ht="15.75" customHeight="1">
      <c r="A362" s="183"/>
      <c r="B362" s="180"/>
      <c r="C362" s="180"/>
      <c r="D362" s="180"/>
      <c r="E362" s="180"/>
    </row>
    <row r="363" ht="15.75" customHeight="1">
      <c r="A363" s="183"/>
      <c r="B363" s="180"/>
      <c r="C363" s="180"/>
      <c r="D363" s="180"/>
      <c r="E363" s="180"/>
    </row>
    <row r="364" ht="15.75" customHeight="1">
      <c r="A364" s="183"/>
      <c r="B364" s="180"/>
      <c r="C364" s="180"/>
      <c r="D364" s="180"/>
      <c r="E364" s="180"/>
    </row>
    <row r="365" ht="15.75" customHeight="1">
      <c r="A365" s="183"/>
      <c r="B365" s="180"/>
      <c r="C365" s="180"/>
      <c r="D365" s="180"/>
      <c r="E365" s="180"/>
    </row>
    <row r="366" ht="15.75" customHeight="1">
      <c r="A366" s="183"/>
      <c r="B366" s="180"/>
      <c r="C366" s="180"/>
      <c r="D366" s="180"/>
      <c r="E366" s="180"/>
    </row>
    <row r="367" ht="15.75" customHeight="1">
      <c r="A367" s="183"/>
      <c r="B367" s="180"/>
      <c r="C367" s="180"/>
      <c r="D367" s="180"/>
      <c r="E367" s="180"/>
    </row>
    <row r="368" ht="15.75" customHeight="1">
      <c r="A368" s="183"/>
      <c r="B368" s="180"/>
      <c r="C368" s="180"/>
      <c r="D368" s="180"/>
      <c r="E368" s="180"/>
    </row>
    <row r="369" ht="15.75" customHeight="1">
      <c r="A369" s="183"/>
      <c r="B369" s="180"/>
      <c r="C369" s="180"/>
      <c r="D369" s="180"/>
      <c r="E369" s="180"/>
    </row>
    <row r="370" ht="15.75" customHeight="1">
      <c r="A370" s="183"/>
      <c r="B370" s="180"/>
      <c r="C370" s="180"/>
      <c r="D370" s="180"/>
      <c r="E370" s="180"/>
    </row>
    <row r="371" ht="15.75" customHeight="1">
      <c r="A371" s="183"/>
      <c r="B371" s="180"/>
      <c r="C371" s="180"/>
      <c r="D371" s="180"/>
      <c r="E371" s="180"/>
    </row>
    <row r="372" ht="15.75" customHeight="1">
      <c r="A372" s="183"/>
      <c r="B372" s="180"/>
      <c r="C372" s="180"/>
      <c r="D372" s="180"/>
      <c r="E372" s="180"/>
    </row>
    <row r="373" ht="15.75" customHeight="1">
      <c r="A373" s="183"/>
      <c r="B373" s="180"/>
      <c r="C373" s="180"/>
      <c r="D373" s="180"/>
      <c r="E373" s="180"/>
    </row>
    <row r="374" ht="15.75" customHeight="1">
      <c r="A374" s="183"/>
      <c r="B374" s="180"/>
      <c r="C374" s="180"/>
      <c r="D374" s="180"/>
      <c r="E374" s="180"/>
    </row>
    <row r="375" ht="15.75" customHeight="1">
      <c r="A375" s="183"/>
      <c r="B375" s="180"/>
      <c r="C375" s="180"/>
      <c r="D375" s="180"/>
      <c r="E375" s="180"/>
    </row>
    <row r="376" ht="15.75" customHeight="1">
      <c r="A376" s="183"/>
      <c r="B376" s="180"/>
      <c r="C376" s="180"/>
      <c r="D376" s="180"/>
      <c r="E376" s="180"/>
    </row>
    <row r="377" ht="15.75" customHeight="1">
      <c r="A377" s="183"/>
      <c r="B377" s="180"/>
      <c r="C377" s="180"/>
      <c r="D377" s="180"/>
      <c r="E377" s="180"/>
    </row>
    <row r="378" ht="15.75" customHeight="1">
      <c r="A378" s="183"/>
      <c r="B378" s="180"/>
      <c r="C378" s="180"/>
      <c r="D378" s="180"/>
      <c r="E378" s="180"/>
    </row>
    <row r="379" ht="15.75" customHeight="1">
      <c r="A379" s="183"/>
      <c r="B379" s="180"/>
      <c r="C379" s="180"/>
      <c r="D379" s="180"/>
      <c r="E379" s="180"/>
    </row>
    <row r="380" ht="15.75" customHeight="1">
      <c r="A380" s="183"/>
      <c r="B380" s="180"/>
      <c r="C380" s="180"/>
      <c r="D380" s="180"/>
      <c r="E380" s="180"/>
    </row>
    <row r="381" ht="15.75" customHeight="1">
      <c r="A381" s="183"/>
      <c r="B381" s="180"/>
      <c r="C381" s="180"/>
      <c r="D381" s="180"/>
      <c r="E381" s="180"/>
    </row>
    <row r="382" ht="15.75" customHeight="1">
      <c r="A382" s="183"/>
      <c r="B382" s="180"/>
      <c r="C382" s="180"/>
      <c r="D382" s="180"/>
      <c r="E382" s="180"/>
    </row>
    <row r="383" ht="15.75" customHeight="1">
      <c r="A383" s="183"/>
      <c r="B383" s="180"/>
      <c r="C383" s="180"/>
      <c r="D383" s="180"/>
      <c r="E383" s="180"/>
    </row>
    <row r="384" ht="15.75" customHeight="1">
      <c r="A384" s="183"/>
      <c r="B384" s="180"/>
      <c r="C384" s="180"/>
      <c r="D384" s="180"/>
      <c r="E384" s="180"/>
    </row>
    <row r="385" ht="15.75" customHeight="1">
      <c r="A385" s="183"/>
      <c r="B385" s="180"/>
      <c r="C385" s="180"/>
      <c r="D385" s="180"/>
      <c r="E385" s="180"/>
    </row>
    <row r="386" ht="15.75" customHeight="1">
      <c r="A386" s="183"/>
      <c r="B386" s="180"/>
      <c r="C386" s="180"/>
      <c r="D386" s="180"/>
      <c r="E386" s="180"/>
    </row>
    <row r="387" ht="15.75" customHeight="1">
      <c r="A387" s="183"/>
      <c r="B387" s="180"/>
      <c r="C387" s="180"/>
      <c r="D387" s="180"/>
      <c r="E387" s="180"/>
    </row>
    <row r="388" ht="15.75" customHeight="1">
      <c r="A388" s="183"/>
      <c r="B388" s="180"/>
      <c r="C388" s="180"/>
      <c r="D388" s="180"/>
      <c r="E388" s="180"/>
    </row>
    <row r="389" ht="15.75" customHeight="1">
      <c r="A389" s="183"/>
      <c r="B389" s="180"/>
      <c r="C389" s="180"/>
      <c r="D389" s="180"/>
      <c r="E389" s="180"/>
    </row>
    <row r="390" ht="15.75" customHeight="1">
      <c r="A390" s="183"/>
      <c r="B390" s="180"/>
      <c r="C390" s="180"/>
      <c r="D390" s="180"/>
      <c r="E390" s="180"/>
    </row>
    <row r="391" ht="15.75" customHeight="1">
      <c r="A391" s="183"/>
      <c r="B391" s="180"/>
      <c r="C391" s="180"/>
      <c r="D391" s="180"/>
      <c r="E391" s="180"/>
    </row>
    <row r="392" ht="15.75" customHeight="1">
      <c r="A392" s="183"/>
      <c r="B392" s="180"/>
      <c r="C392" s="180"/>
      <c r="D392" s="180"/>
      <c r="E392" s="180"/>
    </row>
    <row r="393" ht="15.75" customHeight="1">
      <c r="A393" s="183"/>
      <c r="B393" s="180"/>
      <c r="C393" s="180"/>
      <c r="D393" s="180"/>
      <c r="E393" s="180"/>
    </row>
    <row r="394" ht="15.75" customHeight="1">
      <c r="A394" s="183"/>
      <c r="B394" s="180"/>
      <c r="C394" s="180"/>
      <c r="D394" s="180"/>
      <c r="E394" s="180"/>
    </row>
    <row r="395" ht="15.75" customHeight="1">
      <c r="A395" s="183"/>
      <c r="B395" s="180"/>
      <c r="C395" s="180"/>
      <c r="D395" s="180"/>
      <c r="E395" s="180"/>
    </row>
    <row r="396" ht="15.75" customHeight="1">
      <c r="A396" s="183"/>
      <c r="B396" s="180"/>
      <c r="C396" s="180"/>
      <c r="D396" s="180"/>
      <c r="E396" s="180"/>
    </row>
    <row r="397" ht="15.75" customHeight="1">
      <c r="A397" s="183"/>
      <c r="B397" s="180"/>
      <c r="C397" s="180"/>
      <c r="D397" s="180"/>
      <c r="E397" s="180"/>
    </row>
    <row r="398" ht="15.75" customHeight="1">
      <c r="A398" s="183"/>
      <c r="B398" s="180"/>
      <c r="C398" s="180"/>
      <c r="D398" s="180"/>
      <c r="E398" s="180"/>
    </row>
    <row r="399" ht="15.75" customHeight="1">
      <c r="A399" s="183"/>
      <c r="B399" s="180"/>
      <c r="C399" s="180"/>
      <c r="D399" s="180"/>
      <c r="E399" s="180"/>
    </row>
    <row r="400" ht="15.75" customHeight="1">
      <c r="A400" s="183"/>
      <c r="B400" s="180"/>
      <c r="C400" s="180"/>
      <c r="D400" s="180"/>
      <c r="E400" s="180"/>
    </row>
    <row r="401" ht="15.75" customHeight="1">
      <c r="A401" s="183"/>
      <c r="B401" s="180"/>
      <c r="C401" s="180"/>
      <c r="D401" s="180"/>
      <c r="E401" s="180"/>
    </row>
    <row r="402" ht="15.75" customHeight="1">
      <c r="A402" s="183"/>
      <c r="B402" s="180"/>
      <c r="C402" s="180"/>
      <c r="D402" s="180"/>
      <c r="E402" s="180"/>
    </row>
    <row r="403" ht="15.75" customHeight="1">
      <c r="A403" s="183"/>
      <c r="B403" s="180"/>
      <c r="C403" s="180"/>
      <c r="D403" s="180"/>
      <c r="E403" s="180"/>
    </row>
    <row r="404" ht="15.75" customHeight="1">
      <c r="A404" s="183"/>
      <c r="B404" s="180"/>
      <c r="C404" s="180"/>
      <c r="D404" s="180"/>
      <c r="E404" s="180"/>
    </row>
    <row r="405" ht="15.75" customHeight="1">
      <c r="A405" s="183"/>
      <c r="B405" s="180"/>
      <c r="C405" s="180"/>
      <c r="D405" s="180"/>
      <c r="E405" s="180"/>
    </row>
    <row r="406" ht="15.75" customHeight="1">
      <c r="A406" s="183"/>
      <c r="B406" s="180"/>
      <c r="C406" s="180"/>
      <c r="D406" s="180"/>
      <c r="E406" s="180"/>
    </row>
    <row r="407" ht="15.75" customHeight="1">
      <c r="A407" s="183"/>
      <c r="B407" s="180"/>
      <c r="C407" s="180"/>
      <c r="D407" s="180"/>
      <c r="E407" s="180"/>
    </row>
    <row r="408" ht="15.75" customHeight="1">
      <c r="A408" s="183"/>
      <c r="B408" s="180"/>
      <c r="C408" s="180"/>
      <c r="D408" s="180"/>
      <c r="E408" s="180"/>
    </row>
    <row r="409" ht="15.75" customHeight="1">
      <c r="A409" s="183"/>
      <c r="B409" s="180"/>
      <c r="C409" s="180"/>
      <c r="D409" s="180"/>
      <c r="E409" s="180"/>
    </row>
    <row r="410" ht="15.75" customHeight="1">
      <c r="A410" s="183"/>
      <c r="B410" s="180"/>
      <c r="C410" s="180"/>
      <c r="D410" s="180"/>
      <c r="E410" s="180"/>
    </row>
    <row r="411" ht="15.75" customHeight="1">
      <c r="A411" s="183"/>
      <c r="B411" s="180"/>
      <c r="C411" s="180"/>
      <c r="D411" s="180"/>
      <c r="E411" s="180"/>
    </row>
    <row r="412" ht="15.75" customHeight="1">
      <c r="A412" s="183"/>
      <c r="B412" s="180"/>
      <c r="C412" s="180"/>
      <c r="D412" s="180"/>
      <c r="E412" s="180"/>
    </row>
    <row r="413" ht="15.75" customHeight="1">
      <c r="A413" s="183"/>
      <c r="B413" s="180"/>
      <c r="C413" s="180"/>
      <c r="D413" s="180"/>
      <c r="E413" s="180"/>
    </row>
    <row r="414" ht="15.75" customHeight="1">
      <c r="A414" s="183"/>
      <c r="B414" s="180"/>
      <c r="C414" s="180"/>
      <c r="D414" s="180"/>
      <c r="E414" s="180"/>
    </row>
    <row r="415" ht="15.75" customHeight="1">
      <c r="A415" s="183"/>
      <c r="B415" s="180"/>
      <c r="C415" s="180"/>
      <c r="D415" s="180"/>
      <c r="E415" s="180"/>
    </row>
    <row r="416" ht="15.75" customHeight="1">
      <c r="A416" s="183"/>
      <c r="B416" s="180"/>
      <c r="C416" s="180"/>
      <c r="D416" s="180"/>
      <c r="E416" s="180"/>
    </row>
    <row r="417" ht="15.75" customHeight="1">
      <c r="A417" s="183"/>
      <c r="B417" s="180"/>
      <c r="C417" s="180"/>
      <c r="D417" s="180"/>
      <c r="E417" s="180"/>
    </row>
    <row r="418" ht="15.75" customHeight="1">
      <c r="A418" s="183"/>
      <c r="B418" s="180"/>
      <c r="C418" s="180"/>
      <c r="D418" s="180"/>
      <c r="E418" s="180"/>
    </row>
    <row r="419" ht="15.75" customHeight="1">
      <c r="A419" s="183"/>
      <c r="B419" s="180"/>
      <c r="C419" s="180"/>
      <c r="D419" s="180"/>
      <c r="E419" s="180"/>
    </row>
    <row r="420" ht="15.75" customHeight="1">
      <c r="A420" s="183"/>
      <c r="B420" s="180"/>
      <c r="C420" s="180"/>
      <c r="D420" s="180"/>
      <c r="E420" s="180"/>
    </row>
    <row r="421" ht="15.75" customHeight="1">
      <c r="A421" s="183"/>
      <c r="B421" s="180"/>
      <c r="C421" s="180"/>
      <c r="D421" s="180"/>
      <c r="E421" s="180"/>
    </row>
    <row r="422" ht="15.75" customHeight="1">
      <c r="A422" s="183"/>
      <c r="B422" s="180"/>
      <c r="C422" s="180"/>
      <c r="D422" s="180"/>
      <c r="E422" s="180"/>
    </row>
    <row r="423" ht="15.75" customHeight="1">
      <c r="A423" s="183"/>
      <c r="B423" s="180"/>
      <c r="C423" s="180"/>
      <c r="D423" s="180"/>
      <c r="E423" s="180"/>
    </row>
    <row r="424" ht="15.75" customHeight="1">
      <c r="A424" s="183"/>
      <c r="B424" s="180"/>
      <c r="C424" s="180"/>
      <c r="D424" s="180"/>
      <c r="E424" s="180"/>
    </row>
    <row r="425" ht="15.75" customHeight="1">
      <c r="A425" s="183"/>
      <c r="B425" s="180"/>
      <c r="C425" s="180"/>
      <c r="D425" s="180"/>
      <c r="E425" s="180"/>
    </row>
    <row r="426" ht="15.75" customHeight="1">
      <c r="A426" s="183"/>
      <c r="B426" s="180"/>
      <c r="C426" s="180"/>
      <c r="D426" s="180"/>
      <c r="E426" s="180"/>
    </row>
    <row r="427" ht="15.75" customHeight="1">
      <c r="A427" s="183"/>
      <c r="B427" s="180"/>
      <c r="C427" s="180"/>
      <c r="D427" s="180"/>
      <c r="E427" s="180"/>
    </row>
    <row r="428" ht="15.75" customHeight="1">
      <c r="A428" s="183"/>
      <c r="B428" s="180"/>
      <c r="C428" s="180"/>
      <c r="D428" s="180"/>
      <c r="E428" s="180"/>
    </row>
    <row r="429" ht="15.75" customHeight="1">
      <c r="A429" s="183"/>
      <c r="B429" s="180"/>
      <c r="C429" s="180"/>
      <c r="D429" s="180"/>
      <c r="E429" s="180"/>
    </row>
    <row r="430" ht="15.75" customHeight="1">
      <c r="A430" s="183"/>
      <c r="B430" s="180"/>
      <c r="C430" s="180"/>
      <c r="D430" s="180"/>
      <c r="E430" s="180"/>
    </row>
    <row r="431" ht="15.75" customHeight="1">
      <c r="A431" s="183"/>
      <c r="B431" s="180"/>
      <c r="C431" s="180"/>
      <c r="D431" s="180"/>
      <c r="E431" s="180"/>
    </row>
    <row r="432" ht="15.75" customHeight="1">
      <c r="A432" s="183"/>
      <c r="B432" s="180"/>
      <c r="C432" s="180"/>
      <c r="D432" s="180"/>
      <c r="E432" s="180"/>
    </row>
    <row r="433" ht="15.75" customHeight="1">
      <c r="A433" s="183"/>
      <c r="B433" s="180"/>
      <c r="C433" s="180"/>
      <c r="D433" s="180"/>
      <c r="E433" s="180"/>
    </row>
    <row r="434" ht="15.75" customHeight="1">
      <c r="A434" s="183"/>
      <c r="B434" s="180"/>
      <c r="C434" s="180"/>
      <c r="D434" s="180"/>
      <c r="E434" s="180"/>
    </row>
    <row r="435" ht="15.75" customHeight="1">
      <c r="A435" s="183"/>
      <c r="B435" s="180"/>
      <c r="C435" s="180"/>
      <c r="D435" s="180"/>
      <c r="E435" s="180"/>
    </row>
    <row r="436" ht="15.75" customHeight="1">
      <c r="A436" s="183"/>
      <c r="B436" s="180"/>
      <c r="C436" s="180"/>
      <c r="D436" s="180"/>
      <c r="E436" s="180"/>
    </row>
    <row r="437" ht="15.75" customHeight="1">
      <c r="A437" s="183"/>
      <c r="B437" s="180"/>
      <c r="C437" s="180"/>
      <c r="D437" s="180"/>
      <c r="E437" s="180"/>
    </row>
    <row r="438" ht="15.75" customHeight="1">
      <c r="A438" s="183"/>
      <c r="B438" s="180"/>
      <c r="C438" s="180"/>
      <c r="D438" s="180"/>
      <c r="E438" s="180"/>
    </row>
    <row r="439" ht="15.75" customHeight="1">
      <c r="A439" s="183"/>
      <c r="B439" s="180"/>
      <c r="C439" s="180"/>
      <c r="D439" s="180"/>
      <c r="E439" s="180"/>
    </row>
    <row r="440" ht="15.75" customHeight="1">
      <c r="A440" s="183"/>
      <c r="B440" s="180"/>
      <c r="C440" s="180"/>
      <c r="D440" s="180"/>
      <c r="E440" s="180"/>
    </row>
    <row r="441" ht="15.75" customHeight="1">
      <c r="A441" s="183"/>
      <c r="B441" s="180"/>
      <c r="C441" s="180"/>
      <c r="D441" s="180"/>
      <c r="E441" s="180"/>
    </row>
    <row r="442" ht="15.75" customHeight="1">
      <c r="A442" s="183"/>
      <c r="B442" s="180"/>
      <c r="C442" s="180"/>
      <c r="D442" s="180"/>
      <c r="E442" s="180"/>
    </row>
    <row r="443" ht="15.75" customHeight="1">
      <c r="A443" s="183"/>
      <c r="B443" s="180"/>
      <c r="C443" s="180"/>
      <c r="D443" s="180"/>
      <c r="E443" s="180"/>
    </row>
    <row r="444" ht="15.75" customHeight="1">
      <c r="A444" s="183"/>
      <c r="B444" s="180"/>
      <c r="C444" s="180"/>
      <c r="D444" s="180"/>
      <c r="E444" s="180"/>
    </row>
    <row r="445" ht="15.75" customHeight="1">
      <c r="A445" s="183"/>
      <c r="B445" s="180"/>
      <c r="C445" s="180"/>
      <c r="D445" s="180"/>
      <c r="E445" s="180"/>
    </row>
    <row r="446" ht="15.75" customHeight="1">
      <c r="A446" s="183"/>
      <c r="B446" s="180"/>
      <c r="C446" s="180"/>
      <c r="D446" s="180"/>
      <c r="E446" s="180"/>
    </row>
    <row r="447" ht="15.75" customHeight="1">
      <c r="A447" s="183"/>
      <c r="B447" s="180"/>
      <c r="C447" s="180"/>
      <c r="D447" s="180"/>
      <c r="E447" s="180"/>
    </row>
    <row r="448" ht="15.75" customHeight="1">
      <c r="A448" s="183"/>
      <c r="B448" s="180"/>
      <c r="C448" s="180"/>
      <c r="D448" s="180"/>
      <c r="E448" s="180"/>
    </row>
    <row r="449" ht="15.75" customHeight="1">
      <c r="A449" s="183"/>
      <c r="B449" s="180"/>
      <c r="C449" s="180"/>
      <c r="D449" s="180"/>
      <c r="E449" s="180"/>
    </row>
    <row r="450" ht="15.75" customHeight="1">
      <c r="A450" s="183"/>
      <c r="B450" s="180"/>
      <c r="C450" s="180"/>
      <c r="D450" s="180"/>
      <c r="E450" s="180"/>
    </row>
    <row r="451" ht="15.75" customHeight="1">
      <c r="A451" s="183"/>
      <c r="B451" s="180"/>
      <c r="C451" s="180"/>
      <c r="D451" s="180"/>
      <c r="E451" s="180"/>
    </row>
    <row r="452" ht="15.75" customHeight="1">
      <c r="A452" s="183"/>
      <c r="B452" s="180"/>
      <c r="C452" s="180"/>
      <c r="D452" s="180"/>
      <c r="E452" s="180"/>
    </row>
    <row r="453" ht="15.75" customHeight="1">
      <c r="A453" s="183"/>
      <c r="B453" s="180"/>
      <c r="C453" s="180"/>
      <c r="D453" s="180"/>
      <c r="E453" s="180"/>
    </row>
    <row r="454" ht="15.75" customHeight="1">
      <c r="A454" s="183"/>
      <c r="B454" s="180"/>
      <c r="C454" s="180"/>
      <c r="D454" s="180"/>
      <c r="E454" s="180"/>
    </row>
    <row r="455" ht="15.75" customHeight="1">
      <c r="A455" s="183"/>
      <c r="B455" s="180"/>
      <c r="C455" s="180"/>
      <c r="D455" s="180"/>
      <c r="E455" s="180"/>
    </row>
    <row r="456" ht="15.75" customHeight="1">
      <c r="A456" s="183"/>
      <c r="B456" s="180"/>
      <c r="C456" s="180"/>
      <c r="D456" s="180"/>
      <c r="E456" s="180"/>
    </row>
    <row r="457" ht="15.75" customHeight="1">
      <c r="A457" s="183"/>
      <c r="B457" s="180"/>
      <c r="C457" s="180"/>
      <c r="D457" s="180"/>
      <c r="E457" s="180"/>
    </row>
    <row r="458" ht="15.75" customHeight="1">
      <c r="A458" s="183"/>
      <c r="B458" s="180"/>
      <c r="C458" s="180"/>
      <c r="D458" s="180"/>
      <c r="E458" s="180"/>
    </row>
    <row r="459" ht="15.75" customHeight="1">
      <c r="A459" s="183"/>
      <c r="B459" s="180"/>
      <c r="C459" s="180"/>
      <c r="D459" s="180"/>
      <c r="E459" s="180"/>
    </row>
    <row r="460" ht="15.75" customHeight="1">
      <c r="A460" s="183"/>
      <c r="B460" s="180"/>
      <c r="C460" s="180"/>
      <c r="D460" s="180"/>
      <c r="E460" s="180"/>
    </row>
    <row r="461" ht="15.75" customHeight="1">
      <c r="A461" s="183"/>
      <c r="B461" s="180"/>
      <c r="C461" s="180"/>
      <c r="D461" s="180"/>
      <c r="E461" s="180"/>
    </row>
    <row r="462" ht="15.75" customHeight="1">
      <c r="A462" s="183"/>
      <c r="B462" s="180"/>
      <c r="C462" s="180"/>
      <c r="D462" s="180"/>
      <c r="E462" s="180"/>
    </row>
    <row r="463" ht="15.75" customHeight="1">
      <c r="A463" s="183"/>
      <c r="B463" s="180"/>
      <c r="C463" s="180"/>
      <c r="D463" s="180"/>
      <c r="E463" s="180"/>
    </row>
    <row r="464" ht="15.75" customHeight="1">
      <c r="A464" s="183"/>
      <c r="B464" s="180"/>
      <c r="C464" s="180"/>
      <c r="D464" s="180"/>
      <c r="E464" s="180"/>
    </row>
    <row r="465" ht="15.75" customHeight="1">
      <c r="A465" s="183"/>
      <c r="B465" s="180"/>
      <c r="C465" s="180"/>
      <c r="D465" s="180"/>
      <c r="E465" s="180"/>
    </row>
    <row r="466" ht="15.75" customHeight="1">
      <c r="A466" s="183"/>
      <c r="B466" s="180"/>
      <c r="C466" s="180"/>
      <c r="D466" s="180"/>
      <c r="E466" s="180"/>
    </row>
    <row r="467" ht="15.75" customHeight="1">
      <c r="A467" s="183"/>
      <c r="B467" s="180"/>
      <c r="C467" s="180"/>
      <c r="D467" s="180"/>
      <c r="E467" s="180"/>
    </row>
    <row r="468" ht="15.75" customHeight="1">
      <c r="A468" s="183"/>
      <c r="B468" s="180"/>
      <c r="C468" s="180"/>
      <c r="D468" s="180"/>
      <c r="E468" s="180"/>
    </row>
    <row r="469" ht="15.75" customHeight="1">
      <c r="A469" s="183"/>
      <c r="B469" s="180"/>
      <c r="C469" s="180"/>
      <c r="D469" s="180"/>
      <c r="E469" s="180"/>
    </row>
    <row r="470" ht="15.75" customHeight="1">
      <c r="A470" s="183"/>
      <c r="B470" s="180"/>
      <c r="C470" s="180"/>
      <c r="D470" s="180"/>
      <c r="E470" s="180"/>
    </row>
    <row r="471" ht="15.75" customHeight="1">
      <c r="A471" s="183"/>
      <c r="B471" s="180"/>
      <c r="C471" s="180"/>
      <c r="D471" s="180"/>
      <c r="E471" s="180"/>
    </row>
    <row r="472" ht="15.75" customHeight="1">
      <c r="A472" s="183"/>
      <c r="B472" s="180"/>
      <c r="C472" s="180"/>
      <c r="D472" s="180"/>
      <c r="E472" s="180"/>
    </row>
    <row r="473" ht="15.75" customHeight="1">
      <c r="A473" s="183"/>
      <c r="B473" s="180"/>
      <c r="C473" s="180"/>
      <c r="D473" s="180"/>
      <c r="E473" s="180"/>
    </row>
    <row r="474" ht="15.75" customHeight="1">
      <c r="A474" s="183"/>
      <c r="B474" s="180"/>
      <c r="C474" s="180"/>
      <c r="D474" s="180"/>
      <c r="E474" s="180"/>
    </row>
    <row r="475" ht="15.75" customHeight="1">
      <c r="A475" s="183"/>
      <c r="B475" s="180"/>
      <c r="C475" s="180"/>
      <c r="D475" s="180"/>
      <c r="E475" s="180"/>
    </row>
    <row r="476" ht="15.75" customHeight="1">
      <c r="A476" s="183"/>
      <c r="B476" s="180"/>
      <c r="C476" s="180"/>
      <c r="D476" s="180"/>
      <c r="E476" s="180"/>
    </row>
    <row r="477" ht="15.75" customHeight="1">
      <c r="A477" s="183"/>
      <c r="B477" s="180"/>
      <c r="C477" s="180"/>
      <c r="D477" s="180"/>
      <c r="E477" s="180"/>
    </row>
    <row r="478" ht="15.75" customHeight="1">
      <c r="A478" s="183"/>
      <c r="B478" s="180"/>
      <c r="C478" s="180"/>
      <c r="D478" s="180"/>
      <c r="E478" s="180"/>
    </row>
    <row r="479" ht="15.75" customHeight="1">
      <c r="A479" s="183"/>
      <c r="B479" s="180"/>
      <c r="C479" s="180"/>
      <c r="D479" s="180"/>
      <c r="E479" s="180"/>
    </row>
    <row r="480" ht="15.75" customHeight="1">
      <c r="A480" s="183"/>
      <c r="B480" s="180"/>
      <c r="C480" s="180"/>
      <c r="D480" s="180"/>
      <c r="E480" s="180"/>
    </row>
    <row r="481" ht="15.75" customHeight="1">
      <c r="A481" s="183"/>
      <c r="B481" s="180"/>
      <c r="C481" s="180"/>
      <c r="D481" s="180"/>
      <c r="E481" s="180"/>
    </row>
    <row r="482" ht="15.75" customHeight="1">
      <c r="A482" s="183"/>
      <c r="B482" s="180"/>
      <c r="C482" s="180"/>
      <c r="D482" s="180"/>
      <c r="E482" s="180"/>
    </row>
    <row r="483" ht="15.75" customHeight="1">
      <c r="A483" s="183"/>
      <c r="B483" s="180"/>
      <c r="C483" s="180"/>
      <c r="D483" s="180"/>
      <c r="E483" s="180"/>
    </row>
    <row r="484" ht="15.75" customHeight="1">
      <c r="A484" s="183"/>
      <c r="B484" s="180"/>
      <c r="C484" s="180"/>
      <c r="D484" s="180"/>
      <c r="E484" s="180"/>
    </row>
    <row r="485" ht="15.75" customHeight="1">
      <c r="A485" s="183"/>
      <c r="B485" s="180"/>
      <c r="C485" s="180"/>
      <c r="D485" s="180"/>
      <c r="E485" s="180"/>
    </row>
    <row r="486" ht="15.75" customHeight="1">
      <c r="A486" s="183"/>
      <c r="B486" s="180"/>
      <c r="C486" s="180"/>
      <c r="D486" s="180"/>
      <c r="E486" s="180"/>
    </row>
    <row r="487" ht="15.75" customHeight="1">
      <c r="A487" s="183"/>
      <c r="B487" s="180"/>
      <c r="C487" s="180"/>
      <c r="D487" s="180"/>
      <c r="E487" s="180"/>
    </row>
    <row r="488" ht="15.75" customHeight="1">
      <c r="A488" s="183"/>
      <c r="B488" s="180"/>
      <c r="C488" s="180"/>
      <c r="D488" s="180"/>
      <c r="E488" s="180"/>
    </row>
    <row r="489" ht="15.75" customHeight="1">
      <c r="A489" s="183"/>
      <c r="B489" s="180"/>
      <c r="C489" s="180"/>
      <c r="D489" s="180"/>
      <c r="E489" s="180"/>
    </row>
    <row r="490" ht="15.75" customHeight="1">
      <c r="A490" s="183"/>
      <c r="B490" s="180"/>
      <c r="C490" s="180"/>
      <c r="D490" s="180"/>
      <c r="E490" s="180"/>
    </row>
    <row r="491" ht="15.75" customHeight="1">
      <c r="A491" s="183"/>
      <c r="B491" s="180"/>
      <c r="C491" s="180"/>
      <c r="D491" s="180"/>
      <c r="E491" s="180"/>
    </row>
    <row r="492" ht="15.75" customHeight="1">
      <c r="A492" s="183"/>
      <c r="B492" s="180"/>
      <c r="C492" s="180"/>
      <c r="D492" s="180"/>
      <c r="E492" s="180"/>
    </row>
    <row r="493" ht="15.75" customHeight="1">
      <c r="A493" s="183"/>
      <c r="B493" s="180"/>
      <c r="C493" s="180"/>
      <c r="D493" s="180"/>
      <c r="E493" s="180"/>
    </row>
    <row r="494" ht="15.75" customHeight="1">
      <c r="A494" s="183"/>
      <c r="B494" s="180"/>
      <c r="C494" s="180"/>
      <c r="D494" s="180"/>
      <c r="E494" s="180"/>
    </row>
    <row r="495" ht="15.75" customHeight="1">
      <c r="A495" s="183"/>
      <c r="B495" s="180"/>
      <c r="C495" s="180"/>
      <c r="D495" s="180"/>
      <c r="E495" s="180"/>
    </row>
    <row r="496" ht="15.75" customHeight="1">
      <c r="A496" s="183"/>
      <c r="B496" s="180"/>
      <c r="C496" s="180"/>
      <c r="D496" s="180"/>
      <c r="E496" s="180"/>
    </row>
    <row r="497" ht="15.75" customHeight="1">
      <c r="A497" s="183"/>
      <c r="B497" s="180"/>
      <c r="C497" s="180"/>
      <c r="D497" s="180"/>
      <c r="E497" s="180"/>
    </row>
    <row r="498" ht="15.75" customHeight="1">
      <c r="A498" s="183"/>
      <c r="B498" s="180"/>
      <c r="C498" s="180"/>
      <c r="D498" s="180"/>
      <c r="E498" s="180"/>
    </row>
    <row r="499" ht="15.75" customHeight="1">
      <c r="A499" s="183"/>
      <c r="B499" s="180"/>
      <c r="C499" s="180"/>
      <c r="D499" s="180"/>
      <c r="E499" s="180"/>
    </row>
    <row r="500" ht="15.75" customHeight="1">
      <c r="A500" s="183"/>
      <c r="B500" s="180"/>
      <c r="C500" s="180"/>
      <c r="D500" s="180"/>
      <c r="E500" s="180"/>
    </row>
    <row r="501" ht="15.75" customHeight="1">
      <c r="A501" s="183"/>
      <c r="B501" s="180"/>
      <c r="C501" s="180"/>
      <c r="D501" s="180"/>
      <c r="E501" s="180"/>
    </row>
    <row r="502" ht="15.75" customHeight="1">
      <c r="A502" s="183"/>
      <c r="B502" s="180"/>
      <c r="C502" s="180"/>
      <c r="D502" s="180"/>
      <c r="E502" s="180"/>
    </row>
    <row r="503" ht="15.75" customHeight="1">
      <c r="A503" s="183"/>
      <c r="B503" s="180"/>
      <c r="C503" s="180"/>
      <c r="D503" s="180"/>
      <c r="E503" s="180"/>
    </row>
    <row r="504" ht="15.75" customHeight="1">
      <c r="A504" s="183"/>
      <c r="B504" s="180"/>
      <c r="C504" s="180"/>
      <c r="D504" s="180"/>
      <c r="E504" s="180"/>
    </row>
    <row r="505" ht="15.75" customHeight="1">
      <c r="A505" s="183"/>
      <c r="B505" s="180"/>
      <c r="C505" s="180"/>
      <c r="D505" s="180"/>
      <c r="E505" s="180"/>
    </row>
    <row r="506" ht="15.75" customHeight="1">
      <c r="A506" s="183"/>
      <c r="B506" s="180"/>
      <c r="C506" s="180"/>
      <c r="D506" s="180"/>
      <c r="E506" s="180"/>
    </row>
    <row r="507" ht="15.75" customHeight="1">
      <c r="A507" s="183"/>
      <c r="B507" s="180"/>
      <c r="C507" s="180"/>
      <c r="D507" s="180"/>
      <c r="E507" s="180"/>
    </row>
    <row r="508" ht="15.75" customHeight="1">
      <c r="A508" s="183"/>
      <c r="B508" s="180"/>
      <c r="C508" s="180"/>
      <c r="D508" s="180"/>
      <c r="E508" s="180"/>
    </row>
    <row r="509" ht="15.75" customHeight="1">
      <c r="A509" s="183"/>
      <c r="B509" s="180"/>
      <c r="C509" s="180"/>
      <c r="D509" s="180"/>
      <c r="E509" s="180"/>
    </row>
    <row r="510" ht="15.75" customHeight="1">
      <c r="A510" s="183"/>
      <c r="B510" s="180"/>
      <c r="C510" s="180"/>
      <c r="D510" s="180"/>
      <c r="E510" s="180"/>
    </row>
    <row r="511" ht="15.75" customHeight="1">
      <c r="A511" s="183"/>
      <c r="B511" s="180"/>
      <c r="C511" s="180"/>
      <c r="D511" s="180"/>
      <c r="E511" s="180"/>
    </row>
    <row r="512" ht="15.75" customHeight="1">
      <c r="A512" s="183"/>
      <c r="B512" s="180"/>
      <c r="C512" s="180"/>
      <c r="D512" s="180"/>
      <c r="E512" s="180"/>
    </row>
    <row r="513" ht="15.75" customHeight="1">
      <c r="A513" s="183"/>
      <c r="B513" s="180"/>
      <c r="C513" s="180"/>
      <c r="D513" s="180"/>
      <c r="E513" s="180"/>
    </row>
    <row r="514" ht="15.75" customHeight="1">
      <c r="A514" s="183"/>
      <c r="B514" s="180"/>
      <c r="C514" s="180"/>
      <c r="D514" s="180"/>
      <c r="E514" s="180"/>
    </row>
    <row r="515" ht="15.75" customHeight="1">
      <c r="A515" s="183"/>
      <c r="B515" s="180"/>
      <c r="C515" s="180"/>
      <c r="D515" s="180"/>
      <c r="E515" s="180"/>
    </row>
    <row r="516" ht="15.75" customHeight="1">
      <c r="A516" s="183"/>
      <c r="B516" s="180"/>
      <c r="C516" s="180"/>
      <c r="D516" s="180"/>
      <c r="E516" s="180"/>
    </row>
    <row r="517" ht="15.75" customHeight="1">
      <c r="A517" s="183"/>
      <c r="B517" s="180"/>
      <c r="C517" s="180"/>
      <c r="D517" s="180"/>
      <c r="E517" s="180"/>
    </row>
    <row r="518" ht="15.75" customHeight="1">
      <c r="A518" s="183"/>
      <c r="B518" s="180"/>
      <c r="C518" s="180"/>
      <c r="D518" s="180"/>
      <c r="E518" s="180"/>
    </row>
    <row r="519" ht="15.75" customHeight="1">
      <c r="A519" s="183"/>
      <c r="B519" s="180"/>
      <c r="C519" s="180"/>
      <c r="D519" s="180"/>
      <c r="E519" s="180"/>
    </row>
    <row r="520" ht="15.75" customHeight="1">
      <c r="A520" s="183"/>
      <c r="B520" s="180"/>
      <c r="C520" s="180"/>
      <c r="D520" s="180"/>
      <c r="E520" s="180"/>
    </row>
    <row r="521" ht="15.75" customHeight="1">
      <c r="A521" s="183"/>
      <c r="B521" s="180"/>
      <c r="C521" s="180"/>
      <c r="D521" s="180"/>
      <c r="E521" s="180"/>
    </row>
    <row r="522" ht="15.75" customHeight="1">
      <c r="A522" s="183"/>
      <c r="B522" s="180"/>
      <c r="C522" s="180"/>
      <c r="D522" s="180"/>
      <c r="E522" s="180"/>
    </row>
    <row r="523" ht="15.75" customHeight="1">
      <c r="A523" s="183"/>
      <c r="B523" s="180"/>
      <c r="C523" s="180"/>
      <c r="D523" s="180"/>
      <c r="E523" s="180"/>
    </row>
    <row r="524" ht="15.75" customHeight="1">
      <c r="A524" s="183"/>
      <c r="B524" s="180"/>
      <c r="C524" s="180"/>
      <c r="D524" s="180"/>
      <c r="E524" s="180"/>
    </row>
    <row r="525" ht="15.75" customHeight="1">
      <c r="A525" s="183"/>
      <c r="B525" s="180"/>
      <c r="C525" s="180"/>
      <c r="D525" s="180"/>
      <c r="E525" s="180"/>
    </row>
    <row r="526" ht="15.75" customHeight="1">
      <c r="A526" s="183"/>
      <c r="B526" s="180"/>
      <c r="C526" s="180"/>
      <c r="D526" s="180"/>
      <c r="E526" s="180"/>
    </row>
    <row r="527" ht="15.75" customHeight="1">
      <c r="A527" s="183"/>
      <c r="B527" s="180"/>
      <c r="C527" s="180"/>
      <c r="D527" s="180"/>
      <c r="E527" s="180"/>
    </row>
    <row r="528" ht="15.75" customHeight="1">
      <c r="A528" s="183"/>
      <c r="B528" s="180"/>
      <c r="C528" s="180"/>
      <c r="D528" s="180"/>
      <c r="E528" s="180"/>
    </row>
    <row r="529" ht="15.75" customHeight="1">
      <c r="A529" s="183"/>
      <c r="B529" s="180"/>
      <c r="C529" s="180"/>
      <c r="D529" s="180"/>
      <c r="E529" s="180"/>
    </row>
    <row r="530" ht="15.75" customHeight="1">
      <c r="A530" s="183"/>
      <c r="B530" s="180"/>
      <c r="C530" s="180"/>
      <c r="D530" s="180"/>
      <c r="E530" s="180"/>
    </row>
    <row r="531" ht="15.75" customHeight="1">
      <c r="A531" s="183"/>
      <c r="B531" s="180"/>
      <c r="C531" s="180"/>
      <c r="D531" s="180"/>
      <c r="E531" s="180"/>
    </row>
    <row r="532" ht="15.75" customHeight="1">
      <c r="A532" s="183"/>
      <c r="B532" s="180"/>
      <c r="C532" s="180"/>
      <c r="D532" s="180"/>
      <c r="E532" s="180"/>
    </row>
    <row r="533" ht="15.75" customHeight="1">
      <c r="A533" s="183"/>
      <c r="B533" s="180"/>
      <c r="C533" s="180"/>
      <c r="D533" s="180"/>
      <c r="E533" s="180"/>
    </row>
    <row r="534" ht="15.75" customHeight="1">
      <c r="A534" s="183"/>
      <c r="B534" s="180"/>
      <c r="C534" s="180"/>
      <c r="D534" s="180"/>
      <c r="E534" s="180"/>
    </row>
    <row r="535" ht="15.75" customHeight="1">
      <c r="A535" s="183"/>
      <c r="B535" s="180"/>
      <c r="C535" s="180"/>
      <c r="D535" s="180"/>
      <c r="E535" s="180"/>
    </row>
    <row r="536" ht="15.75" customHeight="1">
      <c r="A536" s="183"/>
      <c r="B536" s="180"/>
      <c r="C536" s="180"/>
      <c r="D536" s="180"/>
      <c r="E536" s="180"/>
    </row>
    <row r="537" ht="15.75" customHeight="1">
      <c r="A537" s="183"/>
      <c r="B537" s="180"/>
      <c r="C537" s="180"/>
      <c r="D537" s="180"/>
      <c r="E537" s="180"/>
    </row>
    <row r="538" ht="15.75" customHeight="1">
      <c r="A538" s="183"/>
      <c r="B538" s="180"/>
      <c r="C538" s="180"/>
      <c r="D538" s="180"/>
      <c r="E538" s="180"/>
    </row>
    <row r="539" ht="15.75" customHeight="1">
      <c r="A539" s="183"/>
      <c r="B539" s="180"/>
      <c r="C539" s="180"/>
      <c r="D539" s="180"/>
      <c r="E539" s="180"/>
    </row>
    <row r="540" ht="15.75" customHeight="1">
      <c r="A540" s="183"/>
      <c r="B540" s="180"/>
      <c r="C540" s="180"/>
      <c r="D540" s="180"/>
      <c r="E540" s="180"/>
    </row>
    <row r="541" ht="15.75" customHeight="1">
      <c r="A541" s="183"/>
      <c r="B541" s="180"/>
      <c r="C541" s="180"/>
      <c r="D541" s="180"/>
      <c r="E541" s="180"/>
    </row>
    <row r="542" ht="15.75" customHeight="1">
      <c r="A542" s="183"/>
      <c r="B542" s="180"/>
      <c r="C542" s="180"/>
      <c r="D542" s="180"/>
      <c r="E542" s="180"/>
    </row>
    <row r="543" ht="15.75" customHeight="1">
      <c r="A543" s="183"/>
      <c r="B543" s="180"/>
      <c r="C543" s="180"/>
      <c r="D543" s="180"/>
      <c r="E543" s="180"/>
    </row>
    <row r="544" ht="15.75" customHeight="1">
      <c r="A544" s="183"/>
      <c r="B544" s="180"/>
      <c r="C544" s="180"/>
      <c r="D544" s="180"/>
      <c r="E544" s="180"/>
    </row>
    <row r="545" ht="15.75" customHeight="1">
      <c r="A545" s="183"/>
      <c r="B545" s="180"/>
      <c r="C545" s="180"/>
      <c r="D545" s="180"/>
      <c r="E545" s="180"/>
    </row>
    <row r="546" ht="15.75" customHeight="1">
      <c r="A546" s="183"/>
      <c r="B546" s="180"/>
      <c r="C546" s="180"/>
      <c r="D546" s="180"/>
      <c r="E546" s="180"/>
    </row>
    <row r="547" ht="15.75" customHeight="1">
      <c r="A547" s="183"/>
      <c r="B547" s="180"/>
      <c r="C547" s="180"/>
      <c r="D547" s="180"/>
      <c r="E547" s="180"/>
    </row>
    <row r="548" ht="15.75" customHeight="1">
      <c r="A548" s="183"/>
      <c r="B548" s="180"/>
      <c r="C548" s="180"/>
      <c r="D548" s="180"/>
      <c r="E548" s="180"/>
    </row>
    <row r="549" ht="15.75" customHeight="1">
      <c r="A549" s="183"/>
      <c r="B549" s="180"/>
      <c r="C549" s="180"/>
      <c r="D549" s="180"/>
      <c r="E549" s="180"/>
    </row>
    <row r="550" ht="15.75" customHeight="1">
      <c r="A550" s="183"/>
      <c r="B550" s="180"/>
      <c r="C550" s="180"/>
      <c r="D550" s="180"/>
      <c r="E550" s="180"/>
    </row>
    <row r="551" ht="15.75" customHeight="1">
      <c r="A551" s="183"/>
      <c r="B551" s="180"/>
      <c r="C551" s="180"/>
      <c r="D551" s="180"/>
      <c r="E551" s="180"/>
    </row>
    <row r="552" ht="15.75" customHeight="1">
      <c r="A552" s="183"/>
      <c r="B552" s="180"/>
      <c r="C552" s="180"/>
      <c r="D552" s="180"/>
      <c r="E552" s="180"/>
    </row>
    <row r="553" ht="15.75" customHeight="1">
      <c r="A553" s="183"/>
      <c r="B553" s="180"/>
      <c r="C553" s="180"/>
      <c r="D553" s="180"/>
      <c r="E553" s="180"/>
    </row>
    <row r="554" ht="15.75" customHeight="1">
      <c r="A554" s="183"/>
      <c r="B554" s="180"/>
      <c r="C554" s="180"/>
      <c r="D554" s="180"/>
      <c r="E554" s="180"/>
    </row>
    <row r="555" ht="15.75" customHeight="1">
      <c r="A555" s="183"/>
      <c r="B555" s="180"/>
      <c r="C555" s="180"/>
      <c r="D555" s="180"/>
      <c r="E555" s="180"/>
    </row>
    <row r="556" ht="15.75" customHeight="1">
      <c r="A556" s="183"/>
      <c r="B556" s="180"/>
      <c r="C556" s="180"/>
      <c r="D556" s="180"/>
      <c r="E556" s="180"/>
    </row>
    <row r="557" ht="15.75" customHeight="1">
      <c r="A557" s="183"/>
      <c r="B557" s="180"/>
      <c r="C557" s="180"/>
      <c r="D557" s="180"/>
      <c r="E557" s="180"/>
    </row>
    <row r="558" ht="15.75" customHeight="1">
      <c r="A558" s="183"/>
      <c r="B558" s="180"/>
      <c r="C558" s="180"/>
      <c r="D558" s="180"/>
      <c r="E558" s="180"/>
    </row>
    <row r="559" ht="15.75" customHeight="1">
      <c r="A559" s="183"/>
      <c r="B559" s="180"/>
      <c r="C559" s="180"/>
      <c r="D559" s="180"/>
      <c r="E559" s="180"/>
    </row>
    <row r="560" ht="15.75" customHeight="1">
      <c r="A560" s="183"/>
      <c r="B560" s="180"/>
      <c r="C560" s="180"/>
      <c r="D560" s="180"/>
      <c r="E560" s="180"/>
    </row>
    <row r="561" ht="15.75" customHeight="1">
      <c r="A561" s="183"/>
      <c r="B561" s="180"/>
      <c r="C561" s="180"/>
      <c r="D561" s="180"/>
      <c r="E561" s="180"/>
    </row>
    <row r="562" ht="15.75" customHeight="1">
      <c r="A562" s="183"/>
      <c r="B562" s="180"/>
      <c r="C562" s="180"/>
      <c r="D562" s="180"/>
      <c r="E562" s="180"/>
    </row>
    <row r="563" ht="15.75" customHeight="1">
      <c r="A563" s="183"/>
      <c r="B563" s="180"/>
      <c r="C563" s="180"/>
      <c r="D563" s="180"/>
      <c r="E563" s="180"/>
    </row>
    <row r="564" ht="15.75" customHeight="1">
      <c r="A564" s="183"/>
      <c r="B564" s="180"/>
      <c r="C564" s="180"/>
      <c r="D564" s="180"/>
      <c r="E564" s="180"/>
    </row>
    <row r="565" ht="15.75" customHeight="1">
      <c r="A565" s="183"/>
      <c r="B565" s="180"/>
      <c r="C565" s="180"/>
      <c r="D565" s="180"/>
      <c r="E565" s="180"/>
    </row>
    <row r="566" ht="15.75" customHeight="1">
      <c r="A566" s="183"/>
      <c r="B566" s="180"/>
      <c r="C566" s="180"/>
      <c r="D566" s="180"/>
      <c r="E566" s="180"/>
    </row>
    <row r="567" ht="15.75" customHeight="1">
      <c r="A567" s="183"/>
      <c r="B567" s="180"/>
      <c r="C567" s="180"/>
      <c r="D567" s="180"/>
      <c r="E567" s="180"/>
    </row>
    <row r="568" ht="15.75" customHeight="1">
      <c r="A568" s="183"/>
      <c r="B568" s="180"/>
      <c r="C568" s="180"/>
      <c r="D568" s="180"/>
      <c r="E568" s="180"/>
    </row>
    <row r="569" ht="15.75" customHeight="1">
      <c r="A569" s="183"/>
      <c r="B569" s="180"/>
      <c r="C569" s="180"/>
      <c r="D569" s="180"/>
      <c r="E569" s="180"/>
    </row>
    <row r="570" ht="15.75" customHeight="1">
      <c r="A570" s="183"/>
      <c r="B570" s="180"/>
      <c r="C570" s="180"/>
      <c r="D570" s="180"/>
      <c r="E570" s="180"/>
    </row>
    <row r="571" ht="15.75" customHeight="1">
      <c r="A571" s="183"/>
      <c r="B571" s="180"/>
      <c r="C571" s="180"/>
      <c r="D571" s="180"/>
      <c r="E571" s="180"/>
    </row>
    <row r="572" ht="15.75" customHeight="1">
      <c r="A572" s="183"/>
      <c r="B572" s="180"/>
      <c r="C572" s="180"/>
      <c r="D572" s="180"/>
      <c r="E572" s="180"/>
    </row>
    <row r="573" ht="15.75" customHeight="1">
      <c r="A573" s="183"/>
      <c r="B573" s="180"/>
      <c r="C573" s="180"/>
      <c r="D573" s="180"/>
      <c r="E573" s="180"/>
    </row>
    <row r="574" ht="15.75" customHeight="1">
      <c r="A574" s="183"/>
      <c r="B574" s="180"/>
      <c r="C574" s="180"/>
      <c r="D574" s="180"/>
      <c r="E574" s="180"/>
    </row>
    <row r="575" ht="15.75" customHeight="1">
      <c r="A575" s="183"/>
      <c r="B575" s="180"/>
      <c r="C575" s="180"/>
      <c r="D575" s="180"/>
      <c r="E575" s="180"/>
    </row>
    <row r="576" ht="15.75" customHeight="1">
      <c r="A576" s="183"/>
      <c r="B576" s="180"/>
      <c r="C576" s="180"/>
      <c r="D576" s="180"/>
      <c r="E576" s="180"/>
    </row>
    <row r="577" ht="15.75" customHeight="1">
      <c r="A577" s="183"/>
      <c r="B577" s="180"/>
      <c r="C577" s="180"/>
      <c r="D577" s="180"/>
      <c r="E577" s="180"/>
    </row>
    <row r="578" ht="15.75" customHeight="1">
      <c r="A578" s="183"/>
      <c r="B578" s="180"/>
      <c r="C578" s="180"/>
      <c r="D578" s="180"/>
      <c r="E578" s="180"/>
    </row>
    <row r="579" ht="15.75" customHeight="1">
      <c r="A579" s="183"/>
      <c r="B579" s="180"/>
      <c r="C579" s="180"/>
      <c r="D579" s="180"/>
      <c r="E579" s="180"/>
    </row>
    <row r="580" ht="15.75" customHeight="1">
      <c r="A580" s="183"/>
      <c r="B580" s="180"/>
      <c r="C580" s="180"/>
      <c r="D580" s="180"/>
      <c r="E580" s="180"/>
    </row>
    <row r="581" ht="15.75" customHeight="1">
      <c r="A581" s="183"/>
      <c r="B581" s="180"/>
      <c r="C581" s="180"/>
      <c r="D581" s="180"/>
      <c r="E581" s="180"/>
    </row>
    <row r="582" ht="15.75" customHeight="1">
      <c r="A582" s="183"/>
      <c r="B582" s="180"/>
      <c r="C582" s="180"/>
      <c r="D582" s="180"/>
      <c r="E582" s="180"/>
    </row>
    <row r="583" ht="15.75" customHeight="1">
      <c r="A583" s="183"/>
      <c r="B583" s="180"/>
      <c r="C583" s="180"/>
      <c r="D583" s="180"/>
      <c r="E583" s="180"/>
    </row>
    <row r="584" ht="15.75" customHeight="1">
      <c r="A584" s="183"/>
      <c r="B584" s="180"/>
      <c r="C584" s="180"/>
      <c r="D584" s="180"/>
      <c r="E584" s="180"/>
    </row>
    <row r="585" ht="15.75" customHeight="1">
      <c r="A585" s="183"/>
      <c r="B585" s="180"/>
      <c r="C585" s="180"/>
      <c r="D585" s="180"/>
      <c r="E585" s="180"/>
    </row>
    <row r="586" ht="15.75" customHeight="1">
      <c r="A586" s="183"/>
      <c r="B586" s="180"/>
      <c r="C586" s="180"/>
      <c r="D586" s="180"/>
      <c r="E586" s="180"/>
    </row>
    <row r="587" ht="15.75" customHeight="1">
      <c r="A587" s="183"/>
      <c r="B587" s="180"/>
      <c r="C587" s="180"/>
      <c r="D587" s="180"/>
      <c r="E587" s="180"/>
    </row>
    <row r="588" ht="15.75" customHeight="1">
      <c r="A588" s="183"/>
      <c r="B588" s="180"/>
      <c r="C588" s="180"/>
      <c r="D588" s="180"/>
      <c r="E588" s="180"/>
    </row>
    <row r="589" ht="15.75" customHeight="1">
      <c r="A589" s="183"/>
      <c r="B589" s="180"/>
      <c r="C589" s="180"/>
      <c r="D589" s="180"/>
      <c r="E589" s="180"/>
    </row>
    <row r="590" ht="15.75" customHeight="1">
      <c r="A590" s="183"/>
      <c r="B590" s="180"/>
      <c r="C590" s="180"/>
      <c r="D590" s="180"/>
      <c r="E590" s="180"/>
    </row>
    <row r="591" ht="15.75" customHeight="1">
      <c r="A591" s="183"/>
      <c r="B591" s="180"/>
      <c r="C591" s="180"/>
      <c r="D591" s="180"/>
      <c r="E591" s="180"/>
    </row>
    <row r="592" ht="15.75" customHeight="1">
      <c r="A592" s="183"/>
      <c r="B592" s="180"/>
      <c r="C592" s="180"/>
      <c r="D592" s="180"/>
      <c r="E592" s="180"/>
    </row>
    <row r="593" ht="15.75" customHeight="1">
      <c r="A593" s="183"/>
      <c r="B593" s="180"/>
      <c r="C593" s="180"/>
      <c r="D593" s="180"/>
      <c r="E593" s="180"/>
    </row>
    <row r="594" ht="15.75" customHeight="1">
      <c r="A594" s="183"/>
      <c r="B594" s="180"/>
      <c r="C594" s="180"/>
      <c r="D594" s="180"/>
      <c r="E594" s="180"/>
    </row>
    <row r="595" ht="15.75" customHeight="1">
      <c r="A595" s="183"/>
      <c r="B595" s="180"/>
      <c r="C595" s="180"/>
      <c r="D595" s="180"/>
      <c r="E595" s="180"/>
    </row>
    <row r="596" ht="15.75" customHeight="1">
      <c r="A596" s="183"/>
      <c r="B596" s="180"/>
      <c r="C596" s="180"/>
      <c r="D596" s="180"/>
      <c r="E596" s="180"/>
    </row>
    <row r="597" ht="15.75" customHeight="1">
      <c r="A597" s="183"/>
      <c r="B597" s="180"/>
      <c r="C597" s="180"/>
      <c r="D597" s="180"/>
      <c r="E597" s="180"/>
    </row>
    <row r="598" ht="15.75" customHeight="1">
      <c r="A598" s="183"/>
      <c r="B598" s="180"/>
      <c r="C598" s="180"/>
      <c r="D598" s="180"/>
      <c r="E598" s="180"/>
    </row>
    <row r="599" ht="15.75" customHeight="1">
      <c r="A599" s="183"/>
      <c r="B599" s="180"/>
      <c r="C599" s="180"/>
      <c r="D599" s="180"/>
      <c r="E599" s="180"/>
    </row>
    <row r="600" ht="15.75" customHeight="1">
      <c r="A600" s="183"/>
      <c r="B600" s="180"/>
      <c r="C600" s="180"/>
      <c r="D600" s="180"/>
      <c r="E600" s="180"/>
    </row>
    <row r="601" ht="15.75" customHeight="1">
      <c r="A601" s="183"/>
      <c r="B601" s="180"/>
      <c r="C601" s="180"/>
      <c r="D601" s="180"/>
      <c r="E601" s="180"/>
    </row>
    <row r="602" ht="15.75" customHeight="1">
      <c r="A602" s="183"/>
      <c r="B602" s="180"/>
      <c r="C602" s="180"/>
      <c r="D602" s="180"/>
      <c r="E602" s="180"/>
    </row>
    <row r="603" ht="15.75" customHeight="1">
      <c r="A603" s="183"/>
      <c r="B603" s="180"/>
      <c r="C603" s="180"/>
      <c r="D603" s="180"/>
      <c r="E603" s="180"/>
    </row>
    <row r="604" ht="15.75" customHeight="1">
      <c r="A604" s="183"/>
      <c r="B604" s="180"/>
      <c r="C604" s="180"/>
      <c r="D604" s="180"/>
      <c r="E604" s="180"/>
    </row>
    <row r="605" ht="15.75" customHeight="1">
      <c r="A605" s="183"/>
      <c r="B605" s="180"/>
      <c r="C605" s="180"/>
      <c r="D605" s="180"/>
      <c r="E605" s="180"/>
    </row>
    <row r="606" ht="15.75" customHeight="1">
      <c r="A606" s="183"/>
      <c r="B606" s="180"/>
      <c r="C606" s="180"/>
      <c r="D606" s="180"/>
      <c r="E606" s="180"/>
    </row>
    <row r="607" ht="15.75" customHeight="1">
      <c r="A607" s="183"/>
      <c r="B607" s="180"/>
      <c r="C607" s="180"/>
      <c r="D607" s="180"/>
      <c r="E607" s="180"/>
    </row>
    <row r="608" ht="15.75" customHeight="1">
      <c r="A608" s="183"/>
      <c r="B608" s="180"/>
      <c r="C608" s="180"/>
      <c r="D608" s="180"/>
      <c r="E608" s="180"/>
    </row>
    <row r="609" ht="15.75" customHeight="1">
      <c r="A609" s="183"/>
      <c r="B609" s="180"/>
      <c r="C609" s="180"/>
      <c r="D609" s="180"/>
      <c r="E609" s="180"/>
    </row>
    <row r="610" ht="15.75" customHeight="1">
      <c r="A610" s="183"/>
      <c r="B610" s="180"/>
      <c r="C610" s="180"/>
      <c r="D610" s="180"/>
      <c r="E610" s="180"/>
    </row>
    <row r="611" ht="15.75" customHeight="1">
      <c r="A611" s="183"/>
      <c r="B611" s="180"/>
      <c r="C611" s="180"/>
      <c r="D611" s="180"/>
      <c r="E611" s="180"/>
    </row>
    <row r="612" ht="15.75" customHeight="1">
      <c r="A612" s="183"/>
      <c r="B612" s="180"/>
      <c r="C612" s="180"/>
      <c r="D612" s="180"/>
      <c r="E612" s="180"/>
    </row>
    <row r="613" ht="15.75" customHeight="1">
      <c r="A613" s="183"/>
      <c r="B613" s="180"/>
      <c r="C613" s="180"/>
      <c r="D613" s="180"/>
      <c r="E613" s="180"/>
    </row>
    <row r="614" ht="15.75" customHeight="1">
      <c r="A614" s="183"/>
      <c r="B614" s="180"/>
      <c r="C614" s="180"/>
      <c r="D614" s="180"/>
      <c r="E614" s="180"/>
    </row>
    <row r="615" ht="15.75" customHeight="1">
      <c r="A615" s="183"/>
      <c r="B615" s="180"/>
      <c r="C615" s="180"/>
      <c r="D615" s="180"/>
      <c r="E615" s="180"/>
    </row>
    <row r="616" ht="15.75" customHeight="1">
      <c r="A616" s="183"/>
      <c r="B616" s="180"/>
      <c r="C616" s="180"/>
      <c r="D616" s="180"/>
      <c r="E616" s="180"/>
    </row>
    <row r="617" ht="15.75" customHeight="1">
      <c r="A617" s="183"/>
      <c r="B617" s="180"/>
      <c r="C617" s="180"/>
      <c r="D617" s="180"/>
      <c r="E617" s="180"/>
    </row>
    <row r="618" ht="15.75" customHeight="1">
      <c r="A618" s="183"/>
      <c r="B618" s="180"/>
      <c r="C618" s="180"/>
      <c r="D618" s="180"/>
      <c r="E618" s="180"/>
    </row>
    <row r="619" ht="15.75" customHeight="1">
      <c r="A619" s="183"/>
      <c r="B619" s="180"/>
      <c r="C619" s="180"/>
      <c r="D619" s="180"/>
      <c r="E619" s="180"/>
    </row>
    <row r="620" ht="15.75" customHeight="1">
      <c r="A620" s="183"/>
      <c r="B620" s="180"/>
      <c r="C620" s="180"/>
      <c r="D620" s="180"/>
      <c r="E620" s="180"/>
    </row>
    <row r="621" ht="15.75" customHeight="1">
      <c r="A621" s="183"/>
      <c r="B621" s="180"/>
      <c r="C621" s="180"/>
      <c r="D621" s="180"/>
      <c r="E621" s="180"/>
    </row>
    <row r="622" ht="15.75" customHeight="1">
      <c r="A622" s="183"/>
      <c r="B622" s="180"/>
      <c r="C622" s="180"/>
      <c r="D622" s="180"/>
      <c r="E622" s="180"/>
    </row>
    <row r="623" ht="15.75" customHeight="1">
      <c r="A623" s="183"/>
      <c r="B623" s="180"/>
      <c r="C623" s="180"/>
      <c r="D623" s="180"/>
      <c r="E623" s="180"/>
    </row>
    <row r="624" ht="15.75" customHeight="1">
      <c r="A624" s="183"/>
      <c r="B624" s="180"/>
      <c r="C624" s="180"/>
      <c r="D624" s="180"/>
      <c r="E624" s="180"/>
    </row>
    <row r="625" ht="15.75" customHeight="1">
      <c r="A625" s="183"/>
      <c r="B625" s="180"/>
      <c r="C625" s="180"/>
      <c r="D625" s="180"/>
      <c r="E625" s="180"/>
    </row>
    <row r="626" ht="15.75" customHeight="1">
      <c r="A626" s="183"/>
      <c r="B626" s="180"/>
      <c r="C626" s="180"/>
      <c r="D626" s="180"/>
      <c r="E626" s="180"/>
    </row>
    <row r="627" ht="15.75" customHeight="1">
      <c r="A627" s="183"/>
      <c r="B627" s="180"/>
      <c r="C627" s="180"/>
      <c r="D627" s="180"/>
      <c r="E627" s="180"/>
    </row>
    <row r="628" ht="15.75" customHeight="1">
      <c r="A628" s="183"/>
      <c r="B628" s="180"/>
      <c r="C628" s="180"/>
      <c r="D628" s="180"/>
      <c r="E628" s="180"/>
    </row>
    <row r="629" ht="15.75" customHeight="1">
      <c r="A629" s="183"/>
      <c r="B629" s="180"/>
      <c r="C629" s="180"/>
      <c r="D629" s="180"/>
      <c r="E629" s="180"/>
    </row>
    <row r="630" ht="15.75" customHeight="1">
      <c r="A630" s="183"/>
      <c r="B630" s="180"/>
      <c r="C630" s="180"/>
      <c r="D630" s="180"/>
      <c r="E630" s="180"/>
    </row>
    <row r="631" ht="15.75" customHeight="1">
      <c r="A631" s="183"/>
      <c r="B631" s="180"/>
      <c r="C631" s="180"/>
      <c r="D631" s="180"/>
      <c r="E631" s="180"/>
    </row>
    <row r="632" ht="15.75" customHeight="1">
      <c r="A632" s="183"/>
      <c r="B632" s="180"/>
      <c r="C632" s="180"/>
      <c r="D632" s="180"/>
      <c r="E632" s="180"/>
    </row>
    <row r="633" ht="15.75" customHeight="1">
      <c r="A633" s="183"/>
      <c r="B633" s="180"/>
      <c r="C633" s="180"/>
      <c r="D633" s="180"/>
      <c r="E633" s="180"/>
    </row>
    <row r="634" ht="15.75" customHeight="1">
      <c r="A634" s="183"/>
      <c r="B634" s="180"/>
      <c r="C634" s="180"/>
      <c r="D634" s="180"/>
      <c r="E634" s="180"/>
    </row>
    <row r="635" ht="15.75" customHeight="1">
      <c r="A635" s="183"/>
      <c r="B635" s="180"/>
      <c r="C635" s="180"/>
      <c r="D635" s="180"/>
      <c r="E635" s="180"/>
    </row>
    <row r="636" ht="15.75" customHeight="1">
      <c r="A636" s="183"/>
      <c r="B636" s="180"/>
      <c r="C636" s="180"/>
      <c r="D636" s="180"/>
      <c r="E636" s="180"/>
    </row>
    <row r="637" ht="15.75" customHeight="1">
      <c r="A637" s="183"/>
      <c r="B637" s="180"/>
      <c r="C637" s="180"/>
      <c r="D637" s="180"/>
      <c r="E637" s="180"/>
    </row>
    <row r="638" ht="15.75" customHeight="1">
      <c r="A638" s="183"/>
      <c r="B638" s="180"/>
      <c r="C638" s="180"/>
      <c r="D638" s="180"/>
      <c r="E638" s="180"/>
    </row>
    <row r="639" ht="15.75" customHeight="1">
      <c r="A639" s="183"/>
      <c r="B639" s="180"/>
      <c r="C639" s="180"/>
      <c r="D639" s="180"/>
      <c r="E639" s="180"/>
    </row>
    <row r="640" ht="15.75" customHeight="1">
      <c r="A640" s="183"/>
      <c r="B640" s="180"/>
      <c r="C640" s="180"/>
      <c r="D640" s="180"/>
      <c r="E640" s="180"/>
    </row>
    <row r="641" ht="15.75" customHeight="1">
      <c r="A641" s="183"/>
      <c r="B641" s="180"/>
      <c r="C641" s="180"/>
      <c r="D641" s="180"/>
      <c r="E641" s="180"/>
    </row>
    <row r="642" ht="15.75" customHeight="1">
      <c r="A642" s="183"/>
      <c r="B642" s="180"/>
      <c r="C642" s="180"/>
      <c r="D642" s="180"/>
      <c r="E642" s="180"/>
    </row>
    <row r="643" ht="15.75" customHeight="1">
      <c r="A643" s="183"/>
      <c r="B643" s="180"/>
      <c r="C643" s="180"/>
      <c r="D643" s="180"/>
      <c r="E643" s="180"/>
    </row>
    <row r="644" ht="15.75" customHeight="1">
      <c r="A644" s="183"/>
      <c r="B644" s="180"/>
      <c r="C644" s="180"/>
      <c r="D644" s="180"/>
      <c r="E644" s="180"/>
    </row>
    <row r="645" ht="15.75" customHeight="1">
      <c r="A645" s="183"/>
      <c r="B645" s="180"/>
      <c r="C645" s="180"/>
      <c r="D645" s="180"/>
      <c r="E645" s="180"/>
    </row>
    <row r="646" ht="15.75" customHeight="1">
      <c r="A646" s="183"/>
      <c r="B646" s="180"/>
      <c r="C646" s="180"/>
      <c r="D646" s="180"/>
      <c r="E646" s="180"/>
    </row>
    <row r="647" ht="15.75" customHeight="1">
      <c r="A647" s="183"/>
      <c r="B647" s="180"/>
      <c r="C647" s="180"/>
      <c r="D647" s="180"/>
      <c r="E647" s="180"/>
    </row>
    <row r="648" ht="15.75" customHeight="1">
      <c r="A648" s="183"/>
      <c r="B648" s="180"/>
      <c r="C648" s="180"/>
      <c r="D648" s="180"/>
      <c r="E648" s="180"/>
    </row>
    <row r="649" ht="15.75" customHeight="1">
      <c r="A649" s="183"/>
      <c r="B649" s="180"/>
      <c r="C649" s="180"/>
      <c r="D649" s="180"/>
      <c r="E649" s="180"/>
    </row>
    <row r="650" ht="15.75" customHeight="1">
      <c r="A650" s="183"/>
      <c r="B650" s="180"/>
      <c r="C650" s="180"/>
      <c r="D650" s="180"/>
      <c r="E650" s="180"/>
    </row>
    <row r="651" ht="15.75" customHeight="1">
      <c r="A651" s="183"/>
      <c r="B651" s="180"/>
      <c r="C651" s="180"/>
      <c r="D651" s="180"/>
      <c r="E651" s="180"/>
    </row>
    <row r="652" ht="15.75" customHeight="1">
      <c r="A652" s="183"/>
      <c r="B652" s="180"/>
      <c r="C652" s="180"/>
      <c r="D652" s="180"/>
      <c r="E652" s="180"/>
    </row>
    <row r="653" ht="15.75" customHeight="1">
      <c r="A653" s="183"/>
      <c r="B653" s="180"/>
      <c r="C653" s="180"/>
      <c r="D653" s="180"/>
      <c r="E653" s="180"/>
    </row>
    <row r="654" ht="15.75" customHeight="1">
      <c r="A654" s="183"/>
      <c r="B654" s="180"/>
      <c r="C654" s="180"/>
      <c r="D654" s="180"/>
      <c r="E654" s="180"/>
    </row>
    <row r="655" ht="15.75" customHeight="1">
      <c r="A655" s="183"/>
      <c r="B655" s="180"/>
      <c r="C655" s="180"/>
      <c r="D655" s="180"/>
      <c r="E655" s="180"/>
    </row>
    <row r="656" ht="15.75" customHeight="1">
      <c r="A656" s="183"/>
      <c r="B656" s="180"/>
      <c r="C656" s="180"/>
      <c r="D656" s="180"/>
      <c r="E656" s="180"/>
    </row>
    <row r="657" ht="15.75" customHeight="1">
      <c r="A657" s="183"/>
      <c r="B657" s="180"/>
      <c r="C657" s="180"/>
      <c r="D657" s="180"/>
      <c r="E657" s="180"/>
    </row>
    <row r="658" ht="15.75" customHeight="1">
      <c r="A658" s="183"/>
      <c r="B658" s="180"/>
      <c r="C658" s="180"/>
      <c r="D658" s="180"/>
      <c r="E658" s="180"/>
    </row>
    <row r="659" ht="15.75" customHeight="1">
      <c r="A659" s="183"/>
      <c r="B659" s="180"/>
      <c r="C659" s="180"/>
      <c r="D659" s="180"/>
      <c r="E659" s="180"/>
    </row>
    <row r="660" ht="15.75" customHeight="1">
      <c r="A660" s="183"/>
      <c r="B660" s="180"/>
      <c r="C660" s="180"/>
      <c r="D660" s="180"/>
      <c r="E660" s="180"/>
    </row>
    <row r="661" ht="15.75" customHeight="1">
      <c r="A661" s="183"/>
      <c r="B661" s="180"/>
      <c r="C661" s="180"/>
      <c r="D661" s="180"/>
      <c r="E661" s="180"/>
    </row>
    <row r="662" ht="15.75" customHeight="1">
      <c r="A662" s="183"/>
      <c r="B662" s="180"/>
      <c r="C662" s="180"/>
      <c r="D662" s="180"/>
      <c r="E662" s="180"/>
    </row>
    <row r="663" ht="15.75" customHeight="1">
      <c r="A663" s="183"/>
      <c r="B663" s="180"/>
      <c r="C663" s="180"/>
      <c r="D663" s="180"/>
      <c r="E663" s="180"/>
    </row>
    <row r="664" ht="15.75" customHeight="1">
      <c r="A664" s="183"/>
      <c r="B664" s="180"/>
      <c r="C664" s="180"/>
      <c r="D664" s="180"/>
      <c r="E664" s="180"/>
    </row>
    <row r="665" ht="15.75" customHeight="1">
      <c r="A665" s="183"/>
      <c r="B665" s="180"/>
      <c r="C665" s="180"/>
      <c r="D665" s="180"/>
      <c r="E665" s="180"/>
    </row>
    <row r="666" ht="15.75" customHeight="1">
      <c r="A666" s="183"/>
      <c r="B666" s="180"/>
      <c r="C666" s="180"/>
      <c r="D666" s="180"/>
      <c r="E666" s="180"/>
    </row>
    <row r="667" ht="15.75" customHeight="1">
      <c r="A667" s="183"/>
      <c r="B667" s="180"/>
      <c r="C667" s="180"/>
      <c r="D667" s="180"/>
      <c r="E667" s="180"/>
    </row>
    <row r="668" ht="15.75" customHeight="1">
      <c r="A668" s="183"/>
      <c r="B668" s="180"/>
      <c r="C668" s="180"/>
      <c r="D668" s="180"/>
      <c r="E668" s="180"/>
    </row>
    <row r="669" ht="15.75" customHeight="1">
      <c r="A669" s="183"/>
      <c r="B669" s="180"/>
      <c r="C669" s="180"/>
      <c r="D669" s="180"/>
      <c r="E669" s="180"/>
    </row>
    <row r="670" ht="15.75" customHeight="1">
      <c r="A670" s="183"/>
      <c r="B670" s="180"/>
      <c r="C670" s="180"/>
      <c r="D670" s="180"/>
      <c r="E670" s="180"/>
    </row>
    <row r="671" ht="15.75" customHeight="1">
      <c r="A671" s="183"/>
      <c r="B671" s="180"/>
      <c r="C671" s="180"/>
      <c r="D671" s="180"/>
      <c r="E671" s="180"/>
    </row>
    <row r="672" ht="15.75" customHeight="1">
      <c r="A672" s="183"/>
      <c r="B672" s="180"/>
      <c r="C672" s="180"/>
      <c r="D672" s="180"/>
      <c r="E672" s="180"/>
    </row>
    <row r="673" ht="15.75" customHeight="1">
      <c r="A673" s="183"/>
      <c r="B673" s="180"/>
      <c r="C673" s="180"/>
      <c r="D673" s="180"/>
      <c r="E673" s="180"/>
    </row>
    <row r="674" ht="15.75" customHeight="1">
      <c r="A674" s="183"/>
      <c r="B674" s="180"/>
      <c r="C674" s="180"/>
      <c r="D674" s="180"/>
      <c r="E674" s="180"/>
    </row>
    <row r="675" ht="15.75" customHeight="1">
      <c r="A675" s="183"/>
      <c r="B675" s="180"/>
      <c r="C675" s="180"/>
      <c r="D675" s="180"/>
      <c r="E675" s="180"/>
    </row>
    <row r="676" ht="15.75" customHeight="1">
      <c r="A676" s="183"/>
      <c r="B676" s="180"/>
      <c r="C676" s="180"/>
      <c r="D676" s="180"/>
      <c r="E676" s="180"/>
    </row>
    <row r="677" ht="15.75" customHeight="1">
      <c r="A677" s="183"/>
      <c r="B677" s="180"/>
      <c r="C677" s="180"/>
      <c r="D677" s="180"/>
      <c r="E677" s="180"/>
    </row>
    <row r="678" ht="15.75" customHeight="1">
      <c r="A678" s="183"/>
      <c r="B678" s="180"/>
      <c r="C678" s="180"/>
      <c r="D678" s="180"/>
      <c r="E678" s="180"/>
    </row>
    <row r="679" ht="15.75" customHeight="1">
      <c r="A679" s="183"/>
      <c r="B679" s="180"/>
      <c r="C679" s="180"/>
      <c r="D679" s="180"/>
      <c r="E679" s="180"/>
    </row>
    <row r="680" ht="15.75" customHeight="1">
      <c r="A680" s="183"/>
      <c r="B680" s="180"/>
      <c r="C680" s="180"/>
      <c r="D680" s="180"/>
      <c r="E680" s="180"/>
    </row>
    <row r="681" ht="15.75" customHeight="1">
      <c r="A681" s="183"/>
      <c r="B681" s="180"/>
      <c r="C681" s="180"/>
      <c r="D681" s="180"/>
      <c r="E681" s="180"/>
    </row>
    <row r="682" ht="15.75" customHeight="1">
      <c r="A682" s="183"/>
      <c r="B682" s="180"/>
      <c r="C682" s="180"/>
      <c r="D682" s="180"/>
      <c r="E682" s="180"/>
    </row>
    <row r="683" ht="15.75" customHeight="1">
      <c r="A683" s="183"/>
      <c r="B683" s="180"/>
      <c r="C683" s="180"/>
      <c r="D683" s="180"/>
      <c r="E683" s="180"/>
    </row>
    <row r="684" ht="15.75" customHeight="1">
      <c r="A684" s="183"/>
      <c r="B684" s="180"/>
      <c r="C684" s="180"/>
      <c r="D684" s="180"/>
      <c r="E684" s="180"/>
    </row>
    <row r="685" ht="15.75" customHeight="1">
      <c r="A685" s="183"/>
      <c r="B685" s="180"/>
      <c r="C685" s="180"/>
      <c r="D685" s="180"/>
      <c r="E685" s="180"/>
    </row>
    <row r="686" ht="15.75" customHeight="1">
      <c r="A686" s="183"/>
      <c r="B686" s="180"/>
      <c r="C686" s="180"/>
      <c r="D686" s="180"/>
      <c r="E686" s="180"/>
    </row>
    <row r="687" ht="15.75" customHeight="1">
      <c r="A687" s="183"/>
      <c r="B687" s="180"/>
      <c r="C687" s="180"/>
      <c r="D687" s="180"/>
      <c r="E687" s="180"/>
    </row>
    <row r="688" ht="15.75" customHeight="1">
      <c r="A688" s="183"/>
      <c r="B688" s="180"/>
      <c r="C688" s="180"/>
      <c r="D688" s="180"/>
      <c r="E688" s="180"/>
    </row>
    <row r="689" ht="15.75" customHeight="1">
      <c r="A689" s="183"/>
      <c r="B689" s="180"/>
      <c r="C689" s="180"/>
      <c r="D689" s="180"/>
      <c r="E689" s="180"/>
    </row>
    <row r="690" ht="15.75" customHeight="1">
      <c r="A690" s="183"/>
      <c r="B690" s="180"/>
      <c r="C690" s="180"/>
      <c r="D690" s="180"/>
      <c r="E690" s="180"/>
    </row>
    <row r="691" ht="15.75" customHeight="1">
      <c r="A691" s="183"/>
      <c r="B691" s="180"/>
      <c r="C691" s="180"/>
      <c r="D691" s="180"/>
      <c r="E691" s="180"/>
    </row>
    <row r="692" ht="15.75" customHeight="1">
      <c r="A692" s="183"/>
      <c r="B692" s="180"/>
      <c r="C692" s="180"/>
      <c r="D692" s="180"/>
      <c r="E692" s="180"/>
    </row>
    <row r="693" ht="15.75" customHeight="1">
      <c r="A693" s="183"/>
      <c r="B693" s="180"/>
      <c r="C693" s="180"/>
      <c r="D693" s="180"/>
      <c r="E693" s="180"/>
    </row>
    <row r="694" ht="15.75" customHeight="1">
      <c r="A694" s="183"/>
      <c r="B694" s="180"/>
      <c r="C694" s="180"/>
      <c r="D694" s="180"/>
      <c r="E694" s="180"/>
    </row>
    <row r="695" ht="15.75" customHeight="1">
      <c r="A695" s="183"/>
      <c r="B695" s="180"/>
      <c r="C695" s="180"/>
      <c r="D695" s="180"/>
      <c r="E695" s="180"/>
    </row>
    <row r="696" ht="15.75" customHeight="1">
      <c r="A696" s="183"/>
      <c r="B696" s="180"/>
      <c r="C696" s="180"/>
      <c r="D696" s="180"/>
      <c r="E696" s="180"/>
    </row>
    <row r="697" ht="15.75" customHeight="1">
      <c r="A697" s="183"/>
      <c r="B697" s="180"/>
      <c r="C697" s="180"/>
      <c r="D697" s="180"/>
      <c r="E697" s="180"/>
    </row>
    <row r="698" ht="15.75" customHeight="1">
      <c r="A698" s="183"/>
      <c r="B698" s="180"/>
      <c r="C698" s="180"/>
      <c r="D698" s="180"/>
      <c r="E698" s="180"/>
    </row>
    <row r="699" ht="15.75" customHeight="1">
      <c r="A699" s="183"/>
      <c r="B699" s="180"/>
      <c r="C699" s="180"/>
      <c r="D699" s="180"/>
      <c r="E699" s="180"/>
    </row>
    <row r="700" ht="15.75" customHeight="1">
      <c r="A700" s="183"/>
      <c r="B700" s="180"/>
      <c r="C700" s="180"/>
      <c r="D700" s="180"/>
      <c r="E700" s="180"/>
    </row>
    <row r="701" ht="15.75" customHeight="1">
      <c r="A701" s="183"/>
      <c r="B701" s="180"/>
      <c r="C701" s="180"/>
      <c r="D701" s="180"/>
      <c r="E701" s="180"/>
    </row>
    <row r="702" ht="15.75" customHeight="1">
      <c r="A702" s="183"/>
      <c r="B702" s="180"/>
      <c r="C702" s="180"/>
      <c r="D702" s="180"/>
      <c r="E702" s="180"/>
    </row>
    <row r="703" ht="15.75" customHeight="1">
      <c r="A703" s="183"/>
      <c r="B703" s="180"/>
      <c r="C703" s="180"/>
      <c r="D703" s="180"/>
      <c r="E703" s="180"/>
    </row>
    <row r="704" ht="15.75" customHeight="1">
      <c r="A704" s="183"/>
      <c r="B704" s="180"/>
      <c r="C704" s="180"/>
      <c r="D704" s="180"/>
      <c r="E704" s="180"/>
    </row>
    <row r="705" ht="15.75" customHeight="1">
      <c r="A705" s="183"/>
      <c r="B705" s="180"/>
      <c r="C705" s="180"/>
      <c r="D705" s="180"/>
      <c r="E705" s="180"/>
    </row>
    <row r="706" ht="15.75" customHeight="1">
      <c r="A706" s="183"/>
      <c r="B706" s="180"/>
      <c r="C706" s="180"/>
      <c r="D706" s="180"/>
      <c r="E706" s="180"/>
    </row>
    <row r="707" ht="15.75" customHeight="1">
      <c r="A707" s="183"/>
      <c r="B707" s="180"/>
      <c r="C707" s="180"/>
      <c r="D707" s="180"/>
      <c r="E707" s="180"/>
    </row>
    <row r="708" ht="15.75" customHeight="1">
      <c r="A708" s="183"/>
      <c r="B708" s="180"/>
      <c r="C708" s="180"/>
      <c r="D708" s="180"/>
      <c r="E708" s="180"/>
    </row>
    <row r="709" ht="15.75" customHeight="1">
      <c r="A709" s="183"/>
      <c r="B709" s="180"/>
      <c r="C709" s="180"/>
      <c r="D709" s="180"/>
      <c r="E709" s="180"/>
    </row>
    <row r="710" ht="15.75" customHeight="1">
      <c r="A710" s="183"/>
      <c r="B710" s="180"/>
      <c r="C710" s="180"/>
      <c r="D710" s="180"/>
      <c r="E710" s="180"/>
    </row>
    <row r="711" ht="15.75" customHeight="1">
      <c r="A711" s="183"/>
      <c r="B711" s="180"/>
      <c r="C711" s="180"/>
      <c r="D711" s="180"/>
      <c r="E711" s="180"/>
    </row>
    <row r="712" ht="15.75" customHeight="1">
      <c r="A712" s="183"/>
      <c r="B712" s="180"/>
      <c r="C712" s="180"/>
      <c r="D712" s="180"/>
      <c r="E712" s="180"/>
    </row>
    <row r="713" ht="15.75" customHeight="1">
      <c r="A713" s="183"/>
      <c r="B713" s="180"/>
      <c r="C713" s="180"/>
      <c r="D713" s="180"/>
      <c r="E713" s="180"/>
    </row>
    <row r="714" ht="15.75" customHeight="1">
      <c r="A714" s="183"/>
      <c r="B714" s="180"/>
      <c r="C714" s="180"/>
      <c r="D714" s="180"/>
      <c r="E714" s="180"/>
    </row>
    <row r="715" ht="15.75" customHeight="1">
      <c r="A715" s="183"/>
      <c r="B715" s="180"/>
      <c r="C715" s="180"/>
      <c r="D715" s="180"/>
      <c r="E715" s="180"/>
    </row>
    <row r="716" ht="15.75" customHeight="1">
      <c r="A716" s="183"/>
      <c r="B716" s="180"/>
      <c r="C716" s="180"/>
      <c r="D716" s="180"/>
      <c r="E716" s="180"/>
    </row>
    <row r="717" ht="15.75" customHeight="1">
      <c r="A717" s="183"/>
      <c r="B717" s="180"/>
      <c r="C717" s="180"/>
      <c r="D717" s="180"/>
      <c r="E717" s="180"/>
    </row>
    <row r="718" ht="15.75" customHeight="1">
      <c r="A718" s="183"/>
      <c r="B718" s="180"/>
      <c r="C718" s="180"/>
      <c r="D718" s="180"/>
      <c r="E718" s="180"/>
    </row>
    <row r="719" ht="15.75" customHeight="1">
      <c r="A719" s="183"/>
      <c r="B719" s="180"/>
      <c r="C719" s="180"/>
      <c r="D719" s="180"/>
      <c r="E719" s="180"/>
    </row>
    <row r="720" ht="15.75" customHeight="1">
      <c r="A720" s="183"/>
      <c r="B720" s="180"/>
      <c r="C720" s="180"/>
      <c r="D720" s="180"/>
      <c r="E720" s="180"/>
    </row>
    <row r="721" ht="15.75" customHeight="1">
      <c r="A721" s="183"/>
      <c r="B721" s="180"/>
      <c r="C721" s="180"/>
      <c r="D721" s="180"/>
      <c r="E721" s="180"/>
    </row>
    <row r="722" ht="15.75" customHeight="1">
      <c r="A722" s="183"/>
      <c r="B722" s="180"/>
      <c r="C722" s="180"/>
      <c r="D722" s="180"/>
      <c r="E722" s="180"/>
    </row>
    <row r="723" ht="15.75" customHeight="1">
      <c r="A723" s="183"/>
      <c r="B723" s="180"/>
      <c r="C723" s="180"/>
      <c r="D723" s="180"/>
      <c r="E723" s="180"/>
    </row>
    <row r="724" ht="15.75" customHeight="1">
      <c r="A724" s="183"/>
      <c r="B724" s="180"/>
      <c r="C724" s="180"/>
      <c r="D724" s="180"/>
      <c r="E724" s="180"/>
    </row>
    <row r="725" ht="15.75" customHeight="1">
      <c r="A725" s="183"/>
      <c r="B725" s="180"/>
      <c r="C725" s="180"/>
      <c r="D725" s="180"/>
      <c r="E725" s="180"/>
    </row>
    <row r="726" ht="15.75" customHeight="1">
      <c r="A726" s="183"/>
      <c r="B726" s="180"/>
      <c r="C726" s="180"/>
      <c r="D726" s="180"/>
      <c r="E726" s="180"/>
    </row>
    <row r="727" ht="15.75" customHeight="1">
      <c r="A727" s="183"/>
      <c r="B727" s="180"/>
      <c r="C727" s="180"/>
      <c r="D727" s="180"/>
      <c r="E727" s="180"/>
    </row>
    <row r="728" ht="15.75" customHeight="1">
      <c r="A728" s="183"/>
      <c r="B728" s="180"/>
      <c r="C728" s="180"/>
      <c r="D728" s="180"/>
      <c r="E728" s="180"/>
    </row>
    <row r="729" ht="15.75" customHeight="1">
      <c r="A729" s="183"/>
      <c r="B729" s="180"/>
      <c r="C729" s="180"/>
      <c r="D729" s="180"/>
      <c r="E729" s="180"/>
    </row>
    <row r="730" ht="15.75" customHeight="1">
      <c r="A730" s="183"/>
      <c r="B730" s="180"/>
      <c r="C730" s="180"/>
      <c r="D730" s="180"/>
      <c r="E730" s="180"/>
    </row>
    <row r="731" ht="15.75" customHeight="1">
      <c r="A731" s="183"/>
      <c r="B731" s="180"/>
      <c r="C731" s="180"/>
      <c r="D731" s="180"/>
      <c r="E731" s="180"/>
    </row>
    <row r="732" ht="15.75" customHeight="1">
      <c r="A732" s="183"/>
      <c r="B732" s="180"/>
      <c r="C732" s="180"/>
      <c r="D732" s="180"/>
      <c r="E732" s="180"/>
    </row>
    <row r="733" ht="15.75" customHeight="1">
      <c r="A733" s="183"/>
      <c r="B733" s="180"/>
      <c r="C733" s="180"/>
      <c r="D733" s="180"/>
      <c r="E733" s="180"/>
    </row>
    <row r="734" ht="15.75" customHeight="1">
      <c r="A734" s="183"/>
      <c r="B734" s="180"/>
      <c r="C734" s="180"/>
      <c r="D734" s="180"/>
      <c r="E734" s="180"/>
    </row>
    <row r="735" ht="15.75" customHeight="1">
      <c r="A735" s="183"/>
      <c r="B735" s="180"/>
      <c r="C735" s="180"/>
      <c r="D735" s="180"/>
      <c r="E735" s="180"/>
    </row>
    <row r="736" ht="15.75" customHeight="1">
      <c r="A736" s="183"/>
      <c r="B736" s="180"/>
      <c r="C736" s="180"/>
      <c r="D736" s="180"/>
      <c r="E736" s="180"/>
    </row>
    <row r="737" ht="15.75" customHeight="1">
      <c r="A737" s="183"/>
      <c r="B737" s="180"/>
      <c r="C737" s="180"/>
      <c r="D737" s="180"/>
      <c r="E737" s="180"/>
    </row>
    <row r="738" ht="15.75" customHeight="1">
      <c r="A738" s="183"/>
      <c r="B738" s="180"/>
      <c r="C738" s="180"/>
      <c r="D738" s="180"/>
      <c r="E738" s="180"/>
    </row>
    <row r="739" ht="15.75" customHeight="1">
      <c r="A739" s="183"/>
      <c r="B739" s="180"/>
      <c r="C739" s="180"/>
      <c r="D739" s="180"/>
      <c r="E739" s="180"/>
    </row>
    <row r="740" ht="15.75" customHeight="1">
      <c r="A740" s="183"/>
      <c r="B740" s="180"/>
      <c r="C740" s="180"/>
      <c r="D740" s="180"/>
      <c r="E740" s="180"/>
    </row>
    <row r="741" ht="15.75" customHeight="1">
      <c r="A741" s="183"/>
      <c r="B741" s="180"/>
      <c r="C741" s="180"/>
      <c r="D741" s="180"/>
      <c r="E741" s="180"/>
    </row>
    <row r="742" ht="15.75" customHeight="1">
      <c r="A742" s="183"/>
      <c r="B742" s="180"/>
      <c r="C742" s="180"/>
      <c r="D742" s="180"/>
      <c r="E742" s="180"/>
    </row>
    <row r="743" ht="15.75" customHeight="1">
      <c r="A743" s="183"/>
      <c r="B743" s="180"/>
      <c r="C743" s="180"/>
      <c r="D743" s="180"/>
      <c r="E743" s="180"/>
    </row>
    <row r="744" ht="15.75" customHeight="1">
      <c r="A744" s="183"/>
      <c r="B744" s="180"/>
      <c r="C744" s="180"/>
      <c r="D744" s="180"/>
      <c r="E744" s="180"/>
    </row>
    <row r="745" ht="15.75" customHeight="1">
      <c r="A745" s="183"/>
      <c r="B745" s="180"/>
      <c r="C745" s="180"/>
      <c r="D745" s="180"/>
      <c r="E745" s="180"/>
    </row>
    <row r="746" ht="15.75" customHeight="1">
      <c r="A746" s="183"/>
      <c r="B746" s="180"/>
      <c r="C746" s="180"/>
      <c r="D746" s="180"/>
      <c r="E746" s="180"/>
    </row>
    <row r="747" ht="15.75" customHeight="1">
      <c r="A747" s="183"/>
      <c r="B747" s="180"/>
      <c r="C747" s="180"/>
      <c r="D747" s="180"/>
      <c r="E747" s="180"/>
    </row>
    <row r="748" ht="15.75" customHeight="1">
      <c r="A748" s="183"/>
      <c r="B748" s="180"/>
      <c r="C748" s="180"/>
      <c r="D748" s="180"/>
      <c r="E748" s="180"/>
    </row>
    <row r="749" ht="15.75" customHeight="1">
      <c r="A749" s="183"/>
      <c r="B749" s="180"/>
      <c r="C749" s="180"/>
      <c r="D749" s="180"/>
      <c r="E749" s="180"/>
    </row>
    <row r="750" ht="15.75" customHeight="1">
      <c r="A750" s="183"/>
      <c r="B750" s="180"/>
      <c r="C750" s="180"/>
      <c r="D750" s="180"/>
      <c r="E750" s="180"/>
    </row>
    <row r="751" ht="15.75" customHeight="1">
      <c r="A751" s="183"/>
      <c r="B751" s="180"/>
      <c r="C751" s="180"/>
      <c r="D751" s="180"/>
      <c r="E751" s="180"/>
    </row>
    <row r="752" ht="15.75" customHeight="1">
      <c r="A752" s="183"/>
      <c r="B752" s="180"/>
      <c r="C752" s="180"/>
      <c r="D752" s="180"/>
      <c r="E752" s="180"/>
    </row>
    <row r="753" ht="15.75" customHeight="1">
      <c r="A753" s="183"/>
      <c r="B753" s="180"/>
      <c r="C753" s="180"/>
      <c r="D753" s="180"/>
      <c r="E753" s="180"/>
    </row>
    <row r="754" ht="15.75" customHeight="1">
      <c r="A754" s="183"/>
      <c r="B754" s="180"/>
      <c r="C754" s="180"/>
      <c r="D754" s="180"/>
      <c r="E754" s="180"/>
    </row>
    <row r="755" ht="15.75" customHeight="1">
      <c r="A755" s="183"/>
      <c r="B755" s="180"/>
      <c r="C755" s="180"/>
      <c r="D755" s="180"/>
      <c r="E755" s="180"/>
    </row>
    <row r="756" ht="15.75" customHeight="1">
      <c r="A756" s="183"/>
      <c r="B756" s="180"/>
      <c r="C756" s="180"/>
      <c r="D756" s="180"/>
      <c r="E756" s="180"/>
    </row>
    <row r="757" ht="15.75" customHeight="1">
      <c r="A757" s="183"/>
      <c r="B757" s="180"/>
      <c r="C757" s="180"/>
      <c r="D757" s="180"/>
      <c r="E757" s="180"/>
    </row>
    <row r="758" ht="15.75" customHeight="1">
      <c r="A758" s="183"/>
      <c r="B758" s="180"/>
      <c r="C758" s="180"/>
      <c r="D758" s="180"/>
      <c r="E758" s="180"/>
    </row>
    <row r="759" ht="15.75" customHeight="1">
      <c r="A759" s="183"/>
      <c r="B759" s="180"/>
      <c r="C759" s="180"/>
      <c r="D759" s="180"/>
      <c r="E759" s="180"/>
    </row>
    <row r="760" ht="15.75" customHeight="1">
      <c r="A760" s="183"/>
      <c r="B760" s="180"/>
      <c r="C760" s="180"/>
      <c r="D760" s="180"/>
      <c r="E760" s="180"/>
    </row>
    <row r="761" ht="15.75" customHeight="1">
      <c r="A761" s="183"/>
      <c r="B761" s="180"/>
      <c r="C761" s="180"/>
      <c r="D761" s="180"/>
      <c r="E761" s="180"/>
    </row>
    <row r="762" ht="15.75" customHeight="1">
      <c r="A762" s="183"/>
      <c r="B762" s="180"/>
      <c r="C762" s="180"/>
      <c r="D762" s="180"/>
      <c r="E762" s="180"/>
    </row>
    <row r="763" ht="15.75" customHeight="1">
      <c r="A763" s="183"/>
      <c r="B763" s="180"/>
      <c r="C763" s="180"/>
      <c r="D763" s="180"/>
      <c r="E763" s="180"/>
    </row>
    <row r="764" ht="15.75" customHeight="1">
      <c r="A764" s="183"/>
      <c r="B764" s="180"/>
      <c r="C764" s="180"/>
      <c r="D764" s="180"/>
      <c r="E764" s="180"/>
    </row>
    <row r="765" ht="15.75" customHeight="1">
      <c r="A765" s="183"/>
      <c r="B765" s="180"/>
      <c r="C765" s="180"/>
      <c r="D765" s="180"/>
      <c r="E765" s="180"/>
    </row>
    <row r="766" ht="15.75" customHeight="1">
      <c r="A766" s="183"/>
      <c r="B766" s="180"/>
      <c r="C766" s="180"/>
      <c r="D766" s="180"/>
      <c r="E766" s="180"/>
    </row>
    <row r="767" ht="15.75" customHeight="1">
      <c r="A767" s="183"/>
      <c r="B767" s="180"/>
      <c r="C767" s="180"/>
      <c r="D767" s="180"/>
      <c r="E767" s="180"/>
    </row>
    <row r="768" ht="15.75" customHeight="1">
      <c r="A768" s="183"/>
      <c r="B768" s="180"/>
      <c r="C768" s="180"/>
      <c r="D768" s="180"/>
      <c r="E768" s="180"/>
    </row>
    <row r="769" ht="15.75" customHeight="1">
      <c r="A769" s="183"/>
      <c r="B769" s="180"/>
      <c r="C769" s="180"/>
      <c r="D769" s="180"/>
      <c r="E769" s="180"/>
    </row>
    <row r="770" ht="15.75" customHeight="1">
      <c r="A770" s="183"/>
      <c r="B770" s="180"/>
      <c r="C770" s="180"/>
      <c r="D770" s="180"/>
      <c r="E770" s="180"/>
    </row>
    <row r="771" ht="15.75" customHeight="1">
      <c r="A771" s="183"/>
      <c r="B771" s="180"/>
      <c r="C771" s="180"/>
      <c r="D771" s="180"/>
      <c r="E771" s="180"/>
    </row>
    <row r="772" ht="15.75" customHeight="1">
      <c r="A772" s="183"/>
      <c r="B772" s="180"/>
      <c r="C772" s="180"/>
      <c r="D772" s="180"/>
      <c r="E772" s="180"/>
    </row>
    <row r="773" ht="15.75" customHeight="1">
      <c r="A773" s="183"/>
      <c r="B773" s="180"/>
      <c r="C773" s="180"/>
      <c r="D773" s="180"/>
      <c r="E773" s="180"/>
    </row>
    <row r="774" ht="15.75" customHeight="1">
      <c r="A774" s="183"/>
      <c r="B774" s="180"/>
      <c r="C774" s="180"/>
      <c r="D774" s="180"/>
      <c r="E774" s="180"/>
    </row>
    <row r="775" ht="15.75" customHeight="1">
      <c r="A775" s="183"/>
      <c r="B775" s="180"/>
      <c r="C775" s="180"/>
      <c r="D775" s="180"/>
      <c r="E775" s="180"/>
    </row>
    <row r="776" ht="15.75" customHeight="1">
      <c r="A776" s="183"/>
      <c r="B776" s="180"/>
      <c r="C776" s="180"/>
      <c r="D776" s="180"/>
      <c r="E776" s="180"/>
    </row>
    <row r="777" ht="15.75" customHeight="1">
      <c r="A777" s="183"/>
      <c r="B777" s="180"/>
      <c r="C777" s="180"/>
      <c r="D777" s="180"/>
      <c r="E777" s="180"/>
    </row>
    <row r="778" ht="15.75" customHeight="1">
      <c r="A778" s="183"/>
      <c r="B778" s="180"/>
      <c r="C778" s="180"/>
      <c r="D778" s="180"/>
      <c r="E778" s="180"/>
    </row>
    <row r="779" ht="15.75" customHeight="1">
      <c r="A779" s="183"/>
      <c r="B779" s="180"/>
      <c r="C779" s="180"/>
      <c r="D779" s="180"/>
      <c r="E779" s="180"/>
    </row>
    <row r="780" ht="15.75" customHeight="1">
      <c r="A780" s="183"/>
      <c r="B780" s="180"/>
      <c r="C780" s="180"/>
      <c r="D780" s="180"/>
      <c r="E780" s="180"/>
    </row>
    <row r="781" ht="15.75" customHeight="1">
      <c r="A781" s="183"/>
      <c r="B781" s="180"/>
      <c r="C781" s="180"/>
      <c r="D781" s="180"/>
      <c r="E781" s="180"/>
    </row>
    <row r="782" ht="15.75" customHeight="1">
      <c r="A782" s="183"/>
      <c r="B782" s="180"/>
      <c r="C782" s="180"/>
      <c r="D782" s="180"/>
      <c r="E782" s="180"/>
    </row>
    <row r="783" ht="15.75" customHeight="1">
      <c r="A783" s="183"/>
      <c r="B783" s="180"/>
      <c r="C783" s="180"/>
      <c r="D783" s="180"/>
      <c r="E783" s="180"/>
    </row>
    <row r="784" ht="15.75" customHeight="1">
      <c r="A784" s="183"/>
      <c r="B784" s="180"/>
      <c r="C784" s="180"/>
      <c r="D784" s="180"/>
      <c r="E784" s="180"/>
    </row>
    <row r="785" ht="15.75" customHeight="1">
      <c r="A785" s="183"/>
      <c r="B785" s="180"/>
      <c r="C785" s="180"/>
      <c r="D785" s="180"/>
      <c r="E785" s="180"/>
    </row>
    <row r="786" ht="15.75" customHeight="1">
      <c r="A786" s="183"/>
      <c r="B786" s="180"/>
      <c r="C786" s="180"/>
      <c r="D786" s="180"/>
      <c r="E786" s="180"/>
    </row>
    <row r="787" ht="15.75" customHeight="1">
      <c r="A787" s="183"/>
      <c r="B787" s="180"/>
      <c r="C787" s="180"/>
      <c r="D787" s="180"/>
      <c r="E787" s="180"/>
    </row>
    <row r="788" ht="15.75" customHeight="1">
      <c r="A788" s="183"/>
      <c r="B788" s="180"/>
      <c r="C788" s="180"/>
      <c r="D788" s="180"/>
      <c r="E788" s="180"/>
    </row>
    <row r="789" ht="15.75" customHeight="1">
      <c r="A789" s="183"/>
      <c r="B789" s="180"/>
      <c r="C789" s="180"/>
      <c r="D789" s="180"/>
      <c r="E789" s="180"/>
    </row>
    <row r="790" ht="15.75" customHeight="1">
      <c r="A790" s="183"/>
      <c r="B790" s="180"/>
      <c r="C790" s="180"/>
      <c r="D790" s="180"/>
      <c r="E790" s="180"/>
    </row>
    <row r="791" ht="15.75" customHeight="1">
      <c r="A791" s="183"/>
      <c r="B791" s="180"/>
      <c r="C791" s="180"/>
      <c r="D791" s="180"/>
      <c r="E791" s="180"/>
    </row>
    <row r="792" ht="15.75" customHeight="1">
      <c r="A792" s="183"/>
      <c r="B792" s="180"/>
      <c r="C792" s="180"/>
      <c r="D792" s="180"/>
      <c r="E792" s="180"/>
    </row>
    <row r="793" ht="15.75" customHeight="1">
      <c r="A793" s="183"/>
      <c r="B793" s="180"/>
      <c r="C793" s="180"/>
      <c r="D793" s="180"/>
      <c r="E793" s="180"/>
    </row>
    <row r="794" ht="15.75" customHeight="1">
      <c r="A794" s="183"/>
      <c r="B794" s="180"/>
      <c r="C794" s="180"/>
      <c r="D794" s="180"/>
      <c r="E794" s="180"/>
    </row>
    <row r="795" ht="15.75" customHeight="1">
      <c r="A795" s="183"/>
      <c r="B795" s="180"/>
      <c r="C795" s="180"/>
      <c r="D795" s="180"/>
      <c r="E795" s="180"/>
    </row>
    <row r="796" ht="15.75" customHeight="1">
      <c r="A796" s="183"/>
      <c r="B796" s="180"/>
      <c r="C796" s="180"/>
      <c r="D796" s="180"/>
      <c r="E796" s="180"/>
    </row>
    <row r="797" ht="15.75" customHeight="1">
      <c r="A797" s="183"/>
      <c r="B797" s="180"/>
      <c r="C797" s="180"/>
      <c r="D797" s="180"/>
      <c r="E797" s="180"/>
    </row>
    <row r="798" ht="15.75" customHeight="1">
      <c r="A798" s="183"/>
      <c r="B798" s="180"/>
      <c r="C798" s="180"/>
      <c r="D798" s="180"/>
      <c r="E798" s="180"/>
    </row>
    <row r="799" ht="15.75" customHeight="1">
      <c r="A799" s="183"/>
      <c r="B799" s="180"/>
      <c r="C799" s="180"/>
      <c r="D799" s="180"/>
      <c r="E799" s="180"/>
    </row>
    <row r="800" ht="15.75" customHeight="1">
      <c r="A800" s="183"/>
      <c r="B800" s="180"/>
      <c r="C800" s="180"/>
      <c r="D800" s="180"/>
      <c r="E800" s="180"/>
    </row>
    <row r="801" ht="15.75" customHeight="1">
      <c r="A801" s="183"/>
      <c r="B801" s="180"/>
      <c r="C801" s="180"/>
      <c r="D801" s="180"/>
      <c r="E801" s="180"/>
    </row>
    <row r="802" ht="15.75" customHeight="1">
      <c r="A802" s="183"/>
      <c r="B802" s="180"/>
      <c r="C802" s="180"/>
      <c r="D802" s="180"/>
      <c r="E802" s="180"/>
    </row>
    <row r="803" ht="15.75" customHeight="1">
      <c r="A803" s="183"/>
      <c r="B803" s="180"/>
      <c r="C803" s="180"/>
      <c r="D803" s="180"/>
      <c r="E803" s="180"/>
    </row>
    <row r="804" ht="15.75" customHeight="1">
      <c r="A804" s="183"/>
      <c r="B804" s="180"/>
      <c r="C804" s="180"/>
      <c r="D804" s="180"/>
      <c r="E804" s="180"/>
    </row>
    <row r="805" ht="15.75" customHeight="1">
      <c r="A805" s="183"/>
      <c r="B805" s="180"/>
      <c r="C805" s="180"/>
      <c r="D805" s="180"/>
      <c r="E805" s="180"/>
    </row>
    <row r="806" ht="15.75" customHeight="1">
      <c r="A806" s="183"/>
      <c r="B806" s="180"/>
      <c r="C806" s="180"/>
      <c r="D806" s="180"/>
      <c r="E806" s="180"/>
    </row>
    <row r="807" ht="15.75" customHeight="1">
      <c r="A807" s="183"/>
      <c r="B807" s="180"/>
      <c r="C807" s="180"/>
      <c r="D807" s="180"/>
      <c r="E807" s="180"/>
    </row>
    <row r="808" ht="15.75" customHeight="1">
      <c r="A808" s="183"/>
      <c r="B808" s="180"/>
      <c r="C808" s="180"/>
      <c r="D808" s="180"/>
      <c r="E808" s="180"/>
    </row>
    <row r="809" ht="15.75" customHeight="1">
      <c r="A809" s="183"/>
      <c r="B809" s="180"/>
      <c r="C809" s="180"/>
      <c r="D809" s="180"/>
      <c r="E809" s="180"/>
    </row>
    <row r="810" ht="15.75" customHeight="1">
      <c r="A810" s="183"/>
      <c r="B810" s="180"/>
      <c r="C810" s="180"/>
      <c r="D810" s="180"/>
      <c r="E810" s="180"/>
    </row>
    <row r="811" ht="15.75" customHeight="1">
      <c r="A811" s="183"/>
      <c r="B811" s="180"/>
      <c r="C811" s="180"/>
      <c r="D811" s="180"/>
      <c r="E811" s="180"/>
    </row>
    <row r="812" ht="15.75" customHeight="1">
      <c r="A812" s="183"/>
      <c r="B812" s="180"/>
      <c r="C812" s="180"/>
      <c r="D812" s="180"/>
      <c r="E812" s="180"/>
    </row>
    <row r="813" ht="15.75" customHeight="1">
      <c r="A813" s="183"/>
      <c r="B813" s="180"/>
      <c r="C813" s="180"/>
      <c r="D813" s="180"/>
      <c r="E813" s="180"/>
    </row>
    <row r="814" ht="15.75" customHeight="1">
      <c r="A814" s="183"/>
      <c r="B814" s="180"/>
      <c r="C814" s="180"/>
      <c r="D814" s="180"/>
      <c r="E814" s="180"/>
    </row>
    <row r="815" ht="15.75" customHeight="1">
      <c r="A815" s="183"/>
      <c r="B815" s="180"/>
      <c r="C815" s="180"/>
      <c r="D815" s="180"/>
      <c r="E815" s="180"/>
    </row>
    <row r="816" ht="15.75" customHeight="1">
      <c r="A816" s="183"/>
      <c r="B816" s="180"/>
      <c r="C816" s="180"/>
      <c r="D816" s="180"/>
      <c r="E816" s="180"/>
    </row>
    <row r="817" ht="15.75" customHeight="1">
      <c r="A817" s="183"/>
      <c r="B817" s="180"/>
      <c r="C817" s="180"/>
      <c r="D817" s="180"/>
      <c r="E817" s="180"/>
    </row>
    <row r="818" ht="15.75" customHeight="1">
      <c r="A818" s="183"/>
      <c r="B818" s="180"/>
      <c r="C818" s="180"/>
      <c r="D818" s="180"/>
      <c r="E818" s="180"/>
    </row>
    <row r="819" ht="15.75" customHeight="1">
      <c r="A819" s="183"/>
      <c r="B819" s="180"/>
      <c r="C819" s="180"/>
      <c r="D819" s="180"/>
      <c r="E819" s="180"/>
    </row>
    <row r="820" ht="15.75" customHeight="1">
      <c r="A820" s="183"/>
      <c r="B820" s="180"/>
      <c r="C820" s="180"/>
      <c r="D820" s="180"/>
      <c r="E820" s="180"/>
    </row>
    <row r="821" ht="15.75" customHeight="1">
      <c r="A821" s="183"/>
      <c r="B821" s="180"/>
      <c r="C821" s="180"/>
      <c r="D821" s="180"/>
      <c r="E821" s="180"/>
    </row>
    <row r="822" ht="15.75" customHeight="1">
      <c r="A822" s="183"/>
      <c r="B822" s="180"/>
      <c r="C822" s="180"/>
      <c r="D822" s="180"/>
      <c r="E822" s="180"/>
    </row>
    <row r="823" ht="15.75" customHeight="1">
      <c r="A823" s="183"/>
      <c r="B823" s="180"/>
      <c r="C823" s="180"/>
      <c r="D823" s="180"/>
      <c r="E823" s="180"/>
    </row>
    <row r="824" ht="15.75" customHeight="1">
      <c r="A824" s="183"/>
      <c r="B824" s="180"/>
      <c r="C824" s="180"/>
      <c r="D824" s="180"/>
      <c r="E824" s="180"/>
    </row>
    <row r="825" ht="15.75" customHeight="1">
      <c r="A825" s="183"/>
      <c r="B825" s="180"/>
      <c r="C825" s="180"/>
      <c r="D825" s="180"/>
      <c r="E825" s="180"/>
    </row>
    <row r="826" ht="15.75" customHeight="1">
      <c r="A826" s="183"/>
      <c r="B826" s="180"/>
      <c r="C826" s="180"/>
      <c r="D826" s="180"/>
      <c r="E826" s="180"/>
    </row>
    <row r="827" ht="15.75" customHeight="1">
      <c r="A827" s="183"/>
      <c r="B827" s="180"/>
      <c r="C827" s="180"/>
      <c r="D827" s="180"/>
      <c r="E827" s="180"/>
    </row>
    <row r="828" ht="15.75" customHeight="1">
      <c r="A828" s="183"/>
      <c r="B828" s="180"/>
      <c r="C828" s="180"/>
      <c r="D828" s="180"/>
      <c r="E828" s="180"/>
    </row>
    <row r="829" ht="15.75" customHeight="1">
      <c r="A829" s="183"/>
      <c r="B829" s="180"/>
      <c r="C829" s="180"/>
      <c r="D829" s="180"/>
      <c r="E829" s="180"/>
    </row>
    <row r="830" ht="15.75" customHeight="1">
      <c r="A830" s="183"/>
      <c r="B830" s="180"/>
      <c r="C830" s="180"/>
      <c r="D830" s="180"/>
      <c r="E830" s="180"/>
    </row>
    <row r="831" ht="15.75" customHeight="1">
      <c r="A831" s="183"/>
      <c r="B831" s="180"/>
      <c r="C831" s="180"/>
      <c r="D831" s="180"/>
      <c r="E831" s="180"/>
    </row>
    <row r="832" ht="15.75" customHeight="1">
      <c r="A832" s="183"/>
      <c r="B832" s="180"/>
      <c r="C832" s="180"/>
      <c r="D832" s="180"/>
      <c r="E832" s="180"/>
    </row>
    <row r="833" ht="15.75" customHeight="1">
      <c r="A833" s="183"/>
      <c r="B833" s="180"/>
      <c r="C833" s="180"/>
      <c r="D833" s="180"/>
      <c r="E833" s="180"/>
    </row>
    <row r="834" ht="15.75" customHeight="1">
      <c r="A834" s="183"/>
      <c r="B834" s="180"/>
      <c r="C834" s="180"/>
      <c r="D834" s="180"/>
      <c r="E834" s="180"/>
    </row>
    <row r="835" ht="15.75" customHeight="1">
      <c r="A835" s="183"/>
      <c r="B835" s="180"/>
      <c r="C835" s="180"/>
      <c r="D835" s="180"/>
      <c r="E835" s="180"/>
    </row>
    <row r="836" ht="15.75" customHeight="1">
      <c r="A836" s="183"/>
      <c r="B836" s="180"/>
      <c r="C836" s="180"/>
      <c r="D836" s="180"/>
      <c r="E836" s="180"/>
    </row>
    <row r="837" ht="15.75" customHeight="1">
      <c r="A837" s="183"/>
      <c r="B837" s="180"/>
      <c r="C837" s="180"/>
      <c r="D837" s="180"/>
      <c r="E837" s="180"/>
    </row>
    <row r="838" ht="15.75" customHeight="1">
      <c r="A838" s="183"/>
      <c r="B838" s="180"/>
      <c r="C838" s="180"/>
      <c r="D838" s="180"/>
      <c r="E838" s="180"/>
    </row>
    <row r="839" ht="15.75" customHeight="1">
      <c r="A839" s="183"/>
      <c r="B839" s="180"/>
      <c r="C839" s="180"/>
      <c r="D839" s="180"/>
      <c r="E839" s="180"/>
    </row>
    <row r="840" ht="15.75" customHeight="1">
      <c r="A840" s="183"/>
      <c r="B840" s="180"/>
      <c r="C840" s="180"/>
      <c r="D840" s="180"/>
      <c r="E840" s="180"/>
    </row>
    <row r="841" ht="15.75" customHeight="1">
      <c r="A841" s="183"/>
      <c r="B841" s="180"/>
      <c r="C841" s="180"/>
      <c r="D841" s="180"/>
      <c r="E841" s="180"/>
    </row>
    <row r="842" ht="15.75" customHeight="1">
      <c r="A842" s="183"/>
      <c r="B842" s="180"/>
      <c r="C842" s="180"/>
      <c r="D842" s="180"/>
      <c r="E842" s="180"/>
    </row>
    <row r="843" ht="15.75" customHeight="1">
      <c r="A843" s="183"/>
      <c r="B843" s="180"/>
      <c r="C843" s="180"/>
      <c r="D843" s="180"/>
      <c r="E843" s="180"/>
    </row>
    <row r="844" ht="15.75" customHeight="1">
      <c r="A844" s="183"/>
      <c r="B844" s="180"/>
      <c r="C844" s="180"/>
      <c r="D844" s="180"/>
      <c r="E844" s="180"/>
    </row>
    <row r="845" ht="15.75" customHeight="1">
      <c r="A845" s="183"/>
      <c r="B845" s="180"/>
      <c r="C845" s="180"/>
      <c r="D845" s="180"/>
      <c r="E845" s="180"/>
    </row>
    <row r="846" ht="15.75" customHeight="1">
      <c r="A846" s="183"/>
      <c r="B846" s="180"/>
      <c r="C846" s="180"/>
      <c r="D846" s="180"/>
      <c r="E846" s="180"/>
    </row>
    <row r="847" ht="15.75" customHeight="1">
      <c r="A847" s="183"/>
      <c r="B847" s="180"/>
      <c r="C847" s="180"/>
      <c r="D847" s="180"/>
      <c r="E847" s="180"/>
    </row>
    <row r="848" ht="15.75" customHeight="1">
      <c r="A848" s="183"/>
      <c r="B848" s="180"/>
      <c r="C848" s="180"/>
      <c r="D848" s="180"/>
      <c r="E848" s="180"/>
    </row>
    <row r="849" ht="15.75" customHeight="1">
      <c r="A849" s="183"/>
      <c r="B849" s="180"/>
      <c r="C849" s="180"/>
      <c r="D849" s="180"/>
      <c r="E849" s="180"/>
    </row>
    <row r="850" ht="15.75" customHeight="1">
      <c r="A850" s="183"/>
      <c r="B850" s="180"/>
      <c r="C850" s="180"/>
      <c r="D850" s="180"/>
      <c r="E850" s="180"/>
    </row>
    <row r="851" ht="15.75" customHeight="1">
      <c r="A851" s="183"/>
      <c r="B851" s="180"/>
      <c r="C851" s="180"/>
      <c r="D851" s="180"/>
      <c r="E851" s="180"/>
    </row>
    <row r="852" ht="15.75" customHeight="1">
      <c r="A852" s="183"/>
      <c r="B852" s="180"/>
      <c r="C852" s="180"/>
      <c r="D852" s="180"/>
      <c r="E852" s="180"/>
    </row>
    <row r="853" ht="15.75" customHeight="1">
      <c r="A853" s="183"/>
      <c r="B853" s="180"/>
      <c r="C853" s="180"/>
      <c r="D853" s="180"/>
      <c r="E853" s="180"/>
    </row>
    <row r="854" ht="15.75" customHeight="1">
      <c r="A854" s="183"/>
      <c r="B854" s="180"/>
      <c r="C854" s="180"/>
      <c r="D854" s="180"/>
      <c r="E854" s="180"/>
    </row>
    <row r="855" ht="15.75" customHeight="1">
      <c r="A855" s="183"/>
      <c r="B855" s="180"/>
      <c r="C855" s="180"/>
      <c r="D855" s="180"/>
      <c r="E855" s="180"/>
    </row>
    <row r="856" ht="15.75" customHeight="1">
      <c r="A856" s="183"/>
      <c r="B856" s="180"/>
      <c r="C856" s="180"/>
      <c r="D856" s="180"/>
      <c r="E856" s="180"/>
    </row>
    <row r="857" ht="15.75" customHeight="1">
      <c r="A857" s="183"/>
      <c r="B857" s="180"/>
      <c r="C857" s="180"/>
      <c r="D857" s="180"/>
      <c r="E857" s="180"/>
    </row>
    <row r="858" ht="15.75" customHeight="1">
      <c r="A858" s="183"/>
      <c r="B858" s="180"/>
      <c r="C858" s="180"/>
      <c r="D858" s="180"/>
      <c r="E858" s="180"/>
    </row>
    <row r="859" ht="15.75" customHeight="1">
      <c r="A859" s="183"/>
      <c r="B859" s="180"/>
      <c r="C859" s="180"/>
      <c r="D859" s="180"/>
      <c r="E859" s="180"/>
    </row>
    <row r="860" ht="15.75" customHeight="1">
      <c r="A860" s="183"/>
      <c r="B860" s="180"/>
      <c r="C860" s="180"/>
      <c r="D860" s="180"/>
      <c r="E860" s="180"/>
    </row>
    <row r="861" ht="15.75" customHeight="1">
      <c r="A861" s="183"/>
      <c r="B861" s="180"/>
      <c r="C861" s="180"/>
      <c r="D861" s="180"/>
      <c r="E861" s="180"/>
    </row>
    <row r="862" ht="15.75" customHeight="1">
      <c r="A862" s="183"/>
      <c r="B862" s="180"/>
      <c r="C862" s="180"/>
      <c r="D862" s="180"/>
      <c r="E862" s="180"/>
    </row>
    <row r="863" ht="15.75" customHeight="1">
      <c r="A863" s="183"/>
      <c r="B863" s="180"/>
      <c r="C863" s="180"/>
      <c r="D863" s="180"/>
      <c r="E863" s="180"/>
    </row>
    <row r="864" ht="15.75" customHeight="1">
      <c r="A864" s="183"/>
      <c r="B864" s="180"/>
      <c r="C864" s="180"/>
      <c r="D864" s="180"/>
      <c r="E864" s="180"/>
    </row>
    <row r="865" ht="15.75" customHeight="1">
      <c r="A865" s="183"/>
      <c r="B865" s="180"/>
      <c r="C865" s="180"/>
      <c r="D865" s="180"/>
      <c r="E865" s="180"/>
    </row>
    <row r="866" ht="15.75" customHeight="1">
      <c r="A866" s="183"/>
      <c r="B866" s="180"/>
      <c r="C866" s="180"/>
      <c r="D866" s="180"/>
      <c r="E866" s="180"/>
    </row>
    <row r="867" ht="15.75" customHeight="1">
      <c r="A867" s="183"/>
      <c r="B867" s="180"/>
      <c r="C867" s="180"/>
      <c r="D867" s="180"/>
      <c r="E867" s="180"/>
    </row>
    <row r="868" ht="15.75" customHeight="1">
      <c r="A868" s="183"/>
      <c r="B868" s="180"/>
      <c r="C868" s="180"/>
      <c r="D868" s="180"/>
      <c r="E868" s="180"/>
    </row>
    <row r="869" ht="15.75" customHeight="1">
      <c r="A869" s="183"/>
      <c r="B869" s="180"/>
      <c r="C869" s="180"/>
      <c r="D869" s="180"/>
      <c r="E869" s="180"/>
    </row>
    <row r="870" ht="15.75" customHeight="1">
      <c r="A870" s="183"/>
      <c r="B870" s="180"/>
      <c r="C870" s="180"/>
      <c r="D870" s="180"/>
      <c r="E870" s="180"/>
    </row>
    <row r="871" ht="15.75" customHeight="1">
      <c r="A871" s="183"/>
      <c r="B871" s="180"/>
      <c r="C871" s="180"/>
      <c r="D871" s="180"/>
      <c r="E871" s="180"/>
    </row>
    <row r="872" ht="15.75" customHeight="1">
      <c r="A872" s="183"/>
      <c r="B872" s="180"/>
      <c r="C872" s="180"/>
      <c r="D872" s="180"/>
      <c r="E872" s="180"/>
    </row>
    <row r="873" ht="15.75" customHeight="1">
      <c r="A873" s="183"/>
      <c r="B873" s="180"/>
      <c r="C873" s="180"/>
      <c r="D873" s="180"/>
      <c r="E873" s="180"/>
    </row>
    <row r="874" ht="15.75" customHeight="1">
      <c r="A874" s="183"/>
      <c r="B874" s="180"/>
      <c r="C874" s="180"/>
      <c r="D874" s="180"/>
      <c r="E874" s="180"/>
    </row>
    <row r="875" ht="15.75" customHeight="1">
      <c r="A875" s="183"/>
      <c r="B875" s="180"/>
      <c r="C875" s="180"/>
      <c r="D875" s="180"/>
      <c r="E875" s="180"/>
    </row>
    <row r="876" ht="15.75" customHeight="1">
      <c r="A876" s="183"/>
      <c r="B876" s="180"/>
      <c r="C876" s="180"/>
      <c r="D876" s="180"/>
      <c r="E876" s="180"/>
    </row>
    <row r="877" ht="15.75" customHeight="1">
      <c r="A877" s="183"/>
      <c r="B877" s="180"/>
      <c r="C877" s="180"/>
      <c r="D877" s="180"/>
      <c r="E877" s="180"/>
    </row>
    <row r="878" ht="15.75" customHeight="1">
      <c r="A878" s="183"/>
      <c r="B878" s="180"/>
      <c r="C878" s="180"/>
      <c r="D878" s="180"/>
      <c r="E878" s="180"/>
    </row>
    <row r="879" ht="15.75" customHeight="1">
      <c r="A879" s="183"/>
      <c r="B879" s="180"/>
      <c r="C879" s="180"/>
      <c r="D879" s="180"/>
      <c r="E879" s="180"/>
    </row>
    <row r="880" ht="15.75" customHeight="1">
      <c r="A880" s="183"/>
      <c r="B880" s="180"/>
      <c r="C880" s="180"/>
      <c r="D880" s="180"/>
      <c r="E880" s="180"/>
    </row>
    <row r="881" ht="15.75" customHeight="1">
      <c r="A881" s="183"/>
      <c r="B881" s="180"/>
      <c r="C881" s="180"/>
      <c r="D881" s="180"/>
      <c r="E881" s="180"/>
    </row>
    <row r="882" ht="15.75" customHeight="1">
      <c r="A882" s="183"/>
      <c r="B882" s="180"/>
      <c r="C882" s="180"/>
      <c r="D882" s="180"/>
      <c r="E882" s="180"/>
    </row>
    <row r="883" ht="15.75" customHeight="1">
      <c r="A883" s="183"/>
      <c r="B883" s="180"/>
      <c r="C883" s="180"/>
      <c r="D883" s="180"/>
      <c r="E883" s="180"/>
    </row>
    <row r="884" ht="15.75" customHeight="1">
      <c r="A884" s="183"/>
      <c r="B884" s="180"/>
      <c r="C884" s="180"/>
      <c r="D884" s="180"/>
      <c r="E884" s="180"/>
    </row>
    <row r="885" ht="15.75" customHeight="1">
      <c r="A885" s="183"/>
      <c r="B885" s="180"/>
      <c r="C885" s="180"/>
      <c r="D885" s="180"/>
      <c r="E885" s="180"/>
    </row>
    <row r="886" ht="15.75" customHeight="1">
      <c r="A886" s="183"/>
      <c r="B886" s="180"/>
      <c r="C886" s="180"/>
      <c r="D886" s="180"/>
      <c r="E886" s="180"/>
    </row>
    <row r="887" ht="15.75" customHeight="1">
      <c r="A887" s="183"/>
      <c r="B887" s="180"/>
      <c r="C887" s="180"/>
      <c r="D887" s="180"/>
      <c r="E887" s="180"/>
    </row>
    <row r="888" ht="15.75" customHeight="1">
      <c r="A888" s="183"/>
      <c r="B888" s="180"/>
      <c r="C888" s="180"/>
      <c r="D888" s="180"/>
      <c r="E888" s="180"/>
    </row>
    <row r="889" ht="15.75" customHeight="1">
      <c r="A889" s="183"/>
      <c r="B889" s="180"/>
      <c r="C889" s="180"/>
      <c r="D889" s="180"/>
      <c r="E889" s="180"/>
    </row>
    <row r="890" ht="15.75" customHeight="1">
      <c r="A890" s="183"/>
      <c r="B890" s="180"/>
      <c r="C890" s="180"/>
      <c r="D890" s="180"/>
      <c r="E890" s="180"/>
    </row>
    <row r="891" ht="15.75" customHeight="1">
      <c r="A891" s="183"/>
      <c r="B891" s="180"/>
      <c r="C891" s="180"/>
      <c r="D891" s="180"/>
      <c r="E891" s="180"/>
    </row>
    <row r="892" ht="15.75" customHeight="1">
      <c r="A892" s="183"/>
      <c r="B892" s="180"/>
      <c r="C892" s="180"/>
      <c r="D892" s="180"/>
      <c r="E892" s="180"/>
    </row>
    <row r="893" ht="15.75" customHeight="1">
      <c r="A893" s="183"/>
      <c r="B893" s="180"/>
      <c r="C893" s="180"/>
      <c r="D893" s="180"/>
      <c r="E893" s="180"/>
    </row>
    <row r="894" ht="15.75" customHeight="1">
      <c r="A894" s="183"/>
      <c r="B894" s="180"/>
      <c r="C894" s="180"/>
      <c r="D894" s="180"/>
      <c r="E894" s="180"/>
    </row>
    <row r="895" ht="15.75" customHeight="1">
      <c r="A895" s="183"/>
      <c r="B895" s="180"/>
      <c r="C895" s="180"/>
      <c r="D895" s="180"/>
      <c r="E895" s="180"/>
    </row>
    <row r="896" ht="15.75" customHeight="1">
      <c r="A896" s="183"/>
      <c r="B896" s="180"/>
      <c r="C896" s="180"/>
      <c r="D896" s="180"/>
      <c r="E896" s="180"/>
    </row>
    <row r="897" ht="15.75" customHeight="1">
      <c r="A897" s="183"/>
      <c r="B897" s="180"/>
      <c r="C897" s="180"/>
      <c r="D897" s="180"/>
      <c r="E897" s="180"/>
    </row>
    <row r="898" ht="15.75" customHeight="1">
      <c r="A898" s="183"/>
      <c r="B898" s="180"/>
      <c r="C898" s="180"/>
      <c r="D898" s="180"/>
      <c r="E898" s="180"/>
    </row>
    <row r="899" ht="15.75" customHeight="1">
      <c r="A899" s="183"/>
      <c r="B899" s="180"/>
      <c r="C899" s="180"/>
      <c r="D899" s="180"/>
      <c r="E899" s="180"/>
    </row>
    <row r="900" ht="15.75" customHeight="1">
      <c r="A900" s="183"/>
      <c r="B900" s="180"/>
      <c r="C900" s="180"/>
      <c r="D900" s="180"/>
      <c r="E900" s="180"/>
    </row>
    <row r="901" ht="15.75" customHeight="1">
      <c r="A901" s="183"/>
      <c r="B901" s="180"/>
      <c r="C901" s="180"/>
      <c r="D901" s="180"/>
      <c r="E901" s="180"/>
    </row>
    <row r="902" ht="15.75" customHeight="1">
      <c r="A902" s="183"/>
      <c r="B902" s="180"/>
      <c r="C902" s="180"/>
      <c r="D902" s="180"/>
      <c r="E902" s="180"/>
    </row>
    <row r="903" ht="15.75" customHeight="1">
      <c r="A903" s="183"/>
      <c r="B903" s="180"/>
      <c r="C903" s="180"/>
      <c r="D903" s="180"/>
      <c r="E903" s="180"/>
    </row>
    <row r="904" ht="15.75" customHeight="1">
      <c r="A904" s="183"/>
      <c r="B904" s="180"/>
      <c r="C904" s="180"/>
      <c r="D904" s="180"/>
      <c r="E904" s="180"/>
    </row>
    <row r="905" ht="15.75" customHeight="1">
      <c r="A905" s="183"/>
      <c r="B905" s="180"/>
      <c r="C905" s="180"/>
      <c r="D905" s="180"/>
      <c r="E905" s="180"/>
    </row>
    <row r="906" ht="15.75" customHeight="1">
      <c r="A906" s="183"/>
      <c r="B906" s="180"/>
      <c r="C906" s="180"/>
      <c r="D906" s="180"/>
      <c r="E906" s="180"/>
    </row>
    <row r="907" ht="15.75" customHeight="1">
      <c r="A907" s="183"/>
      <c r="B907" s="180"/>
      <c r="C907" s="180"/>
      <c r="D907" s="180"/>
      <c r="E907" s="180"/>
    </row>
    <row r="908" ht="15.75" customHeight="1">
      <c r="A908" s="183"/>
      <c r="B908" s="180"/>
      <c r="C908" s="180"/>
      <c r="D908" s="180"/>
      <c r="E908" s="180"/>
    </row>
    <row r="909" ht="15.75" customHeight="1">
      <c r="A909" s="183"/>
      <c r="B909" s="180"/>
      <c r="C909" s="180"/>
      <c r="D909" s="180"/>
      <c r="E909" s="180"/>
    </row>
    <row r="910" ht="15.75" customHeight="1">
      <c r="A910" s="183"/>
      <c r="B910" s="180"/>
      <c r="C910" s="180"/>
      <c r="D910" s="180"/>
      <c r="E910" s="180"/>
    </row>
    <row r="911" ht="15.75" customHeight="1">
      <c r="A911" s="183"/>
      <c r="B911" s="180"/>
      <c r="C911" s="180"/>
      <c r="D911" s="180"/>
      <c r="E911" s="180"/>
    </row>
    <row r="912" ht="15.75" customHeight="1">
      <c r="A912" s="183"/>
      <c r="B912" s="180"/>
      <c r="C912" s="180"/>
      <c r="D912" s="180"/>
      <c r="E912" s="180"/>
    </row>
    <row r="913" ht="15.75" customHeight="1">
      <c r="A913" s="183"/>
      <c r="B913" s="180"/>
      <c r="C913" s="180"/>
      <c r="D913" s="180"/>
      <c r="E913" s="180"/>
    </row>
    <row r="914" ht="15.75" customHeight="1">
      <c r="A914" s="183"/>
      <c r="B914" s="180"/>
      <c r="C914" s="180"/>
      <c r="D914" s="180"/>
      <c r="E914" s="180"/>
    </row>
    <row r="915" ht="15.75" customHeight="1">
      <c r="A915" s="183"/>
      <c r="B915" s="180"/>
      <c r="C915" s="180"/>
      <c r="D915" s="180"/>
      <c r="E915" s="180"/>
    </row>
    <row r="916" ht="15.75" customHeight="1">
      <c r="A916" s="183"/>
      <c r="B916" s="180"/>
      <c r="C916" s="180"/>
      <c r="D916" s="180"/>
      <c r="E916" s="180"/>
    </row>
    <row r="917" ht="15.75" customHeight="1">
      <c r="A917" s="183"/>
      <c r="B917" s="180"/>
      <c r="C917" s="180"/>
      <c r="D917" s="180"/>
      <c r="E917" s="180"/>
    </row>
    <row r="918" ht="15.75" customHeight="1">
      <c r="A918" s="183"/>
      <c r="B918" s="180"/>
      <c r="C918" s="180"/>
      <c r="D918" s="180"/>
      <c r="E918" s="180"/>
    </row>
    <row r="919" ht="15.75" customHeight="1">
      <c r="A919" s="183"/>
      <c r="B919" s="180"/>
      <c r="C919" s="180"/>
      <c r="D919" s="180"/>
      <c r="E919" s="180"/>
    </row>
    <row r="920" ht="15.75" customHeight="1">
      <c r="A920" s="183"/>
      <c r="B920" s="180"/>
      <c r="C920" s="180"/>
      <c r="D920" s="180"/>
      <c r="E920" s="180"/>
    </row>
    <row r="921" ht="15.75" customHeight="1">
      <c r="A921" s="183"/>
      <c r="B921" s="180"/>
      <c r="C921" s="180"/>
      <c r="D921" s="180"/>
      <c r="E921" s="180"/>
    </row>
    <row r="922" ht="15.75" customHeight="1">
      <c r="A922" s="183"/>
      <c r="B922" s="180"/>
      <c r="C922" s="180"/>
      <c r="D922" s="180"/>
      <c r="E922" s="180"/>
    </row>
    <row r="923" ht="15.75" customHeight="1">
      <c r="A923" s="183"/>
      <c r="B923" s="180"/>
      <c r="C923" s="180"/>
      <c r="D923" s="180"/>
      <c r="E923" s="180"/>
    </row>
    <row r="924" ht="15.75" customHeight="1">
      <c r="A924" s="183"/>
      <c r="B924" s="180"/>
      <c r="C924" s="180"/>
      <c r="D924" s="180"/>
      <c r="E924" s="180"/>
    </row>
    <row r="925" ht="15.75" customHeight="1">
      <c r="A925" s="183"/>
      <c r="B925" s="180"/>
      <c r="C925" s="180"/>
      <c r="D925" s="180"/>
      <c r="E925" s="180"/>
    </row>
    <row r="926" ht="15.75" customHeight="1">
      <c r="A926" s="183"/>
      <c r="B926" s="180"/>
      <c r="C926" s="180"/>
      <c r="D926" s="180"/>
      <c r="E926" s="180"/>
    </row>
    <row r="927" ht="15.75" customHeight="1">
      <c r="A927" s="183"/>
      <c r="B927" s="180"/>
      <c r="C927" s="180"/>
      <c r="D927" s="180"/>
      <c r="E927" s="180"/>
    </row>
    <row r="928" ht="15.75" customHeight="1">
      <c r="A928" s="183"/>
      <c r="B928" s="180"/>
      <c r="C928" s="180"/>
      <c r="D928" s="180"/>
      <c r="E928" s="180"/>
    </row>
    <row r="929" ht="15.75" customHeight="1">
      <c r="A929" s="183"/>
      <c r="B929" s="180"/>
      <c r="C929" s="180"/>
      <c r="D929" s="180"/>
      <c r="E929" s="180"/>
    </row>
    <row r="930" ht="15.75" customHeight="1">
      <c r="A930" s="183"/>
      <c r="B930" s="180"/>
      <c r="C930" s="180"/>
      <c r="D930" s="180"/>
      <c r="E930" s="180"/>
    </row>
    <row r="931" ht="15.75" customHeight="1">
      <c r="A931" s="183"/>
      <c r="B931" s="180"/>
      <c r="C931" s="180"/>
      <c r="D931" s="180"/>
      <c r="E931" s="180"/>
    </row>
    <row r="932" ht="15.75" customHeight="1">
      <c r="A932" s="183"/>
      <c r="B932" s="180"/>
      <c r="C932" s="180"/>
      <c r="D932" s="180"/>
      <c r="E932" s="180"/>
    </row>
    <row r="933" ht="15.75" customHeight="1">
      <c r="A933" s="183"/>
      <c r="B933" s="180"/>
      <c r="C933" s="180"/>
      <c r="D933" s="180"/>
      <c r="E933" s="180"/>
    </row>
    <row r="934" ht="15.75" customHeight="1">
      <c r="A934" s="183"/>
      <c r="B934" s="180"/>
      <c r="C934" s="180"/>
      <c r="D934" s="180"/>
      <c r="E934" s="180"/>
    </row>
    <row r="935" ht="15.75" customHeight="1">
      <c r="A935" s="183"/>
      <c r="B935" s="180"/>
      <c r="C935" s="180"/>
      <c r="D935" s="180"/>
      <c r="E935" s="180"/>
    </row>
    <row r="936" ht="15.75" customHeight="1">
      <c r="A936" s="183"/>
      <c r="B936" s="180"/>
      <c r="C936" s="180"/>
      <c r="D936" s="180"/>
      <c r="E936" s="180"/>
    </row>
    <row r="937" ht="15.75" customHeight="1">
      <c r="A937" s="183"/>
      <c r="B937" s="180"/>
      <c r="C937" s="180"/>
      <c r="D937" s="180"/>
      <c r="E937" s="180"/>
    </row>
    <row r="938" ht="15.75" customHeight="1">
      <c r="A938" s="183"/>
      <c r="B938" s="180"/>
      <c r="C938" s="180"/>
      <c r="D938" s="180"/>
      <c r="E938" s="180"/>
    </row>
    <row r="939" ht="15.75" customHeight="1">
      <c r="A939" s="183"/>
      <c r="B939" s="180"/>
      <c r="C939" s="180"/>
      <c r="D939" s="180"/>
      <c r="E939" s="180"/>
    </row>
    <row r="940" ht="15.75" customHeight="1">
      <c r="A940" s="183"/>
      <c r="B940" s="180"/>
      <c r="C940" s="180"/>
      <c r="D940" s="180"/>
      <c r="E940" s="180"/>
    </row>
    <row r="941" ht="15.75" customHeight="1">
      <c r="A941" s="183"/>
      <c r="B941" s="180"/>
      <c r="C941" s="180"/>
      <c r="D941" s="180"/>
      <c r="E941" s="180"/>
    </row>
    <row r="942" ht="15.75" customHeight="1">
      <c r="A942" s="183"/>
      <c r="B942" s="180"/>
      <c r="C942" s="180"/>
      <c r="D942" s="180"/>
      <c r="E942" s="180"/>
    </row>
    <row r="943" ht="15.75" customHeight="1">
      <c r="A943" s="183"/>
      <c r="B943" s="180"/>
      <c r="C943" s="180"/>
      <c r="D943" s="180"/>
      <c r="E943" s="180"/>
    </row>
    <row r="944" ht="15.75" customHeight="1">
      <c r="A944" s="183"/>
      <c r="B944" s="180"/>
      <c r="C944" s="180"/>
      <c r="D944" s="180"/>
      <c r="E944" s="180"/>
    </row>
    <row r="945" ht="15.75" customHeight="1">
      <c r="A945" s="183"/>
      <c r="B945" s="180"/>
      <c r="C945" s="180"/>
      <c r="D945" s="180"/>
      <c r="E945" s="180"/>
    </row>
    <row r="946" ht="15.75" customHeight="1">
      <c r="A946" s="183"/>
      <c r="B946" s="180"/>
      <c r="C946" s="180"/>
      <c r="D946" s="180"/>
      <c r="E946" s="180"/>
    </row>
    <row r="947" ht="15.75" customHeight="1">
      <c r="A947" s="183"/>
      <c r="B947" s="180"/>
      <c r="C947" s="180"/>
      <c r="D947" s="180"/>
      <c r="E947" s="180"/>
    </row>
    <row r="948" ht="15.75" customHeight="1">
      <c r="A948" s="183"/>
      <c r="B948" s="180"/>
      <c r="C948" s="180"/>
      <c r="D948" s="180"/>
      <c r="E948" s="180"/>
    </row>
    <row r="949" ht="15.75" customHeight="1">
      <c r="A949" s="183"/>
      <c r="B949" s="180"/>
      <c r="C949" s="180"/>
      <c r="D949" s="180"/>
      <c r="E949" s="180"/>
    </row>
    <row r="950" ht="15.75" customHeight="1">
      <c r="A950" s="183"/>
      <c r="B950" s="180"/>
      <c r="C950" s="180"/>
      <c r="D950" s="180"/>
      <c r="E950" s="180"/>
    </row>
    <row r="951" ht="15.75" customHeight="1">
      <c r="A951" s="183"/>
      <c r="B951" s="180"/>
      <c r="C951" s="180"/>
      <c r="D951" s="180"/>
      <c r="E951" s="180"/>
    </row>
    <row r="952" ht="15.75" customHeight="1">
      <c r="A952" s="183"/>
      <c r="B952" s="180"/>
      <c r="C952" s="180"/>
      <c r="D952" s="180"/>
      <c r="E952" s="180"/>
    </row>
    <row r="953" ht="15.75" customHeight="1">
      <c r="A953" s="183"/>
      <c r="B953" s="180"/>
      <c r="C953" s="180"/>
      <c r="D953" s="180"/>
      <c r="E953" s="180"/>
    </row>
    <row r="954" ht="15.75" customHeight="1">
      <c r="A954" s="183"/>
      <c r="B954" s="180"/>
      <c r="C954" s="180"/>
      <c r="D954" s="180"/>
      <c r="E954" s="180"/>
    </row>
    <row r="955" ht="15.75" customHeight="1">
      <c r="A955" s="183"/>
      <c r="B955" s="180"/>
      <c r="C955" s="180"/>
      <c r="D955" s="180"/>
      <c r="E955" s="180"/>
    </row>
    <row r="956" ht="15.75" customHeight="1">
      <c r="A956" s="183"/>
      <c r="B956" s="180"/>
      <c r="C956" s="180"/>
      <c r="D956" s="180"/>
      <c r="E956" s="180"/>
    </row>
    <row r="957" ht="15.75" customHeight="1">
      <c r="A957" s="183"/>
      <c r="B957" s="180"/>
      <c r="C957" s="180"/>
      <c r="D957" s="180"/>
      <c r="E957" s="180"/>
    </row>
    <row r="958" ht="15.75" customHeight="1">
      <c r="A958" s="183"/>
      <c r="B958" s="180"/>
      <c r="C958" s="180"/>
      <c r="D958" s="180"/>
      <c r="E958" s="180"/>
    </row>
    <row r="959" ht="15.75" customHeight="1">
      <c r="A959" s="183"/>
      <c r="B959" s="180"/>
      <c r="C959" s="180"/>
      <c r="D959" s="180"/>
      <c r="E959" s="180"/>
    </row>
    <row r="960" ht="15.75" customHeight="1">
      <c r="A960" s="183"/>
      <c r="B960" s="180"/>
      <c r="C960" s="180"/>
      <c r="D960" s="180"/>
      <c r="E960" s="180"/>
    </row>
    <row r="961" ht="15.75" customHeight="1">
      <c r="A961" s="183"/>
      <c r="B961" s="180"/>
      <c r="C961" s="180"/>
      <c r="D961" s="180"/>
      <c r="E961" s="180"/>
    </row>
    <row r="962" ht="15.75" customHeight="1">
      <c r="A962" s="183"/>
      <c r="B962" s="180"/>
      <c r="C962" s="180"/>
      <c r="D962" s="180"/>
      <c r="E962" s="180"/>
    </row>
    <row r="963" ht="15.75" customHeight="1">
      <c r="A963" s="183"/>
      <c r="B963" s="180"/>
      <c r="C963" s="180"/>
      <c r="D963" s="180"/>
      <c r="E963" s="180"/>
    </row>
    <row r="964" ht="15.75" customHeight="1">
      <c r="A964" s="183"/>
      <c r="B964" s="180"/>
      <c r="C964" s="180"/>
      <c r="D964" s="180"/>
      <c r="E964" s="180"/>
    </row>
    <row r="965" ht="15.75" customHeight="1">
      <c r="A965" s="183"/>
      <c r="B965" s="180"/>
      <c r="C965" s="180"/>
      <c r="D965" s="180"/>
      <c r="E965" s="180"/>
    </row>
    <row r="966" ht="15.75" customHeight="1">
      <c r="A966" s="183"/>
      <c r="B966" s="180"/>
      <c r="C966" s="180"/>
      <c r="D966" s="180"/>
      <c r="E966" s="180"/>
    </row>
    <row r="967" ht="15.75" customHeight="1">
      <c r="A967" s="183"/>
      <c r="B967" s="180"/>
      <c r="C967" s="180"/>
      <c r="D967" s="180"/>
      <c r="E967" s="180"/>
    </row>
    <row r="968" ht="15.75" customHeight="1">
      <c r="A968" s="183"/>
      <c r="B968" s="180"/>
      <c r="C968" s="180"/>
      <c r="D968" s="180"/>
      <c r="E968" s="180"/>
    </row>
    <row r="969" ht="15.75" customHeight="1">
      <c r="A969" s="183"/>
      <c r="B969" s="180"/>
      <c r="C969" s="180"/>
      <c r="D969" s="180"/>
      <c r="E969" s="180"/>
    </row>
    <row r="970" ht="15.75" customHeight="1">
      <c r="A970" s="183"/>
      <c r="B970" s="180"/>
      <c r="C970" s="180"/>
      <c r="D970" s="180"/>
      <c r="E970" s="180"/>
    </row>
    <row r="971" ht="15.75" customHeight="1">
      <c r="A971" s="183"/>
      <c r="B971" s="180"/>
      <c r="C971" s="180"/>
      <c r="D971" s="180"/>
      <c r="E971" s="180"/>
    </row>
    <row r="972" ht="15.75" customHeight="1">
      <c r="A972" s="183"/>
      <c r="B972" s="180"/>
      <c r="C972" s="180"/>
      <c r="D972" s="180"/>
      <c r="E972" s="180"/>
    </row>
    <row r="973" ht="15.75" customHeight="1">
      <c r="A973" s="183"/>
      <c r="B973" s="180"/>
      <c r="C973" s="180"/>
      <c r="D973" s="180"/>
      <c r="E973" s="180"/>
    </row>
    <row r="974" ht="15.75" customHeight="1">
      <c r="A974" s="183"/>
      <c r="B974" s="180"/>
      <c r="C974" s="180"/>
      <c r="D974" s="180"/>
      <c r="E974" s="180"/>
    </row>
    <row r="975" ht="15.75" customHeight="1">
      <c r="A975" s="183"/>
      <c r="B975" s="180"/>
      <c r="C975" s="180"/>
      <c r="D975" s="180"/>
      <c r="E975" s="180"/>
    </row>
    <row r="976" ht="15.75" customHeight="1">
      <c r="A976" s="183"/>
      <c r="B976" s="180"/>
      <c r="C976" s="180"/>
      <c r="D976" s="180"/>
      <c r="E976" s="180"/>
    </row>
    <row r="977" ht="15.75" customHeight="1">
      <c r="A977" s="183"/>
      <c r="B977" s="180"/>
      <c r="C977" s="180"/>
      <c r="D977" s="180"/>
      <c r="E977" s="180"/>
    </row>
    <row r="978" ht="15.75" customHeight="1">
      <c r="A978" s="183"/>
      <c r="B978" s="180"/>
      <c r="C978" s="180"/>
      <c r="D978" s="180"/>
      <c r="E978" s="180"/>
    </row>
    <row r="979" ht="15.75" customHeight="1">
      <c r="A979" s="183"/>
      <c r="B979" s="180"/>
      <c r="C979" s="180"/>
      <c r="D979" s="180"/>
      <c r="E979" s="180"/>
    </row>
    <row r="980" ht="15.75" customHeight="1">
      <c r="A980" s="183"/>
      <c r="B980" s="180"/>
      <c r="C980" s="180"/>
      <c r="D980" s="180"/>
      <c r="E980" s="180"/>
    </row>
    <row r="981" ht="15.75" customHeight="1">
      <c r="A981" s="183"/>
      <c r="B981" s="180"/>
      <c r="C981" s="180"/>
      <c r="D981" s="180"/>
      <c r="E981" s="180"/>
    </row>
    <row r="982" ht="15.75" customHeight="1">
      <c r="A982" s="183"/>
      <c r="B982" s="180"/>
      <c r="C982" s="180"/>
      <c r="D982" s="180"/>
      <c r="E982" s="180"/>
    </row>
    <row r="983" ht="15.75" customHeight="1">
      <c r="A983" s="183"/>
      <c r="B983" s="180"/>
      <c r="C983" s="180"/>
      <c r="D983" s="180"/>
      <c r="E983" s="180"/>
    </row>
    <row r="984" ht="15.75" customHeight="1">
      <c r="A984" s="183"/>
      <c r="B984" s="180"/>
      <c r="C984" s="180"/>
      <c r="D984" s="180"/>
      <c r="E984" s="180"/>
    </row>
    <row r="985" ht="15.75" customHeight="1">
      <c r="A985" s="183"/>
      <c r="B985" s="180"/>
      <c r="C985" s="180"/>
      <c r="D985" s="180"/>
      <c r="E985" s="180"/>
    </row>
    <row r="986" ht="15.75" customHeight="1">
      <c r="A986" s="183"/>
      <c r="B986" s="180"/>
      <c r="C986" s="180"/>
      <c r="D986" s="180"/>
      <c r="E986" s="180"/>
    </row>
    <row r="987" ht="15.75" customHeight="1">
      <c r="A987" s="183"/>
      <c r="B987" s="180"/>
      <c r="C987" s="180"/>
      <c r="D987" s="180"/>
      <c r="E987" s="180"/>
    </row>
    <row r="988" ht="15.75" customHeight="1">
      <c r="A988" s="183"/>
      <c r="B988" s="180"/>
      <c r="C988" s="180"/>
      <c r="D988" s="180"/>
      <c r="E988" s="180"/>
    </row>
    <row r="989" ht="15.75" customHeight="1">
      <c r="A989" s="183"/>
      <c r="B989" s="180"/>
      <c r="C989" s="180"/>
      <c r="D989" s="180"/>
      <c r="E989" s="180"/>
    </row>
    <row r="990" ht="15.75" customHeight="1">
      <c r="A990" s="183"/>
      <c r="B990" s="180"/>
      <c r="C990" s="180"/>
      <c r="D990" s="180"/>
      <c r="E990" s="180"/>
    </row>
    <row r="991" ht="15.75" customHeight="1">
      <c r="A991" s="183"/>
      <c r="B991" s="180"/>
      <c r="C991" s="180"/>
      <c r="D991" s="180"/>
      <c r="E991" s="180"/>
    </row>
    <row r="992" ht="15.75" customHeight="1">
      <c r="A992" s="183"/>
      <c r="B992" s="180"/>
      <c r="C992" s="180"/>
      <c r="D992" s="180"/>
      <c r="E992" s="180"/>
    </row>
    <row r="993" ht="15.75" customHeight="1">
      <c r="A993" s="183"/>
      <c r="B993" s="180"/>
      <c r="C993" s="180"/>
      <c r="D993" s="180"/>
      <c r="E993" s="180"/>
    </row>
    <row r="994" ht="15.75" customHeight="1">
      <c r="A994" s="183"/>
      <c r="B994" s="180"/>
      <c r="C994" s="180"/>
      <c r="D994" s="180"/>
      <c r="E994" s="180"/>
    </row>
    <row r="995" ht="15.75" customHeight="1">
      <c r="A995" s="183"/>
      <c r="B995" s="180"/>
      <c r="C995" s="180"/>
      <c r="D995" s="180"/>
      <c r="E995" s="180"/>
    </row>
    <row r="996" ht="15.75" customHeight="1">
      <c r="A996" s="183"/>
      <c r="B996" s="180"/>
      <c r="C996" s="180"/>
      <c r="D996" s="180"/>
      <c r="E996" s="180"/>
    </row>
    <row r="997" ht="15.75" customHeight="1">
      <c r="A997" s="183"/>
      <c r="B997" s="180"/>
      <c r="C997" s="180"/>
      <c r="D997" s="180"/>
      <c r="E997" s="180"/>
    </row>
    <row r="998" ht="15.75" customHeight="1">
      <c r="A998" s="183"/>
      <c r="B998" s="180"/>
      <c r="C998" s="180"/>
      <c r="D998" s="180"/>
      <c r="E998" s="180"/>
    </row>
    <row r="999" ht="15.75" customHeight="1">
      <c r="A999" s="183"/>
      <c r="B999" s="180"/>
      <c r="C999" s="180"/>
      <c r="D999" s="180"/>
      <c r="E999" s="180"/>
    </row>
    <row r="1000" ht="15.75" customHeight="1">
      <c r="A1000" s="183"/>
      <c r="B1000" s="180"/>
      <c r="C1000" s="180"/>
      <c r="D1000" s="180"/>
      <c r="E1000" s="180"/>
    </row>
  </sheetData>
  <autoFilter ref="$A$1:$F$69">
    <filterColumn colId="2">
      <filters>
        <filter val="330,261"/>
        <filter val="34,398"/>
        <filter val="47,763"/>
        <filter val="52,841"/>
        <filter val="72,483"/>
      </filters>
    </filterColumn>
  </autoFilter>
  <conditionalFormatting sqref="B2:B69">
    <cfRule type="cellIs" dxfId="0" priority="1" operator="lessThan">
      <formula>-0.0001</formula>
    </cfRule>
  </conditionalFormatting>
  <conditionalFormatting sqref="B2:B69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1" width="30.0"/>
    <col customWidth="1" min="2" max="2" width="10.75"/>
    <col customWidth="1" min="3" max="3" width="11.75"/>
    <col customWidth="1" min="4" max="4" width="14.38"/>
    <col customWidth="1" min="5" max="5" width="14.75"/>
    <col customWidth="1" min="6" max="6" width="15.38"/>
    <col customWidth="1" min="7" max="7" width="19.0"/>
    <col customWidth="1" min="8" max="8" width="14.38"/>
    <col customWidth="1" min="9" max="9" width="14.75"/>
    <col customWidth="1" min="10" max="10" width="15.38"/>
    <col customWidth="1" min="11" max="11" width="19.0"/>
    <col customWidth="1" min="12" max="26" width="22.38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88"/>
      <c r="E3" s="188">
        <v>2710.0</v>
      </c>
      <c r="F3" s="188"/>
      <c r="G3" s="188"/>
      <c r="H3" s="189"/>
      <c r="I3" s="189">
        <v>2990.0</v>
      </c>
      <c r="J3" s="189"/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88"/>
      <c r="E4" s="188"/>
      <c r="F4" s="188"/>
      <c r="G4" s="188"/>
      <c r="H4" s="189"/>
      <c r="I4" s="189"/>
      <c r="J4" s="189"/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88"/>
      <c r="E5" s="188"/>
      <c r="F5" s="188"/>
      <c r="G5" s="188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190"/>
      <c r="E6" s="190"/>
      <c r="F6" s="190"/>
      <c r="G6" s="190"/>
      <c r="H6" s="191"/>
      <c r="I6" s="191"/>
      <c r="J6" s="191"/>
      <c r="K6" s="191"/>
    </row>
    <row r="7" ht="14.25" customHeight="1">
      <c r="A7" s="98" t="s">
        <v>66</v>
      </c>
      <c r="B7" s="98" t="s">
        <v>25</v>
      </c>
      <c r="C7" s="98" t="s">
        <v>13</v>
      </c>
      <c r="D7" s="188"/>
      <c r="E7" s="188"/>
      <c r="F7" s="188"/>
      <c r="G7" s="188"/>
      <c r="H7" s="189"/>
      <c r="I7" s="189"/>
      <c r="J7" s="189"/>
      <c r="K7" s="189"/>
    </row>
    <row r="8" ht="14.25" customHeight="1">
      <c r="A8" s="126" t="s">
        <v>67</v>
      </c>
      <c r="B8" s="127"/>
      <c r="C8" s="127"/>
      <c r="D8" s="192">
        <f t="shared" ref="D8:K8" si="1">SUM(D3:D7)</f>
        <v>0</v>
      </c>
      <c r="E8" s="192">
        <f t="shared" si="1"/>
        <v>2710</v>
      </c>
      <c r="F8" s="192">
        <f t="shared" si="1"/>
        <v>0</v>
      </c>
      <c r="G8" s="192">
        <f t="shared" si="1"/>
        <v>0</v>
      </c>
      <c r="H8" s="192">
        <f t="shared" si="1"/>
        <v>0</v>
      </c>
      <c r="I8" s="192">
        <f t="shared" si="1"/>
        <v>2990</v>
      </c>
      <c r="J8" s="192">
        <f t="shared" si="1"/>
        <v>0</v>
      </c>
      <c r="K8" s="192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94"/>
      <c r="I9" s="194"/>
      <c r="J9" s="194"/>
      <c r="K9" s="194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/>
      <c r="I10" s="189"/>
      <c r="J10" s="189"/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188"/>
      <c r="G11" s="188"/>
      <c r="H11" s="189"/>
      <c r="I11" s="189"/>
      <c r="J11" s="189"/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/>
      <c r="I12" s="189"/>
      <c r="J12" s="189"/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/>
      <c r="F13" s="188"/>
      <c r="G13" s="188"/>
      <c r="H13" s="189"/>
      <c r="I13" s="189"/>
      <c r="J13" s="189"/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/>
      <c r="F14" s="188"/>
      <c r="G14" s="188"/>
      <c r="H14" s="189"/>
      <c r="I14" s="189"/>
      <c r="J14" s="189"/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/>
      <c r="I15" s="189"/>
      <c r="J15" s="189"/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/>
      <c r="I16" s="189"/>
      <c r="J16" s="189"/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/>
      <c r="F17" s="188"/>
      <c r="G17" s="188"/>
      <c r="H17" s="189"/>
      <c r="I17" s="189"/>
      <c r="J17" s="189"/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/>
      <c r="E18" s="188"/>
      <c r="F18" s="188"/>
      <c r="G18" s="188"/>
      <c r="H18" s="189"/>
      <c r="I18" s="189"/>
      <c r="J18" s="189"/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/>
      <c r="I19" s="189"/>
      <c r="J19" s="189"/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91"/>
      <c r="I20" s="191"/>
      <c r="J20" s="191"/>
      <c r="K20" s="191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91"/>
      <c r="I21" s="191"/>
      <c r="J21" s="191"/>
      <c r="K21" s="191"/>
    </row>
    <row r="22" ht="14.25" customHeight="1">
      <c r="A22" s="126" t="s">
        <v>78</v>
      </c>
      <c r="B22" s="127"/>
      <c r="C22" s="127"/>
      <c r="D22" s="195">
        <f t="shared" ref="D22:K22" si="2">SUM(D9:D21)</f>
        <v>0</v>
      </c>
      <c r="E22" s="195">
        <f t="shared" si="2"/>
        <v>0</v>
      </c>
      <c r="F22" s="195">
        <f t="shared" si="2"/>
        <v>0</v>
      </c>
      <c r="G22" s="195">
        <f t="shared" si="2"/>
        <v>0</v>
      </c>
      <c r="H22" s="195">
        <f t="shared" si="2"/>
        <v>0</v>
      </c>
      <c r="I22" s="195">
        <f t="shared" si="2"/>
        <v>0</v>
      </c>
      <c r="J22" s="195">
        <f t="shared" si="2"/>
        <v>0</v>
      </c>
      <c r="K22" s="195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94"/>
      <c r="I23" s="194"/>
      <c r="J23" s="194"/>
      <c r="K23" s="194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/>
      <c r="I24" s="189"/>
      <c r="J24" s="189"/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/>
      <c r="I25" s="189"/>
      <c r="J25" s="189"/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/>
      <c r="I26" s="189"/>
      <c r="J26" s="189"/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88"/>
      <c r="H27" s="189"/>
      <c r="I27" s="189"/>
      <c r="J27" s="189"/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/>
      <c r="I28" s="189"/>
      <c r="J28" s="189"/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/>
      <c r="I29" s="189"/>
      <c r="J29" s="189"/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/>
      <c r="I30" s="189"/>
      <c r="J30" s="189"/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188"/>
      <c r="G31" s="188"/>
      <c r="H31" s="189"/>
      <c r="I31" s="189"/>
      <c r="J31" s="189"/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/>
      <c r="I32" s="189"/>
      <c r="J32" s="189"/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/>
      <c r="I33" s="189"/>
      <c r="J33" s="189"/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/>
      <c r="I34" s="189"/>
      <c r="J34" s="189"/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/>
      <c r="I35" s="189"/>
      <c r="J35" s="189"/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/>
      <c r="I36" s="189"/>
      <c r="J36" s="189"/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/>
      <c r="I37" s="189"/>
      <c r="J37" s="189"/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/>
      <c r="I38" s="189"/>
      <c r="J38" s="189"/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/>
      <c r="I39" s="189"/>
      <c r="J39" s="189"/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/>
      <c r="I40" s="189"/>
      <c r="J40" s="189"/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/>
      <c r="I41" s="189"/>
      <c r="J41" s="189"/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/>
      <c r="I42" s="189"/>
      <c r="J42" s="189"/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/>
      <c r="I43" s="189"/>
      <c r="J43" s="189"/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/>
      <c r="I44" s="189"/>
      <c r="J44" s="189"/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/>
      <c r="I45" s="189"/>
      <c r="J45" s="189"/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/>
      <c r="I46" s="189"/>
      <c r="J46" s="189"/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/>
      <c r="I47" s="189"/>
      <c r="J47" s="189"/>
      <c r="K47" s="189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/>
      <c r="I48" s="189"/>
      <c r="J48" s="189"/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/>
      <c r="I49" s="189"/>
      <c r="J49" s="189"/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/>
      <c r="I50" s="189"/>
      <c r="J50" s="189"/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/>
      <c r="I51" s="189"/>
      <c r="J51" s="189"/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/>
      <c r="I52" s="189"/>
      <c r="J52" s="189"/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88"/>
      <c r="F53" s="188"/>
      <c r="G53" s="188"/>
      <c r="H53" s="189"/>
      <c r="I53" s="189"/>
      <c r="J53" s="189"/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190"/>
      <c r="F54" s="190"/>
      <c r="G54" s="190"/>
      <c r="H54" s="191"/>
      <c r="I54" s="191"/>
      <c r="J54" s="191"/>
      <c r="K54" s="191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91"/>
      <c r="I55" s="191"/>
      <c r="J55" s="191"/>
      <c r="K55" s="191"/>
    </row>
    <row r="56" ht="14.25" customHeight="1">
      <c r="A56" s="133" t="s">
        <v>16</v>
      </c>
      <c r="B56" s="127"/>
      <c r="C56" s="127"/>
      <c r="D56" s="195" t="str">
        <f t="shared" ref="D56:K56" si="3">SUM(D22:D58)</f>
        <v>#REF!</v>
      </c>
      <c r="E56" s="195" t="str">
        <f t="shared" si="3"/>
        <v>#REF!</v>
      </c>
      <c r="F56" s="195" t="str">
        <f t="shared" si="3"/>
        <v>#REF!</v>
      </c>
      <c r="G56" s="195" t="str">
        <f t="shared" si="3"/>
        <v>#REF!</v>
      </c>
      <c r="H56" s="195" t="str">
        <f t="shared" si="3"/>
        <v>#REF!</v>
      </c>
      <c r="I56" s="195" t="str">
        <f t="shared" si="3"/>
        <v>#REF!</v>
      </c>
      <c r="J56" s="195" t="str">
        <f t="shared" si="3"/>
        <v>#REF!</v>
      </c>
      <c r="K56" s="195" t="str">
        <f t="shared" si="3"/>
        <v>#REF!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/>
      <c r="I57" s="189"/>
      <c r="J57" s="189"/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/>
      <c r="F58" s="188"/>
      <c r="G58" s="188"/>
      <c r="H58" s="189"/>
      <c r="I58" s="189"/>
      <c r="J58" s="189"/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/>
      <c r="I59" s="189"/>
      <c r="J59" s="189"/>
      <c r="K59" s="189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/>
      <c r="I60" s="189"/>
      <c r="J60" s="189"/>
      <c r="K60" s="189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/>
      <c r="I61" s="189"/>
      <c r="J61" s="189"/>
      <c r="K61" s="189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/>
      <c r="I62" s="189"/>
      <c r="J62" s="189"/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5.7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195">
        <f t="shared" ref="D66:K66" si="4">SUM(D23:D55)</f>
        <v>0</v>
      </c>
      <c r="E66" s="195">
        <f t="shared" si="4"/>
        <v>0</v>
      </c>
      <c r="F66" s="195">
        <f t="shared" si="4"/>
        <v>0</v>
      </c>
      <c r="G66" s="195">
        <f t="shared" si="4"/>
        <v>0</v>
      </c>
      <c r="H66" s="195">
        <f t="shared" si="4"/>
        <v>0</v>
      </c>
      <c r="I66" s="195">
        <f t="shared" si="4"/>
        <v>0</v>
      </c>
      <c r="J66" s="195">
        <f t="shared" si="4"/>
        <v>0</v>
      </c>
      <c r="K66" s="195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193"/>
      <c r="E67" s="193"/>
      <c r="F67" s="193"/>
      <c r="G67" s="193"/>
      <c r="H67" s="194"/>
      <c r="I67" s="194"/>
      <c r="J67" s="194"/>
      <c r="K67" s="194"/>
    </row>
    <row r="68" ht="14.25" customHeight="1">
      <c r="A68" s="99" t="s">
        <v>35</v>
      </c>
      <c r="B68" s="98" t="s">
        <v>23</v>
      </c>
      <c r="C68" s="98" t="s">
        <v>121</v>
      </c>
      <c r="D68" s="188"/>
      <c r="E68" s="188"/>
      <c r="F68" s="188"/>
      <c r="G68" s="188"/>
      <c r="H68" s="189"/>
      <c r="I68" s="189"/>
      <c r="J68" s="189"/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88"/>
      <c r="E69" s="188"/>
      <c r="F69" s="188"/>
      <c r="G69" s="188"/>
      <c r="H69" s="189"/>
      <c r="I69" s="189"/>
      <c r="J69" s="189"/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88"/>
      <c r="E70" s="188"/>
      <c r="F70" s="188"/>
      <c r="G70" s="188"/>
      <c r="H70" s="189"/>
      <c r="I70" s="189"/>
      <c r="J70" s="189"/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88"/>
      <c r="E71" s="188"/>
      <c r="F71" s="188"/>
      <c r="G71" s="188"/>
      <c r="H71" s="189"/>
      <c r="I71" s="189"/>
      <c r="J71" s="189"/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88"/>
      <c r="E72" s="188"/>
      <c r="F72" s="188"/>
      <c r="G72" s="188"/>
      <c r="H72" s="189"/>
      <c r="I72" s="189"/>
      <c r="J72" s="189"/>
      <c r="K72" s="189"/>
    </row>
    <row r="73" ht="14.25" customHeight="1">
      <c r="A73" s="87" t="s">
        <v>126</v>
      </c>
      <c r="B73" s="98" t="s">
        <v>23</v>
      </c>
      <c r="C73" s="98" t="s">
        <v>121</v>
      </c>
      <c r="D73" s="188"/>
      <c r="E73" s="188"/>
      <c r="F73" s="188"/>
      <c r="G73" s="188"/>
      <c r="H73" s="189"/>
      <c r="I73" s="189"/>
      <c r="J73" s="189"/>
      <c r="K73" s="189"/>
    </row>
    <row r="74" ht="14.25" customHeight="1">
      <c r="A74" s="123" t="s">
        <v>127</v>
      </c>
      <c r="B74" s="123" t="s">
        <v>23</v>
      </c>
      <c r="C74" s="123" t="s">
        <v>121</v>
      </c>
      <c r="D74" s="190"/>
      <c r="E74" s="190"/>
      <c r="F74" s="190"/>
      <c r="G74" s="190"/>
      <c r="H74" s="191"/>
      <c r="I74" s="191"/>
      <c r="J74" s="191"/>
      <c r="K74" s="191"/>
    </row>
    <row r="75" ht="14.25" customHeight="1">
      <c r="A75" s="126" t="s">
        <v>128</v>
      </c>
      <c r="B75" s="127"/>
      <c r="C75" s="127"/>
      <c r="D75" s="196">
        <f t="shared" ref="D75:K75" si="5">SUM(D67:D74)</f>
        <v>0</v>
      </c>
      <c r="E75" s="196">
        <f t="shared" si="5"/>
        <v>0</v>
      </c>
      <c r="F75" s="196">
        <f t="shared" si="5"/>
        <v>0</v>
      </c>
      <c r="G75" s="196">
        <f t="shared" si="5"/>
        <v>0</v>
      </c>
      <c r="H75" s="196">
        <f t="shared" si="5"/>
        <v>0</v>
      </c>
      <c r="I75" s="196">
        <f t="shared" si="5"/>
        <v>0</v>
      </c>
      <c r="J75" s="196">
        <f t="shared" si="5"/>
        <v>0</v>
      </c>
      <c r="K75" s="196">
        <f t="shared" si="5"/>
        <v>0</v>
      </c>
    </row>
    <row r="76" ht="14.25" customHeight="1">
      <c r="A76" s="126" t="s">
        <v>129</v>
      </c>
      <c r="B76" s="127"/>
      <c r="C76" s="127"/>
      <c r="D76" s="197">
        <f t="shared" ref="D76:K76" si="6">D75+D66+D22+D8</f>
        <v>0</v>
      </c>
      <c r="E76" s="197">
        <f t="shared" si="6"/>
        <v>2710</v>
      </c>
      <c r="F76" s="197">
        <f t="shared" si="6"/>
        <v>0</v>
      </c>
      <c r="G76" s="197">
        <f t="shared" si="6"/>
        <v>0</v>
      </c>
      <c r="H76" s="197">
        <f t="shared" si="6"/>
        <v>0</v>
      </c>
      <c r="I76" s="197">
        <f t="shared" si="6"/>
        <v>2990</v>
      </c>
      <c r="J76" s="198">
        <f t="shared" si="6"/>
        <v>0</v>
      </c>
      <c r="K76" s="198">
        <f t="shared" si="6"/>
        <v>0</v>
      </c>
    </row>
    <row r="77" ht="14.25" customHeight="1">
      <c r="A77" s="4"/>
      <c r="B77" s="4"/>
      <c r="C77" s="4"/>
      <c r="H77" s="119"/>
      <c r="I77" s="119"/>
      <c r="J77" s="119"/>
    </row>
    <row r="78" ht="14.25" customHeight="1">
      <c r="A78" s="4"/>
      <c r="B78" s="4"/>
      <c r="C78" s="4"/>
      <c r="F78" s="141"/>
      <c r="H78" s="113"/>
      <c r="I78" s="113"/>
      <c r="J78" s="113"/>
    </row>
    <row r="79" ht="14.25" customHeight="1">
      <c r="A79" s="4"/>
      <c r="B79" s="4"/>
      <c r="C79" s="4"/>
      <c r="H79" s="113"/>
      <c r="I79" s="113"/>
      <c r="J79" s="113"/>
    </row>
    <row r="80" ht="14.25" customHeight="1">
      <c r="A80" s="4"/>
      <c r="B80" s="4"/>
      <c r="C80" s="4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8" width="16.88"/>
    <col customWidth="1" min="9" max="9" width="15.25"/>
    <col customWidth="1" min="10" max="10" width="16.88"/>
    <col customWidth="1" min="11" max="11" width="19.0"/>
    <col customWidth="1" min="12" max="12" width="30.63"/>
    <col customWidth="1" min="13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99">
        <f>5662680.27-D4-D6-D16-D51-D52-D70-D74</f>
        <v>4947835.22</v>
      </c>
      <c r="E3" s="199">
        <f>176260.04-1684-E4-E5-E6-E16-E51-E52-E55-E70-E71-E74</f>
        <v>88914.17</v>
      </c>
      <c r="F3" s="199">
        <f>4838561.81-185193-F4-F16-F52</f>
        <v>3649305.2</v>
      </c>
      <c r="G3" s="199">
        <f>52153658.79-G4-G6-G16-G51-G52-G70</f>
        <v>47250470.31</v>
      </c>
      <c r="H3" s="189">
        <v>1601310.3199999994</v>
      </c>
      <c r="I3" s="189">
        <v>190104.09</v>
      </c>
      <c r="J3" s="189">
        <v>2252740.230000001</v>
      </c>
      <c r="K3" s="189">
        <v>1.3309349000000002E7</v>
      </c>
    </row>
    <row r="4" ht="14.25" customHeight="1">
      <c r="A4" s="98" t="s">
        <v>64</v>
      </c>
      <c r="B4" s="98" t="s">
        <v>25</v>
      </c>
      <c r="C4" s="98" t="s">
        <v>13</v>
      </c>
      <c r="D4" s="199">
        <v>302090.26</v>
      </c>
      <c r="E4" s="199">
        <v>6.34</v>
      </c>
      <c r="F4" s="199">
        <v>903097.64</v>
      </c>
      <c r="G4" s="199">
        <v>2211213.97</v>
      </c>
      <c r="H4" s="189">
        <v>252127.85</v>
      </c>
      <c r="I4" s="189">
        <v>1477.8100000000002</v>
      </c>
      <c r="J4" s="189">
        <v>3809528.3</v>
      </c>
      <c r="K4" s="189">
        <v>2351346.8899999997</v>
      </c>
      <c r="L4" s="141"/>
    </row>
    <row r="5" ht="14.25" customHeight="1">
      <c r="A5" s="98" t="s">
        <v>37</v>
      </c>
      <c r="B5" s="98" t="s">
        <v>25</v>
      </c>
      <c r="C5" s="98" t="s">
        <v>13</v>
      </c>
      <c r="D5" s="199"/>
      <c r="E5" s="199">
        <v>4592.43</v>
      </c>
      <c r="F5" s="199"/>
      <c r="G5" s="199"/>
      <c r="H5" s="189"/>
      <c r="I5" s="189"/>
      <c r="J5" s="189"/>
      <c r="K5" s="189"/>
      <c r="M5" s="141"/>
    </row>
    <row r="6" ht="14.25" customHeight="1">
      <c r="A6" s="123" t="s">
        <v>65</v>
      </c>
      <c r="B6" s="98" t="s">
        <v>25</v>
      </c>
      <c r="C6" s="123" t="s">
        <v>13</v>
      </c>
      <c r="D6" s="199">
        <v>97898.53</v>
      </c>
      <c r="E6" s="199">
        <v>3884.11</v>
      </c>
      <c r="F6" s="199"/>
      <c r="G6" s="199">
        <v>858261.69</v>
      </c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99">
        <v>8263.97</v>
      </c>
      <c r="E7" s="199">
        <v>399.1</v>
      </c>
      <c r="F7" s="199">
        <v>12192.71</v>
      </c>
      <c r="G7" s="199">
        <v>52996.64</v>
      </c>
      <c r="H7" s="189">
        <v>39678.08</v>
      </c>
      <c r="I7" s="189">
        <v>0.0</v>
      </c>
      <c r="J7" s="189">
        <v>10462.36</v>
      </c>
      <c r="K7" s="189">
        <v>105721.07999999999</v>
      </c>
    </row>
    <row r="8" ht="14.25" customHeight="1">
      <c r="A8" s="126" t="s">
        <v>67</v>
      </c>
      <c r="B8" s="127"/>
      <c r="C8" s="127"/>
      <c r="D8" s="200">
        <f t="shared" ref="D8:K8" si="1">SUM(D3:D7)</f>
        <v>5356087.98</v>
      </c>
      <c r="E8" s="200">
        <f t="shared" si="1"/>
        <v>97796.15</v>
      </c>
      <c r="F8" s="200">
        <f t="shared" si="1"/>
        <v>4564595.55</v>
      </c>
      <c r="G8" s="200">
        <f t="shared" si="1"/>
        <v>50372942.61</v>
      </c>
      <c r="H8" s="200">
        <f t="shared" si="1"/>
        <v>1893116.25</v>
      </c>
      <c r="I8" s="200">
        <f t="shared" si="1"/>
        <v>191581.9</v>
      </c>
      <c r="J8" s="200">
        <f t="shared" si="1"/>
        <v>6072730.89</v>
      </c>
      <c r="K8" s="200">
        <f t="shared" si="1"/>
        <v>15766416.97</v>
      </c>
    </row>
    <row r="9" ht="14.25" customHeight="1">
      <c r="A9" s="125" t="s">
        <v>68</v>
      </c>
      <c r="B9" s="98" t="s">
        <v>25</v>
      </c>
      <c r="C9" s="125" t="s">
        <v>69</v>
      </c>
      <c r="D9" s="193">
        <v>130.93</v>
      </c>
      <c r="E9" s="193">
        <v>27.54</v>
      </c>
      <c r="F9" s="193"/>
      <c r="G9" s="193"/>
      <c r="H9" s="189">
        <v>0.0</v>
      </c>
      <c r="I9" s="189">
        <v>81.81</v>
      </c>
      <c r="J9" s="189">
        <v>0.0</v>
      </c>
      <c r="K9" s="189">
        <v>0.0</v>
      </c>
    </row>
    <row r="10" ht="14.25" customHeight="1">
      <c r="A10" s="98" t="s">
        <v>39</v>
      </c>
      <c r="B10" s="98" t="s">
        <v>25</v>
      </c>
      <c r="C10" s="98" t="s">
        <v>69</v>
      </c>
      <c r="D10" s="188">
        <v>1656.96</v>
      </c>
      <c r="E10" s="188">
        <v>54528.14</v>
      </c>
      <c r="F10" s="188"/>
      <c r="G10" s="188"/>
      <c r="H10" s="189">
        <v>2543.01</v>
      </c>
      <c r="I10" s="189">
        <v>46248.92</v>
      </c>
      <c r="J10" s="189">
        <v>140.81</v>
      </c>
      <c r="K10" s="189">
        <v>28953.41</v>
      </c>
    </row>
    <row r="11" ht="14.25" customHeight="1">
      <c r="A11" s="98" t="s">
        <v>70</v>
      </c>
      <c r="B11" s="98" t="s">
        <v>25</v>
      </c>
      <c r="C11" s="98" t="s">
        <v>69</v>
      </c>
      <c r="D11" s="199">
        <v>48149.83</v>
      </c>
      <c r="E11" s="199">
        <v>4055.25</v>
      </c>
      <c r="F11" s="199">
        <v>269462.59</v>
      </c>
      <c r="G11" s="199">
        <v>566498.67</v>
      </c>
      <c r="H11" s="189">
        <v>42319.25</v>
      </c>
      <c r="I11" s="189">
        <v>6120.430000000001</v>
      </c>
      <c r="J11" s="189">
        <v>61442.48</v>
      </c>
      <c r="K11" s="189">
        <v>248194.88</v>
      </c>
      <c r="M11" s="201"/>
    </row>
    <row r="12" ht="14.25" customHeight="1">
      <c r="A12" s="98" t="s">
        <v>71</v>
      </c>
      <c r="B12" s="98" t="s">
        <v>25</v>
      </c>
      <c r="C12" s="98" t="s">
        <v>69</v>
      </c>
      <c r="D12" s="199">
        <v>161820.16</v>
      </c>
      <c r="E12" s="199">
        <v>5527.01</v>
      </c>
      <c r="F12" s="199">
        <v>36660.56</v>
      </c>
      <c r="G12" s="141">
        <v>188731.19</v>
      </c>
      <c r="H12" s="189">
        <v>138.31</v>
      </c>
      <c r="I12" s="189">
        <v>173.36</v>
      </c>
      <c r="J12" s="189">
        <v>0.0</v>
      </c>
      <c r="K12" s="189">
        <v>0.0</v>
      </c>
    </row>
    <row r="13" ht="14.25" customHeight="1">
      <c r="A13" s="98" t="s">
        <v>58</v>
      </c>
      <c r="B13" s="98" t="s">
        <v>25</v>
      </c>
      <c r="C13" s="98" t="s">
        <v>69</v>
      </c>
      <c r="D13" s="199">
        <v>16949.56</v>
      </c>
      <c r="E13" s="199">
        <v>3367.1</v>
      </c>
      <c r="F13" s="199"/>
      <c r="G13" s="199"/>
      <c r="H13" s="189">
        <v>0.0</v>
      </c>
      <c r="I13" s="189">
        <v>8893.02</v>
      </c>
      <c r="J13" s="189">
        <v>798145.0</v>
      </c>
      <c r="K13" s="189">
        <v>109551.16</v>
      </c>
    </row>
    <row r="14" ht="14.25" customHeight="1">
      <c r="A14" s="98" t="s">
        <v>72</v>
      </c>
      <c r="B14" s="98" t="s">
        <v>25</v>
      </c>
      <c r="C14" s="98" t="s">
        <v>69</v>
      </c>
      <c r="D14" s="199">
        <v>65029.79</v>
      </c>
      <c r="E14" s="199">
        <v>444.26</v>
      </c>
      <c r="F14" s="199">
        <v>246191.72</v>
      </c>
      <c r="G14" s="199">
        <v>564389.12</v>
      </c>
      <c r="H14" s="189">
        <v>224156.58999999997</v>
      </c>
      <c r="I14" s="189">
        <v>1000.99</v>
      </c>
      <c r="J14" s="189">
        <v>235380.21000000002</v>
      </c>
      <c r="K14" s="189">
        <v>1481798.0099999998</v>
      </c>
    </row>
    <row r="15" ht="14.25" customHeight="1">
      <c r="A15" s="98" t="s">
        <v>73</v>
      </c>
      <c r="B15" s="98" t="s">
        <v>25</v>
      </c>
      <c r="C15" s="98" t="s">
        <v>69</v>
      </c>
      <c r="D15" s="199">
        <v>130856.11</v>
      </c>
      <c r="E15" s="199"/>
      <c r="F15" s="199">
        <v>272934.97</v>
      </c>
      <c r="G15" s="199">
        <v>113643.55</v>
      </c>
      <c r="H15" s="189">
        <v>38157.53</v>
      </c>
      <c r="I15" s="189">
        <v>0.0</v>
      </c>
      <c r="J15" s="189">
        <v>0.0</v>
      </c>
      <c r="K15" s="189">
        <v>0.0</v>
      </c>
    </row>
    <row r="16" ht="14.25" customHeight="1">
      <c r="A16" s="98" t="s">
        <v>74</v>
      </c>
      <c r="B16" s="98" t="s">
        <v>25</v>
      </c>
      <c r="C16" s="98" t="s">
        <v>69</v>
      </c>
      <c r="D16" s="199">
        <v>19380.09</v>
      </c>
      <c r="E16" s="199">
        <v>32809.02</v>
      </c>
      <c r="F16" s="199">
        <v>6094.0</v>
      </c>
      <c r="G16" s="199">
        <v>73373.33</v>
      </c>
      <c r="H16" s="189">
        <v>0.0</v>
      </c>
      <c r="I16" s="189">
        <v>8739.26</v>
      </c>
      <c r="J16" s="189">
        <v>0.0</v>
      </c>
      <c r="K16" s="189">
        <v>0.0</v>
      </c>
    </row>
    <row r="17" ht="14.25" customHeight="1">
      <c r="A17" s="98" t="s">
        <v>33</v>
      </c>
      <c r="B17" s="98" t="s">
        <v>25</v>
      </c>
      <c r="C17" s="98" t="s">
        <v>69</v>
      </c>
      <c r="D17" s="199">
        <v>372050.17</v>
      </c>
      <c r="E17" s="199">
        <v>20693.59</v>
      </c>
      <c r="F17" s="199">
        <v>490604.58</v>
      </c>
      <c r="G17" s="199">
        <v>2894642.87</v>
      </c>
      <c r="H17" s="189">
        <v>338818.3699999999</v>
      </c>
      <c r="I17" s="189">
        <v>9737.24</v>
      </c>
      <c r="J17" s="189">
        <v>449398.76999999996</v>
      </c>
      <c r="K17" s="189">
        <v>1439193.29</v>
      </c>
    </row>
    <row r="18" ht="14.25" customHeight="1">
      <c r="A18" s="98" t="s">
        <v>75</v>
      </c>
      <c r="B18" s="98" t="s">
        <v>25</v>
      </c>
      <c r="C18" s="98" t="s">
        <v>69</v>
      </c>
      <c r="D18" s="199">
        <v>299656.29</v>
      </c>
      <c r="E18" s="199">
        <v>13479.55</v>
      </c>
      <c r="F18" s="199">
        <v>1248582.03</v>
      </c>
      <c r="G18" s="199">
        <v>486244.4</v>
      </c>
      <c r="H18" s="189">
        <v>36152.43</v>
      </c>
      <c r="I18" s="189">
        <v>10948.744999999999</v>
      </c>
      <c r="J18" s="189">
        <v>2113098.4699999997</v>
      </c>
      <c r="K18" s="189">
        <v>0.0</v>
      </c>
    </row>
    <row r="19" ht="14.25" customHeight="1">
      <c r="A19" s="98" t="s">
        <v>41</v>
      </c>
      <c r="B19" s="98" t="s">
        <v>25</v>
      </c>
      <c r="C19" s="98" t="s">
        <v>69</v>
      </c>
      <c r="D19" s="199">
        <v>469.44</v>
      </c>
      <c r="E19" s="199"/>
      <c r="F19" s="199"/>
      <c r="G19" s="199"/>
      <c r="H19" s="189">
        <v>589.05</v>
      </c>
      <c r="I19" s="189">
        <v>0.0</v>
      </c>
      <c r="J19" s="189">
        <v>0.0</v>
      </c>
      <c r="K19" s="189">
        <v>0.0</v>
      </c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>
        <v>0.0</v>
      </c>
      <c r="I21" s="189">
        <v>1102.815</v>
      </c>
      <c r="J21" s="189">
        <v>0.0</v>
      </c>
      <c r="K21" s="189">
        <v>0.0</v>
      </c>
    </row>
    <row r="22" ht="14.25" customHeight="1">
      <c r="A22" s="126" t="s">
        <v>78</v>
      </c>
      <c r="B22" s="127"/>
      <c r="C22" s="127"/>
      <c r="D22" s="200">
        <f t="shared" ref="D22:K22" si="2">SUM(D9:D21)</f>
        <v>1116149.33</v>
      </c>
      <c r="E22" s="200">
        <f t="shared" si="2"/>
        <v>134931.46</v>
      </c>
      <c r="F22" s="200">
        <f t="shared" si="2"/>
        <v>2570530.45</v>
      </c>
      <c r="G22" s="200">
        <f t="shared" si="2"/>
        <v>4887523.13</v>
      </c>
      <c r="H22" s="200">
        <f t="shared" si="2"/>
        <v>682874.54</v>
      </c>
      <c r="I22" s="200">
        <f t="shared" si="2"/>
        <v>93046.59</v>
      </c>
      <c r="J22" s="200">
        <f t="shared" si="2"/>
        <v>3657605.74</v>
      </c>
      <c r="K22" s="200">
        <f t="shared" si="2"/>
        <v>3307690.75</v>
      </c>
    </row>
    <row r="23" ht="14.25" customHeight="1">
      <c r="A23" s="125" t="s">
        <v>79</v>
      </c>
      <c r="B23" s="125" t="s">
        <v>23</v>
      </c>
      <c r="C23" s="125" t="s">
        <v>80</v>
      </c>
      <c r="D23" s="193">
        <v>26971.54</v>
      </c>
      <c r="E23" s="193">
        <v>73.39</v>
      </c>
      <c r="F23" s="193"/>
      <c r="G23" s="193"/>
      <c r="H23" s="189">
        <v>256257.70000000004</v>
      </c>
      <c r="I23" s="189">
        <v>26963.7</v>
      </c>
      <c r="J23" s="189">
        <v>439766.66000000003</v>
      </c>
      <c r="K23" s="189">
        <v>1222667.6</v>
      </c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>
        <v>0.0</v>
      </c>
      <c r="I24" s="189">
        <v>0.0</v>
      </c>
      <c r="J24" s="189">
        <v>6300.0</v>
      </c>
      <c r="K24" s="189">
        <v>0.0</v>
      </c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>
        <v>0.0</v>
      </c>
      <c r="I25" s="189">
        <v>2943.1399999999994</v>
      </c>
      <c r="J25" s="189">
        <v>0.0</v>
      </c>
      <c r="K25" s="189">
        <v>0.0</v>
      </c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>
        <v>0.0</v>
      </c>
      <c r="I26" s="189">
        <v>0.0</v>
      </c>
      <c r="J26" s="189">
        <v>0.0</v>
      </c>
      <c r="K26" s="189">
        <v>0.0</v>
      </c>
    </row>
    <row r="27" ht="14.25" customHeight="1">
      <c r="A27" s="99" t="s">
        <v>83</v>
      </c>
      <c r="B27" s="98" t="s">
        <v>23</v>
      </c>
      <c r="C27" s="98" t="s">
        <v>80</v>
      </c>
      <c r="D27" s="188">
        <v>27625.86</v>
      </c>
      <c r="E27" s="188">
        <v>1370.47</v>
      </c>
      <c r="F27" s="188">
        <v>330455.1</v>
      </c>
      <c r="G27" s="188">
        <v>44520.56</v>
      </c>
      <c r="H27" s="189">
        <v>100372.09999999998</v>
      </c>
      <c r="I27" s="189">
        <v>14728.34</v>
      </c>
      <c r="J27" s="189">
        <v>573239.82</v>
      </c>
      <c r="K27" s="189">
        <v>423323.57999999996</v>
      </c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>
        <v>0.0</v>
      </c>
      <c r="I28" s="189">
        <v>0.0</v>
      </c>
      <c r="J28" s="189">
        <v>0.0</v>
      </c>
      <c r="K28" s="189">
        <v>0.0</v>
      </c>
    </row>
    <row r="29" ht="14.25" customHeight="1">
      <c r="A29" s="99" t="s">
        <v>85</v>
      </c>
      <c r="B29" s="98" t="s">
        <v>23</v>
      </c>
      <c r="C29" s="98" t="s">
        <v>80</v>
      </c>
      <c r="D29" s="188">
        <v>26923.31</v>
      </c>
      <c r="E29" s="188">
        <v>3447.54</v>
      </c>
      <c r="F29" s="188">
        <v>675.64</v>
      </c>
      <c r="G29" s="188">
        <v>58928.33</v>
      </c>
      <c r="H29" s="189">
        <v>109839.67000000001</v>
      </c>
      <c r="I29" s="189">
        <v>1367.14</v>
      </c>
      <c r="J29" s="189">
        <v>0.0</v>
      </c>
      <c r="K29" s="189">
        <v>264016.2</v>
      </c>
    </row>
    <row r="30" ht="14.25" customHeight="1">
      <c r="A30" s="98" t="s">
        <v>86</v>
      </c>
      <c r="B30" s="98" t="s">
        <v>23</v>
      </c>
      <c r="C30" s="98" t="s">
        <v>80</v>
      </c>
      <c r="D30" s="188">
        <v>418558.73</v>
      </c>
      <c r="E30" s="188">
        <v>47394.45</v>
      </c>
      <c r="F30" s="188">
        <v>783645.56</v>
      </c>
      <c r="G30" s="188">
        <v>994328.25</v>
      </c>
      <c r="H30" s="189">
        <v>1067151.0100000002</v>
      </c>
      <c r="I30" s="189">
        <v>60693.96999999999</v>
      </c>
      <c r="J30" s="189">
        <v>621176.43</v>
      </c>
      <c r="K30" s="189">
        <v>4261406.279999999</v>
      </c>
    </row>
    <row r="31" ht="14.25" customHeight="1">
      <c r="A31" s="98" t="s">
        <v>87</v>
      </c>
      <c r="B31" s="98" t="s">
        <v>23</v>
      </c>
      <c r="C31" s="98" t="s">
        <v>80</v>
      </c>
      <c r="D31" s="188">
        <v>442455.07</v>
      </c>
      <c r="E31" s="188">
        <v>22669.28</v>
      </c>
      <c r="F31" s="188"/>
      <c r="G31" s="188">
        <v>3436194.09</v>
      </c>
      <c r="H31" s="189">
        <v>64222.899999999994</v>
      </c>
      <c r="I31" s="189">
        <v>6995.88</v>
      </c>
      <c r="J31" s="189">
        <v>23036.54</v>
      </c>
      <c r="K31" s="189">
        <v>328316.82999999996</v>
      </c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>
        <v>9.74</v>
      </c>
      <c r="F32" s="188"/>
      <c r="G32" s="188"/>
      <c r="H32" s="189">
        <v>0.0</v>
      </c>
      <c r="I32" s="189">
        <v>7.98</v>
      </c>
      <c r="J32" s="189">
        <v>0.0</v>
      </c>
      <c r="K32" s="189">
        <v>0.0</v>
      </c>
    </row>
    <row r="33" ht="14.25" customHeight="1">
      <c r="A33" s="98" t="s">
        <v>89</v>
      </c>
      <c r="B33" s="98" t="s">
        <v>23</v>
      </c>
      <c r="C33" s="98" t="s">
        <v>80</v>
      </c>
      <c r="D33" s="188">
        <v>38955.94</v>
      </c>
      <c r="E33" s="188"/>
      <c r="F33" s="188">
        <v>18140.54</v>
      </c>
      <c r="G33" s="188"/>
      <c r="H33" s="189">
        <v>1025.53</v>
      </c>
      <c r="I33" s="189">
        <v>3084.41</v>
      </c>
      <c r="J33" s="189">
        <v>0.0</v>
      </c>
      <c r="K33" s="189">
        <v>0.0</v>
      </c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>
        <v>0.0</v>
      </c>
      <c r="I34" s="189">
        <v>7.45</v>
      </c>
      <c r="J34" s="189">
        <v>0.0</v>
      </c>
      <c r="K34" s="189">
        <v>0.0</v>
      </c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>
        <v>0.0</v>
      </c>
      <c r="I35" s="189">
        <v>0.0</v>
      </c>
      <c r="J35" s="189">
        <v>0.0</v>
      </c>
      <c r="K35" s="189">
        <v>0.0</v>
      </c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>
        <v>155.38</v>
      </c>
      <c r="F36" s="188">
        <v>15723.9</v>
      </c>
      <c r="G36" s="188"/>
      <c r="H36" s="189">
        <v>1421.7599999999998</v>
      </c>
      <c r="I36" s="189">
        <v>273.23</v>
      </c>
      <c r="J36" s="189">
        <v>34933.159999999996</v>
      </c>
      <c r="K36" s="189">
        <v>0.0</v>
      </c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>
        <v>4879.080000000001</v>
      </c>
      <c r="I37" s="189">
        <v>2887.83</v>
      </c>
      <c r="J37" s="189">
        <v>0.0</v>
      </c>
      <c r="K37" s="189">
        <v>0.0</v>
      </c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>
        <v>0.0</v>
      </c>
      <c r="I38" s="189">
        <v>0.0</v>
      </c>
      <c r="J38" s="189">
        <v>0.0</v>
      </c>
      <c r="K38" s="189">
        <v>0.0</v>
      </c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>
        <v>0.0</v>
      </c>
      <c r="I39" s="189">
        <v>0.0</v>
      </c>
      <c r="J39" s="189">
        <v>0.0</v>
      </c>
      <c r="K39" s="189">
        <v>0.0</v>
      </c>
    </row>
    <row r="40" ht="14.25" customHeight="1">
      <c r="A40" s="98" t="s">
        <v>95</v>
      </c>
      <c r="B40" s="98" t="s">
        <v>23</v>
      </c>
      <c r="C40" s="98" t="s">
        <v>80</v>
      </c>
      <c r="D40" s="188">
        <v>25403.37</v>
      </c>
      <c r="E40" s="188">
        <v>2606.25</v>
      </c>
      <c r="F40" s="188">
        <v>245920.63</v>
      </c>
      <c r="G40" s="188">
        <v>229331.73</v>
      </c>
      <c r="H40" s="189">
        <v>9536.939999999999</v>
      </c>
      <c r="I40" s="189">
        <v>760.04</v>
      </c>
      <c r="J40" s="189">
        <v>0.0</v>
      </c>
      <c r="K40" s="189">
        <v>0.0</v>
      </c>
    </row>
    <row r="41" ht="14.25" customHeight="1">
      <c r="A41" s="98" t="s">
        <v>109</v>
      </c>
      <c r="B41" s="98" t="s">
        <v>24</v>
      </c>
      <c r="C41" s="98" t="s">
        <v>80</v>
      </c>
      <c r="D41" s="188">
        <v>29942.03</v>
      </c>
      <c r="E41" s="188">
        <v>17842.41</v>
      </c>
      <c r="F41" s="188"/>
      <c r="G41" s="188"/>
      <c r="H41" s="189">
        <v>0.0</v>
      </c>
      <c r="I41" s="189">
        <v>0.0</v>
      </c>
      <c r="J41" s="189">
        <v>0.0</v>
      </c>
      <c r="K41" s="189">
        <v>0.0</v>
      </c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>
        <v>126.21</v>
      </c>
      <c r="I42" s="189">
        <v>0.0</v>
      </c>
      <c r="J42" s="189">
        <v>0.0</v>
      </c>
      <c r="K42" s="189">
        <v>0.0</v>
      </c>
    </row>
    <row r="43" ht="14.25" customHeight="1">
      <c r="A43" s="99" t="s">
        <v>96</v>
      </c>
      <c r="B43" s="98" t="s">
        <v>23</v>
      </c>
      <c r="C43" s="98" t="s">
        <v>80</v>
      </c>
      <c r="D43" s="188">
        <v>124754.9</v>
      </c>
      <c r="E43" s="188"/>
      <c r="F43" s="141">
        <v>68476.31</v>
      </c>
      <c r="G43" s="188">
        <v>264594.77</v>
      </c>
      <c r="H43" s="189">
        <v>88151.9</v>
      </c>
      <c r="I43" s="189">
        <v>0.0</v>
      </c>
      <c r="J43" s="189">
        <v>0.0</v>
      </c>
      <c r="K43" s="189">
        <v>148000.51</v>
      </c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>
        <v>0.0</v>
      </c>
      <c r="I44" s="189">
        <v>0.0</v>
      </c>
      <c r="J44" s="189">
        <v>0.0</v>
      </c>
      <c r="K44" s="189">
        <v>0.0</v>
      </c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>
        <v>620.17</v>
      </c>
      <c r="F45" s="188"/>
      <c r="G45" s="188"/>
      <c r="H45" s="189">
        <v>0.0</v>
      </c>
      <c r="I45" s="189">
        <v>121.61</v>
      </c>
      <c r="J45" s="189">
        <v>0.0</v>
      </c>
      <c r="K45" s="189">
        <v>0.0</v>
      </c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>
        <v>0.0</v>
      </c>
      <c r="I46" s="189">
        <v>0.0</v>
      </c>
      <c r="J46" s="189">
        <v>0.0</v>
      </c>
      <c r="K46" s="189">
        <v>0.0</v>
      </c>
    </row>
    <row r="47" ht="14.25" customHeight="1">
      <c r="A47" s="98" t="s">
        <v>108</v>
      </c>
      <c r="B47" s="98" t="s">
        <v>24</v>
      </c>
      <c r="C47" s="98" t="s">
        <v>80</v>
      </c>
      <c r="D47" s="199"/>
      <c r="E47" s="199"/>
      <c r="F47" s="199"/>
      <c r="G47" s="199"/>
      <c r="H47" s="189">
        <v>11.42</v>
      </c>
      <c r="I47" s="189">
        <v>42.21</v>
      </c>
      <c r="J47" s="189">
        <v>0.0</v>
      </c>
      <c r="K47" s="189">
        <v>0.0</v>
      </c>
    </row>
    <row r="48" ht="14.25" customHeight="1">
      <c r="A48" s="98" t="s">
        <v>99</v>
      </c>
      <c r="B48" s="98" t="s">
        <v>23</v>
      </c>
      <c r="C48" s="98" t="s">
        <v>80</v>
      </c>
      <c r="D48" s="199"/>
      <c r="E48" s="199"/>
      <c r="F48" s="199"/>
      <c r="G48" s="199"/>
      <c r="H48" s="189">
        <v>0.0</v>
      </c>
      <c r="I48" s="189">
        <v>0.0</v>
      </c>
      <c r="J48" s="189">
        <v>0.0</v>
      </c>
      <c r="K48" s="189">
        <v>0.0</v>
      </c>
    </row>
    <row r="49" ht="14.25" customHeight="1">
      <c r="A49" s="98" t="s">
        <v>100</v>
      </c>
      <c r="B49" s="98" t="s">
        <v>23</v>
      </c>
      <c r="C49" s="98" t="s">
        <v>80</v>
      </c>
      <c r="D49" s="199"/>
      <c r="E49" s="199"/>
      <c r="F49" s="199">
        <v>17298.52</v>
      </c>
      <c r="G49" s="199"/>
      <c r="H49" s="189">
        <v>13936.630000000001</v>
      </c>
      <c r="I49" s="189">
        <v>0.0</v>
      </c>
      <c r="J49" s="189">
        <v>250464.35</v>
      </c>
      <c r="K49" s="189">
        <v>0.0</v>
      </c>
    </row>
    <row r="50" ht="14.25" customHeight="1">
      <c r="A50" s="98" t="s">
        <v>101</v>
      </c>
      <c r="B50" s="98" t="s">
        <v>23</v>
      </c>
      <c r="C50" s="98" t="s">
        <v>80</v>
      </c>
      <c r="D50" s="199">
        <v>39918.81</v>
      </c>
      <c r="E50" s="199">
        <v>1656.24</v>
      </c>
      <c r="F50" s="199">
        <v>29571.44</v>
      </c>
      <c r="G50" s="199">
        <v>370201.19</v>
      </c>
      <c r="H50" s="189">
        <v>4823.67</v>
      </c>
      <c r="I50" s="189">
        <v>1265.42</v>
      </c>
      <c r="J50" s="189">
        <v>37879.91</v>
      </c>
      <c r="K50" s="189">
        <v>244589.24</v>
      </c>
    </row>
    <row r="51" ht="14.25" customHeight="1">
      <c r="A51" s="98" t="s">
        <v>102</v>
      </c>
      <c r="B51" s="98" t="s">
        <v>23</v>
      </c>
      <c r="C51" s="98" t="s">
        <v>80</v>
      </c>
      <c r="D51" s="199">
        <v>25403.37</v>
      </c>
      <c r="E51" s="199">
        <f>13081.29+1946</f>
        <v>15027.29</v>
      </c>
      <c r="F51" s="199"/>
      <c r="G51" s="199">
        <v>140389.29</v>
      </c>
      <c r="H51" s="189">
        <v>114798.61</v>
      </c>
      <c r="I51" s="189">
        <v>760.04</v>
      </c>
      <c r="J51" s="189">
        <v>22032.02</v>
      </c>
      <c r="K51" s="189">
        <v>0.0</v>
      </c>
    </row>
    <row r="52" ht="14.25" customHeight="1">
      <c r="A52" s="98" t="s">
        <v>103</v>
      </c>
      <c r="B52" s="98" t="s">
        <v>23</v>
      </c>
      <c r="C52" s="98" t="s">
        <v>80</v>
      </c>
      <c r="D52" s="199">
        <v>72923.59</v>
      </c>
      <c r="E52" s="202">
        <v>724.07</v>
      </c>
      <c r="F52" s="199">
        <v>94871.97</v>
      </c>
      <c r="G52" s="199">
        <v>123595.53</v>
      </c>
      <c r="H52" s="189">
        <v>80794.78</v>
      </c>
      <c r="I52" s="189">
        <v>6238.669999999999</v>
      </c>
      <c r="J52" s="189">
        <v>153745.41</v>
      </c>
      <c r="K52" s="189">
        <v>1356028.16</v>
      </c>
    </row>
    <row r="53" ht="14.25" customHeight="1">
      <c r="A53" s="98" t="s">
        <v>104</v>
      </c>
      <c r="B53" s="98" t="s">
        <v>23</v>
      </c>
      <c r="C53" s="98" t="s">
        <v>80</v>
      </c>
      <c r="D53" s="199"/>
      <c r="E53" s="199"/>
      <c r="F53" s="199"/>
      <c r="G53" s="199"/>
      <c r="H53" s="189">
        <v>0.0</v>
      </c>
      <c r="I53" s="189">
        <v>1042.03</v>
      </c>
      <c r="J53" s="189">
        <v>0.0</v>
      </c>
      <c r="K53" s="189">
        <v>0.0</v>
      </c>
    </row>
    <row r="54" ht="14.25" customHeight="1">
      <c r="A54" s="98" t="s">
        <v>110</v>
      </c>
      <c r="B54" s="98" t="s">
        <v>25</v>
      </c>
      <c r="C54" s="125" t="s">
        <v>80</v>
      </c>
      <c r="D54" s="203"/>
      <c r="E54" s="203"/>
      <c r="F54" s="203"/>
      <c r="G54" s="203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203"/>
      <c r="E55" s="203">
        <v>1764.65</v>
      </c>
      <c r="F55" s="203"/>
      <c r="G55" s="203"/>
      <c r="H55" s="189">
        <v>17482.07</v>
      </c>
      <c r="I55" s="189">
        <v>0.0</v>
      </c>
      <c r="J55" s="189">
        <v>0.0</v>
      </c>
      <c r="K55" s="189">
        <v>0.0</v>
      </c>
    </row>
    <row r="56" ht="14.25" customHeight="1">
      <c r="A56" s="133" t="s">
        <v>16</v>
      </c>
      <c r="B56" s="127"/>
      <c r="C56" s="127"/>
      <c r="D56" s="200">
        <f t="shared" ref="D56:K56" si="3">SUM(D23:D55)</f>
        <v>1299836.52</v>
      </c>
      <c r="E56" s="200">
        <f t="shared" si="3"/>
        <v>115361.33</v>
      </c>
      <c r="F56" s="200">
        <f t="shared" si="3"/>
        <v>1604779.61</v>
      </c>
      <c r="G56" s="200">
        <f t="shared" si="3"/>
        <v>5662083.74</v>
      </c>
      <c r="H56" s="200">
        <f t="shared" si="3"/>
        <v>1934831.98</v>
      </c>
      <c r="I56" s="200">
        <f t="shared" si="3"/>
        <v>130183.09</v>
      </c>
      <c r="J56" s="200">
        <f t="shared" si="3"/>
        <v>2162574.3</v>
      </c>
      <c r="K56" s="200">
        <f t="shared" si="3"/>
        <v>8248348.4</v>
      </c>
    </row>
    <row r="57" ht="14.25" customHeight="1">
      <c r="A57" s="99" t="s">
        <v>113</v>
      </c>
      <c r="B57" s="98" t="s">
        <v>26</v>
      </c>
      <c r="C57" s="98" t="s">
        <v>80</v>
      </c>
      <c r="D57" s="188">
        <v>75128.76</v>
      </c>
      <c r="E57" s="188">
        <v>1947.89</v>
      </c>
      <c r="F57" s="188">
        <v>958483.93</v>
      </c>
      <c r="G57" s="188">
        <v>414318.12</v>
      </c>
      <c r="H57" s="189">
        <v>44593.42</v>
      </c>
      <c r="I57" s="189">
        <v>6935.03</v>
      </c>
      <c r="J57" s="189">
        <v>1152625.7</v>
      </c>
      <c r="K57" s="189">
        <v>117045.18</v>
      </c>
    </row>
    <row r="58" ht="14.25" customHeight="1">
      <c r="A58" s="98" t="s">
        <v>114</v>
      </c>
      <c r="B58" s="98" t="s">
        <v>26</v>
      </c>
      <c r="C58" s="98" t="s">
        <v>80</v>
      </c>
      <c r="D58" s="188">
        <v>503823.87</v>
      </c>
      <c r="E58" s="188">
        <v>10556.17</v>
      </c>
      <c r="F58" s="188">
        <v>2467016.0</v>
      </c>
      <c r="G58" s="188">
        <v>1459074.81</v>
      </c>
      <c r="H58" s="189">
        <v>657291.8399999999</v>
      </c>
      <c r="I58" s="189">
        <v>3842.5300000000007</v>
      </c>
      <c r="J58" s="189">
        <v>836921.4300000002</v>
      </c>
      <c r="K58" s="189">
        <v>683057.8400000001</v>
      </c>
    </row>
    <row r="59" ht="14.25" customHeight="1">
      <c r="A59" s="98" t="s">
        <v>57</v>
      </c>
      <c r="B59" s="98" t="s">
        <v>26</v>
      </c>
      <c r="C59" s="98" t="s">
        <v>80</v>
      </c>
      <c r="D59" s="188">
        <v>20909.6</v>
      </c>
      <c r="E59" s="188">
        <v>7967.03</v>
      </c>
      <c r="F59" s="188"/>
      <c r="G59" s="188"/>
      <c r="H59" s="189">
        <v>5153.509999999999</v>
      </c>
      <c r="I59" s="189">
        <v>513.78</v>
      </c>
      <c r="J59" s="189">
        <v>1020.01</v>
      </c>
      <c r="K59" s="189">
        <v>0.0</v>
      </c>
      <c r="L59" s="204"/>
    </row>
    <row r="60" ht="14.25" customHeight="1">
      <c r="A60" s="98" t="s">
        <v>112</v>
      </c>
      <c r="B60" s="98" t="s">
        <v>26</v>
      </c>
      <c r="C60" s="98" t="s">
        <v>80</v>
      </c>
      <c r="D60" s="188">
        <v>17462.3</v>
      </c>
      <c r="E60" s="188"/>
      <c r="F60" s="188">
        <v>582.76</v>
      </c>
      <c r="G60" s="188"/>
      <c r="H60" s="189">
        <v>51720.87</v>
      </c>
      <c r="I60" s="189">
        <v>2467.98</v>
      </c>
      <c r="J60" s="189">
        <v>137436.41</v>
      </c>
      <c r="K60" s="189">
        <v>0.0</v>
      </c>
      <c r="L60" s="204"/>
    </row>
    <row r="61" ht="14.25" customHeight="1">
      <c r="A61" s="125" t="s">
        <v>55</v>
      </c>
      <c r="B61" s="125" t="s">
        <v>26</v>
      </c>
      <c r="C61" s="125" t="s">
        <v>80</v>
      </c>
      <c r="D61" s="188">
        <v>471194.69</v>
      </c>
      <c r="E61" s="188">
        <v>29133.71</v>
      </c>
      <c r="F61" s="188">
        <v>2078501.21</v>
      </c>
      <c r="G61" s="188">
        <v>4318636.56</v>
      </c>
      <c r="H61" s="189">
        <v>623271.94</v>
      </c>
      <c r="I61" s="189">
        <v>3243.79</v>
      </c>
      <c r="J61" s="189">
        <v>767715.3300000001</v>
      </c>
      <c r="K61" s="189">
        <v>434051.63</v>
      </c>
      <c r="L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>
        <v>0.0</v>
      </c>
      <c r="I62" s="189">
        <v>0.0</v>
      </c>
      <c r="J62" s="189">
        <v>0.0</v>
      </c>
      <c r="K62" s="189">
        <v>0.0</v>
      </c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>
        <v>124200.08</v>
      </c>
      <c r="E64" s="188">
        <v>602.76</v>
      </c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>
        <v>118666.61</v>
      </c>
      <c r="E65" s="188">
        <v>3389.71</v>
      </c>
      <c r="F65" s="188">
        <v>390907.29</v>
      </c>
      <c r="G65" s="188">
        <v>532998.33</v>
      </c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1331385.91</v>
      </c>
      <c r="E66" s="200">
        <f t="shared" si="4"/>
        <v>53597.27</v>
      </c>
      <c r="F66" s="200">
        <f t="shared" si="4"/>
        <v>5895491.19</v>
      </c>
      <c r="G66" s="200">
        <f t="shared" si="4"/>
        <v>6725027.82</v>
      </c>
      <c r="H66" s="200">
        <f t="shared" si="4"/>
        <v>1382031.58</v>
      </c>
      <c r="I66" s="200">
        <f t="shared" si="4"/>
        <v>17003.11</v>
      </c>
      <c r="J66" s="200">
        <f t="shared" si="4"/>
        <v>2895718.88</v>
      </c>
      <c r="K66" s="200">
        <f t="shared" si="4"/>
        <v>1234154.65</v>
      </c>
    </row>
    <row r="67" ht="14.25" customHeight="1">
      <c r="A67" s="125" t="s">
        <v>119</v>
      </c>
      <c r="B67" s="98" t="s">
        <v>25</v>
      </c>
      <c r="C67" s="125" t="s">
        <v>120</v>
      </c>
      <c r="D67" s="205">
        <v>323496.29</v>
      </c>
      <c r="E67" s="205">
        <f>5235.98+1684</f>
        <v>6919.98</v>
      </c>
      <c r="F67" s="205">
        <f>2208036.96+185193</f>
        <v>2393229.96</v>
      </c>
      <c r="G67" s="205">
        <v>1818856.03</v>
      </c>
      <c r="H67" s="189">
        <v>78327.82999999999</v>
      </c>
      <c r="I67" s="189">
        <v>3407.85</v>
      </c>
      <c r="J67" s="189">
        <v>352439.34</v>
      </c>
      <c r="K67" s="189">
        <v>61510.79</v>
      </c>
      <c r="L67" s="141"/>
    </row>
    <row r="68" ht="14.25" customHeight="1">
      <c r="A68" s="99" t="s">
        <v>35</v>
      </c>
      <c r="B68" s="98" t="s">
        <v>23</v>
      </c>
      <c r="C68" s="98" t="s">
        <v>121</v>
      </c>
      <c r="D68" s="199">
        <v>1182457.13</v>
      </c>
      <c r="E68" s="199">
        <v>120819.87</v>
      </c>
      <c r="F68" s="199">
        <v>2651463.62</v>
      </c>
      <c r="G68" s="199">
        <v>6996130.87</v>
      </c>
      <c r="H68" s="189">
        <v>784798.63</v>
      </c>
      <c r="I68" s="189">
        <v>26197.079999999998</v>
      </c>
      <c r="J68" s="189">
        <v>1169035.81</v>
      </c>
      <c r="K68" s="189">
        <v>4424175.02</v>
      </c>
    </row>
    <row r="69" ht="14.25" customHeight="1">
      <c r="A69" s="98" t="s">
        <v>122</v>
      </c>
      <c r="B69" s="98" t="s">
        <v>25</v>
      </c>
      <c r="C69" s="98" t="s">
        <v>121</v>
      </c>
      <c r="D69" s="199"/>
      <c r="E69" s="199"/>
      <c r="F69" s="199"/>
      <c r="G69" s="199"/>
      <c r="H69" s="189">
        <v>52808.64000000001</v>
      </c>
      <c r="I69" s="189">
        <v>1751.68</v>
      </c>
      <c r="J69" s="189">
        <v>0.0</v>
      </c>
      <c r="K69" s="189">
        <v>790363.03</v>
      </c>
    </row>
    <row r="70" ht="14.25" customHeight="1">
      <c r="A70" s="98" t="s">
        <v>123</v>
      </c>
      <c r="B70" s="98" t="s">
        <v>23</v>
      </c>
      <c r="C70" s="98" t="s">
        <v>121</v>
      </c>
      <c r="D70" s="199">
        <v>103057.52</v>
      </c>
      <c r="E70" s="199">
        <v>183.96</v>
      </c>
      <c r="F70" s="199"/>
      <c r="G70" s="199">
        <v>1496354.67</v>
      </c>
      <c r="H70" s="189">
        <v>0.0</v>
      </c>
      <c r="I70" s="189">
        <v>0.0</v>
      </c>
      <c r="J70" s="189">
        <v>233.5099999999984</v>
      </c>
      <c r="K70" s="189">
        <v>0.0</v>
      </c>
    </row>
    <row r="71" ht="14.25" customHeight="1">
      <c r="A71" s="98" t="s">
        <v>124</v>
      </c>
      <c r="B71" s="98" t="s">
        <v>23</v>
      </c>
      <c r="C71" s="98" t="s">
        <v>121</v>
      </c>
      <c r="D71" s="199"/>
      <c r="E71" s="199">
        <v>20819.07</v>
      </c>
      <c r="F71" s="199"/>
      <c r="G71" s="199"/>
      <c r="H71" s="189">
        <v>0.0</v>
      </c>
      <c r="I71" s="189">
        <v>0.0</v>
      </c>
      <c r="J71" s="189">
        <v>0.0</v>
      </c>
      <c r="K71" s="189">
        <v>0.0</v>
      </c>
    </row>
    <row r="72" ht="14.25" customHeight="1">
      <c r="A72" s="98" t="s">
        <v>125</v>
      </c>
      <c r="B72" s="98" t="s">
        <v>23</v>
      </c>
      <c r="C72" s="98" t="s">
        <v>121</v>
      </c>
      <c r="D72" s="199">
        <v>421988.32</v>
      </c>
      <c r="E72" s="199">
        <v>36497.85</v>
      </c>
      <c r="F72" s="199">
        <v>4223645.36</v>
      </c>
      <c r="G72" s="199">
        <v>3101462.98</v>
      </c>
      <c r="H72" s="189">
        <v>230621.63</v>
      </c>
      <c r="I72" s="189">
        <v>27644.739999999998</v>
      </c>
      <c r="J72" s="189">
        <v>2537654.25</v>
      </c>
      <c r="K72" s="189">
        <v>1477484.02</v>
      </c>
    </row>
    <row r="73" ht="14.25" customHeight="1">
      <c r="A73" s="87" t="s">
        <v>126</v>
      </c>
      <c r="B73" s="98" t="s">
        <v>23</v>
      </c>
      <c r="C73" s="98" t="s">
        <v>121</v>
      </c>
      <c r="D73" s="199">
        <v>1278977.96</v>
      </c>
      <c r="E73" s="199">
        <v>25786.46</v>
      </c>
      <c r="F73" s="199">
        <v>1.199162561E7</v>
      </c>
      <c r="G73" s="199">
        <v>1.147738973E7</v>
      </c>
      <c r="H73" s="189">
        <v>885971.56</v>
      </c>
      <c r="I73" s="189">
        <v>20301.55</v>
      </c>
      <c r="J73" s="189">
        <v>4333787.42</v>
      </c>
      <c r="K73" s="189">
        <v>7007549.74</v>
      </c>
    </row>
    <row r="74" ht="14.25" customHeight="1">
      <c r="A74" s="98" t="s">
        <v>127</v>
      </c>
      <c r="B74" s="98" t="s">
        <v>23</v>
      </c>
      <c r="C74" s="98" t="s">
        <v>121</v>
      </c>
      <c r="D74" s="199">
        <v>94091.69</v>
      </c>
      <c r="E74" s="199">
        <v>5850.93</v>
      </c>
      <c r="F74" s="199"/>
      <c r="G74" s="199"/>
      <c r="H74" s="189">
        <v>0.0</v>
      </c>
      <c r="I74" s="189">
        <v>1542.44</v>
      </c>
      <c r="J74" s="189">
        <v>0.0</v>
      </c>
      <c r="K74" s="189">
        <v>0.0</v>
      </c>
    </row>
    <row r="75" ht="14.25" customHeight="1">
      <c r="A75" s="206" t="s">
        <v>128</v>
      </c>
      <c r="B75" s="207"/>
      <c r="C75" s="207"/>
      <c r="D75" s="208">
        <f t="shared" ref="D75:K75" si="5">SUM(D67:D74)</f>
        <v>3404068.91</v>
      </c>
      <c r="E75" s="208">
        <f t="shared" si="5"/>
        <v>216878.12</v>
      </c>
      <c r="F75" s="208">
        <f t="shared" si="5"/>
        <v>21259964.55</v>
      </c>
      <c r="G75" s="208">
        <f t="shared" si="5"/>
        <v>24890194.28</v>
      </c>
      <c r="H75" s="208">
        <f t="shared" si="5"/>
        <v>2032528.29</v>
      </c>
      <c r="I75" s="208">
        <f t="shared" si="5"/>
        <v>80845.34</v>
      </c>
      <c r="J75" s="208">
        <f t="shared" si="5"/>
        <v>8393150.33</v>
      </c>
      <c r="K75" s="208">
        <f t="shared" si="5"/>
        <v>13761082.6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12507528.65</v>
      </c>
      <c r="E76" s="196">
        <f t="shared" si="6"/>
        <v>618564.33</v>
      </c>
      <c r="F76" s="196">
        <f t="shared" si="6"/>
        <v>35895361.35</v>
      </c>
      <c r="G76" s="196">
        <f t="shared" si="6"/>
        <v>92537771.58</v>
      </c>
      <c r="H76" s="196">
        <f t="shared" si="6"/>
        <v>7925382.64</v>
      </c>
      <c r="I76" s="196">
        <f t="shared" si="6"/>
        <v>512660.03</v>
      </c>
      <c r="J76" s="196">
        <f t="shared" si="6"/>
        <v>23181780.14</v>
      </c>
      <c r="K76" s="196">
        <f t="shared" si="6"/>
        <v>42317693.37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D78" s="141"/>
      <c r="E78" s="141"/>
      <c r="F78" s="141"/>
      <c r="G78" s="141"/>
      <c r="H78" s="113"/>
      <c r="I78" s="113"/>
      <c r="J78" s="113"/>
    </row>
    <row r="79" ht="14.25" customHeight="1">
      <c r="A79" s="4"/>
      <c r="B79" s="4"/>
      <c r="C79" s="4"/>
      <c r="F79" s="141"/>
      <c r="H79" s="113"/>
      <c r="I79" s="113"/>
      <c r="J79" s="113"/>
    </row>
    <row r="80" ht="14.25" customHeight="1">
      <c r="A80" s="4"/>
      <c r="B80" s="4"/>
      <c r="C80" s="4"/>
      <c r="E80" s="141"/>
      <c r="F80" s="141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8" width="16.88"/>
    <col customWidth="1" min="9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99">
        <f>359138.828417525-2452-D4-D5-D6-D69-D70</f>
        <v>398667.5673</v>
      </c>
      <c r="E3" s="199">
        <f>37747.2458591074-E4-E5-E69-E70-E6</f>
        <v>36035.46528</v>
      </c>
      <c r="F3" s="199">
        <f>47138.0629308915-F4-F5-F6-F69-F70</f>
        <v>34948.92107</v>
      </c>
      <c r="G3" s="199">
        <f>-3958477.55+78708-G4-G6</f>
        <v>-3749060.34</v>
      </c>
      <c r="H3" s="189">
        <v>300015.4126728496</v>
      </c>
      <c r="I3" s="189">
        <v>108408.37686540294</v>
      </c>
      <c r="J3" s="189">
        <v>21835.328290515252</v>
      </c>
      <c r="K3" s="189">
        <v>669313.26</v>
      </c>
    </row>
    <row r="4" ht="14.25" customHeight="1">
      <c r="A4" s="98" t="s">
        <v>64</v>
      </c>
      <c r="B4" s="98" t="s">
        <v>25</v>
      </c>
      <c r="C4" s="98" t="s">
        <v>13</v>
      </c>
      <c r="D4" s="199">
        <v>64743.78694589805</v>
      </c>
      <c r="E4" s="199">
        <v>3929.769176882663</v>
      </c>
      <c r="F4" s="199">
        <v>12189.14185639229</v>
      </c>
      <c r="G4" s="199">
        <v>-5103.53</v>
      </c>
      <c r="H4" s="189">
        <v>58268.3024414297</v>
      </c>
      <c r="I4" s="189">
        <v>3658.018157552011</v>
      </c>
      <c r="J4" s="189">
        <v>0.0</v>
      </c>
      <c r="K4" s="189">
        <v>566732.81</v>
      </c>
    </row>
    <row r="5" ht="14.25" customHeight="1">
      <c r="A5" s="98" t="s">
        <v>37</v>
      </c>
      <c r="B5" s="98" t="s">
        <v>25</v>
      </c>
      <c r="C5" s="98" t="s">
        <v>13</v>
      </c>
      <c r="D5" s="199">
        <v>0.0</v>
      </c>
      <c r="E5" s="199">
        <v>139.4157767744809</v>
      </c>
      <c r="F5" s="199">
        <v>0.0</v>
      </c>
      <c r="G5" s="199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203">
        <v>-106724.52580250212</v>
      </c>
      <c r="E6" s="203">
        <v>1756.7926373726696</v>
      </c>
      <c r="F6" s="203">
        <v>0.0</v>
      </c>
      <c r="G6" s="203">
        <v>-125605.68</v>
      </c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99"/>
      <c r="E7" s="199"/>
      <c r="F7" s="199"/>
      <c r="G7" s="199"/>
      <c r="H7" s="189">
        <v>0.0</v>
      </c>
      <c r="I7" s="189">
        <v>0.0</v>
      </c>
      <c r="J7" s="189">
        <v>0.0</v>
      </c>
      <c r="K7" s="189">
        <v>0.0</v>
      </c>
    </row>
    <row r="8" ht="14.25" customHeight="1">
      <c r="A8" s="126" t="s">
        <v>67</v>
      </c>
      <c r="B8" s="127"/>
      <c r="C8" s="127"/>
      <c r="D8" s="200">
        <f t="shared" ref="D8:K8" si="1">SUM(D3:D7)</f>
        <v>356686.8284</v>
      </c>
      <c r="E8" s="200">
        <f t="shared" si="1"/>
        <v>41861.44288</v>
      </c>
      <c r="F8" s="200">
        <f t="shared" si="1"/>
        <v>47138.06293</v>
      </c>
      <c r="G8" s="200">
        <f t="shared" si="1"/>
        <v>-3879769.55</v>
      </c>
      <c r="H8" s="200">
        <f t="shared" si="1"/>
        <v>358283.7151</v>
      </c>
      <c r="I8" s="200">
        <f t="shared" si="1"/>
        <v>112066.395</v>
      </c>
      <c r="J8" s="200">
        <f t="shared" si="1"/>
        <v>21835.32829</v>
      </c>
      <c r="K8" s="200">
        <f t="shared" si="1"/>
        <v>1236046.07</v>
      </c>
    </row>
    <row r="9" ht="14.25" customHeight="1">
      <c r="A9" s="125" t="s">
        <v>68</v>
      </c>
      <c r="B9" s="98" t="s">
        <v>25</v>
      </c>
      <c r="C9" s="125" t="s">
        <v>69</v>
      </c>
      <c r="D9" s="193">
        <v>42282.46971202336</v>
      </c>
      <c r="E9" s="193">
        <v>0.0</v>
      </c>
      <c r="F9" s="193">
        <v>0.0</v>
      </c>
      <c r="G9" s="209">
        <v>-103495.14</v>
      </c>
      <c r="H9" s="189">
        <v>2695.5143100998916</v>
      </c>
      <c r="I9" s="189">
        <v>0.0</v>
      </c>
      <c r="J9" s="189">
        <v>0.0</v>
      </c>
      <c r="K9" s="189">
        <v>-41153.03</v>
      </c>
    </row>
    <row r="10" ht="14.25" customHeight="1">
      <c r="A10" s="98" t="s">
        <v>39</v>
      </c>
      <c r="B10" s="98" t="s">
        <v>25</v>
      </c>
      <c r="C10" s="98" t="s">
        <v>69</v>
      </c>
      <c r="D10" s="188">
        <v>500380.19977861864</v>
      </c>
      <c r="E10" s="188">
        <v>327084.2064613429</v>
      </c>
      <c r="F10" s="188">
        <v>9044.708931698775</v>
      </c>
      <c r="G10" s="188">
        <v>863163.98</v>
      </c>
      <c r="H10" s="189">
        <v>448536.0856671217</v>
      </c>
      <c r="I10" s="189">
        <v>25012.758331807458</v>
      </c>
      <c r="J10" s="189">
        <v>75525.52083631892</v>
      </c>
      <c r="K10" s="189">
        <v>98775.62999999999</v>
      </c>
    </row>
    <row r="11" ht="14.25" customHeight="1">
      <c r="A11" s="98" t="s">
        <v>70</v>
      </c>
      <c r="B11" s="98" t="s">
        <v>25</v>
      </c>
      <c r="C11" s="98" t="s">
        <v>69</v>
      </c>
      <c r="D11" s="188">
        <v>90917.07438237585</v>
      </c>
      <c r="E11" s="188">
        <v>21345.01523770153</v>
      </c>
      <c r="F11" s="188">
        <v>238169.5655026577</v>
      </c>
      <c r="G11" s="188">
        <v>-572443.19</v>
      </c>
      <c r="H11" s="189">
        <v>111681.05818512871</v>
      </c>
      <c r="I11" s="189">
        <v>41213.23125297484</v>
      </c>
      <c r="J11" s="189">
        <v>127035.7200653776</v>
      </c>
      <c r="K11" s="189">
        <v>-698089.3300000001</v>
      </c>
    </row>
    <row r="12" ht="14.25" customHeight="1">
      <c r="A12" s="98" t="s">
        <v>71</v>
      </c>
      <c r="B12" s="98" t="s">
        <v>25</v>
      </c>
      <c r="C12" s="98" t="s">
        <v>69</v>
      </c>
      <c r="D12" s="188">
        <v>470.5298013245033</v>
      </c>
      <c r="E12" s="188">
        <v>0.0</v>
      </c>
      <c r="F12" s="188">
        <v>0.0</v>
      </c>
      <c r="G12" s="188"/>
      <c r="H12" s="189">
        <v>0.0</v>
      </c>
      <c r="I12" s="189">
        <v>0.0</v>
      </c>
      <c r="J12" s="189">
        <v>0.0</v>
      </c>
      <c r="K12" s="189">
        <v>-233653.23</v>
      </c>
    </row>
    <row r="13" ht="14.25" customHeight="1">
      <c r="A13" s="98" t="s">
        <v>58</v>
      </c>
      <c r="B13" s="98" t="s">
        <v>25</v>
      </c>
      <c r="C13" s="98" t="s">
        <v>69</v>
      </c>
      <c r="D13" s="188">
        <v>0.0</v>
      </c>
      <c r="E13" s="188">
        <v>85.87800627396305</v>
      </c>
      <c r="F13" s="188">
        <v>0.0</v>
      </c>
      <c r="G13" s="188"/>
      <c r="H13" s="189">
        <v>0.0</v>
      </c>
      <c r="I13" s="189">
        <v>5556.913736441467</v>
      </c>
      <c r="J13" s="189">
        <v>0.0</v>
      </c>
      <c r="K13" s="189">
        <v>0.0</v>
      </c>
    </row>
    <row r="14" ht="14.25" customHeight="1">
      <c r="A14" s="98" t="s">
        <v>72</v>
      </c>
      <c r="B14" s="98" t="s">
        <v>25</v>
      </c>
      <c r="C14" s="98" t="s">
        <v>69</v>
      </c>
      <c r="D14" s="188">
        <v>17096.61852765058</v>
      </c>
      <c r="E14" s="188">
        <v>0.0</v>
      </c>
      <c r="F14" s="188">
        <v>0.0</v>
      </c>
      <c r="G14" s="188">
        <v>-25575.66</v>
      </c>
      <c r="H14" s="189">
        <v>981.0890260293354</v>
      </c>
      <c r="I14" s="189">
        <v>15120.947484459406</v>
      </c>
      <c r="J14" s="189">
        <v>-37034.22499083914</v>
      </c>
      <c r="K14" s="189">
        <v>-668224.97</v>
      </c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>
        <v>0.0</v>
      </c>
      <c r="I15" s="189">
        <v>0.0</v>
      </c>
      <c r="J15" s="189">
        <v>0.0</v>
      </c>
      <c r="K15" s="189">
        <v>0.0</v>
      </c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>
        <v>0.0</v>
      </c>
      <c r="I16" s="189">
        <v>0.0</v>
      </c>
      <c r="J16" s="189">
        <v>0.0</v>
      </c>
      <c r="K16" s="189">
        <v>0.0</v>
      </c>
    </row>
    <row r="17" ht="14.25" customHeight="1">
      <c r="A17" s="98" t="s">
        <v>33</v>
      </c>
      <c r="B17" s="98" t="s">
        <v>25</v>
      </c>
      <c r="C17" s="98" t="s">
        <v>69</v>
      </c>
      <c r="D17" s="188">
        <v>20385.72251386044</v>
      </c>
      <c r="E17" s="188">
        <v>57248.46425326171</v>
      </c>
      <c r="F17" s="188">
        <v>11599.18739054291</v>
      </c>
      <c r="G17" s="188">
        <v>-837449.34</v>
      </c>
      <c r="H17" s="189">
        <v>63269.39717830013</v>
      </c>
      <c r="I17" s="189">
        <v>75269.29996865832</v>
      </c>
      <c r="J17" s="189">
        <v>0.0</v>
      </c>
      <c r="K17" s="189">
        <v>561446.1299999999</v>
      </c>
    </row>
    <row r="18" ht="14.25" customHeight="1">
      <c r="A18" s="98" t="s">
        <v>75</v>
      </c>
      <c r="B18" s="98" t="s">
        <v>25</v>
      </c>
      <c r="C18" s="98" t="s">
        <v>69</v>
      </c>
      <c r="D18" s="188">
        <v>87483.94456426201</v>
      </c>
      <c r="E18" s="188">
        <v>7143.348406482864</v>
      </c>
      <c r="F18" s="188">
        <v>721036.9198207773</v>
      </c>
      <c r="G18" s="188">
        <f>168852.74-190732</f>
        <v>-21879.26</v>
      </c>
      <c r="H18" s="189">
        <v>102465.44633486688</v>
      </c>
      <c r="I18" s="189">
        <v>57788.55603468144</v>
      </c>
      <c r="J18" s="189">
        <v>70330.23314592849</v>
      </c>
      <c r="K18" s="189">
        <v>-2113877.0300000003</v>
      </c>
    </row>
    <row r="19" ht="14.25" customHeight="1">
      <c r="A19" s="98" t="s">
        <v>41</v>
      </c>
      <c r="B19" s="98" t="s">
        <v>25</v>
      </c>
      <c r="C19" s="98" t="s">
        <v>69</v>
      </c>
      <c r="D19" s="188">
        <v>8188.299824868652</v>
      </c>
      <c r="E19" s="188">
        <v>0.0</v>
      </c>
      <c r="F19" s="188">
        <v>0.0</v>
      </c>
      <c r="G19" s="188">
        <v>-190731.895</v>
      </c>
      <c r="H19" s="189">
        <v>686.0330922190202</v>
      </c>
      <c r="I19" s="189">
        <v>7775.894322760394</v>
      </c>
      <c r="J19" s="189">
        <v>0.0</v>
      </c>
      <c r="K19" s="189">
        <v>0.0</v>
      </c>
    </row>
    <row r="20" ht="14.25" customHeight="1">
      <c r="A20" s="123" t="s">
        <v>76</v>
      </c>
      <c r="B20" s="98" t="s">
        <v>25</v>
      </c>
      <c r="C20" s="98" t="s">
        <v>69</v>
      </c>
      <c r="D20" s="190">
        <v>29490.32408293535</v>
      </c>
      <c r="E20" s="190">
        <v>0.0</v>
      </c>
      <c r="F20" s="190">
        <v>0.0</v>
      </c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>
        <v>0.0</v>
      </c>
      <c r="I21" s="189">
        <v>2424.576373767682</v>
      </c>
      <c r="J21" s="189">
        <v>0.0</v>
      </c>
      <c r="K21" s="189">
        <v>0.0</v>
      </c>
    </row>
    <row r="22" ht="14.25" customHeight="1">
      <c r="A22" s="126" t="s">
        <v>78</v>
      </c>
      <c r="B22" s="127"/>
      <c r="C22" s="127"/>
      <c r="D22" s="200">
        <f t="shared" ref="D22:K22" si="2">SUM(D9:D21)</f>
        <v>796695.1832</v>
      </c>
      <c r="E22" s="200">
        <f t="shared" si="2"/>
        <v>412906.9124</v>
      </c>
      <c r="F22" s="200">
        <f t="shared" si="2"/>
        <v>979850.3816</v>
      </c>
      <c r="G22" s="200">
        <f t="shared" si="2"/>
        <v>-888410.505</v>
      </c>
      <c r="H22" s="200">
        <f t="shared" si="2"/>
        <v>730314.6238</v>
      </c>
      <c r="I22" s="200">
        <f t="shared" si="2"/>
        <v>230162.1775</v>
      </c>
      <c r="J22" s="200">
        <f t="shared" si="2"/>
        <v>235857.2491</v>
      </c>
      <c r="K22" s="200">
        <f t="shared" si="2"/>
        <v>-3094775.83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89">
        <v>-10297.37332941695</v>
      </c>
      <c r="I23" s="189">
        <v>551.4198962622715</v>
      </c>
      <c r="J23" s="189">
        <v>0.0</v>
      </c>
      <c r="K23" s="189">
        <v>0.0</v>
      </c>
    </row>
    <row r="24" ht="14.25" customHeight="1">
      <c r="A24" s="99" t="s">
        <v>81</v>
      </c>
      <c r="B24" s="98" t="s">
        <v>23</v>
      </c>
      <c r="C24" s="98" t="s">
        <v>80</v>
      </c>
      <c r="D24" s="188">
        <v>0.0</v>
      </c>
      <c r="E24" s="188">
        <v>3071.944288323732</v>
      </c>
      <c r="F24" s="188">
        <v>0.0</v>
      </c>
      <c r="G24" s="188">
        <v>-11711.17</v>
      </c>
      <c r="H24" s="189">
        <v>-1752.237539986484</v>
      </c>
      <c r="I24" s="189">
        <v>0.0</v>
      </c>
      <c r="J24" s="189">
        <v>0.0</v>
      </c>
      <c r="K24" s="189">
        <v>-747499.1500000001</v>
      </c>
    </row>
    <row r="25" ht="14.25" customHeight="1">
      <c r="A25" s="99" t="s">
        <v>82</v>
      </c>
      <c r="B25" s="98" t="s">
        <v>23</v>
      </c>
      <c r="C25" s="98" t="s">
        <v>80</v>
      </c>
      <c r="D25" s="188">
        <v>13040.00986262768</v>
      </c>
      <c r="E25" s="188">
        <v>0.0</v>
      </c>
      <c r="F25" s="188">
        <v>3961.350288042715</v>
      </c>
      <c r="G25" s="188"/>
      <c r="H25" s="189">
        <v>35513.7904386605</v>
      </c>
      <c r="I25" s="189">
        <v>8995.333216032164</v>
      </c>
      <c r="J25" s="189">
        <v>36812.95799741853</v>
      </c>
      <c r="K25" s="189">
        <v>-2249.409999999996</v>
      </c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>
        <v>0.0</v>
      </c>
      <c r="I26" s="189">
        <v>0.0</v>
      </c>
      <c r="J26" s="189">
        <v>0.0</v>
      </c>
      <c r="K26" s="189">
        <v>0.0</v>
      </c>
    </row>
    <row r="27" ht="14.25" customHeight="1">
      <c r="A27" s="99" t="s">
        <v>83</v>
      </c>
      <c r="B27" s="98" t="s">
        <v>23</v>
      </c>
      <c r="C27" s="98" t="s">
        <v>80</v>
      </c>
      <c r="D27" s="188">
        <v>16479.71978984238</v>
      </c>
      <c r="E27" s="188">
        <v>0.0</v>
      </c>
      <c r="F27" s="188">
        <v>0.0</v>
      </c>
      <c r="G27" s="188"/>
      <c r="H27" s="189">
        <v>0.0</v>
      </c>
      <c r="I27" s="189">
        <v>0.0</v>
      </c>
      <c r="J27" s="189">
        <v>0.0</v>
      </c>
      <c r="K27" s="189">
        <v>-316054.63</v>
      </c>
    </row>
    <row r="28" ht="14.25" customHeight="1">
      <c r="A28" s="99" t="s">
        <v>84</v>
      </c>
      <c r="B28" s="98" t="s">
        <v>23</v>
      </c>
      <c r="C28" s="98" t="s">
        <v>80</v>
      </c>
      <c r="D28" s="188">
        <v>66178.08575118303</v>
      </c>
      <c r="E28" s="188">
        <v>58360.58182041568</v>
      </c>
      <c r="F28" s="188">
        <v>590.013699592525</v>
      </c>
      <c r="G28" s="188">
        <v>190697.65</v>
      </c>
      <c r="H28" s="189">
        <v>-1012.005255762425</v>
      </c>
      <c r="I28" s="189">
        <v>4648.128424986793</v>
      </c>
      <c r="J28" s="189">
        <v>1143.249679032024</v>
      </c>
      <c r="K28" s="189">
        <v>-202711.06</v>
      </c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>
        <v>0.0</v>
      </c>
      <c r="I29" s="189">
        <v>0.0</v>
      </c>
      <c r="J29" s="189">
        <v>0.0</v>
      </c>
      <c r="K29" s="189">
        <v>0.0</v>
      </c>
    </row>
    <row r="30" ht="14.25" customHeight="1">
      <c r="A30" s="98" t="s">
        <v>86</v>
      </c>
      <c r="B30" s="98" t="s">
        <v>23</v>
      </c>
      <c r="C30" s="98" t="s">
        <v>80</v>
      </c>
      <c r="D30" s="188">
        <v>25899.96951124894</v>
      </c>
      <c r="E30" s="188">
        <v>0.0</v>
      </c>
      <c r="F30" s="188">
        <v>0.0</v>
      </c>
      <c r="G30" s="188">
        <v>83007.68</v>
      </c>
      <c r="H30" s="189">
        <v>2688.176518011528</v>
      </c>
      <c r="I30" s="189">
        <v>624.0436308095135</v>
      </c>
      <c r="J30" s="189">
        <v>0.0</v>
      </c>
      <c r="K30" s="189">
        <v>-482691.81</v>
      </c>
    </row>
    <row r="31" ht="14.25" customHeight="1">
      <c r="A31" s="98" t="s">
        <v>87</v>
      </c>
      <c r="B31" s="98" t="s">
        <v>23</v>
      </c>
      <c r="C31" s="98" t="s">
        <v>80</v>
      </c>
      <c r="D31" s="188">
        <v>0.0</v>
      </c>
      <c r="E31" s="188">
        <v>19932.22957395477</v>
      </c>
      <c r="F31" s="188">
        <v>0.0</v>
      </c>
      <c r="G31" s="188">
        <v>-1757677.82</v>
      </c>
      <c r="H31" s="189">
        <v>11088.197413537186</v>
      </c>
      <c r="I31" s="189">
        <v>24346.582175997937</v>
      </c>
      <c r="J31" s="189">
        <v>0.0</v>
      </c>
      <c r="K31" s="189">
        <v>-193883.53999999998</v>
      </c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>
        <v>0.0</v>
      </c>
      <c r="I32" s="189">
        <v>0.0</v>
      </c>
      <c r="J32" s="189">
        <v>0.0</v>
      </c>
      <c r="K32" s="189">
        <v>0.0</v>
      </c>
    </row>
    <row r="33" ht="14.25" customHeight="1">
      <c r="A33" s="98" t="s">
        <v>89</v>
      </c>
      <c r="B33" s="98" t="s">
        <v>23</v>
      </c>
      <c r="C33" s="98" t="s">
        <v>80</v>
      </c>
      <c r="D33" s="188">
        <v>1430.786434271315</v>
      </c>
      <c r="E33" s="188">
        <v>3967.905542000698</v>
      </c>
      <c r="F33" s="188">
        <v>29299.64635435012</v>
      </c>
      <c r="G33" s="188"/>
      <c r="H33" s="189">
        <v>-47088.50206506076</v>
      </c>
      <c r="I33" s="189">
        <v>1100.878649807115</v>
      </c>
      <c r="J33" s="189">
        <v>24444.10894284333</v>
      </c>
      <c r="K33" s="189">
        <v>0.0</v>
      </c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>
        <v>0.0</v>
      </c>
      <c r="I34" s="189">
        <v>0.0</v>
      </c>
      <c r="J34" s="189">
        <v>0.0</v>
      </c>
      <c r="K34" s="189">
        <v>0.0</v>
      </c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>
        <v>0.0</v>
      </c>
      <c r="I35" s="189">
        <v>0.0</v>
      </c>
      <c r="J35" s="189">
        <v>0.0</v>
      </c>
      <c r="K35" s="189">
        <v>0.0</v>
      </c>
    </row>
    <row r="36" ht="14.25" customHeight="1">
      <c r="A36" s="99" t="s">
        <v>51</v>
      </c>
      <c r="B36" s="98" t="s">
        <v>23</v>
      </c>
      <c r="C36" s="98" t="s">
        <v>80</v>
      </c>
      <c r="D36" s="188">
        <v>1617860.9578027797</v>
      </c>
      <c r="E36" s="188">
        <v>191818.3751223443</v>
      </c>
      <c r="F36" s="188">
        <v>1811104.44938931</v>
      </c>
      <c r="G36" s="188">
        <v>2589350.34</v>
      </c>
      <c r="H36" s="189">
        <v>1277066.1056574665</v>
      </c>
      <c r="I36" s="189">
        <v>330588.97398069757</v>
      </c>
      <c r="J36" s="189">
        <v>5537034.227328334</v>
      </c>
      <c r="K36" s="189">
        <v>1.293426044E7</v>
      </c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>
        <v>0.0</v>
      </c>
      <c r="I37" s="189">
        <v>0.0</v>
      </c>
      <c r="J37" s="189">
        <v>0.0</v>
      </c>
      <c r="K37" s="189">
        <v>0.0</v>
      </c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>
        <v>0.0</v>
      </c>
      <c r="I38" s="189">
        <v>0.0</v>
      </c>
      <c r="J38" s="189">
        <v>0.0</v>
      </c>
      <c r="K38" s="189">
        <v>0.0</v>
      </c>
    </row>
    <row r="39" ht="14.25" customHeight="1">
      <c r="A39" s="98" t="s">
        <v>94</v>
      </c>
      <c r="B39" s="98" t="s">
        <v>23</v>
      </c>
      <c r="C39" s="98" t="s">
        <v>80</v>
      </c>
      <c r="D39" s="188">
        <v>37915.58168836623</v>
      </c>
      <c r="E39" s="188">
        <v>0.0</v>
      </c>
      <c r="F39" s="188">
        <v>0.0</v>
      </c>
      <c r="G39" s="188"/>
      <c r="H39" s="189">
        <v>-26085.00031348934</v>
      </c>
      <c r="I39" s="189">
        <v>0.0</v>
      </c>
      <c r="J39" s="189">
        <v>0.0</v>
      </c>
      <c r="K39" s="189">
        <v>623322.27</v>
      </c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>
        <v>-1490.843588860388</v>
      </c>
      <c r="I40" s="189">
        <v>0.0</v>
      </c>
      <c r="J40" s="189">
        <v>0.0</v>
      </c>
      <c r="K40" s="189">
        <v>0.0</v>
      </c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>
        <v>0.0</v>
      </c>
      <c r="I41" s="189">
        <v>0.0</v>
      </c>
      <c r="J41" s="189">
        <v>0.0</v>
      </c>
      <c r="K41" s="189">
        <v>-52867.72</v>
      </c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>
        <v>0.0</v>
      </c>
      <c r="I42" s="189">
        <v>0.0</v>
      </c>
      <c r="J42" s="189">
        <v>0.0</v>
      </c>
      <c r="K42" s="189">
        <v>0.0</v>
      </c>
    </row>
    <row r="43" ht="14.25" customHeight="1">
      <c r="A43" s="99" t="s">
        <v>96</v>
      </c>
      <c r="B43" s="98" t="s">
        <v>23</v>
      </c>
      <c r="C43" s="98" t="s">
        <v>80</v>
      </c>
      <c r="D43" s="210">
        <v>167971.9128044377</v>
      </c>
      <c r="E43" s="188">
        <v>22159.2069692044</v>
      </c>
      <c r="F43" s="188">
        <v>436339.0553751447</v>
      </c>
      <c r="G43" s="188">
        <v>573706.26</v>
      </c>
      <c r="H43" s="189">
        <v>140121.01217922312</v>
      </c>
      <c r="I43" s="189">
        <v>32657.401504571004</v>
      </c>
      <c r="J43" s="189">
        <v>84609.63848558304</v>
      </c>
      <c r="K43" s="189">
        <v>1677655.0400000003</v>
      </c>
    </row>
    <row r="44" ht="14.25" customHeight="1">
      <c r="A44" s="98" t="s">
        <v>97</v>
      </c>
      <c r="B44" s="98" t="s">
        <v>23</v>
      </c>
      <c r="C44" s="98" t="s">
        <v>80</v>
      </c>
      <c r="D44" s="188">
        <v>0.0</v>
      </c>
      <c r="E44" s="188">
        <v>5241.46582781457</v>
      </c>
      <c r="F44" s="188">
        <v>0.0</v>
      </c>
      <c r="G44" s="188"/>
      <c r="H44" s="189">
        <v>0.0</v>
      </c>
      <c r="I44" s="189">
        <v>0.0</v>
      </c>
      <c r="J44" s="189">
        <v>0.0</v>
      </c>
      <c r="K44" s="189">
        <v>-36599.060000000005</v>
      </c>
    </row>
    <row r="45" ht="14.25" customHeight="1">
      <c r="A45" s="98" t="s">
        <v>98</v>
      </c>
      <c r="B45" s="98" t="s">
        <v>23</v>
      </c>
      <c r="C45" s="98" t="s">
        <v>80</v>
      </c>
      <c r="D45" s="188">
        <v>1882.033975481611</v>
      </c>
      <c r="E45" s="188">
        <v>13601.85323992995</v>
      </c>
      <c r="F45" s="188">
        <v>0.0</v>
      </c>
      <c r="G45" s="188">
        <v>-601281.25</v>
      </c>
      <c r="H45" s="189">
        <v>0.0</v>
      </c>
      <c r="I45" s="189">
        <v>0.0</v>
      </c>
      <c r="J45" s="189">
        <v>0.0</v>
      </c>
      <c r="K45" s="189">
        <v>-54719.83</v>
      </c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>
        <v>0.0</v>
      </c>
      <c r="I46" s="189">
        <v>0.0</v>
      </c>
      <c r="J46" s="189">
        <v>0.0</v>
      </c>
      <c r="K46" s="189">
        <v>0.0</v>
      </c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>
        <v>0.0</v>
      </c>
      <c r="I47" s="189">
        <v>868.1033248804521</v>
      </c>
      <c r="J47" s="189">
        <v>0.0</v>
      </c>
      <c r="K47" s="189">
        <v>0.0</v>
      </c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>
        <v>0.0</v>
      </c>
      <c r="I48" s="189">
        <v>0.0</v>
      </c>
      <c r="J48" s="189">
        <v>0.0</v>
      </c>
      <c r="K48" s="189">
        <v>0.0</v>
      </c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>
        <v>0.0</v>
      </c>
      <c r="I49" s="189">
        <v>0.0</v>
      </c>
      <c r="J49" s="189">
        <v>0.0</v>
      </c>
      <c r="K49" s="189">
        <v>0.0</v>
      </c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>
        <v>0.0</v>
      </c>
      <c r="I50" s="189">
        <v>0.0</v>
      </c>
      <c r="J50" s="189">
        <v>34622.35391664848</v>
      </c>
      <c r="K50" s="189">
        <v>0.0</v>
      </c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>
        <v>0.0</v>
      </c>
      <c r="I51" s="189">
        <v>0.0</v>
      </c>
      <c r="J51" s="189">
        <v>0.0</v>
      </c>
      <c r="K51" s="189">
        <v>0.0</v>
      </c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>
        <v>0.0</v>
      </c>
      <c r="I52" s="189">
        <v>-1184.898160308678</v>
      </c>
      <c r="J52" s="189">
        <v>0.0</v>
      </c>
      <c r="K52" s="189">
        <v>0.0</v>
      </c>
    </row>
    <row r="53" ht="14.25" customHeight="1">
      <c r="A53" s="98" t="s">
        <v>110</v>
      </c>
      <c r="B53" s="98" t="s">
        <v>25</v>
      </c>
      <c r="C53" s="98" t="s">
        <v>80</v>
      </c>
      <c r="D53" s="199"/>
      <c r="E53" s="199"/>
      <c r="F53" s="199"/>
      <c r="G53" s="199">
        <v>-59363.66</v>
      </c>
      <c r="H53" s="189"/>
      <c r="I53" s="189"/>
      <c r="J53" s="189"/>
      <c r="K53" s="189"/>
    </row>
    <row r="54" ht="14.25" customHeight="1">
      <c r="A54" s="98" t="s">
        <v>104</v>
      </c>
      <c r="B54" s="98" t="s">
        <v>23</v>
      </c>
      <c r="C54" s="98" t="s">
        <v>80</v>
      </c>
      <c r="D54" s="188"/>
      <c r="E54" s="188"/>
      <c r="F54" s="188"/>
      <c r="G54" s="188"/>
      <c r="H54" s="189">
        <v>0.0</v>
      </c>
      <c r="I54" s="189">
        <v>-13185.52513808145</v>
      </c>
      <c r="J54" s="189">
        <v>0.0</v>
      </c>
      <c r="K54" s="189">
        <v>0.0</v>
      </c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>
        <v>0.0</v>
      </c>
      <c r="I55" s="189">
        <v>-659.1768634902077</v>
      </c>
      <c r="J55" s="189">
        <v>0.0</v>
      </c>
      <c r="K55" s="189">
        <v>0.0</v>
      </c>
    </row>
    <row r="56" ht="14.25" customHeight="1">
      <c r="A56" s="133" t="s">
        <v>16</v>
      </c>
      <c r="B56" s="127"/>
      <c r="C56" s="127"/>
      <c r="D56" s="200">
        <f t="shared" ref="D56:K56" si="3">SUM(D23:D55)</f>
        <v>1948659.058</v>
      </c>
      <c r="E56" s="200">
        <f t="shared" si="3"/>
        <v>318153.5624</v>
      </c>
      <c r="F56" s="200">
        <f t="shared" si="3"/>
        <v>2281294.515</v>
      </c>
      <c r="G56" s="200">
        <f t="shared" si="3"/>
        <v>1006728.03</v>
      </c>
      <c r="H56" s="200">
        <f t="shared" si="3"/>
        <v>1378751.32</v>
      </c>
      <c r="I56" s="200">
        <f t="shared" si="3"/>
        <v>389351.2646</v>
      </c>
      <c r="J56" s="200">
        <f t="shared" si="3"/>
        <v>5718666.536</v>
      </c>
      <c r="K56" s="200">
        <f t="shared" si="3"/>
        <v>13145961.54</v>
      </c>
    </row>
    <row r="57" ht="14.25" customHeight="1">
      <c r="A57" s="99" t="s">
        <v>113</v>
      </c>
      <c r="B57" s="98" t="s">
        <v>26</v>
      </c>
      <c r="C57" s="98" t="s">
        <v>80</v>
      </c>
      <c r="D57" s="188">
        <v>0.0</v>
      </c>
      <c r="E57" s="188">
        <v>2456.741721854304</v>
      </c>
      <c r="F57" s="188">
        <v>33159.93376873017</v>
      </c>
      <c r="G57" s="188">
        <v>-139627.19</v>
      </c>
      <c r="H57" s="189">
        <v>-3920.409606199004</v>
      </c>
      <c r="I57" s="189">
        <v>2967.354412773254</v>
      </c>
      <c r="J57" s="189">
        <v>23496.8519988167</v>
      </c>
      <c r="K57" s="189">
        <v>-139635.32</v>
      </c>
    </row>
    <row r="58" ht="14.25" customHeight="1">
      <c r="A58" s="98" t="s">
        <v>114</v>
      </c>
      <c r="B58" s="98" t="s">
        <v>26</v>
      </c>
      <c r="C58" s="98" t="s">
        <v>80</v>
      </c>
      <c r="D58" s="188">
        <v>6362.400892698305</v>
      </c>
      <c r="E58" s="188">
        <v>2348.3914624329195</v>
      </c>
      <c r="F58" s="188">
        <v>0.0</v>
      </c>
      <c r="G58" s="188">
        <v>11413.69</v>
      </c>
      <c r="H58" s="189">
        <v>-61341.923197092496</v>
      </c>
      <c r="I58" s="189">
        <v>11230.498903471886</v>
      </c>
      <c r="J58" s="189">
        <v>-100522.4896954213</v>
      </c>
      <c r="K58" s="189">
        <v>-326472.56000000006</v>
      </c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>
        <v>0.0</v>
      </c>
      <c r="I59" s="189">
        <v>0.0</v>
      </c>
      <c r="J59" s="189">
        <v>0.0</v>
      </c>
      <c r="K59" s="189">
        <v>0.0</v>
      </c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>
        <v>0.0</v>
      </c>
      <c r="I60" s="189">
        <v>0.0</v>
      </c>
      <c r="J60" s="189">
        <v>0.0</v>
      </c>
      <c r="K60" s="189">
        <v>0.0</v>
      </c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>
        <v>268435.0109997101</v>
      </c>
      <c r="I61" s="189">
        <v>78306.79570068044</v>
      </c>
      <c r="J61" s="189">
        <v>1279910.127610313</v>
      </c>
      <c r="K61" s="189">
        <v>3469941.0199999996</v>
      </c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>
        <v>0.0</v>
      </c>
      <c r="I62" s="189">
        <v>0.0</v>
      </c>
      <c r="J62" s="189">
        <v>0.0</v>
      </c>
      <c r="K62" s="189">
        <v>0.0</v>
      </c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>
        <v>0.0</v>
      </c>
      <c r="E64" s="188">
        <v>13487.39570233531</v>
      </c>
      <c r="F64" s="188">
        <v>0.0</v>
      </c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6362.400893</v>
      </c>
      <c r="E66" s="200">
        <f t="shared" si="4"/>
        <v>18292.52889</v>
      </c>
      <c r="F66" s="200">
        <f t="shared" si="4"/>
        <v>33159.93377</v>
      </c>
      <c r="G66" s="200">
        <f t="shared" si="4"/>
        <v>-128213.5</v>
      </c>
      <c r="H66" s="200">
        <f t="shared" si="4"/>
        <v>203172.6782</v>
      </c>
      <c r="I66" s="200">
        <f t="shared" si="4"/>
        <v>92504.64902</v>
      </c>
      <c r="J66" s="200">
        <f t="shared" si="4"/>
        <v>1202884.49</v>
      </c>
      <c r="K66" s="200">
        <f t="shared" si="4"/>
        <v>3003833.14</v>
      </c>
    </row>
    <row r="67" ht="14.25" customHeight="1">
      <c r="A67" s="125" t="s">
        <v>119</v>
      </c>
      <c r="B67" s="98" t="s">
        <v>25</v>
      </c>
      <c r="C67" s="125" t="s">
        <v>120</v>
      </c>
      <c r="D67" s="205">
        <f>456.196584175671+2452</f>
        <v>2908.196584</v>
      </c>
      <c r="E67" s="205">
        <v>2479.995082197555</v>
      </c>
      <c r="F67" s="205">
        <v>2875.653365181959</v>
      </c>
      <c r="G67" s="205"/>
      <c r="H67" s="189">
        <v>0.0</v>
      </c>
      <c r="I67" s="189">
        <v>-1116.894809131269</v>
      </c>
      <c r="J67" s="189">
        <v>12239.79072809185</v>
      </c>
      <c r="K67" s="189">
        <v>0.0</v>
      </c>
    </row>
    <row r="68" ht="14.25" customHeight="1">
      <c r="A68" s="99" t="s">
        <v>35</v>
      </c>
      <c r="B68" s="98" t="s">
        <v>23</v>
      </c>
      <c r="C68" s="98" t="s">
        <v>121</v>
      </c>
      <c r="D68" s="199">
        <v>13229.08937571391</v>
      </c>
      <c r="E68" s="199">
        <v>0.0</v>
      </c>
      <c r="F68" s="199">
        <v>0.0</v>
      </c>
      <c r="G68" s="199">
        <v>-338641.52</v>
      </c>
      <c r="H68" s="189">
        <v>96782.21469702505</v>
      </c>
      <c r="I68" s="189">
        <v>24436.828944298453</v>
      </c>
      <c r="J68" s="189">
        <v>0.0</v>
      </c>
      <c r="K68" s="189">
        <v>-232702.29</v>
      </c>
    </row>
    <row r="69" ht="14.25" customHeight="1">
      <c r="A69" s="98" t="s">
        <v>122</v>
      </c>
      <c r="B69" s="98" t="s">
        <v>25</v>
      </c>
      <c r="C69" s="98" t="s">
        <v>121</v>
      </c>
      <c r="D69" s="199">
        <v>0.0</v>
      </c>
      <c r="E69" s="199">
        <v>-3636.073516828294</v>
      </c>
      <c r="F69" s="199">
        <v>0.0</v>
      </c>
      <c r="G69" s="199"/>
      <c r="H69" s="189">
        <v>0.0</v>
      </c>
      <c r="I69" s="189">
        <v>0.0</v>
      </c>
      <c r="J69" s="189">
        <v>0.0</v>
      </c>
      <c r="K69" s="189">
        <v>0.0</v>
      </c>
    </row>
    <row r="70" ht="14.25" customHeight="1">
      <c r="A70" s="98" t="s">
        <v>123</v>
      </c>
      <c r="B70" s="98" t="s">
        <v>23</v>
      </c>
      <c r="C70" s="98" t="s">
        <v>121</v>
      </c>
      <c r="D70" s="199">
        <v>0.0</v>
      </c>
      <c r="E70" s="199">
        <v>-478.123499890901</v>
      </c>
      <c r="F70" s="199">
        <v>0.0</v>
      </c>
      <c r="G70" s="199"/>
      <c r="H70" s="189">
        <v>0.0</v>
      </c>
      <c r="I70" s="189">
        <v>2705.356349552695</v>
      </c>
      <c r="J70" s="189">
        <v>0.0</v>
      </c>
      <c r="K70" s="189">
        <v>0.0</v>
      </c>
    </row>
    <row r="71" ht="14.25" customHeight="1">
      <c r="A71" s="98" t="s">
        <v>124</v>
      </c>
      <c r="B71" s="98" t="s">
        <v>23</v>
      </c>
      <c r="C71" s="98" t="s">
        <v>121</v>
      </c>
      <c r="D71" s="199"/>
      <c r="E71" s="199"/>
      <c r="F71" s="199"/>
      <c r="G71" s="199"/>
      <c r="H71" s="189">
        <v>0.0</v>
      </c>
      <c r="I71" s="189">
        <v>0.0</v>
      </c>
      <c r="J71" s="189">
        <v>0.0</v>
      </c>
      <c r="K71" s="189">
        <v>0.0</v>
      </c>
    </row>
    <row r="72" ht="14.25" customHeight="1">
      <c r="A72" s="98" t="s">
        <v>125</v>
      </c>
      <c r="B72" s="98" t="s">
        <v>23</v>
      </c>
      <c r="C72" s="98" t="s">
        <v>121</v>
      </c>
      <c r="D72" s="199">
        <v>5843.192356329913</v>
      </c>
      <c r="E72" s="199">
        <v>0.0</v>
      </c>
      <c r="F72" s="199">
        <v>0.0</v>
      </c>
      <c r="G72" s="199">
        <f>6233.21+(-78708)</f>
        <v>-72474.79</v>
      </c>
      <c r="H72" s="189">
        <v>-8810.406871127485</v>
      </c>
      <c r="I72" s="189">
        <v>1330.93330810564</v>
      </c>
      <c r="J72" s="189">
        <v>0.0</v>
      </c>
      <c r="K72" s="189"/>
    </row>
    <row r="73" ht="14.25" customHeight="1">
      <c r="A73" s="87" t="s">
        <v>126</v>
      </c>
      <c r="B73" s="98" t="s">
        <v>23</v>
      </c>
      <c r="C73" s="98" t="s">
        <v>121</v>
      </c>
      <c r="D73" s="199">
        <v>21004.600915815427</v>
      </c>
      <c r="E73" s="199">
        <v>11359.129634555962</v>
      </c>
      <c r="F73" s="199">
        <v>105547.2217162872</v>
      </c>
      <c r="G73" s="199"/>
      <c r="H73" s="189">
        <v>159.07441460051814</v>
      </c>
      <c r="I73" s="189">
        <v>42023.42172962219</v>
      </c>
      <c r="J73" s="189">
        <v>0.0</v>
      </c>
      <c r="K73" s="189">
        <v>-1077.41</v>
      </c>
    </row>
    <row r="74" ht="14.25" customHeight="1">
      <c r="A74" s="98" t="s">
        <v>127</v>
      </c>
      <c r="B74" s="98" t="s">
        <v>23</v>
      </c>
      <c r="C74" s="98" t="s">
        <v>121</v>
      </c>
      <c r="D74" s="199"/>
      <c r="E74" s="199"/>
      <c r="F74" s="199"/>
      <c r="G74" s="199"/>
      <c r="H74" s="189">
        <v>0.0</v>
      </c>
      <c r="I74" s="189">
        <v>1248.047539648521</v>
      </c>
      <c r="J74" s="189">
        <v>0.0</v>
      </c>
      <c r="K74" s="189">
        <v>0.0</v>
      </c>
    </row>
    <row r="75" ht="14.25" customHeight="1">
      <c r="A75" s="206" t="s">
        <v>128</v>
      </c>
      <c r="B75" s="207"/>
      <c r="C75" s="207"/>
      <c r="D75" s="208">
        <f t="shared" ref="D75:K75" si="5">SUM(D67:D74)</f>
        <v>42985.07923</v>
      </c>
      <c r="E75" s="208">
        <f t="shared" si="5"/>
        <v>9724.9277</v>
      </c>
      <c r="F75" s="208">
        <f t="shared" si="5"/>
        <v>108422.8751</v>
      </c>
      <c r="G75" s="208">
        <f t="shared" si="5"/>
        <v>-411116.31</v>
      </c>
      <c r="H75" s="208">
        <f t="shared" si="5"/>
        <v>88130.88224</v>
      </c>
      <c r="I75" s="208">
        <f t="shared" si="5"/>
        <v>70627.69306</v>
      </c>
      <c r="J75" s="208">
        <f t="shared" si="5"/>
        <v>12239.79073</v>
      </c>
      <c r="K75" s="208">
        <f t="shared" si="5"/>
        <v>-233779.7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3151388.549</v>
      </c>
      <c r="E76" s="196">
        <f t="shared" si="6"/>
        <v>800939.3742</v>
      </c>
      <c r="F76" s="196">
        <f t="shared" si="6"/>
        <v>3449865.769</v>
      </c>
      <c r="G76" s="196">
        <f t="shared" si="6"/>
        <v>-4300781.835</v>
      </c>
      <c r="H76" s="196">
        <f t="shared" si="6"/>
        <v>2758653.219</v>
      </c>
      <c r="I76" s="196">
        <f t="shared" si="6"/>
        <v>894712.1792</v>
      </c>
      <c r="J76" s="196">
        <f t="shared" si="6"/>
        <v>7191483.394</v>
      </c>
      <c r="K76" s="196">
        <f t="shared" si="6"/>
        <v>14057285.22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D78" s="141"/>
      <c r="E78" s="141"/>
      <c r="F78" s="141"/>
      <c r="G78" s="141"/>
      <c r="H78" s="113"/>
      <c r="I78" s="113"/>
      <c r="J78" s="113"/>
    </row>
    <row r="79" ht="14.25" customHeight="1">
      <c r="A79" s="4"/>
      <c r="B79" s="4"/>
      <c r="C79" s="4"/>
      <c r="D79" s="141"/>
      <c r="E79" s="141"/>
      <c r="F79" s="141"/>
      <c r="H79" s="113"/>
      <c r="I79" s="113"/>
      <c r="J79" s="113"/>
    </row>
    <row r="80" ht="14.25" customHeight="1">
      <c r="A80" s="4"/>
      <c r="B80" s="4"/>
      <c r="C80" s="4"/>
      <c r="G80" s="141"/>
      <c r="H80" s="113"/>
      <c r="I80" s="113"/>
      <c r="J80" s="113"/>
    </row>
    <row r="81" ht="14.25" customHeight="1">
      <c r="A81" s="4"/>
      <c r="B81" s="4"/>
      <c r="C81" s="4"/>
      <c r="G81" s="141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88"/>
      <c r="E3" s="188">
        <f>121856-323-670-E5-E6-E51-E71</f>
        <v>42770</v>
      </c>
      <c r="F3" s="188"/>
      <c r="G3" s="188"/>
      <c r="H3" s="189">
        <v>0.0</v>
      </c>
      <c r="I3" s="189">
        <v>219133.47</v>
      </c>
      <c r="J3" s="189"/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99"/>
      <c r="E4" s="199"/>
      <c r="F4" s="199"/>
      <c r="G4" s="188"/>
      <c r="H4" s="189">
        <v>0.0</v>
      </c>
      <c r="I4" s="189">
        <v>0.0</v>
      </c>
      <c r="J4" s="189"/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99"/>
      <c r="E5" s="199">
        <f>36524+5437</f>
        <v>41961</v>
      </c>
      <c r="F5" s="199"/>
      <c r="G5" s="188"/>
      <c r="H5" s="189"/>
      <c r="I5" s="189"/>
      <c r="J5" s="189"/>
      <c r="K5" s="189"/>
      <c r="L5" s="204"/>
    </row>
    <row r="6" ht="14.25" customHeight="1">
      <c r="A6" s="123" t="s">
        <v>65</v>
      </c>
      <c r="B6" s="98" t="s">
        <v>25</v>
      </c>
      <c r="C6" s="123" t="s">
        <v>13</v>
      </c>
      <c r="D6" s="203"/>
      <c r="E6" s="203">
        <f>13624+7282</f>
        <v>20906</v>
      </c>
      <c r="F6" s="203"/>
      <c r="G6" s="190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88"/>
      <c r="E7" s="188">
        <v>853.96</v>
      </c>
      <c r="F7" s="188"/>
      <c r="G7" s="188"/>
      <c r="H7" s="189">
        <v>0.0</v>
      </c>
      <c r="I7" s="189">
        <v>749.09</v>
      </c>
      <c r="J7" s="189"/>
      <c r="K7" s="189"/>
    </row>
    <row r="8" ht="14.25" customHeight="1">
      <c r="A8" s="126" t="s">
        <v>67</v>
      </c>
      <c r="B8" s="127"/>
      <c r="C8" s="127"/>
      <c r="D8" s="200">
        <f t="shared" ref="D8:K8" si="1">SUM(D3:D7)</f>
        <v>0</v>
      </c>
      <c r="E8" s="200">
        <f t="shared" si="1"/>
        <v>106490.96</v>
      </c>
      <c r="F8" s="200">
        <f t="shared" si="1"/>
        <v>0</v>
      </c>
      <c r="G8" s="200">
        <f t="shared" si="1"/>
        <v>0</v>
      </c>
      <c r="H8" s="200">
        <f t="shared" si="1"/>
        <v>0</v>
      </c>
      <c r="I8" s="200">
        <f t="shared" si="1"/>
        <v>219882.56</v>
      </c>
      <c r="J8" s="200">
        <f t="shared" si="1"/>
        <v>0</v>
      </c>
      <c r="K8" s="200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89">
        <v>0.0</v>
      </c>
      <c r="I9" s="189">
        <v>0.0</v>
      </c>
      <c r="J9" s="189"/>
      <c r="K9" s="189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>
        <v>0.0</v>
      </c>
      <c r="I10" s="189">
        <v>0.0</v>
      </c>
      <c r="J10" s="189"/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188"/>
      <c r="G11" s="188"/>
      <c r="H11" s="189">
        <v>0.0</v>
      </c>
      <c r="I11" s="189">
        <v>14637.27</v>
      </c>
      <c r="J11" s="189"/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>
        <v>0.0</v>
      </c>
      <c r="I12" s="189">
        <v>0.0</v>
      </c>
      <c r="J12" s="189"/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>
        <v>35235.0</v>
      </c>
      <c r="F13" s="188"/>
      <c r="G13" s="188"/>
      <c r="H13" s="189">
        <v>0.0</v>
      </c>
      <c r="I13" s="189">
        <v>12772.970000000001</v>
      </c>
      <c r="J13" s="189"/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>
        <v>7741.0</v>
      </c>
      <c r="F14" s="188"/>
      <c r="G14" s="188"/>
      <c r="H14" s="189">
        <v>0.0</v>
      </c>
      <c r="I14" s="189">
        <v>14771.4</v>
      </c>
      <c r="J14" s="189"/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>
        <v>0.0</v>
      </c>
      <c r="I15" s="189">
        <v>0.0</v>
      </c>
      <c r="J15" s="189"/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>
        <v>0.0</v>
      </c>
      <c r="I16" s="189">
        <v>0.0</v>
      </c>
      <c r="J16" s="189"/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>
        <v>80214.0</v>
      </c>
      <c r="F17" s="188"/>
      <c r="G17" s="188"/>
      <c r="H17" s="189">
        <v>0.0</v>
      </c>
      <c r="I17" s="189">
        <v>42132.51999999999</v>
      </c>
      <c r="J17" s="189"/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>
        <v>518.0</v>
      </c>
      <c r="E18" s="188">
        <v>14319.0</v>
      </c>
      <c r="F18" s="188"/>
      <c r="G18" s="188"/>
      <c r="H18" s="189">
        <v>529.51</v>
      </c>
      <c r="I18" s="189">
        <v>4063.74</v>
      </c>
      <c r="J18" s="189"/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>
        <v>0.0</v>
      </c>
      <c r="I19" s="189">
        <v>0.0</v>
      </c>
      <c r="J19" s="189"/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>
        <v>0.0</v>
      </c>
      <c r="I21" s="189">
        <v>0.0</v>
      </c>
      <c r="J21" s="189"/>
      <c r="K21" s="189"/>
    </row>
    <row r="22" ht="14.25" customHeight="1">
      <c r="A22" s="126" t="s">
        <v>78</v>
      </c>
      <c r="B22" s="127"/>
      <c r="C22" s="127"/>
      <c r="D22" s="200">
        <f t="shared" ref="D22:K22" si="2">SUM(D9:D21)</f>
        <v>518</v>
      </c>
      <c r="E22" s="200">
        <f t="shared" si="2"/>
        <v>137509</v>
      </c>
      <c r="F22" s="200">
        <f t="shared" si="2"/>
        <v>0</v>
      </c>
      <c r="G22" s="200">
        <f t="shared" si="2"/>
        <v>0</v>
      </c>
      <c r="H22" s="200">
        <f t="shared" si="2"/>
        <v>529.51</v>
      </c>
      <c r="I22" s="200">
        <f t="shared" si="2"/>
        <v>88377.9</v>
      </c>
      <c r="J22" s="200">
        <f t="shared" si="2"/>
        <v>0</v>
      </c>
      <c r="K22" s="200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89">
        <v>0.0</v>
      </c>
      <c r="I23" s="189">
        <v>0.0</v>
      </c>
      <c r="J23" s="189"/>
      <c r="K23" s="189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>
        <v>0.0</v>
      </c>
      <c r="I24" s="189">
        <v>0.0</v>
      </c>
      <c r="J24" s="189"/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>
        <v>0.0</v>
      </c>
      <c r="I25" s="189">
        <v>0.0</v>
      </c>
      <c r="J25" s="189"/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>
        <v>0.0</v>
      </c>
      <c r="I26" s="189">
        <v>0.0</v>
      </c>
      <c r="J26" s="189"/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>
        <v>732.0</v>
      </c>
      <c r="E27" s="188">
        <v>18543.0</v>
      </c>
      <c r="F27" s="188"/>
      <c r="G27" s="188"/>
      <c r="H27" s="189">
        <v>440.35999999999996</v>
      </c>
      <c r="I27" s="189">
        <v>59970.75000000001</v>
      </c>
      <c r="J27" s="189"/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>
        <v>0.0</v>
      </c>
      <c r="I28" s="189">
        <v>0.0</v>
      </c>
      <c r="J28" s="189"/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>
        <v>0.0</v>
      </c>
      <c r="I29" s="189">
        <v>0.0</v>
      </c>
      <c r="J29" s="189"/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>
        <v>0.0</v>
      </c>
      <c r="I30" s="189">
        <v>0.0</v>
      </c>
      <c r="J30" s="189"/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188"/>
      <c r="G31" s="188"/>
      <c r="H31" s="189">
        <v>0.0</v>
      </c>
      <c r="I31" s="189">
        <v>0.0</v>
      </c>
      <c r="J31" s="189"/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>
        <v>0.0</v>
      </c>
      <c r="I32" s="189">
        <v>0.0</v>
      </c>
      <c r="J32" s="189"/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>
        <v>894.96</v>
      </c>
      <c r="F33" s="188"/>
      <c r="G33" s="188"/>
      <c r="H33" s="189">
        <v>0.0</v>
      </c>
      <c r="I33" s="189">
        <v>0.0</v>
      </c>
      <c r="J33" s="189"/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>
        <v>0.0</v>
      </c>
      <c r="I34" s="189">
        <v>0.0</v>
      </c>
      <c r="J34" s="189"/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>
        <v>0.0</v>
      </c>
      <c r="I35" s="189">
        <v>0.0</v>
      </c>
      <c r="J35" s="189"/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>
        <v>0.0</v>
      </c>
      <c r="I36" s="189">
        <v>0.0</v>
      </c>
      <c r="J36" s="189"/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>
        <v>0.0</v>
      </c>
      <c r="I37" s="189">
        <v>0.0</v>
      </c>
      <c r="J37" s="189"/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>
        <v>0.0</v>
      </c>
      <c r="I38" s="189">
        <v>0.0</v>
      </c>
      <c r="J38" s="189"/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>
        <v>0.0</v>
      </c>
      <c r="I39" s="189">
        <v>0.0</v>
      </c>
      <c r="J39" s="189"/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>
        <v>0.0</v>
      </c>
      <c r="I40" s="189">
        <v>0.0</v>
      </c>
      <c r="J40" s="189"/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>
        <v>0.0</v>
      </c>
      <c r="I41" s="189">
        <v>0.0</v>
      </c>
      <c r="J41" s="189"/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>
        <v>0.0</v>
      </c>
      <c r="I42" s="189">
        <v>0.0</v>
      </c>
      <c r="J42" s="189"/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>
        <v>0.0</v>
      </c>
      <c r="I43" s="189">
        <v>0.0</v>
      </c>
      <c r="J43" s="189"/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>
        <v>0.0</v>
      </c>
      <c r="I44" s="189">
        <v>0.0</v>
      </c>
      <c r="J44" s="189"/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>
        <v>0.0</v>
      </c>
      <c r="I45" s="189">
        <v>0.0</v>
      </c>
      <c r="J45" s="189"/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>
        <v>0.0</v>
      </c>
      <c r="I46" s="189">
        <v>0.0</v>
      </c>
      <c r="J46" s="189"/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>
        <v>0.0</v>
      </c>
      <c r="I47" s="189">
        <v>0.0</v>
      </c>
      <c r="J47" s="189"/>
      <c r="K47" s="189"/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>
        <v>0.0</v>
      </c>
      <c r="I48" s="189">
        <v>0.0</v>
      </c>
      <c r="J48" s="189"/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99"/>
      <c r="F49" s="188"/>
      <c r="G49" s="188"/>
      <c r="H49" s="189">
        <v>0.0</v>
      </c>
      <c r="I49" s="189">
        <v>3469.06</v>
      </c>
      <c r="J49" s="189"/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99"/>
      <c r="F50" s="188"/>
      <c r="G50" s="188"/>
      <c r="H50" s="189">
        <v>0.0</v>
      </c>
      <c r="I50" s="189">
        <v>0.0</v>
      </c>
      <c r="J50" s="189"/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99">
        <v>5495.0</v>
      </c>
      <c r="F51" s="188"/>
      <c r="G51" s="188"/>
      <c r="H51" s="189">
        <v>0.0</v>
      </c>
      <c r="I51" s="189">
        <v>1170.53</v>
      </c>
      <c r="J51" s="189"/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99"/>
      <c r="F52" s="188"/>
      <c r="G52" s="188"/>
      <c r="H52" s="189">
        <v>0.0</v>
      </c>
      <c r="I52" s="189">
        <v>0.0</v>
      </c>
      <c r="J52" s="189"/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99"/>
      <c r="F53" s="188"/>
      <c r="G53" s="188"/>
      <c r="H53" s="189">
        <v>0.0</v>
      </c>
      <c r="I53" s="189">
        <v>0.0</v>
      </c>
      <c r="J53" s="189"/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203"/>
      <c r="F54" s="190"/>
      <c r="G54" s="190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>
        <v>0.0</v>
      </c>
      <c r="I55" s="189">
        <v>0.0</v>
      </c>
      <c r="J55" s="189"/>
      <c r="K55" s="189"/>
    </row>
    <row r="56" ht="14.25" customHeight="1">
      <c r="A56" s="133" t="s">
        <v>16</v>
      </c>
      <c r="B56" s="127"/>
      <c r="C56" s="127"/>
      <c r="D56" s="200">
        <f t="shared" ref="D56:K56" si="3">SUM(D23:D55)</f>
        <v>732</v>
      </c>
      <c r="E56" s="200">
        <f t="shared" si="3"/>
        <v>24932.96</v>
      </c>
      <c r="F56" s="200">
        <f t="shared" si="3"/>
        <v>0</v>
      </c>
      <c r="G56" s="200">
        <f t="shared" si="3"/>
        <v>0</v>
      </c>
      <c r="H56" s="200">
        <f t="shared" si="3"/>
        <v>440.36</v>
      </c>
      <c r="I56" s="200">
        <f t="shared" si="3"/>
        <v>64610.34</v>
      </c>
      <c r="J56" s="200">
        <f t="shared" si="3"/>
        <v>0</v>
      </c>
      <c r="K56" s="200">
        <f t="shared" si="3"/>
        <v>0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>
        <v>0.0</v>
      </c>
      <c r="I57" s="189">
        <v>0.0</v>
      </c>
      <c r="J57" s="189"/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>
        <v>3208.0</v>
      </c>
      <c r="F58" s="188"/>
      <c r="G58" s="188"/>
      <c r="H58" s="189">
        <v>0.0</v>
      </c>
      <c r="I58" s="189">
        <v>7355.590000000002</v>
      </c>
      <c r="J58" s="189"/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>
        <v>0.0</v>
      </c>
      <c r="I59" s="189">
        <v>0.0</v>
      </c>
      <c r="J59" s="189"/>
      <c r="K59" s="189"/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>
        <v>0.0</v>
      </c>
      <c r="I60" s="189">
        <v>0.0</v>
      </c>
      <c r="J60" s="189"/>
      <c r="K60" s="189"/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>
        <v>0.0</v>
      </c>
      <c r="I61" s="189">
        <v>0.0</v>
      </c>
      <c r="J61" s="189"/>
      <c r="K61" s="189"/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>
        <v>0.0</v>
      </c>
      <c r="I62" s="189">
        <v>0.0</v>
      </c>
      <c r="J62" s="189"/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0</v>
      </c>
      <c r="E66" s="200">
        <f t="shared" si="4"/>
        <v>3208</v>
      </c>
      <c r="F66" s="200">
        <f t="shared" si="4"/>
        <v>0</v>
      </c>
      <c r="G66" s="200">
        <f t="shared" si="4"/>
        <v>0</v>
      </c>
      <c r="H66" s="200">
        <f t="shared" si="4"/>
        <v>0</v>
      </c>
      <c r="I66" s="200">
        <f t="shared" si="4"/>
        <v>7355.59</v>
      </c>
      <c r="J66" s="200">
        <f t="shared" si="4"/>
        <v>0</v>
      </c>
      <c r="K66" s="200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205"/>
      <c r="E67" s="205">
        <f>9608+323+670</f>
        <v>10601</v>
      </c>
      <c r="F67" s="205"/>
      <c r="G67" s="205"/>
      <c r="H67" s="189">
        <v>0.0</v>
      </c>
      <c r="I67" s="189">
        <v>7057.27</v>
      </c>
      <c r="J67" s="189"/>
      <c r="K67" s="189"/>
    </row>
    <row r="68" ht="14.25" customHeight="1">
      <c r="A68" s="99" t="s">
        <v>35</v>
      </c>
      <c r="B68" s="98" t="s">
        <v>23</v>
      </c>
      <c r="C68" s="98" t="s">
        <v>121</v>
      </c>
      <c r="D68" s="199"/>
      <c r="E68" s="199"/>
      <c r="F68" s="199"/>
      <c r="G68" s="199"/>
      <c r="H68" s="189">
        <v>0.0</v>
      </c>
      <c r="I68" s="189">
        <v>0.0</v>
      </c>
      <c r="J68" s="189"/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99"/>
      <c r="E69" s="199"/>
      <c r="F69" s="199"/>
      <c r="G69" s="199"/>
      <c r="H69" s="189">
        <v>0.0</v>
      </c>
      <c r="I69" s="189">
        <v>1953.47</v>
      </c>
      <c r="J69" s="189"/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99"/>
      <c r="E70" s="199"/>
      <c r="F70" s="199"/>
      <c r="G70" s="199"/>
      <c r="H70" s="189">
        <v>0.0</v>
      </c>
      <c r="I70" s="189">
        <v>0.0</v>
      </c>
      <c r="J70" s="189"/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99"/>
      <c r="E71" s="199">
        <v>9731.0</v>
      </c>
      <c r="F71" s="199"/>
      <c r="G71" s="199"/>
      <c r="H71" s="189">
        <v>0.0</v>
      </c>
      <c r="I71" s="189">
        <v>10354.76</v>
      </c>
      <c r="J71" s="189"/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99"/>
      <c r="E72" s="199">
        <v>9414.0</v>
      </c>
      <c r="F72" s="199"/>
      <c r="G72" s="199"/>
      <c r="H72" s="189"/>
      <c r="I72" s="189">
        <v>7405.959999999999</v>
      </c>
      <c r="J72" s="189"/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99"/>
      <c r="E73" s="199"/>
      <c r="F73" s="199"/>
      <c r="G73" s="199"/>
      <c r="H73" s="189"/>
      <c r="I73" s="189"/>
      <c r="J73" s="189"/>
      <c r="K73" s="189"/>
    </row>
    <row r="74" ht="14.25" customHeight="1">
      <c r="A74" s="98" t="s">
        <v>127</v>
      </c>
      <c r="B74" s="98" t="s">
        <v>23</v>
      </c>
      <c r="C74" s="98" t="s">
        <v>121</v>
      </c>
      <c r="D74" s="199"/>
      <c r="E74" s="199"/>
      <c r="F74" s="199"/>
      <c r="G74" s="199"/>
      <c r="H74" s="189">
        <v>0.0</v>
      </c>
      <c r="I74" s="189">
        <v>0.0</v>
      </c>
      <c r="J74" s="189"/>
      <c r="K74" s="189"/>
    </row>
    <row r="75" ht="14.25" customHeight="1">
      <c r="A75" s="206" t="s">
        <v>128</v>
      </c>
      <c r="B75" s="207"/>
      <c r="C75" s="207"/>
      <c r="D75" s="208">
        <f t="shared" ref="D75:K75" si="5">SUM(D67:D74)</f>
        <v>0</v>
      </c>
      <c r="E75" s="208">
        <f t="shared" si="5"/>
        <v>29746</v>
      </c>
      <c r="F75" s="208">
        <f t="shared" si="5"/>
        <v>0</v>
      </c>
      <c r="G75" s="208">
        <f t="shared" si="5"/>
        <v>0</v>
      </c>
      <c r="H75" s="208">
        <f t="shared" si="5"/>
        <v>0</v>
      </c>
      <c r="I75" s="208">
        <f t="shared" si="5"/>
        <v>26771.46</v>
      </c>
      <c r="J75" s="208">
        <f t="shared" si="5"/>
        <v>0</v>
      </c>
      <c r="K75" s="208">
        <f t="shared" si="5"/>
        <v>0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1250</v>
      </c>
      <c r="E76" s="196">
        <f t="shared" si="6"/>
        <v>301886.92</v>
      </c>
      <c r="F76" s="196">
        <f t="shared" si="6"/>
        <v>0</v>
      </c>
      <c r="G76" s="196">
        <f t="shared" si="6"/>
        <v>0</v>
      </c>
      <c r="H76" s="196">
        <f t="shared" si="6"/>
        <v>969.87</v>
      </c>
      <c r="I76" s="196">
        <f t="shared" si="6"/>
        <v>406997.85</v>
      </c>
      <c r="J76" s="196">
        <f t="shared" si="6"/>
        <v>0</v>
      </c>
      <c r="K76" s="196">
        <f t="shared" si="6"/>
        <v>0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D78" s="141"/>
      <c r="E78" s="204"/>
      <c r="H78" s="113"/>
      <c r="I78" s="113"/>
      <c r="J78" s="113"/>
    </row>
    <row r="79" ht="14.25" customHeight="1">
      <c r="A79" s="4"/>
      <c r="B79" s="4"/>
      <c r="C79" s="4"/>
      <c r="H79" s="113"/>
      <c r="I79" s="113"/>
      <c r="J79" s="113"/>
    </row>
    <row r="80" ht="14.25" customHeight="1">
      <c r="A80" s="4"/>
      <c r="B80" s="4"/>
      <c r="C80" s="4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99">
        <f>130795-D4-D6-D16-D52-D53-D55-D71-D73-D74</f>
        <v>50189</v>
      </c>
      <c r="E3" s="199">
        <f>24365-E4-E6-E16-E52-E53-E55-E71-E73-E74</f>
        <v>8014</v>
      </c>
      <c r="F3" s="199">
        <f>349267-F4-F6-F52-F73</f>
        <v>103011</v>
      </c>
      <c r="G3" s="199">
        <f>-626730-G6-G16-G52-G55-G73</f>
        <v>1419331</v>
      </c>
      <c r="H3" s="189">
        <v>58032.78452000001</v>
      </c>
      <c r="I3" s="189">
        <v>26371.741032000005</v>
      </c>
      <c r="J3" s="189">
        <v>248439.87206400043</v>
      </c>
      <c r="K3" s="189">
        <v>26488.278768000015</v>
      </c>
    </row>
    <row r="4" ht="14.25" customHeight="1">
      <c r="A4" s="98" t="s">
        <v>64</v>
      </c>
      <c r="B4" s="98" t="s">
        <v>25</v>
      </c>
      <c r="C4" s="98" t="s">
        <v>13</v>
      </c>
      <c r="D4" s="199"/>
      <c r="E4" s="199"/>
      <c r="F4" s="199">
        <v>71103.0</v>
      </c>
      <c r="G4" s="199"/>
      <c r="H4" s="189">
        <v>3014.17832</v>
      </c>
      <c r="I4" s="189">
        <v>0.0</v>
      </c>
      <c r="J4" s="189">
        <v>0.0</v>
      </c>
      <c r="K4" s="189">
        <v>0.0</v>
      </c>
    </row>
    <row r="5" ht="14.25" customHeight="1">
      <c r="A5" s="98" t="s">
        <v>37</v>
      </c>
      <c r="B5" s="98" t="s">
        <v>25</v>
      </c>
      <c r="C5" s="98" t="s">
        <v>13</v>
      </c>
      <c r="D5" s="199"/>
      <c r="E5" s="199"/>
      <c r="F5" s="199"/>
      <c r="G5" s="199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E6" s="209">
        <v>0.0</v>
      </c>
      <c r="F6" s="209">
        <v>81261.0</v>
      </c>
      <c r="G6" s="199">
        <v>-838907.0</v>
      </c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211"/>
      <c r="E7" s="211"/>
      <c r="F7" s="212"/>
      <c r="G7" s="199">
        <v>0.0</v>
      </c>
      <c r="H7" s="189">
        <v>0.0</v>
      </c>
      <c r="I7" s="189">
        <v>0.0</v>
      </c>
      <c r="J7" s="189">
        <v>0.0</v>
      </c>
      <c r="K7" s="189">
        <v>0.0</v>
      </c>
    </row>
    <row r="8" ht="14.25" customHeight="1">
      <c r="A8" s="126" t="s">
        <v>67</v>
      </c>
      <c r="B8" s="127"/>
      <c r="C8" s="127"/>
      <c r="D8" s="200">
        <f t="shared" ref="D8:K8" si="1">SUM(D3:D7)</f>
        <v>50189</v>
      </c>
      <c r="E8" s="200">
        <f t="shared" si="1"/>
        <v>8014</v>
      </c>
      <c r="F8" s="200">
        <f t="shared" si="1"/>
        <v>255375</v>
      </c>
      <c r="G8" s="200">
        <f t="shared" si="1"/>
        <v>580424</v>
      </c>
      <c r="H8" s="200">
        <f t="shared" si="1"/>
        <v>61046.96284</v>
      </c>
      <c r="I8" s="200">
        <f t="shared" si="1"/>
        <v>26371.74103</v>
      </c>
      <c r="J8" s="200">
        <f t="shared" si="1"/>
        <v>248439.8721</v>
      </c>
      <c r="K8" s="200">
        <f t="shared" si="1"/>
        <v>26488.27877</v>
      </c>
    </row>
    <row r="9" ht="14.25" customHeight="1">
      <c r="A9" s="125" t="s">
        <v>68</v>
      </c>
      <c r="B9" s="98" t="s">
        <v>25</v>
      </c>
      <c r="C9" s="125" t="s">
        <v>69</v>
      </c>
      <c r="D9" s="205"/>
      <c r="E9" s="205"/>
      <c r="F9" s="205"/>
      <c r="G9" s="199">
        <v>0.0</v>
      </c>
      <c r="H9" s="189">
        <v>0.0</v>
      </c>
      <c r="I9" s="189">
        <v>0.0</v>
      </c>
      <c r="J9" s="189">
        <v>0.0</v>
      </c>
      <c r="K9" s="189">
        <v>0.0</v>
      </c>
    </row>
    <row r="10" ht="14.25" customHeight="1">
      <c r="A10" s="98" t="s">
        <v>39</v>
      </c>
      <c r="B10" s="98" t="s">
        <v>25</v>
      </c>
      <c r="C10" s="98" t="s">
        <v>69</v>
      </c>
      <c r="D10" s="199">
        <v>13589.0</v>
      </c>
      <c r="E10" s="199">
        <v>129544.0</v>
      </c>
      <c r="F10" s="199"/>
      <c r="G10" s="199">
        <v>151580.0</v>
      </c>
      <c r="H10" s="189">
        <v>0.0</v>
      </c>
      <c r="I10" s="189">
        <v>129586.514136</v>
      </c>
      <c r="J10" s="189">
        <v>0.0</v>
      </c>
      <c r="K10" s="189">
        <v>0.0</v>
      </c>
    </row>
    <row r="11" ht="14.25" customHeight="1">
      <c r="A11" s="98" t="s">
        <v>70</v>
      </c>
      <c r="B11" s="98" t="s">
        <v>25</v>
      </c>
      <c r="C11" s="98" t="s">
        <v>69</v>
      </c>
      <c r="D11" s="199"/>
      <c r="E11" s="199"/>
      <c r="F11" s="199"/>
      <c r="G11" s="199">
        <v>0.0</v>
      </c>
      <c r="H11" s="189">
        <v>0.0</v>
      </c>
      <c r="I11" s="189">
        <v>0.0</v>
      </c>
      <c r="J11" s="189">
        <v>0.0</v>
      </c>
      <c r="K11" s="189">
        <v>0.0</v>
      </c>
    </row>
    <row r="12" ht="14.25" customHeight="1">
      <c r="A12" s="98" t="s">
        <v>71</v>
      </c>
      <c r="B12" s="98" t="s">
        <v>25</v>
      </c>
      <c r="C12" s="98" t="s">
        <v>69</v>
      </c>
      <c r="D12" s="199"/>
      <c r="E12" s="199"/>
      <c r="F12" s="199"/>
      <c r="G12" s="199">
        <v>-62877.0</v>
      </c>
      <c r="H12" s="189">
        <v>0.0</v>
      </c>
      <c r="I12" s="189">
        <v>0.0</v>
      </c>
      <c r="J12" s="189">
        <v>0.0</v>
      </c>
      <c r="K12" s="189">
        <v>0.0</v>
      </c>
    </row>
    <row r="13" ht="14.25" customHeight="1">
      <c r="A13" s="98" t="s">
        <v>58</v>
      </c>
      <c r="B13" s="98" t="s">
        <v>25</v>
      </c>
      <c r="C13" s="98" t="s">
        <v>69</v>
      </c>
      <c r="D13" s="199"/>
      <c r="E13" s="199"/>
      <c r="F13" s="199"/>
      <c r="G13" s="199">
        <v>0.0</v>
      </c>
      <c r="H13" s="189">
        <v>0.0</v>
      </c>
      <c r="I13" s="189">
        <v>16505.252296</v>
      </c>
      <c r="J13" s="189">
        <v>0.0</v>
      </c>
      <c r="K13" s="189">
        <v>0.0</v>
      </c>
    </row>
    <row r="14" ht="14.25" customHeight="1">
      <c r="A14" s="98" t="s">
        <v>72</v>
      </c>
      <c r="B14" s="98" t="s">
        <v>25</v>
      </c>
      <c r="C14" s="98" t="s">
        <v>69</v>
      </c>
      <c r="D14" s="199"/>
      <c r="E14" s="199">
        <v>0.0</v>
      </c>
      <c r="F14" s="199">
        <v>81253.0</v>
      </c>
      <c r="G14" s="199">
        <v>-377678.0</v>
      </c>
      <c r="H14" s="189">
        <v>0.0</v>
      </c>
      <c r="I14" s="189">
        <v>0.0</v>
      </c>
      <c r="J14" s="189">
        <v>15285.570992</v>
      </c>
      <c r="K14" s="189">
        <v>3261.729968</v>
      </c>
    </row>
    <row r="15" ht="14.25" customHeight="1">
      <c r="A15" s="98" t="s">
        <v>73</v>
      </c>
      <c r="B15" s="98" t="s">
        <v>25</v>
      </c>
      <c r="C15" s="98" t="s">
        <v>69</v>
      </c>
      <c r="D15" s="199"/>
      <c r="E15" s="199"/>
      <c r="F15" s="199"/>
      <c r="G15" s="199">
        <v>0.0</v>
      </c>
      <c r="H15" s="189">
        <v>0.0</v>
      </c>
      <c r="I15" s="189">
        <v>0.0</v>
      </c>
      <c r="J15" s="189">
        <v>0.0</v>
      </c>
      <c r="K15" s="189">
        <v>0.0</v>
      </c>
    </row>
    <row r="16" ht="14.25" customHeight="1">
      <c r="A16" s="98" t="s">
        <v>74</v>
      </c>
      <c r="B16" s="98" t="s">
        <v>25</v>
      </c>
      <c r="C16" s="98" t="s">
        <v>69</v>
      </c>
      <c r="D16" s="199">
        <v>39166.0</v>
      </c>
      <c r="E16" s="199">
        <v>1849.0</v>
      </c>
      <c r="F16" s="199"/>
      <c r="G16" s="199">
        <v>5051.0</v>
      </c>
      <c r="H16" s="189">
        <v>37283.028384</v>
      </c>
      <c r="I16" s="189">
        <v>0.0</v>
      </c>
      <c r="J16" s="189">
        <v>4063.720456</v>
      </c>
      <c r="K16" s="189">
        <v>6680.725072</v>
      </c>
    </row>
    <row r="17" ht="14.25" customHeight="1">
      <c r="A17" s="98" t="s">
        <v>33</v>
      </c>
      <c r="B17" s="98" t="s">
        <v>25</v>
      </c>
      <c r="C17" s="98" t="s">
        <v>69</v>
      </c>
      <c r="D17" s="199">
        <v>20381.0</v>
      </c>
      <c r="E17" s="199">
        <v>7630.0</v>
      </c>
      <c r="F17" s="199"/>
      <c r="G17" s="199">
        <v>31824.0</v>
      </c>
      <c r="H17" s="189">
        <v>0.0</v>
      </c>
      <c r="I17" s="189">
        <v>6617.350616</v>
      </c>
      <c r="J17" s="189">
        <v>42016.997872</v>
      </c>
      <c r="K17" s="189">
        <v>0.0</v>
      </c>
    </row>
    <row r="18" ht="14.25" customHeight="1">
      <c r="A18" s="98" t="s">
        <v>75</v>
      </c>
      <c r="B18" s="98" t="s">
        <v>25</v>
      </c>
      <c r="C18" s="98" t="s">
        <v>69</v>
      </c>
      <c r="D18" s="199"/>
      <c r="E18" s="199"/>
      <c r="F18" s="199"/>
      <c r="G18" s="199">
        <v>0.0</v>
      </c>
      <c r="H18" s="189">
        <v>0.0</v>
      </c>
      <c r="I18" s="189">
        <v>2150.244664</v>
      </c>
      <c r="J18" s="189">
        <v>90536.28896800001</v>
      </c>
      <c r="K18" s="189">
        <v>0.0</v>
      </c>
    </row>
    <row r="19" ht="14.25" customHeight="1">
      <c r="A19" s="98" t="s">
        <v>41</v>
      </c>
      <c r="B19" s="98" t="s">
        <v>25</v>
      </c>
      <c r="C19" s="98" t="s">
        <v>69</v>
      </c>
      <c r="D19" s="199"/>
      <c r="E19" s="199"/>
      <c r="F19" s="199"/>
      <c r="G19" s="199">
        <v>0.0</v>
      </c>
      <c r="H19" s="189">
        <v>0.0</v>
      </c>
      <c r="I19" s="189">
        <v>578.090316</v>
      </c>
      <c r="J19" s="189">
        <v>8962.794496</v>
      </c>
      <c r="K19" s="189">
        <v>0.0</v>
      </c>
    </row>
    <row r="20" ht="14.25" customHeight="1">
      <c r="A20" s="123" t="s">
        <v>76</v>
      </c>
      <c r="B20" s="98" t="s">
        <v>25</v>
      </c>
      <c r="C20" s="98" t="s">
        <v>69</v>
      </c>
      <c r="D20" s="203"/>
      <c r="E20" s="203"/>
      <c r="F20" s="203"/>
      <c r="G20" s="199">
        <v>0.0</v>
      </c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203"/>
      <c r="E21" s="203"/>
      <c r="F21" s="203"/>
      <c r="G21" s="199">
        <v>0.0</v>
      </c>
      <c r="H21" s="189">
        <v>0.0</v>
      </c>
      <c r="I21" s="189">
        <v>0.0</v>
      </c>
      <c r="J21" s="189">
        <v>0.0</v>
      </c>
      <c r="K21" s="189">
        <v>0.0</v>
      </c>
    </row>
    <row r="22" ht="14.25" customHeight="1">
      <c r="A22" s="126" t="s">
        <v>78</v>
      </c>
      <c r="B22" s="127"/>
      <c r="C22" s="127"/>
      <c r="D22" s="200">
        <f t="shared" ref="D22:K22" si="2">SUM(D9:D21)</f>
        <v>73136</v>
      </c>
      <c r="E22" s="200">
        <f t="shared" si="2"/>
        <v>139023</v>
      </c>
      <c r="F22" s="200">
        <f t="shared" si="2"/>
        <v>81253</v>
      </c>
      <c r="G22" s="200">
        <f t="shared" si="2"/>
        <v>-252100</v>
      </c>
      <c r="H22" s="200">
        <f t="shared" si="2"/>
        <v>37283.02838</v>
      </c>
      <c r="I22" s="200">
        <f t="shared" si="2"/>
        <v>155437.452</v>
      </c>
      <c r="J22" s="200">
        <f t="shared" si="2"/>
        <v>160865.3728</v>
      </c>
      <c r="K22" s="200">
        <f t="shared" si="2"/>
        <v>9942.45504</v>
      </c>
    </row>
    <row r="23" ht="14.25" customHeight="1">
      <c r="A23" s="125" t="s">
        <v>79</v>
      </c>
      <c r="B23" s="125" t="s">
        <v>23</v>
      </c>
      <c r="C23" s="125" t="s">
        <v>80</v>
      </c>
      <c r="D23" s="205">
        <v>525232.0</v>
      </c>
      <c r="E23" s="205">
        <v>40619.0</v>
      </c>
      <c r="F23" s="205">
        <v>251727.0</v>
      </c>
      <c r="G23" s="199">
        <v>744865.0</v>
      </c>
      <c r="H23" s="189">
        <v>573498.6059679999</v>
      </c>
      <c r="I23" s="189">
        <v>76229.93424799998</v>
      </c>
      <c r="J23" s="189">
        <v>793841.3519599999</v>
      </c>
      <c r="K23" s="189">
        <v>1892829.9943360002</v>
      </c>
    </row>
    <row r="24" ht="14.25" customHeight="1">
      <c r="A24" s="99" t="s">
        <v>81</v>
      </c>
      <c r="B24" s="98" t="s">
        <v>23</v>
      </c>
      <c r="C24" s="98" t="s">
        <v>80</v>
      </c>
      <c r="D24" s="199"/>
      <c r="E24" s="199"/>
      <c r="F24" s="199"/>
      <c r="G24" s="199">
        <v>0.0</v>
      </c>
      <c r="H24" s="189">
        <v>0.0</v>
      </c>
      <c r="I24" s="189">
        <v>0.0</v>
      </c>
      <c r="J24" s="189">
        <v>0.0</v>
      </c>
      <c r="K24" s="189">
        <v>0.0</v>
      </c>
    </row>
    <row r="25" ht="14.25" customHeight="1">
      <c r="A25" s="99" t="s">
        <v>82</v>
      </c>
      <c r="B25" s="98" t="s">
        <v>23</v>
      </c>
      <c r="C25" s="98" t="s">
        <v>80</v>
      </c>
      <c r="D25" s="199"/>
      <c r="E25" s="199">
        <v>11825.0</v>
      </c>
      <c r="F25" s="199"/>
      <c r="G25" s="199">
        <v>0.0</v>
      </c>
      <c r="H25" s="189">
        <v>0.0</v>
      </c>
      <c r="I25" s="189">
        <v>10550.32532</v>
      </c>
      <c r="J25" s="189">
        <v>0.0</v>
      </c>
      <c r="K25" s="189">
        <v>0.0</v>
      </c>
    </row>
    <row r="26" ht="14.25" customHeight="1">
      <c r="A26" s="98" t="s">
        <v>106</v>
      </c>
      <c r="B26" s="98" t="s">
        <v>24</v>
      </c>
      <c r="C26" s="98" t="s">
        <v>80</v>
      </c>
      <c r="D26" s="199"/>
      <c r="E26" s="199"/>
      <c r="F26" s="199"/>
      <c r="G26" s="199">
        <v>0.0</v>
      </c>
      <c r="H26" s="189">
        <v>0.0</v>
      </c>
      <c r="I26" s="189">
        <v>0.0</v>
      </c>
      <c r="J26" s="189">
        <v>0.0</v>
      </c>
      <c r="K26" s="189">
        <v>0.0</v>
      </c>
    </row>
    <row r="27" ht="14.25" customHeight="1">
      <c r="A27" s="99" t="s">
        <v>83</v>
      </c>
      <c r="B27" s="98" t="s">
        <v>23</v>
      </c>
      <c r="C27" s="98" t="s">
        <v>80</v>
      </c>
      <c r="D27" s="199"/>
      <c r="E27" s="199">
        <v>17575.0</v>
      </c>
      <c r="F27" s="199">
        <v>88457.0</v>
      </c>
      <c r="G27" s="199">
        <v>0.0</v>
      </c>
      <c r="H27" s="189">
        <v>0.0</v>
      </c>
      <c r="I27" s="189">
        <v>9540.232696</v>
      </c>
      <c r="J27" s="189">
        <v>0.0</v>
      </c>
      <c r="K27" s="189">
        <v>0.0</v>
      </c>
    </row>
    <row r="28" ht="14.25" customHeight="1">
      <c r="A28" s="99" t="s">
        <v>84</v>
      </c>
      <c r="B28" s="98" t="s">
        <v>23</v>
      </c>
      <c r="C28" s="98" t="s">
        <v>80</v>
      </c>
      <c r="D28" s="199"/>
      <c r="E28" s="199"/>
      <c r="F28" s="199"/>
      <c r="G28" s="199">
        <v>0.0</v>
      </c>
      <c r="H28" s="189">
        <v>169444.264776</v>
      </c>
      <c r="I28" s="189">
        <v>10319.602472000002</v>
      </c>
      <c r="J28" s="189">
        <v>9119.120024</v>
      </c>
      <c r="K28" s="189">
        <v>350347.90457600006</v>
      </c>
    </row>
    <row r="29" ht="14.25" customHeight="1">
      <c r="A29" s="99" t="s">
        <v>85</v>
      </c>
      <c r="B29" s="98" t="s">
        <v>23</v>
      </c>
      <c r="C29" s="98" t="s">
        <v>80</v>
      </c>
      <c r="D29" s="199"/>
      <c r="E29" s="199">
        <v>45127.0</v>
      </c>
      <c r="F29" s="199"/>
      <c r="G29" s="199">
        <v>0.0</v>
      </c>
      <c r="H29" s="189">
        <v>0.0</v>
      </c>
      <c r="I29" s="189">
        <v>29203.325168000003</v>
      </c>
      <c r="J29" s="189">
        <v>2419.785104</v>
      </c>
      <c r="K29" s="189">
        <v>0.0</v>
      </c>
    </row>
    <row r="30" ht="14.25" customHeight="1">
      <c r="A30" s="98" t="s">
        <v>86</v>
      </c>
      <c r="B30" s="98" t="s">
        <v>23</v>
      </c>
      <c r="C30" s="98" t="s">
        <v>80</v>
      </c>
      <c r="D30" s="199"/>
      <c r="E30" s="199">
        <v>14320.0</v>
      </c>
      <c r="F30" s="199">
        <v>20313.0</v>
      </c>
      <c r="G30" s="199">
        <v>3108.0</v>
      </c>
      <c r="H30" s="189">
        <v>0.0</v>
      </c>
      <c r="I30" s="189">
        <v>17683.618896</v>
      </c>
      <c r="J30" s="189">
        <v>0.0</v>
      </c>
      <c r="K30" s="189">
        <v>0.0</v>
      </c>
    </row>
    <row r="31" ht="14.25" customHeight="1">
      <c r="A31" s="98" t="s">
        <v>87</v>
      </c>
      <c r="B31" s="98" t="s">
        <v>23</v>
      </c>
      <c r="C31" s="98" t="s">
        <v>80</v>
      </c>
      <c r="D31" s="199">
        <v>339945.0</v>
      </c>
      <c r="E31" s="199">
        <v>35967.0</v>
      </c>
      <c r="F31" s="199">
        <v>926812.0</v>
      </c>
      <c r="G31" s="199">
        <v>1071497.0</v>
      </c>
      <c r="H31" s="189">
        <v>553925.182952</v>
      </c>
      <c r="I31" s="189">
        <v>28945.507952</v>
      </c>
      <c r="J31" s="189">
        <v>1372890.2083599998</v>
      </c>
      <c r="K31" s="189">
        <v>1527476.8445040002</v>
      </c>
    </row>
    <row r="32" ht="14.25" customHeight="1">
      <c r="A32" s="98" t="s">
        <v>88</v>
      </c>
      <c r="B32" s="98" t="s">
        <v>23</v>
      </c>
      <c r="C32" s="98" t="s">
        <v>80</v>
      </c>
      <c r="D32" s="199"/>
      <c r="E32" s="199"/>
      <c r="F32" s="199"/>
      <c r="G32" s="199">
        <v>0.0</v>
      </c>
      <c r="H32" s="189">
        <v>0.0</v>
      </c>
      <c r="I32" s="189">
        <v>0.0</v>
      </c>
      <c r="J32" s="189">
        <v>0.0</v>
      </c>
      <c r="K32" s="189">
        <v>0.0</v>
      </c>
    </row>
    <row r="33" ht="14.25" customHeight="1">
      <c r="A33" s="98" t="s">
        <v>89</v>
      </c>
      <c r="B33" s="98" t="s">
        <v>23</v>
      </c>
      <c r="C33" s="98" t="s">
        <v>80</v>
      </c>
      <c r="D33" s="199"/>
      <c r="E33" s="199"/>
      <c r="F33" s="199"/>
      <c r="G33" s="199">
        <v>0.0</v>
      </c>
      <c r="H33" s="189">
        <v>0.0</v>
      </c>
      <c r="I33" s="189">
        <v>0.0</v>
      </c>
      <c r="J33" s="189">
        <v>0.0</v>
      </c>
      <c r="K33" s="189">
        <v>0.0</v>
      </c>
    </row>
    <row r="34" ht="14.25" customHeight="1">
      <c r="A34" s="98" t="s">
        <v>90</v>
      </c>
      <c r="B34" s="98" t="s">
        <v>23</v>
      </c>
      <c r="C34" s="98" t="s">
        <v>80</v>
      </c>
      <c r="D34" s="199"/>
      <c r="E34" s="199"/>
      <c r="F34" s="199"/>
      <c r="G34" s="199">
        <v>0.0</v>
      </c>
      <c r="H34" s="189">
        <v>0.0</v>
      </c>
      <c r="I34" s="189">
        <v>0.0</v>
      </c>
      <c r="J34" s="189">
        <v>0.0</v>
      </c>
      <c r="K34" s="189">
        <v>0.0</v>
      </c>
    </row>
    <row r="35" ht="14.25" customHeight="1">
      <c r="A35" s="98" t="s">
        <v>91</v>
      </c>
      <c r="B35" s="98" t="s">
        <v>23</v>
      </c>
      <c r="C35" s="98" t="s">
        <v>80</v>
      </c>
      <c r="D35" s="199"/>
      <c r="E35" s="199">
        <v>3619.0</v>
      </c>
      <c r="F35" s="199"/>
      <c r="G35" s="199">
        <v>0.0</v>
      </c>
      <c r="H35" s="189">
        <v>0.0</v>
      </c>
      <c r="I35" s="189">
        <v>0.0</v>
      </c>
      <c r="J35" s="189">
        <v>0.0</v>
      </c>
      <c r="K35" s="189">
        <v>0.0</v>
      </c>
    </row>
    <row r="36" ht="14.25" customHeight="1">
      <c r="A36" s="99" t="s">
        <v>51</v>
      </c>
      <c r="B36" s="98" t="s">
        <v>23</v>
      </c>
      <c r="C36" s="98" t="s">
        <v>80</v>
      </c>
      <c r="D36" s="199"/>
      <c r="E36" s="199"/>
      <c r="F36" s="199"/>
      <c r="G36" s="199">
        <v>0.0</v>
      </c>
      <c r="H36" s="189">
        <v>0.0</v>
      </c>
      <c r="I36" s="189">
        <v>0.0</v>
      </c>
      <c r="J36" s="189">
        <v>0.0</v>
      </c>
      <c r="K36" s="189">
        <v>0.0</v>
      </c>
    </row>
    <row r="37" ht="14.25" customHeight="1">
      <c r="A37" s="98" t="s">
        <v>92</v>
      </c>
      <c r="B37" s="98" t="s">
        <v>23</v>
      </c>
      <c r="C37" s="98" t="s">
        <v>80</v>
      </c>
      <c r="D37" s="199"/>
      <c r="E37" s="199"/>
      <c r="F37" s="199"/>
      <c r="G37" s="199">
        <v>0.0</v>
      </c>
      <c r="H37" s="189">
        <v>0.0</v>
      </c>
      <c r="I37" s="189">
        <v>0.0</v>
      </c>
      <c r="J37" s="189">
        <v>0.0</v>
      </c>
      <c r="K37" s="189">
        <v>0.0</v>
      </c>
    </row>
    <row r="38" ht="14.25" customHeight="1">
      <c r="A38" s="98" t="s">
        <v>93</v>
      </c>
      <c r="B38" s="98" t="s">
        <v>23</v>
      </c>
      <c r="C38" s="98" t="s">
        <v>80</v>
      </c>
      <c r="D38" s="199"/>
      <c r="E38" s="199"/>
      <c r="F38" s="199"/>
      <c r="G38" s="199">
        <v>0.0</v>
      </c>
      <c r="H38" s="189">
        <v>36063.375128</v>
      </c>
      <c r="I38" s="189">
        <v>0.0</v>
      </c>
      <c r="J38" s="189">
        <v>0.0</v>
      </c>
      <c r="K38" s="189">
        <v>4009.826224</v>
      </c>
    </row>
    <row r="39" ht="14.25" customHeight="1">
      <c r="A39" s="98" t="s">
        <v>94</v>
      </c>
      <c r="B39" s="98" t="s">
        <v>23</v>
      </c>
      <c r="C39" s="98" t="s">
        <v>80</v>
      </c>
      <c r="D39" s="199"/>
      <c r="E39" s="199"/>
      <c r="F39" s="199"/>
      <c r="G39" s="199">
        <v>0.0</v>
      </c>
      <c r="H39" s="189">
        <v>0.0</v>
      </c>
      <c r="I39" s="189">
        <v>0.0</v>
      </c>
      <c r="J39" s="189">
        <v>0.0</v>
      </c>
      <c r="K39" s="189">
        <v>0.0</v>
      </c>
    </row>
    <row r="40" ht="14.25" customHeight="1">
      <c r="A40" s="98" t="s">
        <v>95</v>
      </c>
      <c r="B40" s="98" t="s">
        <v>23</v>
      </c>
      <c r="C40" s="98" t="s">
        <v>80</v>
      </c>
      <c r="D40" s="199"/>
      <c r="E40" s="199"/>
      <c r="F40" s="199"/>
      <c r="G40" s="199">
        <v>0.0</v>
      </c>
      <c r="H40" s="189">
        <v>0.0</v>
      </c>
      <c r="I40" s="189">
        <v>0.0</v>
      </c>
      <c r="J40" s="189">
        <v>0.0</v>
      </c>
      <c r="K40" s="189">
        <v>0.0</v>
      </c>
    </row>
    <row r="41" ht="14.25" customHeight="1">
      <c r="A41" s="98" t="s">
        <v>109</v>
      </c>
      <c r="B41" s="98" t="s">
        <v>24</v>
      </c>
      <c r="C41" s="98" t="s">
        <v>80</v>
      </c>
      <c r="D41" s="199"/>
      <c r="E41" s="199"/>
      <c r="F41" s="199"/>
      <c r="G41" s="199">
        <v>0.0</v>
      </c>
      <c r="H41" s="189">
        <v>0.0</v>
      </c>
      <c r="I41" s="189">
        <v>0.0</v>
      </c>
      <c r="J41" s="189">
        <v>0.0</v>
      </c>
      <c r="K41" s="189">
        <v>0.0</v>
      </c>
    </row>
    <row r="42" ht="14.25" customHeight="1">
      <c r="A42" s="98" t="s">
        <v>111</v>
      </c>
      <c r="B42" s="98" t="s">
        <v>24</v>
      </c>
      <c r="C42" s="98" t="s">
        <v>80</v>
      </c>
      <c r="D42" s="199"/>
      <c r="E42" s="199"/>
      <c r="F42" s="199"/>
      <c r="G42" s="199">
        <v>0.0</v>
      </c>
      <c r="H42" s="189">
        <v>0.0</v>
      </c>
      <c r="I42" s="189">
        <v>0.0</v>
      </c>
      <c r="J42" s="189">
        <v>0.0</v>
      </c>
      <c r="K42" s="189">
        <v>0.0</v>
      </c>
    </row>
    <row r="43" ht="14.25" customHeight="1">
      <c r="A43" s="99" t="s">
        <v>96</v>
      </c>
      <c r="B43" s="98" t="s">
        <v>23</v>
      </c>
      <c r="C43" s="98" t="s">
        <v>80</v>
      </c>
      <c r="D43" s="199"/>
      <c r="E43" s="199"/>
      <c r="F43" s="199"/>
      <c r="G43" s="199">
        <v>0.0</v>
      </c>
      <c r="H43" s="189">
        <v>79980.83536</v>
      </c>
      <c r="I43" s="189">
        <v>14376.577384</v>
      </c>
      <c r="J43" s="189">
        <v>301557.27263200004</v>
      </c>
      <c r="K43" s="189">
        <v>99721.466528</v>
      </c>
    </row>
    <row r="44" ht="14.25" customHeight="1">
      <c r="A44" s="98" t="s">
        <v>97</v>
      </c>
      <c r="B44" s="98" t="s">
        <v>23</v>
      </c>
      <c r="C44" s="98" t="s">
        <v>80</v>
      </c>
      <c r="D44" s="199"/>
      <c r="E44" s="199"/>
      <c r="F44" s="199"/>
      <c r="G44" s="199">
        <v>0.0</v>
      </c>
      <c r="H44" s="189">
        <v>144748.40747200002</v>
      </c>
      <c r="I44" s="189">
        <v>22157.70964</v>
      </c>
      <c r="J44" s="189">
        <v>0.0</v>
      </c>
      <c r="K44" s="189">
        <v>82446.53503999999</v>
      </c>
    </row>
    <row r="45" ht="14.25" customHeight="1">
      <c r="A45" s="98" t="s">
        <v>98</v>
      </c>
      <c r="B45" s="98" t="s">
        <v>23</v>
      </c>
      <c r="C45" s="98" t="s">
        <v>80</v>
      </c>
      <c r="D45" s="199"/>
      <c r="E45" s="199"/>
      <c r="F45" s="199"/>
      <c r="G45" s="199">
        <v>0.0</v>
      </c>
      <c r="H45" s="189">
        <v>0.0</v>
      </c>
      <c r="I45" s="189">
        <v>0.0</v>
      </c>
      <c r="J45" s="189">
        <v>0.0</v>
      </c>
      <c r="K45" s="189">
        <v>0.0</v>
      </c>
    </row>
    <row r="46" ht="14.25" customHeight="1">
      <c r="A46" s="98" t="s">
        <v>107</v>
      </c>
      <c r="B46" s="98" t="s">
        <v>24</v>
      </c>
      <c r="C46" s="98" t="s">
        <v>80</v>
      </c>
      <c r="D46" s="199"/>
      <c r="E46" s="199"/>
      <c r="F46" s="199"/>
      <c r="G46" s="199">
        <v>0.0</v>
      </c>
      <c r="H46" s="189">
        <v>0.0</v>
      </c>
      <c r="I46" s="189">
        <v>0.0</v>
      </c>
      <c r="J46" s="189">
        <v>0.0</v>
      </c>
      <c r="K46" s="189">
        <v>0.0</v>
      </c>
    </row>
    <row r="47" ht="14.25" customHeight="1">
      <c r="A47" s="98" t="s">
        <v>108</v>
      </c>
      <c r="B47" s="98" t="s">
        <v>24</v>
      </c>
      <c r="C47" s="98" t="s">
        <v>80</v>
      </c>
      <c r="D47" s="199"/>
      <c r="E47" s="199"/>
      <c r="F47" s="199"/>
      <c r="G47" s="199">
        <v>0.0</v>
      </c>
      <c r="H47" s="189">
        <v>0.0</v>
      </c>
      <c r="I47" s="189">
        <v>0.0</v>
      </c>
      <c r="J47" s="189">
        <v>0.0</v>
      </c>
      <c r="K47" s="189">
        <v>0.0</v>
      </c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99"/>
      <c r="E48" s="199"/>
      <c r="F48" s="199"/>
      <c r="G48" s="199">
        <v>0.0</v>
      </c>
      <c r="H48" s="189">
        <v>0.0</v>
      </c>
      <c r="I48" s="189">
        <v>0.0</v>
      </c>
      <c r="J48" s="189">
        <v>0.0</v>
      </c>
      <c r="K48" s="189">
        <v>0.0</v>
      </c>
    </row>
    <row r="49" ht="14.25" customHeight="1">
      <c r="A49" s="98" t="s">
        <v>100</v>
      </c>
      <c r="B49" s="98" t="s">
        <v>23</v>
      </c>
      <c r="C49" s="98" t="s">
        <v>80</v>
      </c>
      <c r="D49" s="199"/>
      <c r="E49" s="199"/>
      <c r="F49" s="199"/>
      <c r="G49" s="199">
        <v>0.0</v>
      </c>
      <c r="H49" s="189">
        <v>0.0</v>
      </c>
      <c r="I49" s="189">
        <v>0.0</v>
      </c>
      <c r="J49" s="189">
        <v>0.0</v>
      </c>
      <c r="K49" s="189">
        <v>0.0</v>
      </c>
    </row>
    <row r="50" ht="14.25" customHeight="1">
      <c r="A50" s="98" t="s">
        <v>101</v>
      </c>
      <c r="B50" s="98" t="s">
        <v>23</v>
      </c>
      <c r="C50" s="98" t="s">
        <v>80</v>
      </c>
      <c r="D50" s="199"/>
      <c r="E50" s="199"/>
      <c r="F50" s="199"/>
      <c r="G50" s="199">
        <v>0.0</v>
      </c>
      <c r="H50" s="189">
        <v>0.0</v>
      </c>
      <c r="I50" s="189">
        <v>0.0</v>
      </c>
      <c r="J50" s="189">
        <v>0.0</v>
      </c>
      <c r="K50" s="189">
        <v>0.0</v>
      </c>
    </row>
    <row r="51" ht="14.25" customHeight="1">
      <c r="A51" s="98" t="s">
        <v>102</v>
      </c>
      <c r="B51" s="98" t="s">
        <v>23</v>
      </c>
      <c r="C51" s="98" t="s">
        <v>80</v>
      </c>
      <c r="D51" s="199"/>
      <c r="E51" s="199"/>
      <c r="F51" s="199"/>
      <c r="G51" s="199">
        <v>0.0</v>
      </c>
      <c r="H51" s="189">
        <v>0.0</v>
      </c>
      <c r="I51" s="189">
        <v>0.0</v>
      </c>
      <c r="J51" s="189">
        <v>0.0</v>
      </c>
      <c r="K51" s="189">
        <v>0.0</v>
      </c>
    </row>
    <row r="52" ht="14.25" customHeight="1">
      <c r="A52" s="98" t="s">
        <v>103</v>
      </c>
      <c r="B52" s="98" t="s">
        <v>23</v>
      </c>
      <c r="C52" s="98" t="s">
        <v>80</v>
      </c>
      <c r="D52" s="199">
        <v>29310.0</v>
      </c>
      <c r="E52" s="199">
        <v>5699.0</v>
      </c>
      <c r="F52" s="199">
        <v>38079.0</v>
      </c>
      <c r="G52" s="199">
        <v>81351.0</v>
      </c>
      <c r="H52" s="189">
        <v>40712.261008</v>
      </c>
      <c r="I52" s="189">
        <v>0.0</v>
      </c>
      <c r="J52" s="189">
        <v>72380.03772</v>
      </c>
      <c r="K52" s="189">
        <v>151482.844464</v>
      </c>
    </row>
    <row r="53" ht="14.25" customHeight="1">
      <c r="A53" s="98" t="s">
        <v>104</v>
      </c>
      <c r="B53" s="98" t="s">
        <v>23</v>
      </c>
      <c r="C53" s="98" t="s">
        <v>80</v>
      </c>
      <c r="D53" s="199">
        <v>12130.0</v>
      </c>
      <c r="E53" s="199"/>
      <c r="F53" s="199"/>
      <c r="G53" s="199"/>
      <c r="H53" s="189">
        <v>0.0</v>
      </c>
      <c r="I53" s="189">
        <v>0.0</v>
      </c>
      <c r="J53" s="189">
        <v>0.0</v>
      </c>
      <c r="K53" s="189">
        <v>0.0</v>
      </c>
    </row>
    <row r="54" ht="14.25" customHeight="1">
      <c r="A54" s="98" t="s">
        <v>110</v>
      </c>
      <c r="B54" s="98" t="s">
        <v>25</v>
      </c>
      <c r="C54" s="125" t="s">
        <v>80</v>
      </c>
      <c r="D54" s="203"/>
      <c r="E54" s="203"/>
      <c r="F54" s="203"/>
      <c r="G54" s="199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203"/>
      <c r="E55" s="203">
        <v>1503.0</v>
      </c>
      <c r="F55" s="203"/>
      <c r="G55" s="199">
        <v>-2038.0</v>
      </c>
      <c r="H55" s="189">
        <v>0.0</v>
      </c>
      <c r="I55" s="189">
        <v>0.0</v>
      </c>
      <c r="J55" s="189">
        <v>406.429544</v>
      </c>
      <c r="K55" s="189">
        <v>4794.651336</v>
      </c>
    </row>
    <row r="56" ht="14.25" customHeight="1">
      <c r="A56" s="133" t="s">
        <v>16</v>
      </c>
      <c r="B56" s="127"/>
      <c r="C56" s="127"/>
      <c r="D56" s="200">
        <f t="shared" ref="D56:K56" si="3">SUM(D23:D55)</f>
        <v>906617</v>
      </c>
      <c r="E56" s="200">
        <f t="shared" si="3"/>
        <v>176254</v>
      </c>
      <c r="F56" s="200">
        <f t="shared" si="3"/>
        <v>1325388</v>
      </c>
      <c r="G56" s="200">
        <f t="shared" si="3"/>
        <v>1898783</v>
      </c>
      <c r="H56" s="200">
        <f t="shared" si="3"/>
        <v>1598372.933</v>
      </c>
      <c r="I56" s="200">
        <f t="shared" si="3"/>
        <v>219006.8338</v>
      </c>
      <c r="J56" s="200">
        <f t="shared" si="3"/>
        <v>2552614.205</v>
      </c>
      <c r="K56" s="200">
        <f t="shared" si="3"/>
        <v>4113110.067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99">
        <v>0.0</v>
      </c>
      <c r="H57" s="189">
        <v>0.0</v>
      </c>
      <c r="I57" s="189">
        <v>0.0</v>
      </c>
      <c r="J57" s="189">
        <v>0.0</v>
      </c>
      <c r="K57" s="189">
        <v>0.0</v>
      </c>
    </row>
    <row r="58" ht="14.25" customHeight="1">
      <c r="A58" s="98" t="s">
        <v>114</v>
      </c>
      <c r="B58" s="98" t="s">
        <v>26</v>
      </c>
      <c r="C58" s="98" t="s">
        <v>80</v>
      </c>
      <c r="D58" s="188">
        <v>3841.0</v>
      </c>
      <c r="E58" s="188">
        <v>2004.0</v>
      </c>
      <c r="F58" s="188">
        <v>47832.0</v>
      </c>
      <c r="G58" s="199">
        <v>0.0</v>
      </c>
      <c r="H58" s="189">
        <v>0.0</v>
      </c>
      <c r="I58" s="189">
        <v>1305.49416</v>
      </c>
      <c r="J58" s="189">
        <v>10523.525456</v>
      </c>
      <c r="K58" s="189">
        <v>0.0</v>
      </c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99">
        <v>0.0</v>
      </c>
      <c r="H59" s="189">
        <v>170130.809696</v>
      </c>
      <c r="I59" s="189">
        <v>0.0</v>
      </c>
      <c r="J59" s="189">
        <v>1584.543712</v>
      </c>
      <c r="K59" s="189">
        <v>62334.688592</v>
      </c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99">
        <v>0.0</v>
      </c>
      <c r="H60" s="189">
        <v>0.0</v>
      </c>
      <c r="I60" s="189">
        <v>0.0</v>
      </c>
      <c r="J60" s="189">
        <v>0.0</v>
      </c>
      <c r="K60" s="189">
        <v>0.0</v>
      </c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99">
        <v>0.0</v>
      </c>
      <c r="H61" s="189">
        <v>0.0</v>
      </c>
      <c r="I61" s="189">
        <v>24513.04044</v>
      </c>
      <c r="J61" s="189">
        <v>0.0</v>
      </c>
      <c r="K61" s="189">
        <v>5181.236919999999</v>
      </c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99">
        <v>0.0</v>
      </c>
      <c r="H62" s="189">
        <v>0.0</v>
      </c>
      <c r="I62" s="189">
        <v>0.0</v>
      </c>
      <c r="J62" s="189">
        <v>0.0</v>
      </c>
      <c r="K62" s="189">
        <v>0.0</v>
      </c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99">
        <v>0.0</v>
      </c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90"/>
      <c r="E64" s="190"/>
      <c r="F64" s="190"/>
      <c r="G64" s="199">
        <v>0.0</v>
      </c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203"/>
      <c r="E65" s="203"/>
      <c r="F65" s="203"/>
      <c r="G65" s="199">
        <v>0.0</v>
      </c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3841</v>
      </c>
      <c r="E66" s="200">
        <f t="shared" si="4"/>
        <v>2004</v>
      </c>
      <c r="F66" s="200">
        <f t="shared" si="4"/>
        <v>47832</v>
      </c>
      <c r="G66" s="200">
        <f t="shared" si="4"/>
        <v>0</v>
      </c>
      <c r="H66" s="200">
        <f t="shared" si="4"/>
        <v>170130.8097</v>
      </c>
      <c r="I66" s="200">
        <f t="shared" si="4"/>
        <v>25818.5346</v>
      </c>
      <c r="J66" s="200">
        <f t="shared" si="4"/>
        <v>12108.06917</v>
      </c>
      <c r="K66" s="200">
        <f t="shared" si="4"/>
        <v>67515.92551</v>
      </c>
    </row>
    <row r="67" ht="14.25" customHeight="1">
      <c r="A67" s="125" t="s">
        <v>119</v>
      </c>
      <c r="B67" s="98" t="s">
        <v>25</v>
      </c>
      <c r="C67" s="125" t="s">
        <v>120</v>
      </c>
      <c r="D67" s="205">
        <v>9990.0</v>
      </c>
      <c r="E67" s="205">
        <v>0.0</v>
      </c>
      <c r="F67" s="205"/>
      <c r="G67" s="199">
        <v>992.0</v>
      </c>
      <c r="H67" s="189">
        <v>0.0</v>
      </c>
      <c r="I67" s="189">
        <v>0.0</v>
      </c>
      <c r="J67" s="189">
        <v>1788498.7408399996</v>
      </c>
      <c r="K67" s="189">
        <v>57523.22248</v>
      </c>
    </row>
    <row r="68" ht="14.25" customHeight="1">
      <c r="A68" s="99" t="s">
        <v>35</v>
      </c>
      <c r="B68" s="98" t="s">
        <v>23</v>
      </c>
      <c r="C68" s="98" t="s">
        <v>121</v>
      </c>
      <c r="D68" s="199">
        <v>214704.0</v>
      </c>
      <c r="E68" s="199">
        <v>98812.0</v>
      </c>
      <c r="F68" s="199">
        <v>296054.0</v>
      </c>
      <c r="G68" s="199">
        <v>-90726.0</v>
      </c>
      <c r="H68" s="189">
        <v>350242.85079199995</v>
      </c>
      <c r="I68" s="189">
        <v>279645.289816</v>
      </c>
      <c r="J68" s="189">
        <v>1490658.57148</v>
      </c>
      <c r="K68" s="189">
        <v>1143588.9451920001</v>
      </c>
    </row>
    <row r="69" ht="14.25" customHeight="1">
      <c r="A69" s="98" t="s">
        <v>122</v>
      </c>
      <c r="B69" s="98" t="s">
        <v>25</v>
      </c>
      <c r="C69" s="98" t="s">
        <v>121</v>
      </c>
      <c r="D69" s="199"/>
      <c r="E69" s="199"/>
      <c r="F69" s="199"/>
      <c r="G69" s="199">
        <v>0.0</v>
      </c>
      <c r="H69" s="189">
        <v>0.0</v>
      </c>
      <c r="I69" s="189">
        <v>3565.602</v>
      </c>
      <c r="J69" s="189">
        <v>0.0</v>
      </c>
      <c r="K69" s="189">
        <v>0.0</v>
      </c>
    </row>
    <row r="70" ht="14.25" customHeight="1">
      <c r="A70" s="98" t="s">
        <v>123</v>
      </c>
      <c r="B70" s="98" t="s">
        <v>23</v>
      </c>
      <c r="C70" s="98" t="s">
        <v>121</v>
      </c>
      <c r="D70" s="199"/>
      <c r="E70" s="199"/>
      <c r="F70" s="199"/>
      <c r="G70" s="199">
        <v>0.0</v>
      </c>
      <c r="H70" s="189">
        <v>40067.886256</v>
      </c>
      <c r="I70" s="189">
        <v>1869.3431039999998</v>
      </c>
      <c r="J70" s="189">
        <v>9444.715232</v>
      </c>
      <c r="K70" s="189">
        <v>0.0</v>
      </c>
    </row>
    <row r="71" ht="14.25" customHeight="1">
      <c r="A71" s="98" t="s">
        <v>124</v>
      </c>
      <c r="B71" s="98" t="s">
        <v>23</v>
      </c>
      <c r="C71" s="98" t="s">
        <v>121</v>
      </c>
      <c r="D71" s="199"/>
      <c r="E71" s="199">
        <v>5296.0</v>
      </c>
      <c r="F71" s="199"/>
      <c r="G71" s="199"/>
      <c r="H71" s="189">
        <v>9617.841511999999</v>
      </c>
      <c r="I71" s="189">
        <v>21988.538127999997</v>
      </c>
      <c r="J71" s="189">
        <v>0.0</v>
      </c>
      <c r="K71" s="189">
        <v>0.0</v>
      </c>
    </row>
    <row r="72" ht="14.25" customHeight="1">
      <c r="A72" s="98" t="s">
        <v>125</v>
      </c>
      <c r="B72" s="98" t="s">
        <v>23</v>
      </c>
      <c r="C72" s="98" t="s">
        <v>121</v>
      </c>
      <c r="D72" s="199"/>
      <c r="E72" s="199">
        <v>3388.0</v>
      </c>
      <c r="F72" s="199">
        <v>27333.0</v>
      </c>
      <c r="G72" s="199">
        <v>0.0</v>
      </c>
      <c r="H72" s="189"/>
      <c r="I72" s="189">
        <v>1506.205648</v>
      </c>
      <c r="J72" s="189">
        <v>148906.846024</v>
      </c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99">
        <v>0.0</v>
      </c>
      <c r="E73" s="199">
        <v>-6601.0</v>
      </c>
      <c r="F73" s="199">
        <v>55813.0</v>
      </c>
      <c r="G73" s="199">
        <v>-1291518.0</v>
      </c>
      <c r="H73" s="189"/>
      <c r="I73" s="189">
        <v>-2704.8369279999997</v>
      </c>
      <c r="J73" s="189">
        <v>16110.827296000003</v>
      </c>
      <c r="K73" s="189">
        <v>4421.598912</v>
      </c>
    </row>
    <row r="74" ht="14.25" customHeight="1">
      <c r="A74" s="98" t="s">
        <v>127</v>
      </c>
      <c r="B74" s="98" t="s">
        <v>23</v>
      </c>
      <c r="C74" s="98" t="s">
        <v>121</v>
      </c>
      <c r="D74" s="199"/>
      <c r="E74" s="199">
        <v>8605.0</v>
      </c>
      <c r="F74" s="199"/>
      <c r="G74" s="199"/>
      <c r="H74" s="189">
        <v>0.0</v>
      </c>
      <c r="I74" s="189">
        <v>0.0</v>
      </c>
      <c r="J74" s="189">
        <v>0.0</v>
      </c>
      <c r="K74" s="189">
        <v>0.0</v>
      </c>
    </row>
    <row r="75" ht="14.25" customHeight="1">
      <c r="A75" s="206" t="s">
        <v>128</v>
      </c>
      <c r="B75" s="207"/>
      <c r="C75" s="207"/>
      <c r="D75" s="208">
        <f t="shared" ref="D75:K75" si="5">SUM(D67:D74)</f>
        <v>224694</v>
      </c>
      <c r="E75" s="208">
        <f t="shared" si="5"/>
        <v>109500</v>
      </c>
      <c r="F75" s="208">
        <f t="shared" si="5"/>
        <v>379200</v>
      </c>
      <c r="G75" s="208">
        <f t="shared" si="5"/>
        <v>-1381252</v>
      </c>
      <c r="H75" s="208">
        <f t="shared" si="5"/>
        <v>399928.5786</v>
      </c>
      <c r="I75" s="208">
        <f t="shared" si="5"/>
        <v>305870.1418</v>
      </c>
      <c r="J75" s="208">
        <f t="shared" si="5"/>
        <v>3453619.701</v>
      </c>
      <c r="K75" s="208">
        <f t="shared" si="5"/>
        <v>1205533.767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1258477</v>
      </c>
      <c r="E76" s="196">
        <f t="shared" si="6"/>
        <v>434795</v>
      </c>
      <c r="F76" s="196">
        <f t="shared" si="6"/>
        <v>2089048</v>
      </c>
      <c r="G76" s="196">
        <f t="shared" si="6"/>
        <v>845855</v>
      </c>
      <c r="H76" s="196">
        <f t="shared" si="6"/>
        <v>2266762.312</v>
      </c>
      <c r="I76" s="196">
        <f t="shared" si="6"/>
        <v>732504.7032</v>
      </c>
      <c r="J76" s="196">
        <f t="shared" si="6"/>
        <v>6427647.22</v>
      </c>
      <c r="K76" s="196">
        <f t="shared" si="6"/>
        <v>5422590.493</v>
      </c>
    </row>
    <row r="77" ht="14.25" customHeight="1">
      <c r="A77" s="4"/>
      <c r="B77" s="4"/>
      <c r="C77" s="4"/>
      <c r="H77" s="119"/>
      <c r="I77" s="119"/>
      <c r="J77" s="119"/>
    </row>
    <row r="78" ht="14.25" customHeight="1">
      <c r="A78" s="4"/>
      <c r="B78" s="4"/>
      <c r="C78" s="4"/>
      <c r="D78" s="213"/>
      <c r="E78" s="213"/>
      <c r="F78" s="213"/>
      <c r="G78" s="213"/>
      <c r="H78" s="113"/>
      <c r="I78" s="113"/>
      <c r="J78" s="113"/>
    </row>
    <row r="79" ht="14.25" customHeight="1">
      <c r="A79" s="4"/>
      <c r="B79" s="4"/>
      <c r="C79" s="4"/>
      <c r="D79" s="141"/>
      <c r="E79" s="141"/>
      <c r="F79" s="141"/>
      <c r="G79" s="141"/>
      <c r="H79" s="113"/>
      <c r="I79" s="113"/>
      <c r="J79" s="113"/>
    </row>
    <row r="80" ht="14.25" customHeight="1">
      <c r="A80" s="4"/>
      <c r="B80" s="4"/>
      <c r="C80" s="4"/>
      <c r="D80" s="213"/>
      <c r="E80" s="213"/>
      <c r="F80" s="213"/>
      <c r="G80" s="213"/>
      <c r="H80" s="113"/>
      <c r="I80" s="113"/>
      <c r="J80" s="113"/>
    </row>
    <row r="81" ht="14.25" customHeight="1">
      <c r="A81" s="4"/>
      <c r="B81" s="4"/>
      <c r="C81" s="4"/>
      <c r="D81" s="213"/>
      <c r="E81" s="201"/>
      <c r="F81" s="201"/>
      <c r="G81" s="201"/>
      <c r="H81" s="113"/>
      <c r="I81" s="113"/>
      <c r="J81" s="113"/>
    </row>
    <row r="82" ht="14.25" customHeight="1">
      <c r="A82" s="4"/>
      <c r="B82" s="4"/>
      <c r="C82" s="4"/>
      <c r="D82" s="213"/>
      <c r="E82" s="213"/>
      <c r="F82" s="213"/>
      <c r="G82" s="213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99">
        <f>677504.7087-D6-D16-D52-D70</f>
        <v>553361.669</v>
      </c>
      <c r="E3" s="199">
        <f>13832.32126-E6</f>
        <v>6248.554942</v>
      </c>
      <c r="F3" s="199">
        <f>4543493.981-282314-F4-F69-F70-F6</f>
        <v>3200254.86</v>
      </c>
      <c r="G3" s="199">
        <f>5145262-G16-G52-G70</f>
        <v>5022373</v>
      </c>
      <c r="H3" s="189">
        <v>108510.51768799999</v>
      </c>
      <c r="I3" s="189">
        <v>146573.57497599997</v>
      </c>
      <c r="J3" s="189">
        <v>759641.06</v>
      </c>
      <c r="K3" s="189">
        <v>196861.0</v>
      </c>
    </row>
    <row r="4" ht="14.25" customHeight="1">
      <c r="A4" s="98" t="s">
        <v>64</v>
      </c>
      <c r="B4" s="98" t="s">
        <v>25</v>
      </c>
      <c r="C4" s="98" t="s">
        <v>13</v>
      </c>
      <c r="D4" s="199"/>
      <c r="E4" s="199"/>
      <c r="F4" s="199">
        <v>571595.1206</v>
      </c>
      <c r="G4" s="199"/>
      <c r="H4" s="189">
        <v>0.0</v>
      </c>
      <c r="I4" s="189">
        <v>0.0</v>
      </c>
      <c r="J4" s="189">
        <v>954968.31</v>
      </c>
      <c r="K4" s="189">
        <v>0.0</v>
      </c>
    </row>
    <row r="5" ht="14.25" customHeight="1">
      <c r="A5" s="98" t="s">
        <v>37</v>
      </c>
      <c r="B5" s="98" t="s">
        <v>25</v>
      </c>
      <c r="C5" s="98" t="s">
        <v>13</v>
      </c>
      <c r="D5" s="199"/>
      <c r="E5" s="199"/>
      <c r="F5" s="199"/>
      <c r="G5" s="199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203">
        <v>17943.13207</v>
      </c>
      <c r="E6" s="203">
        <v>7583.766318</v>
      </c>
      <c r="F6" s="203">
        <v>433829.01</v>
      </c>
      <c r="G6" s="203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99"/>
      <c r="E7" s="199"/>
      <c r="F7" s="199"/>
      <c r="G7" s="199"/>
      <c r="H7" s="189">
        <v>0.0</v>
      </c>
      <c r="I7" s="189">
        <v>2136.76676</v>
      </c>
      <c r="J7" s="189">
        <v>0.0</v>
      </c>
      <c r="K7" s="189">
        <v>0.0</v>
      </c>
    </row>
    <row r="8" ht="14.25" customHeight="1">
      <c r="A8" s="126" t="s">
        <v>67</v>
      </c>
      <c r="B8" s="127"/>
      <c r="C8" s="127"/>
      <c r="D8" s="200">
        <f t="shared" ref="D8:K8" si="1">SUM(D3:D7)</f>
        <v>571304.8011</v>
      </c>
      <c r="E8" s="200">
        <f t="shared" si="1"/>
        <v>13832.32126</v>
      </c>
      <c r="F8" s="200">
        <f t="shared" si="1"/>
        <v>4205678.991</v>
      </c>
      <c r="G8" s="200">
        <f t="shared" si="1"/>
        <v>5022373</v>
      </c>
      <c r="H8" s="200">
        <f t="shared" si="1"/>
        <v>108510.5177</v>
      </c>
      <c r="I8" s="200">
        <f t="shared" si="1"/>
        <v>148710.3417</v>
      </c>
      <c r="J8" s="200">
        <f t="shared" si="1"/>
        <v>1714609.37</v>
      </c>
      <c r="K8" s="200">
        <f t="shared" si="1"/>
        <v>196861</v>
      </c>
    </row>
    <row r="9" ht="14.25" customHeight="1">
      <c r="A9" s="125" t="s">
        <v>68</v>
      </c>
      <c r="B9" s="98" t="s">
        <v>25</v>
      </c>
      <c r="C9" s="125" t="s">
        <v>69</v>
      </c>
      <c r="D9" s="205"/>
      <c r="E9" s="205"/>
      <c r="F9" s="205"/>
      <c r="G9" s="205"/>
      <c r="H9" s="189">
        <v>0.0</v>
      </c>
      <c r="I9" s="189">
        <v>0.0</v>
      </c>
      <c r="J9" s="189">
        <v>0.0</v>
      </c>
      <c r="K9" s="189">
        <v>0.0</v>
      </c>
    </row>
    <row r="10" ht="14.25" customHeight="1">
      <c r="A10" s="98" t="s">
        <v>39</v>
      </c>
      <c r="B10" s="98" t="s">
        <v>25</v>
      </c>
      <c r="C10" s="98" t="s">
        <v>69</v>
      </c>
      <c r="D10" s="199">
        <v>10720.73292</v>
      </c>
      <c r="E10" s="199"/>
      <c r="F10" s="199"/>
      <c r="G10" s="199"/>
      <c r="H10" s="189">
        <v>0.0</v>
      </c>
      <c r="I10" s="189">
        <v>0.0</v>
      </c>
      <c r="J10" s="189">
        <v>0.0</v>
      </c>
      <c r="K10" s="189">
        <v>1639.0</v>
      </c>
    </row>
    <row r="11" ht="14.25" customHeight="1">
      <c r="A11" s="98" t="s">
        <v>70</v>
      </c>
      <c r="B11" s="98" t="s">
        <v>25</v>
      </c>
      <c r="C11" s="98" t="s">
        <v>69</v>
      </c>
      <c r="D11" s="199"/>
      <c r="E11" s="199"/>
      <c r="F11" s="199"/>
      <c r="G11" s="199">
        <v>2011.0</v>
      </c>
      <c r="H11" s="189">
        <v>0.0</v>
      </c>
      <c r="I11" s="189">
        <v>2192.8627599999995</v>
      </c>
      <c r="J11" s="189">
        <v>0.0</v>
      </c>
      <c r="K11" s="189">
        <v>0.0</v>
      </c>
    </row>
    <row r="12" ht="14.25" customHeight="1">
      <c r="A12" s="98" t="s">
        <v>71</v>
      </c>
      <c r="B12" s="98" t="s">
        <v>25</v>
      </c>
      <c r="C12" s="98" t="s">
        <v>69</v>
      </c>
      <c r="D12" s="199"/>
      <c r="E12" s="199">
        <v>2278.191888</v>
      </c>
      <c r="F12" s="199">
        <v>584777.49</v>
      </c>
      <c r="G12" s="199"/>
      <c r="H12" s="189">
        <v>0.0</v>
      </c>
      <c r="I12" s="189">
        <v>0.0</v>
      </c>
      <c r="J12" s="189">
        <v>0.0</v>
      </c>
      <c r="K12" s="189">
        <v>0.0</v>
      </c>
    </row>
    <row r="13" ht="14.25" customHeight="1">
      <c r="A13" s="98" t="s">
        <v>58</v>
      </c>
      <c r="B13" s="98" t="s">
        <v>25</v>
      </c>
      <c r="C13" s="98" t="s">
        <v>69</v>
      </c>
      <c r="D13" s="199">
        <v>4736.243313</v>
      </c>
      <c r="E13" s="199">
        <v>14371.22662</v>
      </c>
      <c r="F13" s="199"/>
      <c r="G13" s="199"/>
      <c r="H13" s="189">
        <v>0.0</v>
      </c>
      <c r="I13" s="189">
        <v>30322.608655999997</v>
      </c>
      <c r="J13" s="189">
        <v>179450.72</v>
      </c>
      <c r="K13" s="189">
        <v>0.0</v>
      </c>
    </row>
    <row r="14" ht="14.25" customHeight="1">
      <c r="A14" s="98" t="s">
        <v>72</v>
      </c>
      <c r="B14" s="98" t="s">
        <v>25</v>
      </c>
      <c r="C14" s="98" t="s">
        <v>69</v>
      </c>
      <c r="D14" s="199"/>
      <c r="E14" s="199"/>
      <c r="F14" s="199"/>
      <c r="G14" s="199"/>
      <c r="H14" s="189">
        <v>0.0</v>
      </c>
      <c r="I14" s="189">
        <v>0.0</v>
      </c>
      <c r="J14" s="189">
        <v>0.0</v>
      </c>
      <c r="K14" s="189">
        <v>0.0</v>
      </c>
    </row>
    <row r="15" ht="14.25" customHeight="1">
      <c r="A15" s="98" t="s">
        <v>73</v>
      </c>
      <c r="B15" s="98" t="s">
        <v>25</v>
      </c>
      <c r="C15" s="98" t="s">
        <v>69</v>
      </c>
      <c r="D15" s="199"/>
      <c r="E15" s="199"/>
      <c r="F15" s="199"/>
      <c r="G15" s="199"/>
      <c r="H15" s="189">
        <v>0.0</v>
      </c>
      <c r="I15" s="189">
        <v>0.0</v>
      </c>
      <c r="J15" s="189">
        <v>0.0</v>
      </c>
      <c r="K15" s="189">
        <v>0.0</v>
      </c>
    </row>
    <row r="16" ht="14.25" customHeight="1">
      <c r="A16" s="98" t="s">
        <v>74</v>
      </c>
      <c r="B16" s="98" t="s">
        <v>25</v>
      </c>
      <c r="C16" s="98" t="s">
        <v>69</v>
      </c>
      <c r="D16" s="199">
        <v>55504.42759</v>
      </c>
      <c r="E16" s="199"/>
      <c r="F16" s="199"/>
      <c r="G16" s="199">
        <v>24906.0</v>
      </c>
      <c r="H16" s="189">
        <v>6391.283736</v>
      </c>
      <c r="I16" s="189">
        <v>0.0</v>
      </c>
      <c r="J16" s="189">
        <v>0.0</v>
      </c>
      <c r="K16" s="189">
        <v>0.0</v>
      </c>
    </row>
    <row r="17" ht="14.25" customHeight="1">
      <c r="A17" s="98" t="s">
        <v>33</v>
      </c>
      <c r="B17" s="98" t="s">
        <v>25</v>
      </c>
      <c r="C17" s="98" t="s">
        <v>69</v>
      </c>
      <c r="D17" s="199">
        <v>26245.7438</v>
      </c>
      <c r="E17" s="199">
        <v>2073.220542</v>
      </c>
      <c r="F17" s="199"/>
      <c r="G17" s="199">
        <v>79670.0</v>
      </c>
      <c r="H17" s="189">
        <v>0.0</v>
      </c>
      <c r="I17" s="189">
        <v>1208.7986799999999</v>
      </c>
      <c r="J17" s="189">
        <v>568839.4299999999</v>
      </c>
      <c r="K17" s="189">
        <v>208408.0</v>
      </c>
    </row>
    <row r="18" ht="14.25" customHeight="1">
      <c r="A18" s="98" t="s">
        <v>75</v>
      </c>
      <c r="B18" s="98" t="s">
        <v>25</v>
      </c>
      <c r="C18" s="98" t="s">
        <v>69</v>
      </c>
      <c r="D18" s="199">
        <v>149648.1514</v>
      </c>
      <c r="E18" s="199">
        <v>29699.50664</v>
      </c>
      <c r="F18" s="199">
        <v>2990203.205</v>
      </c>
      <c r="G18" s="199">
        <v>315165.0</v>
      </c>
      <c r="H18" s="189">
        <v>26545.384496000002</v>
      </c>
      <c r="I18" s="189">
        <v>10686.905056</v>
      </c>
      <c r="J18" s="189">
        <v>2820715.4899999998</v>
      </c>
      <c r="K18" s="189">
        <v>2679106.0</v>
      </c>
    </row>
    <row r="19" ht="14.25" customHeight="1">
      <c r="A19" s="98" t="s">
        <v>41</v>
      </c>
      <c r="B19" s="98" t="s">
        <v>25</v>
      </c>
      <c r="C19" s="98" t="s">
        <v>69</v>
      </c>
      <c r="D19" s="199"/>
      <c r="E19" s="199"/>
      <c r="F19" s="199"/>
      <c r="G19" s="199"/>
      <c r="H19" s="189">
        <v>0.0</v>
      </c>
      <c r="I19" s="189">
        <v>0.0</v>
      </c>
      <c r="J19" s="189">
        <v>0.0</v>
      </c>
      <c r="K19" s="189">
        <v>0.0</v>
      </c>
    </row>
    <row r="20" ht="14.25" customHeight="1">
      <c r="A20" s="123" t="s">
        <v>76</v>
      </c>
      <c r="B20" s="98" t="s">
        <v>25</v>
      </c>
      <c r="C20" s="98" t="s">
        <v>69</v>
      </c>
      <c r="D20" s="203"/>
      <c r="E20" s="203"/>
      <c r="F20" s="203"/>
      <c r="G20" s="203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203"/>
      <c r="E21" s="203"/>
      <c r="F21" s="203"/>
      <c r="G21" s="203"/>
      <c r="H21" s="189">
        <v>0.0</v>
      </c>
      <c r="I21" s="189">
        <v>0.0</v>
      </c>
      <c r="J21" s="189">
        <v>0.0</v>
      </c>
      <c r="K21" s="189">
        <v>0.0</v>
      </c>
    </row>
    <row r="22" ht="14.25" customHeight="1">
      <c r="A22" s="126" t="s">
        <v>78</v>
      </c>
      <c r="B22" s="127"/>
      <c r="C22" s="127"/>
      <c r="D22" s="200">
        <f t="shared" ref="D22:K22" si="2">SUM(D9:D21)</f>
        <v>246855.299</v>
      </c>
      <c r="E22" s="200">
        <f t="shared" si="2"/>
        <v>48422.14569</v>
      </c>
      <c r="F22" s="200">
        <f t="shared" si="2"/>
        <v>3574980.695</v>
      </c>
      <c r="G22" s="200">
        <f t="shared" si="2"/>
        <v>421752</v>
      </c>
      <c r="H22" s="200">
        <f t="shared" si="2"/>
        <v>32936.66823</v>
      </c>
      <c r="I22" s="200">
        <f t="shared" si="2"/>
        <v>44411.17515</v>
      </c>
      <c r="J22" s="200">
        <f t="shared" si="2"/>
        <v>3569005.64</v>
      </c>
      <c r="K22" s="200">
        <f t="shared" si="2"/>
        <v>2889153</v>
      </c>
    </row>
    <row r="23" ht="14.25" customHeight="1">
      <c r="A23" s="125" t="s">
        <v>79</v>
      </c>
      <c r="B23" s="125" t="s">
        <v>23</v>
      </c>
      <c r="C23" s="125" t="s">
        <v>80</v>
      </c>
      <c r="D23" s="193">
        <v>17510.88222</v>
      </c>
      <c r="E23" s="193"/>
      <c r="F23" s="193"/>
      <c r="G23" s="193"/>
      <c r="H23" s="189">
        <v>0.0</v>
      </c>
      <c r="I23" s="189">
        <v>0.0</v>
      </c>
      <c r="J23" s="189">
        <v>0.0</v>
      </c>
      <c r="K23" s="189">
        <v>0.0</v>
      </c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>
        <v>0.0</v>
      </c>
      <c r="I24" s="189">
        <v>0.0</v>
      </c>
      <c r="J24" s="189">
        <v>0.0</v>
      </c>
      <c r="K24" s="189">
        <v>0.0</v>
      </c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>
        <v>0.0</v>
      </c>
      <c r="I25" s="189">
        <v>0.0</v>
      </c>
      <c r="J25" s="189">
        <v>0.0</v>
      </c>
      <c r="K25" s="189">
        <v>0.0</v>
      </c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>
        <v>0.0</v>
      </c>
      <c r="I26" s="189">
        <v>0.0</v>
      </c>
      <c r="J26" s="189">
        <v>0.0</v>
      </c>
      <c r="K26" s="189">
        <v>0.0</v>
      </c>
    </row>
    <row r="27" ht="14.25" customHeight="1">
      <c r="A27" s="99" t="s">
        <v>83</v>
      </c>
      <c r="B27" s="98" t="s">
        <v>23</v>
      </c>
      <c r="C27" s="98" t="s">
        <v>80</v>
      </c>
      <c r="D27" s="188">
        <v>834054.3427</v>
      </c>
      <c r="E27" s="188">
        <v>48288.92443</v>
      </c>
      <c r="F27" s="188">
        <v>192892.0764</v>
      </c>
      <c r="G27" s="188">
        <v>1481797.0</v>
      </c>
      <c r="H27" s="189">
        <v>498433.0563920003</v>
      </c>
      <c r="I27" s="189">
        <v>3526.398392</v>
      </c>
      <c r="J27" s="189">
        <v>0.0</v>
      </c>
      <c r="K27" s="189">
        <v>375171.0</v>
      </c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>
        <v>100000.0</v>
      </c>
      <c r="G28" s="188">
        <v>206.0</v>
      </c>
      <c r="H28" s="189">
        <v>10032.853744000002</v>
      </c>
      <c r="I28" s="189">
        <v>29948.336143999997</v>
      </c>
      <c r="J28" s="189">
        <v>4473.0</v>
      </c>
      <c r="K28" s="189">
        <v>0.0</v>
      </c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>
        <v>486.04434</v>
      </c>
      <c r="F29" s="188"/>
      <c r="G29" s="188"/>
      <c r="H29" s="189">
        <v>0.0</v>
      </c>
      <c r="I29" s="189">
        <v>0.0</v>
      </c>
      <c r="J29" s="189">
        <v>0.0</v>
      </c>
      <c r="K29" s="189">
        <v>0.0</v>
      </c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>
        <v>0.0</v>
      </c>
      <c r="I30" s="189">
        <v>0.0</v>
      </c>
      <c r="J30" s="189">
        <v>0.0</v>
      </c>
      <c r="K30" s="189">
        <v>0.0</v>
      </c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188"/>
      <c r="G31" s="188">
        <v>110917.0</v>
      </c>
      <c r="H31" s="189">
        <v>0.0</v>
      </c>
      <c r="I31" s="189">
        <v>0.0</v>
      </c>
      <c r="J31" s="189">
        <v>0.0</v>
      </c>
      <c r="K31" s="189">
        <v>0.0</v>
      </c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>
        <v>0.0</v>
      </c>
      <c r="I32" s="189">
        <v>0.0</v>
      </c>
      <c r="J32" s="189">
        <v>0.0</v>
      </c>
      <c r="K32" s="189">
        <v>0.0</v>
      </c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>
        <v>0.0</v>
      </c>
      <c r="I33" s="189">
        <v>0.0</v>
      </c>
      <c r="J33" s="189">
        <v>0.0</v>
      </c>
      <c r="K33" s="189">
        <v>0.0</v>
      </c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>
        <v>0.0</v>
      </c>
      <c r="I34" s="189">
        <v>0.0</v>
      </c>
      <c r="J34" s="189">
        <v>0.0</v>
      </c>
      <c r="K34" s="189">
        <v>0.0</v>
      </c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>
        <v>0.0</v>
      </c>
      <c r="I35" s="189">
        <v>0.0</v>
      </c>
      <c r="J35" s="189">
        <v>0.0</v>
      </c>
      <c r="K35" s="189">
        <v>0.0</v>
      </c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>
        <v>0.0</v>
      </c>
      <c r="I36" s="189">
        <v>0.0</v>
      </c>
      <c r="J36" s="189">
        <v>0.0</v>
      </c>
      <c r="K36" s="189">
        <v>0.0</v>
      </c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>
        <v>0.0</v>
      </c>
      <c r="I37" s="189">
        <v>0.0</v>
      </c>
      <c r="J37" s="189">
        <v>0.0</v>
      </c>
      <c r="K37" s="189">
        <v>0.0</v>
      </c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>
        <v>0.0</v>
      </c>
      <c r="I38" s="189">
        <v>0.0</v>
      </c>
      <c r="J38" s="189">
        <v>0.0</v>
      </c>
      <c r="K38" s="189">
        <v>0.0</v>
      </c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>
        <v>0.0</v>
      </c>
      <c r="I39" s="189">
        <v>0.0</v>
      </c>
      <c r="J39" s="189">
        <v>0.0</v>
      </c>
      <c r="K39" s="189">
        <v>0.0</v>
      </c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>
        <v>0.0</v>
      </c>
      <c r="I40" s="189">
        <v>0.0</v>
      </c>
      <c r="J40" s="189">
        <v>0.0</v>
      </c>
      <c r="K40" s="189">
        <v>0.0</v>
      </c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>
        <v>0.0</v>
      </c>
      <c r="I41" s="189">
        <v>0.0</v>
      </c>
      <c r="J41" s="189">
        <v>0.0</v>
      </c>
      <c r="K41" s="189">
        <v>0.0</v>
      </c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>
        <v>0.0</v>
      </c>
      <c r="I42" s="189">
        <v>0.0</v>
      </c>
      <c r="J42" s="189">
        <v>0.0</v>
      </c>
      <c r="K42" s="189">
        <v>0.0</v>
      </c>
    </row>
    <row r="43" ht="14.25" customHeight="1">
      <c r="A43" s="99" t="s">
        <v>96</v>
      </c>
      <c r="B43" s="98" t="s">
        <v>23</v>
      </c>
      <c r="C43" s="98" t="s">
        <v>80</v>
      </c>
      <c r="D43" s="199"/>
      <c r="E43" s="199">
        <v>8141.300523</v>
      </c>
      <c r="F43" s="199"/>
      <c r="G43" s="199"/>
      <c r="H43" s="189">
        <v>0.0</v>
      </c>
      <c r="I43" s="189">
        <v>0.0</v>
      </c>
      <c r="J43" s="189">
        <v>0.0</v>
      </c>
      <c r="K43" s="189">
        <v>0.0</v>
      </c>
    </row>
    <row r="44" ht="14.25" customHeight="1">
      <c r="A44" s="98" t="s">
        <v>97</v>
      </c>
      <c r="B44" s="98" t="s">
        <v>23</v>
      </c>
      <c r="C44" s="98" t="s">
        <v>80</v>
      </c>
      <c r="D44" s="199"/>
      <c r="E44" s="199"/>
      <c r="F44" s="199">
        <v>9373.58</v>
      </c>
      <c r="G44" s="199"/>
      <c r="H44" s="189">
        <v>0.0</v>
      </c>
      <c r="I44" s="189">
        <v>0.0</v>
      </c>
      <c r="J44" s="189">
        <v>30000.0</v>
      </c>
      <c r="K44" s="189">
        <v>0.0</v>
      </c>
    </row>
    <row r="45" ht="14.25" customHeight="1">
      <c r="A45" s="98" t="s">
        <v>98</v>
      </c>
      <c r="B45" s="98" t="s">
        <v>23</v>
      </c>
      <c r="C45" s="98" t="s">
        <v>80</v>
      </c>
      <c r="D45" s="199"/>
      <c r="E45" s="199"/>
      <c r="F45" s="199"/>
      <c r="G45" s="199"/>
      <c r="H45" s="189">
        <v>0.0</v>
      </c>
      <c r="I45" s="189">
        <v>0.0</v>
      </c>
      <c r="J45" s="189">
        <v>118723.02</v>
      </c>
      <c r="K45" s="189">
        <v>43.0</v>
      </c>
    </row>
    <row r="46" ht="14.25" customHeight="1">
      <c r="A46" s="98" t="s">
        <v>107</v>
      </c>
      <c r="B46" s="98" t="s">
        <v>24</v>
      </c>
      <c r="C46" s="98" t="s">
        <v>80</v>
      </c>
      <c r="D46" s="199"/>
      <c r="E46" s="199"/>
      <c r="F46" s="199"/>
      <c r="G46" s="199"/>
      <c r="H46" s="189">
        <v>0.0</v>
      </c>
      <c r="I46" s="189">
        <v>0.0</v>
      </c>
      <c r="J46" s="189">
        <v>0.0</v>
      </c>
      <c r="K46" s="189">
        <v>0.0</v>
      </c>
    </row>
    <row r="47" ht="14.25" customHeight="1">
      <c r="A47" s="98" t="s">
        <v>108</v>
      </c>
      <c r="B47" s="98" t="s">
        <v>24</v>
      </c>
      <c r="C47" s="98" t="s">
        <v>80</v>
      </c>
      <c r="D47" s="199"/>
      <c r="E47" s="199"/>
      <c r="F47" s="199"/>
      <c r="G47" s="199"/>
      <c r="H47" s="189">
        <v>210.121592</v>
      </c>
      <c r="I47" s="189">
        <v>2495.612872</v>
      </c>
      <c r="J47" s="189">
        <v>0.0</v>
      </c>
      <c r="K47" s="189">
        <v>0.0</v>
      </c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99"/>
      <c r="E48" s="199"/>
      <c r="F48" s="199"/>
      <c r="G48" s="199"/>
      <c r="H48" s="189">
        <v>0.0</v>
      </c>
      <c r="I48" s="189">
        <v>0.0</v>
      </c>
      <c r="J48" s="189">
        <v>0.0</v>
      </c>
      <c r="K48" s="189">
        <v>0.0</v>
      </c>
    </row>
    <row r="49" ht="14.25" customHeight="1">
      <c r="A49" s="98" t="s">
        <v>100</v>
      </c>
      <c r="B49" s="98" t="s">
        <v>23</v>
      </c>
      <c r="C49" s="98" t="s">
        <v>80</v>
      </c>
      <c r="D49" s="199"/>
      <c r="E49" s="199"/>
      <c r="F49" s="199">
        <v>79000.0</v>
      </c>
      <c r="G49" s="199"/>
      <c r="H49" s="189">
        <v>0.0</v>
      </c>
      <c r="I49" s="189">
        <v>0.0</v>
      </c>
      <c r="J49" s="189">
        <v>79000.0</v>
      </c>
      <c r="K49" s="189">
        <v>0.0</v>
      </c>
    </row>
    <row r="50" ht="14.25" customHeight="1">
      <c r="A50" s="98" t="s">
        <v>101</v>
      </c>
      <c r="B50" s="98" t="s">
        <v>23</v>
      </c>
      <c r="C50" s="98" t="s">
        <v>80</v>
      </c>
      <c r="D50" s="199">
        <v>80779.57178</v>
      </c>
      <c r="E50" s="199"/>
      <c r="F50" s="199">
        <v>1459983.09</v>
      </c>
      <c r="G50" s="199">
        <v>8264.0</v>
      </c>
      <c r="H50" s="189">
        <v>62521.0956</v>
      </c>
      <c r="I50" s="189">
        <v>0.0</v>
      </c>
      <c r="J50" s="189">
        <v>0.0</v>
      </c>
      <c r="K50" s="189">
        <v>918674.0</v>
      </c>
    </row>
    <row r="51" ht="14.25" customHeight="1">
      <c r="A51" s="98" t="s">
        <v>102</v>
      </c>
      <c r="B51" s="98" t="s">
        <v>23</v>
      </c>
      <c r="C51" s="98" t="s">
        <v>80</v>
      </c>
      <c r="D51" s="199"/>
      <c r="E51" s="199"/>
      <c r="F51" s="199"/>
      <c r="G51" s="199"/>
      <c r="H51" s="189">
        <v>0.0</v>
      </c>
      <c r="I51" s="189">
        <v>0.0</v>
      </c>
      <c r="J51" s="189">
        <v>0.0</v>
      </c>
      <c r="K51" s="189">
        <v>0.0</v>
      </c>
    </row>
    <row r="52" ht="14.25" customHeight="1">
      <c r="A52" s="98" t="s">
        <v>103</v>
      </c>
      <c r="B52" s="98" t="s">
        <v>23</v>
      </c>
      <c r="C52" s="98" t="s">
        <v>80</v>
      </c>
      <c r="D52" s="199">
        <v>21693.7694</v>
      </c>
      <c r="E52" s="199"/>
      <c r="F52" s="199"/>
      <c r="G52" s="199">
        <v>81567.0</v>
      </c>
      <c r="H52" s="189">
        <v>9167.474776</v>
      </c>
      <c r="I52" s="189">
        <v>0.0</v>
      </c>
      <c r="J52" s="189">
        <v>0.0</v>
      </c>
      <c r="K52" s="189">
        <v>55089.0</v>
      </c>
    </row>
    <row r="53" ht="14.25" customHeight="1">
      <c r="A53" s="98" t="s">
        <v>104</v>
      </c>
      <c r="B53" s="98" t="s">
        <v>23</v>
      </c>
      <c r="C53" s="98" t="s">
        <v>80</v>
      </c>
      <c r="D53" s="199"/>
      <c r="E53" s="199"/>
      <c r="F53" s="199"/>
      <c r="G53" s="199"/>
      <c r="H53" s="189">
        <v>0.0</v>
      </c>
      <c r="I53" s="189">
        <v>0.0</v>
      </c>
      <c r="J53" s="189">
        <v>0.0</v>
      </c>
      <c r="K53" s="189">
        <v>0.0</v>
      </c>
    </row>
    <row r="54" ht="14.25" customHeight="1">
      <c r="A54" s="98" t="s">
        <v>110</v>
      </c>
      <c r="B54" s="98" t="s">
        <v>25</v>
      </c>
      <c r="C54" s="125" t="s">
        <v>80</v>
      </c>
      <c r="D54" s="203"/>
      <c r="E54" s="203"/>
      <c r="F54" s="203"/>
      <c r="G54" s="203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>
        <v>0.0</v>
      </c>
      <c r="I55" s="189">
        <v>0.0</v>
      </c>
      <c r="J55" s="189">
        <v>0.0</v>
      </c>
      <c r="K55" s="189">
        <v>0.0</v>
      </c>
    </row>
    <row r="56" ht="14.25" customHeight="1">
      <c r="A56" s="133" t="s">
        <v>16</v>
      </c>
      <c r="B56" s="127"/>
      <c r="C56" s="127"/>
      <c r="D56" s="200">
        <f t="shared" ref="D56:K56" si="3">SUM(D23:D55)</f>
        <v>954038.5661</v>
      </c>
      <c r="E56" s="200">
        <f t="shared" si="3"/>
        <v>56916.26929</v>
      </c>
      <c r="F56" s="200">
        <f t="shared" si="3"/>
        <v>1841248.746</v>
      </c>
      <c r="G56" s="200">
        <f t="shared" si="3"/>
        <v>1682751</v>
      </c>
      <c r="H56" s="200">
        <f t="shared" si="3"/>
        <v>580364.6021</v>
      </c>
      <c r="I56" s="200">
        <f t="shared" si="3"/>
        <v>35970.34741</v>
      </c>
      <c r="J56" s="200">
        <f t="shared" si="3"/>
        <v>232196.02</v>
      </c>
      <c r="K56" s="200">
        <f t="shared" si="3"/>
        <v>1348977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>
        <v>0.0</v>
      </c>
      <c r="I57" s="189">
        <v>0.0</v>
      </c>
      <c r="J57" s="189">
        <v>0.0</v>
      </c>
      <c r="K57" s="189">
        <v>0.0</v>
      </c>
    </row>
    <row r="58" ht="14.25" customHeight="1">
      <c r="A58" s="98" t="s">
        <v>114</v>
      </c>
      <c r="B58" s="98" t="s">
        <v>26</v>
      </c>
      <c r="C58" s="98" t="s">
        <v>80</v>
      </c>
      <c r="D58" s="188">
        <v>25722.79073</v>
      </c>
      <c r="E58" s="188">
        <v>3665.818119</v>
      </c>
      <c r="F58" s="210">
        <v>68849.51</v>
      </c>
      <c r="G58" s="188">
        <v>770.0</v>
      </c>
      <c r="H58" s="189">
        <v>0.0</v>
      </c>
      <c r="I58" s="189">
        <v>327.60064</v>
      </c>
      <c r="J58" s="189">
        <v>0.0</v>
      </c>
      <c r="K58" s="189">
        <v>928.0</v>
      </c>
    </row>
    <row r="59" ht="14.25" customHeight="1">
      <c r="A59" s="98" t="s">
        <v>57</v>
      </c>
      <c r="B59" s="98" t="s">
        <v>26</v>
      </c>
      <c r="C59" s="98" t="s">
        <v>80</v>
      </c>
      <c r="D59" s="188">
        <v>11471.96201</v>
      </c>
      <c r="E59" s="188"/>
      <c r="F59" s="188"/>
      <c r="G59" s="188"/>
      <c r="H59" s="189">
        <v>0.0</v>
      </c>
      <c r="I59" s="189">
        <v>0.0</v>
      </c>
      <c r="J59" s="189">
        <v>0.0</v>
      </c>
      <c r="K59" s="189">
        <v>0.0</v>
      </c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>
        <v>0.0</v>
      </c>
      <c r="I60" s="189">
        <v>0.0</v>
      </c>
      <c r="J60" s="189">
        <v>0.0</v>
      </c>
      <c r="K60" s="189">
        <v>0.0</v>
      </c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>
        <v>2361.0</v>
      </c>
      <c r="H61" s="189">
        <v>0.0</v>
      </c>
      <c r="I61" s="189">
        <v>0.0</v>
      </c>
      <c r="J61" s="189">
        <v>24455.920688</v>
      </c>
      <c r="K61" s="189">
        <v>1937.0</v>
      </c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>
        <v>0.0</v>
      </c>
      <c r="I62" s="189">
        <v>0.0</v>
      </c>
      <c r="J62" s="189">
        <v>0.0</v>
      </c>
      <c r="K62" s="189">
        <v>0.0</v>
      </c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>
        <v>8525.191701</v>
      </c>
      <c r="F64" s="188">
        <v>412058.37</v>
      </c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>
        <v>840.443238</v>
      </c>
      <c r="F65" s="188">
        <v>33500.0</v>
      </c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37194.75274</v>
      </c>
      <c r="E66" s="200">
        <f t="shared" si="4"/>
        <v>13031.45306</v>
      </c>
      <c r="F66" s="200">
        <f t="shared" si="4"/>
        <v>514407.88</v>
      </c>
      <c r="G66" s="200">
        <f t="shared" si="4"/>
        <v>3131</v>
      </c>
      <c r="H66" s="200">
        <f t="shared" si="4"/>
        <v>0</v>
      </c>
      <c r="I66" s="200">
        <f t="shared" si="4"/>
        <v>327.60064</v>
      </c>
      <c r="J66" s="200">
        <f t="shared" si="4"/>
        <v>24455.92069</v>
      </c>
      <c r="K66" s="200">
        <f t="shared" si="4"/>
        <v>2865</v>
      </c>
    </row>
    <row r="67" ht="14.25" customHeight="1">
      <c r="A67" s="125" t="s">
        <v>119</v>
      </c>
      <c r="B67" s="98" t="s">
        <v>25</v>
      </c>
      <c r="C67" s="125" t="s">
        <v>120</v>
      </c>
      <c r="D67" s="205">
        <v>1364.220348</v>
      </c>
      <c r="E67" s="205">
        <v>5035.994751</v>
      </c>
      <c r="F67" s="205">
        <f>386802+282314</f>
        <v>669116</v>
      </c>
      <c r="G67" s="205"/>
      <c r="H67" s="189">
        <v>34940.31918399999</v>
      </c>
      <c r="I67" s="189">
        <v>340.811248</v>
      </c>
      <c r="J67" s="189">
        <v>1807325.24436</v>
      </c>
      <c r="K67" s="189">
        <v>262685.0</v>
      </c>
      <c r="L67" s="204"/>
    </row>
    <row r="68" ht="14.25" customHeight="1">
      <c r="A68" s="99" t="s">
        <v>35</v>
      </c>
      <c r="B68" s="98" t="s">
        <v>23</v>
      </c>
      <c r="C68" s="98" t="s">
        <v>121</v>
      </c>
      <c r="D68" s="199">
        <v>17891.80972</v>
      </c>
      <c r="E68" s="199"/>
      <c r="F68" s="199">
        <v>5530.63</v>
      </c>
      <c r="G68" s="199">
        <v>293835.0</v>
      </c>
      <c r="H68" s="189">
        <v>0.0</v>
      </c>
      <c r="I68" s="189">
        <v>1234.097976</v>
      </c>
      <c r="J68" s="189">
        <v>0.0</v>
      </c>
      <c r="K68" s="189">
        <v>129995.0</v>
      </c>
    </row>
    <row r="69" ht="14.25" customHeight="1">
      <c r="A69" s="98" t="s">
        <v>122</v>
      </c>
      <c r="B69" s="98" t="s">
        <v>25</v>
      </c>
      <c r="C69" s="98" t="s">
        <v>121</v>
      </c>
      <c r="D69" s="199"/>
      <c r="E69" s="199"/>
      <c r="F69" s="199">
        <v>10532.36</v>
      </c>
      <c r="G69" s="199"/>
      <c r="H69" s="189">
        <v>0.0</v>
      </c>
      <c r="I69" s="189">
        <v>0.0</v>
      </c>
      <c r="J69" s="189">
        <v>77999.75</v>
      </c>
      <c r="K69" s="189">
        <v>0.0</v>
      </c>
    </row>
    <row r="70" ht="14.25" customHeight="1">
      <c r="A70" s="98" t="s">
        <v>123</v>
      </c>
      <c r="B70" s="98" t="s">
        <v>23</v>
      </c>
      <c r="C70" s="98" t="s">
        <v>121</v>
      </c>
      <c r="D70" s="199">
        <v>29001.71062</v>
      </c>
      <c r="E70" s="199"/>
      <c r="F70" s="199">
        <v>44968.63</v>
      </c>
      <c r="G70" s="199">
        <v>16416.0</v>
      </c>
      <c r="H70" s="189">
        <v>0.0</v>
      </c>
      <c r="I70" s="189">
        <v>0.0</v>
      </c>
      <c r="J70" s="189">
        <v>0.0</v>
      </c>
      <c r="K70" s="189">
        <v>0.0</v>
      </c>
    </row>
    <row r="71" ht="14.25" customHeight="1">
      <c r="A71" s="98" t="s">
        <v>124</v>
      </c>
      <c r="B71" s="98" t="s">
        <v>23</v>
      </c>
      <c r="C71" s="98" t="s">
        <v>121</v>
      </c>
      <c r="D71" s="199"/>
      <c r="E71" s="199"/>
      <c r="F71" s="199"/>
      <c r="G71" s="199"/>
      <c r="H71" s="189">
        <v>0.0</v>
      </c>
      <c r="I71" s="189">
        <v>0.0</v>
      </c>
      <c r="J71" s="189">
        <v>0.0</v>
      </c>
      <c r="K71" s="189">
        <v>90372.0</v>
      </c>
    </row>
    <row r="72" ht="14.25" customHeight="1">
      <c r="A72" s="98" t="s">
        <v>125</v>
      </c>
      <c r="B72" s="98" t="s">
        <v>23</v>
      </c>
      <c r="C72" s="98" t="s">
        <v>121</v>
      </c>
      <c r="D72" s="199">
        <v>36671.36597</v>
      </c>
      <c r="E72" s="199">
        <v>415.754406</v>
      </c>
      <c r="F72" s="199">
        <v>8400.0</v>
      </c>
      <c r="G72" s="199"/>
      <c r="H72" s="189">
        <v>6022.368391999999</v>
      </c>
      <c r="I72" s="189"/>
      <c r="J72" s="189"/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99">
        <v>7788.087099</v>
      </c>
      <c r="E73" s="199">
        <v>2291.275473</v>
      </c>
      <c r="F73" s="199">
        <v>1633081.72</v>
      </c>
      <c r="G73" s="199"/>
      <c r="H73" s="189">
        <v>29417.4436</v>
      </c>
      <c r="I73" s="189">
        <v>6213.669776000001</v>
      </c>
      <c r="J73" s="189">
        <v>466323.9</v>
      </c>
      <c r="K73" s="189">
        <v>16052.0</v>
      </c>
    </row>
    <row r="74" ht="14.25" customHeight="1">
      <c r="A74" s="98" t="s">
        <v>127</v>
      </c>
      <c r="B74" s="98" t="s">
        <v>23</v>
      </c>
      <c r="C74" s="98" t="s">
        <v>121</v>
      </c>
      <c r="D74" s="199"/>
      <c r="E74" s="199"/>
      <c r="F74" s="199"/>
      <c r="G74" s="199"/>
      <c r="H74" s="189">
        <v>0.0</v>
      </c>
      <c r="I74" s="189">
        <v>0.0</v>
      </c>
      <c r="J74" s="189">
        <v>0.0</v>
      </c>
      <c r="K74" s="189">
        <v>0.0</v>
      </c>
    </row>
    <row r="75" ht="14.25" customHeight="1">
      <c r="A75" s="206" t="s">
        <v>128</v>
      </c>
      <c r="B75" s="207"/>
      <c r="C75" s="207"/>
      <c r="D75" s="208">
        <f t="shared" ref="D75:K75" si="5">SUM(D67:D74)</f>
        <v>92717.19376</v>
      </c>
      <c r="E75" s="208">
        <f t="shared" si="5"/>
        <v>7743.02463</v>
      </c>
      <c r="F75" s="208">
        <f t="shared" si="5"/>
        <v>2371629.34</v>
      </c>
      <c r="G75" s="208">
        <f t="shared" si="5"/>
        <v>310251</v>
      </c>
      <c r="H75" s="208">
        <f t="shared" si="5"/>
        <v>70380.13118</v>
      </c>
      <c r="I75" s="208">
        <f t="shared" si="5"/>
        <v>7788.579</v>
      </c>
      <c r="J75" s="208">
        <f t="shared" si="5"/>
        <v>2351648.894</v>
      </c>
      <c r="K75" s="208">
        <f t="shared" si="5"/>
        <v>499104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1902110.613</v>
      </c>
      <c r="E76" s="196">
        <f t="shared" si="6"/>
        <v>139945.2139</v>
      </c>
      <c r="F76" s="196">
        <f t="shared" si="6"/>
        <v>12507945.65</v>
      </c>
      <c r="G76" s="196">
        <f t="shared" si="6"/>
        <v>7440258</v>
      </c>
      <c r="H76" s="196">
        <f t="shared" si="6"/>
        <v>792191.9192</v>
      </c>
      <c r="I76" s="196">
        <f t="shared" si="6"/>
        <v>237208.0439</v>
      </c>
      <c r="J76" s="196">
        <f t="shared" si="6"/>
        <v>7891915.845</v>
      </c>
      <c r="K76" s="196">
        <f t="shared" si="6"/>
        <v>4936960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D78" s="141"/>
      <c r="E78" s="141"/>
      <c r="F78" s="141"/>
      <c r="G78" s="141"/>
      <c r="H78" s="113"/>
      <c r="I78" s="113"/>
      <c r="J78" s="113"/>
    </row>
    <row r="79" ht="14.25" customHeight="1">
      <c r="A79" s="4"/>
      <c r="B79" s="4"/>
      <c r="C79" s="4"/>
      <c r="H79" s="113"/>
      <c r="I79" s="113"/>
      <c r="J79" s="113"/>
    </row>
    <row r="80" ht="14.25" customHeight="1">
      <c r="A80" s="4"/>
      <c r="B80" s="4"/>
      <c r="C80" s="4"/>
      <c r="G80" s="142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G83" s="141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99">
        <f>625978.92+D4+D5+D16+D52+D53+D65+D69+D70+D71</f>
        <v>807080.76</v>
      </c>
      <c r="E3" s="199">
        <f>107589.592-E4-E5-E16-E52-E53-E65-E69-E70-E71</f>
        <v>56351.985</v>
      </c>
      <c r="F3" s="199">
        <f>1356114-F4-F5-F52</f>
        <v>865430.31</v>
      </c>
      <c r="G3" s="199">
        <v>-6004215.509999999</v>
      </c>
      <c r="H3" s="189">
        <v>1245803.4</v>
      </c>
      <c r="I3" s="189">
        <v>52907.81200000002</v>
      </c>
      <c r="J3" s="189">
        <v>970500.1900000002</v>
      </c>
      <c r="K3" s="189">
        <v>8072792.339999999</v>
      </c>
    </row>
    <row r="4" ht="14.25" customHeight="1">
      <c r="A4" s="98" t="s">
        <v>64</v>
      </c>
      <c r="B4" s="98" t="s">
        <v>25</v>
      </c>
      <c r="C4" s="98" t="s">
        <v>13</v>
      </c>
      <c r="D4" s="199">
        <v>52468.92</v>
      </c>
      <c r="E4" s="199">
        <v>0.0</v>
      </c>
      <c r="F4" s="199">
        <v>186683.69</v>
      </c>
      <c r="G4" s="199">
        <v>-715667.9</v>
      </c>
      <c r="H4" s="189">
        <v>374379.48</v>
      </c>
      <c r="I4" s="189">
        <v>1686.94</v>
      </c>
      <c r="J4" s="189">
        <v>2300395.38</v>
      </c>
      <c r="K4" s="189">
        <v>3743883.850000001</v>
      </c>
    </row>
    <row r="5" ht="14.25" customHeight="1">
      <c r="A5" s="98" t="s">
        <v>37</v>
      </c>
      <c r="B5" s="98" t="s">
        <v>25</v>
      </c>
      <c r="C5" s="98" t="s">
        <v>13</v>
      </c>
      <c r="D5" s="199">
        <v>0.0</v>
      </c>
      <c r="E5" s="199">
        <v>1069.818</v>
      </c>
      <c r="F5" s="199">
        <v>300000.0</v>
      </c>
      <c r="G5" s="199">
        <v>0.0</v>
      </c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203"/>
      <c r="E6" s="203"/>
      <c r="F6" s="203"/>
      <c r="G6" s="199">
        <v>0.0</v>
      </c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99">
        <v>11100.0</v>
      </c>
      <c r="E7" s="199">
        <v>0.0</v>
      </c>
      <c r="F7" s="199"/>
      <c r="G7" s="199">
        <v>0.0</v>
      </c>
      <c r="H7" s="189">
        <v>0.0</v>
      </c>
      <c r="I7" s="189">
        <v>0.0</v>
      </c>
      <c r="J7" s="189">
        <v>0.0</v>
      </c>
      <c r="K7" s="189">
        <v>0.0</v>
      </c>
    </row>
    <row r="8" ht="22.5" customHeight="1">
      <c r="A8" s="126" t="s">
        <v>67</v>
      </c>
      <c r="B8" s="127"/>
      <c r="C8" s="127"/>
      <c r="D8" s="200">
        <f t="shared" ref="D8:K8" si="1">SUM(D3:D7)</f>
        <v>870649.68</v>
      </c>
      <c r="E8" s="200">
        <f t="shared" si="1"/>
        <v>57421.803</v>
      </c>
      <c r="F8" s="200">
        <f t="shared" si="1"/>
        <v>1352114</v>
      </c>
      <c r="G8" s="200">
        <f t="shared" si="1"/>
        <v>-6719883.41</v>
      </c>
      <c r="H8" s="200">
        <f t="shared" si="1"/>
        <v>1620182.88</v>
      </c>
      <c r="I8" s="200">
        <f t="shared" si="1"/>
        <v>54594.752</v>
      </c>
      <c r="J8" s="200">
        <f t="shared" si="1"/>
        <v>3270895.57</v>
      </c>
      <c r="K8" s="200">
        <f t="shared" si="1"/>
        <v>11816676.19</v>
      </c>
    </row>
    <row r="9" ht="14.25" customHeight="1">
      <c r="A9" s="125" t="s">
        <v>68</v>
      </c>
      <c r="B9" s="98" t="s">
        <v>25</v>
      </c>
      <c r="C9" s="125" t="s">
        <v>69</v>
      </c>
      <c r="D9" s="205">
        <v>0.0</v>
      </c>
      <c r="E9" s="205">
        <v>1142.103</v>
      </c>
      <c r="F9" s="205"/>
      <c r="G9" s="199">
        <v>-208859.65</v>
      </c>
      <c r="H9" s="189">
        <v>0.0</v>
      </c>
      <c r="I9" s="189">
        <v>617.056</v>
      </c>
      <c r="J9" s="189">
        <v>0.0</v>
      </c>
      <c r="K9" s="189">
        <v>-661052.71</v>
      </c>
    </row>
    <row r="10" ht="14.25" customHeight="1">
      <c r="A10" s="98" t="s">
        <v>39</v>
      </c>
      <c r="B10" s="98" t="s">
        <v>25</v>
      </c>
      <c r="C10" s="98" t="s">
        <v>69</v>
      </c>
      <c r="D10" s="199">
        <v>146017.56</v>
      </c>
      <c r="E10" s="199">
        <v>291010.628</v>
      </c>
      <c r="F10" s="199">
        <v>315114.0</v>
      </c>
      <c r="G10" s="199">
        <v>222945.21</v>
      </c>
      <c r="H10" s="189">
        <v>361901.4</v>
      </c>
      <c r="I10" s="189">
        <v>271057.73</v>
      </c>
      <c r="J10" s="189">
        <v>86608.04</v>
      </c>
      <c r="K10" s="189">
        <v>518965.15</v>
      </c>
    </row>
    <row r="11" ht="14.25" customHeight="1">
      <c r="A11" s="98" t="s">
        <v>70</v>
      </c>
      <c r="B11" s="98" t="s">
        <v>25</v>
      </c>
      <c r="C11" s="98" t="s">
        <v>69</v>
      </c>
      <c r="D11" s="199">
        <v>0.0</v>
      </c>
      <c r="E11" s="199">
        <v>15056.877</v>
      </c>
      <c r="F11" s="199"/>
      <c r="G11" s="199">
        <v>0.0</v>
      </c>
      <c r="H11" s="189">
        <v>61680.0</v>
      </c>
      <c r="I11" s="189">
        <v>9797.755</v>
      </c>
      <c r="J11" s="189">
        <v>0.0</v>
      </c>
      <c r="K11" s="189">
        <v>0.0</v>
      </c>
    </row>
    <row r="12" ht="14.25" customHeight="1">
      <c r="A12" s="98" t="s">
        <v>71</v>
      </c>
      <c r="B12" s="98" t="s">
        <v>25</v>
      </c>
      <c r="C12" s="98" t="s">
        <v>69</v>
      </c>
      <c r="D12" s="199">
        <v>0.0</v>
      </c>
      <c r="E12" s="199">
        <v>-1228.845</v>
      </c>
      <c r="F12" s="199"/>
      <c r="G12" s="199">
        <v>0.0</v>
      </c>
      <c r="H12" s="189">
        <v>0.0</v>
      </c>
      <c r="I12" s="189">
        <v>0.0</v>
      </c>
      <c r="J12" s="189">
        <v>0.0</v>
      </c>
      <c r="K12" s="189">
        <v>0.0</v>
      </c>
    </row>
    <row r="13" ht="14.25" customHeight="1">
      <c r="A13" s="98" t="s">
        <v>58</v>
      </c>
      <c r="B13" s="98" t="s">
        <v>25</v>
      </c>
      <c r="C13" s="98" t="s">
        <v>69</v>
      </c>
      <c r="D13" s="199">
        <v>10740.0</v>
      </c>
      <c r="E13" s="199">
        <v>85834.374</v>
      </c>
      <c r="F13" s="199"/>
      <c r="G13" s="199">
        <v>0.0</v>
      </c>
      <c r="H13" s="189">
        <v>0.0</v>
      </c>
      <c r="I13" s="189">
        <v>133819.67</v>
      </c>
      <c r="J13" s="189">
        <v>369399.56</v>
      </c>
      <c r="K13" s="189">
        <v>53776.81</v>
      </c>
    </row>
    <row r="14" ht="14.25" customHeight="1">
      <c r="A14" s="98" t="s">
        <v>72</v>
      </c>
      <c r="B14" s="98" t="s">
        <v>25</v>
      </c>
      <c r="C14" s="98" t="s">
        <v>69</v>
      </c>
      <c r="D14" s="199">
        <v>86130.96</v>
      </c>
      <c r="E14" s="199">
        <v>20466.994</v>
      </c>
      <c r="F14" s="199">
        <v>170200.0</v>
      </c>
      <c r="G14" s="199">
        <v>706151.35</v>
      </c>
      <c r="H14" s="189">
        <v>292417.8</v>
      </c>
      <c r="I14" s="189">
        <v>0.0</v>
      </c>
      <c r="J14" s="189">
        <v>91462.0</v>
      </c>
      <c r="K14" s="189">
        <v>3784313.4200000004</v>
      </c>
    </row>
    <row r="15" ht="14.25" customHeight="1">
      <c r="A15" s="98" t="s">
        <v>73</v>
      </c>
      <c r="B15" s="98" t="s">
        <v>25</v>
      </c>
      <c r="C15" s="98" t="s">
        <v>69</v>
      </c>
      <c r="D15" s="199"/>
      <c r="E15" s="199"/>
      <c r="F15" s="199"/>
      <c r="G15" s="199">
        <v>0.0</v>
      </c>
      <c r="H15" s="189">
        <v>0.0</v>
      </c>
      <c r="I15" s="189">
        <v>0.0</v>
      </c>
      <c r="J15" s="189">
        <v>0.0</v>
      </c>
      <c r="K15" s="189">
        <v>1145.165</v>
      </c>
    </row>
    <row r="16" ht="14.25" customHeight="1">
      <c r="A16" s="98" t="s">
        <v>74</v>
      </c>
      <c r="B16" s="98" t="s">
        <v>25</v>
      </c>
      <c r="C16" s="98" t="s">
        <v>69</v>
      </c>
      <c r="D16" s="199">
        <v>0.0</v>
      </c>
      <c r="E16" s="199">
        <v>2638.53</v>
      </c>
      <c r="F16" s="199"/>
      <c r="G16" s="199">
        <v>0.0</v>
      </c>
      <c r="H16" s="189">
        <v>0.0</v>
      </c>
      <c r="I16" s="189">
        <v>8828.492</v>
      </c>
      <c r="J16" s="189">
        <v>0.0</v>
      </c>
      <c r="K16" s="189">
        <v>0.0</v>
      </c>
    </row>
    <row r="17" ht="14.25" customHeight="1">
      <c r="A17" s="98" t="s">
        <v>33</v>
      </c>
      <c r="B17" s="98" t="s">
        <v>25</v>
      </c>
      <c r="C17" s="98" t="s">
        <v>69</v>
      </c>
      <c r="D17" s="199">
        <v>0.0</v>
      </c>
      <c r="E17" s="199">
        <v>47933.179000000004</v>
      </c>
      <c r="F17" s="199">
        <v>1000.0</v>
      </c>
      <c r="G17" s="199">
        <v>-1063959.48</v>
      </c>
      <c r="H17" s="189">
        <v>16415.76</v>
      </c>
      <c r="I17" s="189">
        <v>8344.392</v>
      </c>
      <c r="J17" s="189">
        <v>45600.8</v>
      </c>
      <c r="K17" s="189">
        <v>190696.06999999998</v>
      </c>
    </row>
    <row r="18" ht="14.25" customHeight="1">
      <c r="A18" s="98" t="s">
        <v>75</v>
      </c>
      <c r="B18" s="98" t="s">
        <v>25</v>
      </c>
      <c r="C18" s="98" t="s">
        <v>69</v>
      </c>
      <c r="D18" s="199">
        <v>213669.36</v>
      </c>
      <c r="E18" s="199">
        <v>58128.077999999994</v>
      </c>
      <c r="F18" s="214">
        <v>1083939.0</v>
      </c>
      <c r="G18" s="199">
        <v>2017308.515</v>
      </c>
      <c r="H18" s="189">
        <v>463539.12</v>
      </c>
      <c r="I18" s="189">
        <v>19829.884</v>
      </c>
      <c r="J18" s="189">
        <v>881039.98</v>
      </c>
      <c r="K18" s="189">
        <v>6105571.58</v>
      </c>
    </row>
    <row r="19" ht="14.25" customHeight="1">
      <c r="A19" s="98" t="s">
        <v>41</v>
      </c>
      <c r="B19" s="98" t="s">
        <v>25</v>
      </c>
      <c r="C19" s="98" t="s">
        <v>69</v>
      </c>
      <c r="D19" s="199">
        <v>1198478.6400000001</v>
      </c>
      <c r="E19" s="199">
        <v>61195.24599999999</v>
      </c>
      <c r="F19" s="199"/>
      <c r="G19" s="199">
        <v>-14201.175</v>
      </c>
      <c r="H19" s="189">
        <v>0.0</v>
      </c>
      <c r="I19" s="189">
        <v>0.0</v>
      </c>
      <c r="J19" s="189">
        <v>4000.0</v>
      </c>
      <c r="K19" s="189">
        <v>38422.42</v>
      </c>
    </row>
    <row r="20" ht="14.25" customHeight="1">
      <c r="A20" s="123" t="s">
        <v>76</v>
      </c>
      <c r="B20" s="98" t="s">
        <v>25</v>
      </c>
      <c r="C20" s="98" t="s">
        <v>69</v>
      </c>
      <c r="D20" s="203"/>
      <c r="E20" s="203"/>
      <c r="F20" s="203"/>
      <c r="G20" s="199">
        <v>0.0</v>
      </c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203"/>
      <c r="E21" s="203"/>
      <c r="F21" s="203"/>
      <c r="G21" s="199">
        <v>0.0</v>
      </c>
      <c r="H21" s="189">
        <v>0.0</v>
      </c>
      <c r="I21" s="189">
        <v>0.0</v>
      </c>
      <c r="J21" s="189">
        <v>128164.59</v>
      </c>
      <c r="K21" s="189">
        <v>0.0</v>
      </c>
    </row>
    <row r="22" ht="14.25" customHeight="1">
      <c r="A22" s="126" t="s">
        <v>78</v>
      </c>
      <c r="B22" s="127"/>
      <c r="C22" s="127"/>
      <c r="D22" s="200">
        <f t="shared" ref="D22:K22" si="2">SUM(D9:D21)</f>
        <v>1655036.52</v>
      </c>
      <c r="E22" s="200">
        <f t="shared" si="2"/>
        <v>582177.164</v>
      </c>
      <c r="F22" s="200">
        <f t="shared" si="2"/>
        <v>1570253</v>
      </c>
      <c r="G22" s="200">
        <f t="shared" si="2"/>
        <v>1659384.77</v>
      </c>
      <c r="H22" s="200">
        <f t="shared" si="2"/>
        <v>1195954.08</v>
      </c>
      <c r="I22" s="200">
        <f t="shared" si="2"/>
        <v>452294.979</v>
      </c>
      <c r="J22" s="200">
        <f t="shared" si="2"/>
        <v>1606274.97</v>
      </c>
      <c r="K22" s="200">
        <f t="shared" si="2"/>
        <v>10031837.91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>
        <v>81642.84</v>
      </c>
      <c r="G23" s="199">
        <v>1862683.93</v>
      </c>
      <c r="H23" s="189">
        <v>0.0</v>
      </c>
      <c r="I23" s="189">
        <v>0.0</v>
      </c>
      <c r="J23" s="189">
        <v>0.0</v>
      </c>
      <c r="K23" s="189">
        <v>0.0</v>
      </c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99">
        <v>0.0</v>
      </c>
      <c r="H24" s="189">
        <v>0.0</v>
      </c>
      <c r="I24" s="189">
        <v>0.0</v>
      </c>
      <c r="J24" s="189">
        <v>0.0</v>
      </c>
      <c r="K24" s="189">
        <v>0.0</v>
      </c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99">
        <v>0.0</v>
      </c>
      <c r="H25" s="189">
        <v>0.0</v>
      </c>
      <c r="I25" s="189">
        <v>0.0</v>
      </c>
      <c r="J25" s="189">
        <v>0.0</v>
      </c>
      <c r="K25" s="189">
        <v>0.0</v>
      </c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99">
        <v>0.0</v>
      </c>
      <c r="H26" s="189">
        <v>0.0</v>
      </c>
      <c r="I26" s="189">
        <v>0.0</v>
      </c>
      <c r="J26" s="189">
        <v>0.0</v>
      </c>
      <c r="K26" s="189">
        <v>0.0</v>
      </c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99">
        <v>-1795.59</v>
      </c>
      <c r="H27" s="189">
        <v>11248.2</v>
      </c>
      <c r="I27" s="189">
        <v>0.0</v>
      </c>
      <c r="J27" s="189">
        <v>0.0</v>
      </c>
      <c r="K27" s="189">
        <v>0.0</v>
      </c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99">
        <v>0.0</v>
      </c>
      <c r="H28" s="189">
        <v>0.0</v>
      </c>
      <c r="I28" s="189">
        <v>2327.984</v>
      </c>
      <c r="J28" s="189">
        <v>0.0</v>
      </c>
      <c r="K28" s="189">
        <v>0.0</v>
      </c>
    </row>
    <row r="29" ht="14.25" customHeight="1">
      <c r="A29" s="99" t="s">
        <v>85</v>
      </c>
      <c r="B29" s="98" t="s">
        <v>23</v>
      </c>
      <c r="C29" s="98" t="s">
        <v>80</v>
      </c>
      <c r="D29" s="188">
        <v>0.0</v>
      </c>
      <c r="E29" s="188">
        <v>3422.598</v>
      </c>
      <c r="F29" s="188">
        <v>173481.28</v>
      </c>
      <c r="G29" s="199">
        <v>0.0</v>
      </c>
      <c r="H29" s="189">
        <v>0.0</v>
      </c>
      <c r="I29" s="189">
        <v>10188.312000000002</v>
      </c>
      <c r="J29" s="189">
        <v>115731.21</v>
      </c>
      <c r="K29" s="189">
        <v>0.0</v>
      </c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99">
        <v>0.0</v>
      </c>
      <c r="H30" s="189">
        <v>0.0</v>
      </c>
      <c r="I30" s="189">
        <v>1893.24</v>
      </c>
      <c r="J30" s="189">
        <v>0.0</v>
      </c>
      <c r="K30" s="189">
        <v>0.0</v>
      </c>
    </row>
    <row r="31" ht="14.25" customHeight="1">
      <c r="A31" s="98" t="s">
        <v>87</v>
      </c>
      <c r="B31" s="98" t="s">
        <v>23</v>
      </c>
      <c r="C31" s="98" t="s">
        <v>80</v>
      </c>
      <c r="D31" s="188">
        <v>0.0</v>
      </c>
      <c r="E31" s="188">
        <v>8573.933</v>
      </c>
      <c r="F31" s="188">
        <v>122699.0</v>
      </c>
      <c r="G31" s="199">
        <v>-1280104.43</v>
      </c>
      <c r="H31" s="189">
        <v>153330.24</v>
      </c>
      <c r="I31" s="189">
        <v>23115.944</v>
      </c>
      <c r="J31" s="189">
        <v>86574.44</v>
      </c>
      <c r="K31" s="189">
        <v>2167577.799999999</v>
      </c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99">
        <v>0.0</v>
      </c>
      <c r="H32" s="189">
        <v>0.0</v>
      </c>
      <c r="I32" s="189">
        <v>1738.976</v>
      </c>
      <c r="J32" s="189">
        <v>0.0</v>
      </c>
      <c r="K32" s="189">
        <v>0.0</v>
      </c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99">
        <v>0.0</v>
      </c>
      <c r="H33" s="189">
        <v>0.0</v>
      </c>
      <c r="I33" s="189">
        <v>0.0</v>
      </c>
      <c r="J33" s="189">
        <v>0.0</v>
      </c>
      <c r="K33" s="189">
        <v>0.0</v>
      </c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99">
        <v>0.0</v>
      </c>
      <c r="H34" s="189">
        <v>0.0</v>
      </c>
      <c r="I34" s="189">
        <v>0.0</v>
      </c>
      <c r="J34" s="189">
        <v>0.0</v>
      </c>
      <c r="K34" s="189">
        <v>0.0</v>
      </c>
    </row>
    <row r="35" ht="14.25" customHeight="1">
      <c r="A35" s="98" t="s">
        <v>91</v>
      </c>
      <c r="B35" s="98" t="s">
        <v>23</v>
      </c>
      <c r="C35" s="98" t="s">
        <v>80</v>
      </c>
      <c r="D35" s="188">
        <v>0.0</v>
      </c>
      <c r="E35" s="188">
        <v>2995.169</v>
      </c>
      <c r="F35" s="188"/>
      <c r="G35" s="199">
        <v>0.0</v>
      </c>
      <c r="H35" s="189">
        <v>0.0</v>
      </c>
      <c r="I35" s="189">
        <v>-506.706</v>
      </c>
      <c r="J35" s="189">
        <v>0.0</v>
      </c>
      <c r="K35" s="189">
        <v>0.0</v>
      </c>
    </row>
    <row r="36" ht="14.25" customHeight="1">
      <c r="A36" s="99" t="s">
        <v>51</v>
      </c>
      <c r="B36" s="98" t="s">
        <v>23</v>
      </c>
      <c r="C36" s="98" t="s">
        <v>80</v>
      </c>
      <c r="D36" s="188">
        <v>57240.96</v>
      </c>
      <c r="E36" s="188">
        <v>0.0</v>
      </c>
      <c r="F36" s="188"/>
      <c r="G36" s="199">
        <v>-103331.13</v>
      </c>
      <c r="H36" s="189">
        <v>0.0</v>
      </c>
      <c r="I36" s="189">
        <v>0.0</v>
      </c>
      <c r="J36" s="189">
        <v>0.0</v>
      </c>
      <c r="K36" s="189">
        <v>-240512.82000000004</v>
      </c>
    </row>
    <row r="37" ht="14.25" customHeight="1">
      <c r="A37" s="98" t="s">
        <v>92</v>
      </c>
      <c r="B37" s="98" t="s">
        <v>23</v>
      </c>
      <c r="C37" s="98" t="s">
        <v>80</v>
      </c>
      <c r="D37" s="188">
        <v>2262.0</v>
      </c>
      <c r="E37" s="188">
        <v>0.0</v>
      </c>
      <c r="F37" s="188"/>
      <c r="G37" s="199">
        <v>0.0</v>
      </c>
      <c r="H37" s="189">
        <v>0.0</v>
      </c>
      <c r="I37" s="189">
        <v>0.0</v>
      </c>
      <c r="J37" s="189">
        <v>0.0</v>
      </c>
      <c r="K37" s="189">
        <v>0.0</v>
      </c>
    </row>
    <row r="38" ht="14.25" customHeight="1">
      <c r="A38" s="98" t="s">
        <v>93</v>
      </c>
      <c r="B38" s="98" t="s">
        <v>23</v>
      </c>
      <c r="C38" s="98" t="s">
        <v>80</v>
      </c>
      <c r="D38" s="188">
        <v>44755.2</v>
      </c>
      <c r="E38" s="188">
        <v>-3440.766</v>
      </c>
      <c r="F38" s="188">
        <v>23102.44</v>
      </c>
      <c r="G38" s="199">
        <v>-580576.23</v>
      </c>
      <c r="H38" s="189">
        <v>0.0</v>
      </c>
      <c r="I38" s="189">
        <v>-5469.36</v>
      </c>
      <c r="J38" s="189">
        <v>0.0</v>
      </c>
      <c r="K38" s="189">
        <v>-189304.57000000004</v>
      </c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99">
        <v>0.0</v>
      </c>
      <c r="H39" s="189">
        <v>0.0</v>
      </c>
      <c r="I39" s="189">
        <v>0.0</v>
      </c>
      <c r="J39" s="189">
        <v>0.0</v>
      </c>
      <c r="K39" s="189">
        <v>0.0</v>
      </c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99">
        <v>0.0</v>
      </c>
      <c r="H40" s="189">
        <v>0.0</v>
      </c>
      <c r="I40" s="189">
        <v>0.0</v>
      </c>
      <c r="J40" s="189">
        <v>0.0</v>
      </c>
      <c r="K40" s="189">
        <v>0.0</v>
      </c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99">
        <v>0.0</v>
      </c>
      <c r="H41" s="189">
        <v>0.0</v>
      </c>
      <c r="I41" s="189">
        <v>0.0</v>
      </c>
      <c r="J41" s="189">
        <v>0.0</v>
      </c>
      <c r="K41" s="189">
        <v>0.0</v>
      </c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99">
        <v>0.0</v>
      </c>
      <c r="H42" s="189">
        <v>0.0</v>
      </c>
      <c r="I42" s="189">
        <v>0.0</v>
      </c>
      <c r="J42" s="189">
        <v>0.0</v>
      </c>
      <c r="K42" s="189">
        <v>0.0</v>
      </c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99">
        <v>-1203.12</v>
      </c>
      <c r="H43" s="189">
        <v>0.0</v>
      </c>
      <c r="I43" s="189">
        <v>0.0</v>
      </c>
      <c r="J43" s="189">
        <v>0.0</v>
      </c>
      <c r="K43" s="189">
        <v>0.0</v>
      </c>
    </row>
    <row r="44" ht="14.25" customHeight="1">
      <c r="A44" s="98" t="s">
        <v>97</v>
      </c>
      <c r="B44" s="98" t="s">
        <v>23</v>
      </c>
      <c r="C44" s="98" t="s">
        <v>80</v>
      </c>
      <c r="D44" s="188">
        <v>9990.0</v>
      </c>
      <c r="E44" s="188">
        <v>17120.12</v>
      </c>
      <c r="F44" s="188"/>
      <c r="G44" s="199">
        <v>0.0</v>
      </c>
      <c r="H44" s="189">
        <v>99417.6</v>
      </c>
      <c r="I44" s="189">
        <v>16242.472000000002</v>
      </c>
      <c r="J44" s="189">
        <v>9600.0</v>
      </c>
      <c r="K44" s="189">
        <v>85019.91</v>
      </c>
    </row>
    <row r="45" ht="14.25" customHeight="1">
      <c r="A45" s="98" t="s">
        <v>98</v>
      </c>
      <c r="B45" s="98" t="s">
        <v>23</v>
      </c>
      <c r="C45" s="98" t="s">
        <v>80</v>
      </c>
      <c r="D45" s="188">
        <v>5141.88</v>
      </c>
      <c r="E45" s="188">
        <v>10741.551</v>
      </c>
      <c r="F45" s="188">
        <v>495701.0</v>
      </c>
      <c r="G45" s="199">
        <v>732722.41</v>
      </c>
      <c r="H45" s="189">
        <v>0.0</v>
      </c>
      <c r="I45" s="189">
        <v>2931.692</v>
      </c>
      <c r="J45" s="189">
        <v>7800.0</v>
      </c>
      <c r="K45" s="189">
        <v>2999462.9299999997</v>
      </c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99">
        <v>0.0</v>
      </c>
      <c r="H46" s="189">
        <v>0.0</v>
      </c>
      <c r="I46" s="189">
        <v>0.0</v>
      </c>
      <c r="J46" s="189">
        <v>0.0</v>
      </c>
      <c r="K46" s="189">
        <v>0.0</v>
      </c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99">
        <v>0.0</v>
      </c>
      <c r="H47" s="189">
        <v>0.0</v>
      </c>
      <c r="I47" s="189">
        <v>0.0</v>
      </c>
      <c r="J47" s="189">
        <v>0.0</v>
      </c>
      <c r="K47" s="189">
        <v>-115261.93999999999</v>
      </c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>
        <v>0.0</v>
      </c>
      <c r="E48" s="188">
        <v>5594.839</v>
      </c>
      <c r="F48" s="188"/>
      <c r="G48" s="199">
        <v>0.0</v>
      </c>
      <c r="H48" s="189">
        <v>0.0</v>
      </c>
      <c r="I48" s="189">
        <v>0.0</v>
      </c>
      <c r="J48" s="189">
        <v>0.0</v>
      </c>
      <c r="K48" s="189">
        <v>0.0</v>
      </c>
    </row>
    <row r="49" ht="14.25" customHeight="1">
      <c r="A49" s="98" t="s">
        <v>100</v>
      </c>
      <c r="B49" s="98" t="s">
        <v>23</v>
      </c>
      <c r="C49" s="98" t="s">
        <v>80</v>
      </c>
      <c r="D49" s="199">
        <v>3349.2</v>
      </c>
      <c r="E49" s="199">
        <v>-4033.503</v>
      </c>
      <c r="F49" s="199">
        <v>926390.0</v>
      </c>
      <c r="G49" s="199">
        <v>955923.42</v>
      </c>
      <c r="H49" s="189">
        <v>0.0</v>
      </c>
      <c r="I49" s="189">
        <v>0.0</v>
      </c>
      <c r="J49" s="189">
        <v>177425.0</v>
      </c>
      <c r="K49" s="189">
        <v>0.0</v>
      </c>
    </row>
    <row r="50" ht="14.25" customHeight="1">
      <c r="A50" s="98" t="s">
        <v>101</v>
      </c>
      <c r="B50" s="98" t="s">
        <v>23</v>
      </c>
      <c r="C50" s="98" t="s">
        <v>80</v>
      </c>
      <c r="D50" s="199"/>
      <c r="E50" s="199"/>
      <c r="F50" s="199"/>
      <c r="G50" s="199">
        <v>0.0</v>
      </c>
      <c r="H50" s="189">
        <v>0.0</v>
      </c>
      <c r="I50" s="189">
        <v>0.0</v>
      </c>
      <c r="J50" s="189">
        <v>0.0</v>
      </c>
      <c r="K50" s="189">
        <v>0.0</v>
      </c>
    </row>
    <row r="51" ht="14.25" customHeight="1">
      <c r="A51" s="98" t="s">
        <v>102</v>
      </c>
      <c r="B51" s="98" t="s">
        <v>23</v>
      </c>
      <c r="C51" s="98" t="s">
        <v>80</v>
      </c>
      <c r="D51" s="199"/>
      <c r="E51" s="199"/>
      <c r="F51" s="199"/>
      <c r="G51" s="199">
        <v>0.0</v>
      </c>
      <c r="H51" s="189">
        <v>0.0</v>
      </c>
      <c r="I51" s="189">
        <v>0.0</v>
      </c>
      <c r="J51" s="189">
        <v>0.0</v>
      </c>
      <c r="K51" s="189">
        <v>0.0</v>
      </c>
    </row>
    <row r="52" ht="14.25" customHeight="1">
      <c r="A52" s="98" t="s">
        <v>103</v>
      </c>
      <c r="B52" s="98" t="s">
        <v>23</v>
      </c>
      <c r="C52" s="98" t="s">
        <v>80</v>
      </c>
      <c r="D52" s="199">
        <v>54528.0</v>
      </c>
      <c r="E52" s="199">
        <v>950.101</v>
      </c>
      <c r="F52" s="199">
        <v>4000.0</v>
      </c>
      <c r="G52" s="199">
        <v>329702.56</v>
      </c>
      <c r="H52" s="189">
        <v>0.0</v>
      </c>
      <c r="I52" s="189">
        <v>4575.916</v>
      </c>
      <c r="J52" s="189">
        <v>103000.44</v>
      </c>
      <c r="K52" s="189">
        <v>0.0</v>
      </c>
    </row>
    <row r="53" ht="14.25" customHeight="1">
      <c r="A53" s="98" t="s">
        <v>104</v>
      </c>
      <c r="B53" s="98" t="s">
        <v>23</v>
      </c>
      <c r="C53" s="98" t="s">
        <v>80</v>
      </c>
      <c r="D53" s="199">
        <v>0.0</v>
      </c>
      <c r="E53" s="199">
        <v>867.42</v>
      </c>
      <c r="F53" s="199"/>
      <c r="G53" s="199">
        <v>0.0</v>
      </c>
      <c r="H53" s="189">
        <v>28684.56</v>
      </c>
      <c r="I53" s="189">
        <v>0.0</v>
      </c>
      <c r="J53" s="189">
        <v>0.0</v>
      </c>
      <c r="K53" s="189">
        <v>0.0</v>
      </c>
    </row>
    <row r="54" ht="14.25" customHeight="1">
      <c r="A54" s="98" t="s">
        <v>110</v>
      </c>
      <c r="B54" s="98" t="s">
        <v>25</v>
      </c>
      <c r="C54" s="125" t="s">
        <v>80</v>
      </c>
      <c r="D54" s="203"/>
      <c r="E54" s="203"/>
      <c r="F54" s="203"/>
      <c r="G54" s="199">
        <v>0.0</v>
      </c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9">
        <v>0.0</v>
      </c>
      <c r="H55" s="189">
        <v>0.0</v>
      </c>
      <c r="I55" s="189">
        <v>0.0</v>
      </c>
      <c r="J55" s="189">
        <v>0.0</v>
      </c>
      <c r="K55" s="189">
        <v>0.0</v>
      </c>
    </row>
    <row r="56" ht="14.25" customHeight="1">
      <c r="A56" s="133" t="s">
        <v>16</v>
      </c>
      <c r="B56" s="127"/>
      <c r="C56" s="127"/>
      <c r="D56" s="200">
        <f t="shared" ref="D56:K56" si="3">SUM(D23:D55)</f>
        <v>177267.24</v>
      </c>
      <c r="E56" s="200">
        <f t="shared" si="3"/>
        <v>42791.462</v>
      </c>
      <c r="F56" s="200">
        <f t="shared" si="3"/>
        <v>1827016.56</v>
      </c>
      <c r="G56" s="200">
        <f t="shared" si="3"/>
        <v>1914021.82</v>
      </c>
      <c r="H56" s="200">
        <f t="shared" si="3"/>
        <v>292680.6</v>
      </c>
      <c r="I56" s="200">
        <f t="shared" si="3"/>
        <v>57038.47</v>
      </c>
      <c r="J56" s="200">
        <f t="shared" si="3"/>
        <v>500131.09</v>
      </c>
      <c r="K56" s="200">
        <f t="shared" si="3"/>
        <v>4706981.31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99">
        <v>0.0</v>
      </c>
      <c r="H57" s="189">
        <v>0.0</v>
      </c>
      <c r="I57" s="189">
        <v>0.0</v>
      </c>
      <c r="J57" s="189">
        <v>0.0</v>
      </c>
      <c r="K57" s="189">
        <v>-816.38</v>
      </c>
    </row>
    <row r="58" ht="14.25" customHeight="1">
      <c r="A58" s="98" t="s">
        <v>114</v>
      </c>
      <c r="B58" s="98" t="s">
        <v>26</v>
      </c>
      <c r="C58" s="98" t="s">
        <v>80</v>
      </c>
      <c r="D58" s="188">
        <v>0.0</v>
      </c>
      <c r="E58" s="188">
        <v>9339.522</v>
      </c>
      <c r="F58" s="188">
        <v>296548.27</v>
      </c>
      <c r="G58" s="199">
        <v>68346.13</v>
      </c>
      <c r="H58" s="189">
        <v>88255.8</v>
      </c>
      <c r="I58" s="189">
        <v>5451.1990000000005</v>
      </c>
      <c r="J58" s="189">
        <v>538736.5</v>
      </c>
      <c r="K58" s="189">
        <v>446635.51999999996</v>
      </c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>
        <v>1103901.0</v>
      </c>
      <c r="G59" s="199">
        <v>389732.45</v>
      </c>
      <c r="H59" s="189">
        <v>878137.7999999999</v>
      </c>
      <c r="I59" s="189">
        <v>123426.19099999999</v>
      </c>
      <c r="J59" s="189">
        <v>1042460.2</v>
      </c>
      <c r="K59" s="189">
        <v>-541307.0500000003</v>
      </c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99">
        <v>0.0</v>
      </c>
      <c r="H60" s="189">
        <v>0.0</v>
      </c>
      <c r="I60" s="189">
        <v>0.0</v>
      </c>
      <c r="J60" s="189">
        <v>0.0</v>
      </c>
      <c r="K60" s="189">
        <v>0.0</v>
      </c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99">
        <v>-285711.37</v>
      </c>
      <c r="H61" s="189">
        <v>0.0</v>
      </c>
      <c r="I61" s="189">
        <v>0.0</v>
      </c>
      <c r="J61" s="189">
        <v>0.0</v>
      </c>
      <c r="K61" s="189">
        <v>-221733.91999999998</v>
      </c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99">
        <v>0.0</v>
      </c>
      <c r="H62" s="189">
        <v>0.0</v>
      </c>
      <c r="I62" s="189">
        <v>0.0</v>
      </c>
      <c r="J62" s="189">
        <v>0.0</v>
      </c>
      <c r="K62" s="189">
        <v>0.0</v>
      </c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99">
        <v>0.0</v>
      </c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99">
        <v>439063.23</v>
      </c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99">
        <v>63744.0</v>
      </c>
      <c r="E65" s="199">
        <v>4261.387</v>
      </c>
      <c r="F65" s="188">
        <v>6000.0</v>
      </c>
      <c r="G65" s="199">
        <v>202054.22</v>
      </c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63744</v>
      </c>
      <c r="E66" s="200">
        <f t="shared" si="4"/>
        <v>13600.909</v>
      </c>
      <c r="F66" s="200">
        <f t="shared" si="4"/>
        <v>1406449.27</v>
      </c>
      <c r="G66" s="200">
        <f t="shared" si="4"/>
        <v>813484.66</v>
      </c>
      <c r="H66" s="200">
        <f t="shared" si="4"/>
        <v>966393.6</v>
      </c>
      <c r="I66" s="200">
        <f t="shared" si="4"/>
        <v>128877.39</v>
      </c>
      <c r="J66" s="200">
        <f t="shared" si="4"/>
        <v>1581196.7</v>
      </c>
      <c r="K66" s="200">
        <f t="shared" si="4"/>
        <v>-317221.83</v>
      </c>
    </row>
    <row r="67" ht="14.25" customHeight="1">
      <c r="A67" s="125" t="s">
        <v>119</v>
      </c>
      <c r="B67" s="98" t="s">
        <v>25</v>
      </c>
      <c r="C67" s="125" t="s">
        <v>120</v>
      </c>
      <c r="D67" s="205"/>
      <c r="E67" s="205"/>
      <c r="F67" s="205"/>
      <c r="G67" s="199">
        <v>2332078.87</v>
      </c>
      <c r="H67" s="189">
        <v>33995.52</v>
      </c>
      <c r="I67" s="189">
        <v>364.414</v>
      </c>
      <c r="J67" s="189">
        <v>77791.8</v>
      </c>
      <c r="K67" s="189">
        <v>363496.37</v>
      </c>
    </row>
    <row r="68" ht="14.25" customHeight="1">
      <c r="A68" s="99" t="s">
        <v>35</v>
      </c>
      <c r="B68" s="98" t="s">
        <v>23</v>
      </c>
      <c r="C68" s="98" t="s">
        <v>121</v>
      </c>
      <c r="D68" s="199">
        <v>278893.2</v>
      </c>
      <c r="E68" s="199">
        <v>157545.9580000001</v>
      </c>
      <c r="F68" s="199">
        <v>1185279.0</v>
      </c>
      <c r="G68" s="199">
        <v>1319376.06</v>
      </c>
      <c r="H68" s="189">
        <v>275790.72</v>
      </c>
      <c r="I68" s="189">
        <v>18763.976000000002</v>
      </c>
      <c r="J68" s="189">
        <v>312755.52</v>
      </c>
      <c r="K68" s="189">
        <v>2866244.78</v>
      </c>
    </row>
    <row r="69" ht="14.25" customHeight="1">
      <c r="A69" s="98" t="s">
        <v>122</v>
      </c>
      <c r="B69" s="98" t="s">
        <v>25</v>
      </c>
      <c r="C69" s="98" t="s">
        <v>121</v>
      </c>
      <c r="D69" s="199">
        <v>0.0</v>
      </c>
      <c r="E69" s="199">
        <v>2066.567</v>
      </c>
      <c r="F69" s="199"/>
      <c r="G69" s="199">
        <v>0.0</v>
      </c>
      <c r="H69" s="189">
        <v>0.0</v>
      </c>
      <c r="I69" s="189">
        <v>14176.108</v>
      </c>
      <c r="J69" s="189">
        <v>0.0</v>
      </c>
      <c r="K69" s="189">
        <v>0.0</v>
      </c>
    </row>
    <row r="70" ht="14.25" customHeight="1">
      <c r="A70" s="98" t="s">
        <v>123</v>
      </c>
      <c r="B70" s="98" t="s">
        <v>23</v>
      </c>
      <c r="C70" s="98" t="s">
        <v>121</v>
      </c>
      <c r="D70" s="199">
        <v>10360.92</v>
      </c>
      <c r="E70" s="199">
        <v>0.0</v>
      </c>
      <c r="F70" s="199"/>
      <c r="G70" s="199">
        <v>0.0</v>
      </c>
      <c r="H70" s="189">
        <v>15534.12</v>
      </c>
      <c r="I70" s="189">
        <v>0.0</v>
      </c>
      <c r="J70" s="189">
        <v>0.0</v>
      </c>
      <c r="K70" s="189">
        <v>87970.49999999999</v>
      </c>
    </row>
    <row r="71" ht="14.25" customHeight="1">
      <c r="A71" s="98" t="s">
        <v>124</v>
      </c>
      <c r="B71" s="98" t="s">
        <v>23</v>
      </c>
      <c r="C71" s="98" t="s">
        <v>121</v>
      </c>
      <c r="D71" s="199">
        <v>0.0</v>
      </c>
      <c r="E71" s="199">
        <v>39383.784</v>
      </c>
      <c r="F71" s="199"/>
      <c r="G71" s="199">
        <v>0.0</v>
      </c>
      <c r="H71" s="189">
        <v>0.0</v>
      </c>
      <c r="I71" s="189">
        <v>16846.888</v>
      </c>
      <c r="J71" s="189">
        <v>0.0</v>
      </c>
      <c r="K71" s="189">
        <v>0.0</v>
      </c>
    </row>
    <row r="72" ht="14.25" customHeight="1">
      <c r="A72" s="98" t="s">
        <v>125</v>
      </c>
      <c r="B72" s="98" t="s">
        <v>23</v>
      </c>
      <c r="C72" s="98" t="s">
        <v>121</v>
      </c>
      <c r="D72" s="199">
        <v>114482.88</v>
      </c>
      <c r="E72" s="199">
        <v>11374.989</v>
      </c>
      <c r="F72" s="199">
        <v>807436.25</v>
      </c>
      <c r="G72" s="199">
        <v>664106.34</v>
      </c>
      <c r="H72" s="189">
        <v>216195.6</v>
      </c>
      <c r="I72" s="189">
        <v>9537.997000000001</v>
      </c>
      <c r="J72" s="189">
        <v>1278563.1800000002</v>
      </c>
      <c r="K72" s="189">
        <v>1381576.66</v>
      </c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99">
        <v>593687.88</v>
      </c>
      <c r="E73" s="199">
        <v>165153.95200000002</v>
      </c>
      <c r="F73" s="199">
        <v>5986486.0</v>
      </c>
      <c r="G73" s="199">
        <v>6611504.37</v>
      </c>
      <c r="H73" s="189">
        <v>390961.32</v>
      </c>
      <c r="I73" s="189">
        <v>99874.65100000001</v>
      </c>
      <c r="J73" s="189">
        <v>3188981.3880000003</v>
      </c>
      <c r="K73" s="189">
        <v>5412999.209999999</v>
      </c>
    </row>
    <row r="74" ht="14.25" customHeight="1">
      <c r="A74" s="98" t="s">
        <v>127</v>
      </c>
      <c r="B74" s="98" t="s">
        <v>23</v>
      </c>
      <c r="C74" s="98" t="s">
        <v>121</v>
      </c>
      <c r="D74" s="199">
        <v>0.0</v>
      </c>
      <c r="E74" s="199">
        <v>8701.713</v>
      </c>
      <c r="F74" s="199"/>
      <c r="G74" s="199">
        <v>0.0</v>
      </c>
      <c r="H74" s="189">
        <v>20280.0</v>
      </c>
      <c r="I74" s="189">
        <v>21945.485</v>
      </c>
      <c r="J74" s="189">
        <v>0.0</v>
      </c>
      <c r="K74" s="189">
        <v>0.0</v>
      </c>
    </row>
    <row r="75" ht="14.25" customHeight="1">
      <c r="A75" s="206" t="s">
        <v>128</v>
      </c>
      <c r="B75" s="207"/>
      <c r="C75" s="207"/>
      <c r="D75" s="208">
        <f t="shared" ref="D75:K75" si="5">SUM(D67:D74)</f>
        <v>997424.88</v>
      </c>
      <c r="E75" s="208">
        <f t="shared" si="5"/>
        <v>384226.963</v>
      </c>
      <c r="F75" s="208">
        <f t="shared" si="5"/>
        <v>7979201.25</v>
      </c>
      <c r="G75" s="208">
        <f t="shared" si="5"/>
        <v>10927065.64</v>
      </c>
      <c r="H75" s="208">
        <f t="shared" si="5"/>
        <v>952757.28</v>
      </c>
      <c r="I75" s="208">
        <f t="shared" si="5"/>
        <v>181509.519</v>
      </c>
      <c r="J75" s="208">
        <f t="shared" si="5"/>
        <v>4858091.888</v>
      </c>
      <c r="K75" s="208">
        <f t="shared" si="5"/>
        <v>10112287.52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3764122.32</v>
      </c>
      <c r="E76" s="196">
        <f t="shared" si="6"/>
        <v>1080218.301</v>
      </c>
      <c r="F76" s="196">
        <f t="shared" si="6"/>
        <v>14135034.08</v>
      </c>
      <c r="G76" s="196">
        <f t="shared" si="6"/>
        <v>8594073.48</v>
      </c>
      <c r="H76" s="196">
        <f t="shared" si="6"/>
        <v>5027968.44</v>
      </c>
      <c r="I76" s="196">
        <f t="shared" si="6"/>
        <v>874315.11</v>
      </c>
      <c r="J76" s="196">
        <f t="shared" si="6"/>
        <v>11816590.22</v>
      </c>
      <c r="K76" s="196">
        <f t="shared" si="6"/>
        <v>36350561.1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D78" s="141"/>
      <c r="E78" s="141"/>
      <c r="F78" s="204"/>
      <c r="G78" s="141"/>
      <c r="H78" s="113"/>
      <c r="I78" s="113"/>
      <c r="J78" s="113"/>
    </row>
    <row r="79" ht="14.25" customHeight="1">
      <c r="A79" s="4"/>
      <c r="B79" s="4"/>
      <c r="C79" s="4"/>
      <c r="H79" s="113"/>
      <c r="I79" s="113"/>
      <c r="J79" s="113"/>
    </row>
    <row r="80" ht="14.25" customHeight="1">
      <c r="A80" s="4"/>
      <c r="B80" s="4"/>
      <c r="C80" s="4"/>
      <c r="E80" s="141"/>
      <c r="F80" s="141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99"/>
      <c r="E3" s="199"/>
      <c r="F3" s="215">
        <f>129870-F4</f>
        <v>104870</v>
      </c>
      <c r="G3" s="199"/>
      <c r="H3" s="189"/>
      <c r="I3" s="189"/>
      <c r="J3" s="189">
        <v>507683.57999999996</v>
      </c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99"/>
      <c r="E4" s="199"/>
      <c r="F4" s="199">
        <v>25000.0</v>
      </c>
      <c r="G4" s="199"/>
      <c r="H4" s="189"/>
      <c r="I4" s="189"/>
      <c r="J4" s="189">
        <v>0.0</v>
      </c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99"/>
      <c r="E5" s="199"/>
      <c r="F5" s="199"/>
      <c r="G5" s="199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203"/>
      <c r="E6" s="203"/>
      <c r="F6" s="203"/>
      <c r="G6" s="203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99"/>
      <c r="E7" s="199"/>
      <c r="F7" s="199"/>
      <c r="G7" s="199"/>
      <c r="H7" s="189"/>
      <c r="I7" s="189"/>
      <c r="J7" s="189">
        <v>0.0</v>
      </c>
      <c r="K7" s="189"/>
    </row>
    <row r="8" ht="14.25" customHeight="1">
      <c r="A8" s="126" t="s">
        <v>67</v>
      </c>
      <c r="B8" s="127"/>
      <c r="C8" s="127"/>
      <c r="D8" s="200">
        <f t="shared" ref="D8:K8" si="1">SUM(D3:D7)</f>
        <v>0</v>
      </c>
      <c r="E8" s="200">
        <f t="shared" si="1"/>
        <v>0</v>
      </c>
      <c r="F8" s="200">
        <f t="shared" si="1"/>
        <v>129870</v>
      </c>
      <c r="G8" s="200">
        <f t="shared" si="1"/>
        <v>0</v>
      </c>
      <c r="H8" s="200">
        <f t="shared" si="1"/>
        <v>0</v>
      </c>
      <c r="I8" s="200">
        <f t="shared" si="1"/>
        <v>0</v>
      </c>
      <c r="J8" s="200">
        <f t="shared" si="1"/>
        <v>507683.58</v>
      </c>
      <c r="K8" s="200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89"/>
      <c r="I9" s="189"/>
      <c r="J9" s="189">
        <v>0.0</v>
      </c>
      <c r="K9" s="189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/>
      <c r="I10" s="189"/>
      <c r="J10" s="189">
        <v>0.0</v>
      </c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215">
        <v>161700.0</v>
      </c>
      <c r="G11" s="188"/>
      <c r="H11" s="189"/>
      <c r="I11" s="189"/>
      <c r="J11" s="189">
        <v>79000.0</v>
      </c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/>
      <c r="I12" s="189"/>
      <c r="J12" s="189">
        <v>0.0</v>
      </c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/>
      <c r="F13" s="188"/>
      <c r="G13" s="188"/>
      <c r="H13" s="189"/>
      <c r="I13" s="189"/>
      <c r="J13" s="189">
        <v>0.0</v>
      </c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/>
      <c r="F14" s="188"/>
      <c r="G14" s="188"/>
      <c r="H14" s="189"/>
      <c r="I14" s="189"/>
      <c r="J14" s="189">
        <v>0.0</v>
      </c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/>
      <c r="I15" s="189"/>
      <c r="J15" s="189">
        <v>0.0</v>
      </c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/>
      <c r="I16" s="189"/>
      <c r="J16" s="189">
        <v>0.0</v>
      </c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/>
      <c r="F17" s="215">
        <v>623905.9299999999</v>
      </c>
      <c r="G17" s="188"/>
      <c r="H17" s="189"/>
      <c r="I17" s="189"/>
      <c r="J17" s="189">
        <v>1737310.2799999998</v>
      </c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/>
      <c r="E18" s="188"/>
      <c r="F18" s="215">
        <v>248463.53000000003</v>
      </c>
      <c r="G18" s="188"/>
      <c r="H18" s="189"/>
      <c r="I18" s="189"/>
      <c r="J18" s="189">
        <v>318852.25</v>
      </c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/>
      <c r="I19" s="189"/>
      <c r="J19" s="189">
        <v>0.0</v>
      </c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/>
      <c r="I21" s="189"/>
      <c r="J21" s="189">
        <v>0.0</v>
      </c>
      <c r="K21" s="189"/>
    </row>
    <row r="22" ht="14.25" customHeight="1">
      <c r="A22" s="126" t="s">
        <v>78</v>
      </c>
      <c r="B22" s="127"/>
      <c r="C22" s="127"/>
      <c r="D22" s="200">
        <f t="shared" ref="D22:K22" si="2">SUM(D9:D21)</f>
        <v>0</v>
      </c>
      <c r="E22" s="200">
        <f t="shared" si="2"/>
        <v>0</v>
      </c>
      <c r="F22" s="200">
        <f t="shared" si="2"/>
        <v>1034069.46</v>
      </c>
      <c r="G22" s="200">
        <f t="shared" si="2"/>
        <v>0</v>
      </c>
      <c r="H22" s="200">
        <f t="shared" si="2"/>
        <v>0</v>
      </c>
      <c r="I22" s="200">
        <f t="shared" si="2"/>
        <v>0</v>
      </c>
      <c r="J22" s="200">
        <f t="shared" si="2"/>
        <v>2135162.53</v>
      </c>
      <c r="K22" s="200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89"/>
      <c r="I23" s="189"/>
      <c r="J23" s="189">
        <v>0.0</v>
      </c>
      <c r="K23" s="189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/>
      <c r="I24" s="189"/>
      <c r="J24" s="189">
        <v>0.0</v>
      </c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/>
      <c r="I25" s="189"/>
      <c r="J25" s="189">
        <v>0.0</v>
      </c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/>
      <c r="I26" s="189"/>
      <c r="J26" s="189">
        <v>0.0</v>
      </c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88"/>
      <c r="H27" s="189"/>
      <c r="I27" s="189"/>
      <c r="J27" s="189">
        <v>0.0</v>
      </c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/>
      <c r="I28" s="189"/>
      <c r="J28" s="189">
        <v>0.0</v>
      </c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/>
      <c r="I29" s="189"/>
      <c r="J29" s="189">
        <v>0.0</v>
      </c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/>
      <c r="I30" s="189"/>
      <c r="J30" s="189">
        <v>0.0</v>
      </c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215">
        <v>130880.8</v>
      </c>
      <c r="G31" s="188"/>
      <c r="H31" s="189"/>
      <c r="I31" s="189"/>
      <c r="J31" s="189">
        <v>0.0</v>
      </c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/>
      <c r="I32" s="189"/>
      <c r="J32" s="189">
        <v>0.0</v>
      </c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/>
      <c r="I33" s="189"/>
      <c r="J33" s="189">
        <v>0.0</v>
      </c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/>
      <c r="I34" s="189"/>
      <c r="J34" s="189">
        <v>0.0</v>
      </c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/>
      <c r="I35" s="189"/>
      <c r="J35" s="189">
        <v>0.0</v>
      </c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/>
      <c r="I36" s="189"/>
      <c r="J36" s="189">
        <v>0.0</v>
      </c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/>
      <c r="I37" s="189"/>
      <c r="J37" s="189">
        <v>0.0</v>
      </c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/>
      <c r="I38" s="189"/>
      <c r="J38" s="189">
        <v>0.0</v>
      </c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/>
      <c r="I39" s="189"/>
      <c r="J39" s="189">
        <v>0.0</v>
      </c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/>
      <c r="I40" s="189"/>
      <c r="J40" s="189">
        <v>0.0</v>
      </c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/>
      <c r="I41" s="189"/>
      <c r="J41" s="189">
        <v>0.0</v>
      </c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/>
      <c r="I42" s="189"/>
      <c r="J42" s="189">
        <v>0.0</v>
      </c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/>
      <c r="I43" s="189"/>
      <c r="J43" s="189">
        <v>0.0</v>
      </c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/>
      <c r="I44" s="189"/>
      <c r="J44" s="189">
        <v>0.0</v>
      </c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/>
      <c r="I45" s="189"/>
      <c r="J45" s="189">
        <v>0.0</v>
      </c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/>
      <c r="I46" s="189"/>
      <c r="J46" s="189">
        <v>0.0</v>
      </c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/>
      <c r="I47" s="189"/>
      <c r="J47" s="189">
        <v>0.0</v>
      </c>
      <c r="K47" s="189"/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/>
      <c r="I48" s="189"/>
      <c r="J48" s="189">
        <v>0.0</v>
      </c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/>
      <c r="I49" s="189"/>
      <c r="J49" s="189">
        <v>0.0</v>
      </c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/>
      <c r="I50" s="189"/>
      <c r="J50" s="189">
        <v>0.0</v>
      </c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/>
      <c r="I51" s="189"/>
      <c r="J51" s="189">
        <v>0.0</v>
      </c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/>
      <c r="I52" s="189"/>
      <c r="J52" s="189">
        <v>0.0</v>
      </c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88"/>
      <c r="F53" s="188"/>
      <c r="G53" s="188"/>
      <c r="H53" s="189"/>
      <c r="I53" s="189"/>
      <c r="J53" s="189">
        <v>0.0</v>
      </c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190"/>
      <c r="F54" s="190"/>
      <c r="G54" s="190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/>
      <c r="I55" s="189"/>
      <c r="J55" s="189">
        <v>0.0</v>
      </c>
      <c r="K55" s="189"/>
    </row>
    <row r="56" ht="14.25" customHeight="1">
      <c r="A56" s="133" t="s">
        <v>16</v>
      </c>
      <c r="B56" s="127"/>
      <c r="C56" s="127"/>
      <c r="D56" s="200">
        <f t="shared" ref="D56:K56" si="3">SUM(D23:D55)</f>
        <v>0</v>
      </c>
      <c r="E56" s="200">
        <f t="shared" si="3"/>
        <v>0</v>
      </c>
      <c r="F56" s="200">
        <f t="shared" si="3"/>
        <v>130880.8</v>
      </c>
      <c r="G56" s="200">
        <f t="shared" si="3"/>
        <v>0</v>
      </c>
      <c r="H56" s="200">
        <f t="shared" si="3"/>
        <v>0</v>
      </c>
      <c r="I56" s="200">
        <f t="shared" si="3"/>
        <v>0</v>
      </c>
      <c r="J56" s="200">
        <f t="shared" si="3"/>
        <v>0</v>
      </c>
      <c r="K56" s="200">
        <f t="shared" si="3"/>
        <v>0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/>
      <c r="I57" s="189"/>
      <c r="J57" s="189">
        <v>0.0</v>
      </c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/>
      <c r="F58" s="215">
        <v>169023.62</v>
      </c>
      <c r="G58" s="188"/>
      <c r="H58" s="189"/>
      <c r="I58" s="189"/>
      <c r="J58" s="189">
        <v>0.0</v>
      </c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/>
      <c r="I59" s="189"/>
      <c r="J59" s="189">
        <v>30000.0</v>
      </c>
      <c r="K59" s="189"/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/>
      <c r="I60" s="189"/>
      <c r="J60" s="189">
        <v>0.0</v>
      </c>
      <c r="K60" s="189"/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/>
      <c r="I61" s="189"/>
      <c r="J61" s="189">
        <v>559461.71</v>
      </c>
      <c r="K61" s="189"/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/>
      <c r="I62" s="189"/>
      <c r="J62" s="189">
        <v>0.0</v>
      </c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0</v>
      </c>
      <c r="E66" s="200">
        <f t="shared" si="4"/>
        <v>0</v>
      </c>
      <c r="F66" s="200">
        <f t="shared" si="4"/>
        <v>169023.62</v>
      </c>
      <c r="G66" s="200">
        <f t="shared" si="4"/>
        <v>0</v>
      </c>
      <c r="H66" s="200">
        <f t="shared" si="4"/>
        <v>0</v>
      </c>
      <c r="I66" s="200">
        <f t="shared" si="4"/>
        <v>0</v>
      </c>
      <c r="J66" s="200">
        <f t="shared" si="4"/>
        <v>589461.71</v>
      </c>
      <c r="K66" s="200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193"/>
      <c r="E67" s="193"/>
      <c r="F67" s="193"/>
      <c r="G67" s="193"/>
      <c r="H67" s="189"/>
      <c r="I67" s="189"/>
      <c r="J67" s="189">
        <v>0.0</v>
      </c>
      <c r="K67" s="189"/>
    </row>
    <row r="68" ht="14.25" customHeight="1">
      <c r="A68" s="99" t="s">
        <v>35</v>
      </c>
      <c r="B68" s="98" t="s">
        <v>23</v>
      </c>
      <c r="C68" s="98" t="s">
        <v>121</v>
      </c>
      <c r="D68" s="188"/>
      <c r="E68" s="188"/>
      <c r="F68" s="188">
        <v>12055.51</v>
      </c>
      <c r="G68" s="188"/>
      <c r="H68" s="189"/>
      <c r="I68" s="189"/>
      <c r="J68" s="189">
        <v>71894.76</v>
      </c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88"/>
      <c r="E69" s="188"/>
      <c r="F69" s="188"/>
      <c r="G69" s="188"/>
      <c r="H69" s="189"/>
      <c r="I69" s="189"/>
      <c r="J69" s="189">
        <v>0.0</v>
      </c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88"/>
      <c r="E70" s="188"/>
      <c r="F70" s="188"/>
      <c r="G70" s="188"/>
      <c r="H70" s="189"/>
      <c r="I70" s="189"/>
      <c r="J70" s="189">
        <v>0.0</v>
      </c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88"/>
      <c r="E71" s="188"/>
      <c r="F71" s="188"/>
      <c r="G71" s="188"/>
      <c r="H71" s="189"/>
      <c r="I71" s="189"/>
      <c r="J71" s="189">
        <v>0.0</v>
      </c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88"/>
      <c r="E72" s="188"/>
      <c r="F72" s="188"/>
      <c r="G72" s="188"/>
      <c r="H72" s="189"/>
      <c r="I72" s="189"/>
      <c r="J72" s="189"/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88"/>
      <c r="E73" s="188"/>
      <c r="F73" s="215">
        <v>31200.0</v>
      </c>
      <c r="G73" s="188"/>
      <c r="H73" s="189"/>
      <c r="I73" s="189"/>
      <c r="J73" s="189">
        <v>187189.38</v>
      </c>
      <c r="K73" s="189"/>
    </row>
    <row r="74" ht="14.25" customHeight="1">
      <c r="A74" s="98" t="s">
        <v>127</v>
      </c>
      <c r="B74" s="98" t="s">
        <v>23</v>
      </c>
      <c r="C74" s="98" t="s">
        <v>121</v>
      </c>
      <c r="D74" s="188"/>
      <c r="E74" s="188"/>
      <c r="F74" s="188"/>
      <c r="G74" s="188"/>
      <c r="H74" s="189"/>
      <c r="I74" s="189"/>
      <c r="J74" s="189">
        <v>0.0</v>
      </c>
      <c r="K74" s="189"/>
    </row>
    <row r="75" ht="14.25" customHeight="1">
      <c r="A75" s="206" t="s">
        <v>128</v>
      </c>
      <c r="B75" s="207"/>
      <c r="C75" s="207"/>
      <c r="D75" s="208">
        <f t="shared" ref="D75:K75" si="5">SUM(D67:D74)</f>
        <v>0</v>
      </c>
      <c r="E75" s="208">
        <f t="shared" si="5"/>
        <v>0</v>
      </c>
      <c r="F75" s="208">
        <f t="shared" si="5"/>
        <v>43255.51</v>
      </c>
      <c r="G75" s="208">
        <f t="shared" si="5"/>
        <v>0</v>
      </c>
      <c r="H75" s="208">
        <f t="shared" si="5"/>
        <v>0</v>
      </c>
      <c r="I75" s="208">
        <f t="shared" si="5"/>
        <v>0</v>
      </c>
      <c r="J75" s="208">
        <f t="shared" si="5"/>
        <v>259084.14</v>
      </c>
      <c r="K75" s="208">
        <f t="shared" si="5"/>
        <v>0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0</v>
      </c>
      <c r="E76" s="196">
        <f t="shared" si="6"/>
        <v>0</v>
      </c>
      <c r="F76" s="196">
        <f t="shared" si="6"/>
        <v>1507099.39</v>
      </c>
      <c r="G76" s="196">
        <f t="shared" si="6"/>
        <v>0</v>
      </c>
      <c r="H76" s="196">
        <f t="shared" si="6"/>
        <v>0</v>
      </c>
      <c r="I76" s="196">
        <f t="shared" si="6"/>
        <v>0</v>
      </c>
      <c r="J76" s="196">
        <f t="shared" si="6"/>
        <v>3491391.96</v>
      </c>
      <c r="K76" s="196">
        <f t="shared" si="6"/>
        <v>0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F78" s="141"/>
      <c r="H78" s="113"/>
      <c r="I78" s="113"/>
      <c r="J78" s="113"/>
    </row>
    <row r="79" ht="14.25" customHeight="1">
      <c r="A79" s="4"/>
      <c r="B79" s="4"/>
      <c r="C79" s="4"/>
      <c r="H79" s="113"/>
      <c r="I79" s="113"/>
      <c r="J79" s="113"/>
    </row>
    <row r="80" ht="14.25" customHeight="1">
      <c r="A80" s="4"/>
      <c r="B80" s="4"/>
      <c r="C80" s="4"/>
      <c r="F80" s="204"/>
      <c r="H80" s="113"/>
      <c r="I80" s="113"/>
      <c r="J80" s="113"/>
    </row>
    <row r="81" ht="14.25" customHeight="1">
      <c r="A81" s="4"/>
      <c r="B81" s="4"/>
      <c r="C81" s="4"/>
      <c r="F81" s="204"/>
      <c r="H81" s="113"/>
      <c r="I81" s="113"/>
      <c r="J81" s="113"/>
    </row>
    <row r="82" ht="14.25" customHeight="1">
      <c r="A82" s="4"/>
      <c r="B82" s="4"/>
      <c r="C82" s="4"/>
      <c r="F82" s="20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88"/>
      <c r="E3" s="188"/>
      <c r="F3" s="188">
        <v>7000.0</v>
      </c>
      <c r="G3" s="188"/>
      <c r="H3" s="189"/>
      <c r="I3" s="189"/>
      <c r="J3" s="189">
        <v>9000.0</v>
      </c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88"/>
      <c r="E4" s="188"/>
      <c r="F4" s="188"/>
      <c r="G4" s="188"/>
      <c r="H4" s="189"/>
      <c r="I4" s="189"/>
      <c r="J4" s="189">
        <v>0.0</v>
      </c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88"/>
      <c r="E5" s="188"/>
      <c r="F5" s="188"/>
      <c r="G5" s="188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190"/>
      <c r="E6" s="190"/>
      <c r="F6" s="190"/>
      <c r="G6" s="190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88"/>
      <c r="E7" s="188"/>
      <c r="F7" s="188"/>
      <c r="G7" s="188"/>
      <c r="H7" s="189"/>
      <c r="I7" s="189"/>
      <c r="J7" s="189">
        <v>0.0</v>
      </c>
      <c r="K7" s="189"/>
    </row>
    <row r="8" ht="14.25" customHeight="1">
      <c r="A8" s="126" t="s">
        <v>67</v>
      </c>
      <c r="B8" s="127"/>
      <c r="C8" s="127"/>
      <c r="D8" s="200">
        <f t="shared" ref="D8:K8" si="1">SUM(D3:D7)</f>
        <v>0</v>
      </c>
      <c r="E8" s="200">
        <f t="shared" si="1"/>
        <v>0</v>
      </c>
      <c r="F8" s="200">
        <f t="shared" si="1"/>
        <v>7000</v>
      </c>
      <c r="G8" s="200">
        <f t="shared" si="1"/>
        <v>0</v>
      </c>
      <c r="H8" s="200">
        <f t="shared" si="1"/>
        <v>0</v>
      </c>
      <c r="I8" s="200">
        <f t="shared" si="1"/>
        <v>0</v>
      </c>
      <c r="J8" s="200">
        <f t="shared" si="1"/>
        <v>9000</v>
      </c>
      <c r="K8" s="200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89"/>
      <c r="I9" s="189"/>
      <c r="J9" s="189">
        <v>0.0</v>
      </c>
      <c r="K9" s="189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/>
      <c r="I10" s="189"/>
      <c r="J10" s="189">
        <v>0.0</v>
      </c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188"/>
      <c r="G11" s="188"/>
      <c r="H11" s="189"/>
      <c r="I11" s="189"/>
      <c r="J11" s="189">
        <v>0.0</v>
      </c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/>
      <c r="I12" s="189"/>
      <c r="J12" s="189">
        <v>0.0</v>
      </c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/>
      <c r="F13" s="188"/>
      <c r="G13" s="188"/>
      <c r="H13" s="189"/>
      <c r="I13" s="189"/>
      <c r="J13" s="189">
        <v>0.0</v>
      </c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/>
      <c r="F14" s="188"/>
      <c r="G14" s="188"/>
      <c r="H14" s="189"/>
      <c r="I14" s="189"/>
      <c r="J14" s="189">
        <v>0.0</v>
      </c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/>
      <c r="I15" s="189"/>
      <c r="J15" s="189">
        <v>0.0</v>
      </c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/>
      <c r="I16" s="189"/>
      <c r="J16" s="189">
        <v>0.0</v>
      </c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/>
      <c r="F17" s="188">
        <v>141226.0</v>
      </c>
      <c r="G17" s="188"/>
      <c r="H17" s="189"/>
      <c r="I17" s="189"/>
      <c r="J17" s="189">
        <v>73600.0</v>
      </c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/>
      <c r="E18" s="188"/>
      <c r="F18" s="188">
        <v>65900.0</v>
      </c>
      <c r="G18" s="188"/>
      <c r="H18" s="189"/>
      <c r="I18" s="189"/>
      <c r="J18" s="189">
        <v>11000.0</v>
      </c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/>
      <c r="I19" s="189"/>
      <c r="J19" s="189">
        <v>0.0</v>
      </c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/>
      <c r="I21" s="189"/>
      <c r="J21" s="189">
        <v>0.0</v>
      </c>
      <c r="K21" s="189"/>
    </row>
    <row r="22" ht="14.25" customHeight="1">
      <c r="A22" s="126" t="s">
        <v>78</v>
      </c>
      <c r="B22" s="127"/>
      <c r="C22" s="127"/>
      <c r="D22" s="200">
        <f t="shared" ref="D22:K22" si="2">SUM(D9:D21)</f>
        <v>0</v>
      </c>
      <c r="E22" s="200">
        <f t="shared" si="2"/>
        <v>0</v>
      </c>
      <c r="F22" s="200">
        <f t="shared" si="2"/>
        <v>207126</v>
      </c>
      <c r="G22" s="200">
        <f t="shared" si="2"/>
        <v>0</v>
      </c>
      <c r="H22" s="200">
        <f t="shared" si="2"/>
        <v>0</v>
      </c>
      <c r="I22" s="200">
        <f t="shared" si="2"/>
        <v>0</v>
      </c>
      <c r="J22" s="200">
        <f t="shared" si="2"/>
        <v>84600</v>
      </c>
      <c r="K22" s="200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89"/>
      <c r="I23" s="189"/>
      <c r="J23" s="189">
        <v>0.0</v>
      </c>
      <c r="K23" s="189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/>
      <c r="I24" s="189"/>
      <c r="J24" s="189">
        <v>0.0</v>
      </c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/>
      <c r="I25" s="189"/>
      <c r="J25" s="189">
        <v>0.0</v>
      </c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/>
      <c r="I26" s="189"/>
      <c r="J26" s="189">
        <v>0.0</v>
      </c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88"/>
      <c r="H27" s="189"/>
      <c r="I27" s="189"/>
      <c r="J27" s="189">
        <v>0.0</v>
      </c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/>
      <c r="I28" s="189"/>
      <c r="J28" s="189">
        <v>0.0</v>
      </c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/>
      <c r="I29" s="189"/>
      <c r="J29" s="189">
        <v>0.0</v>
      </c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/>
      <c r="I30" s="189"/>
      <c r="J30" s="189">
        <v>0.0</v>
      </c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188">
        <v>1400.0</v>
      </c>
      <c r="G31" s="188"/>
      <c r="H31" s="189"/>
      <c r="I31" s="189"/>
      <c r="J31" s="189">
        <v>1200.0</v>
      </c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/>
      <c r="I32" s="189"/>
      <c r="J32" s="189">
        <v>0.0</v>
      </c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/>
      <c r="I33" s="189"/>
      <c r="J33" s="189">
        <v>0.0</v>
      </c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/>
      <c r="I34" s="189"/>
      <c r="J34" s="189">
        <v>0.0</v>
      </c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/>
      <c r="I35" s="189"/>
      <c r="J35" s="189">
        <v>0.0</v>
      </c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/>
      <c r="I36" s="189"/>
      <c r="J36" s="189">
        <v>0.0</v>
      </c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/>
      <c r="I37" s="189"/>
      <c r="J37" s="189">
        <v>0.0</v>
      </c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/>
      <c r="I38" s="189"/>
      <c r="J38" s="189">
        <v>0.0</v>
      </c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/>
      <c r="I39" s="189"/>
      <c r="J39" s="189">
        <v>0.0</v>
      </c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/>
      <c r="I40" s="189"/>
      <c r="J40" s="189">
        <v>0.0</v>
      </c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/>
      <c r="I41" s="189"/>
      <c r="J41" s="189">
        <v>0.0</v>
      </c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/>
      <c r="I42" s="189"/>
      <c r="J42" s="189">
        <v>0.0</v>
      </c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/>
      <c r="I43" s="189"/>
      <c r="J43" s="189">
        <v>0.0</v>
      </c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/>
      <c r="I44" s="189"/>
      <c r="J44" s="189">
        <v>0.0</v>
      </c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/>
      <c r="I45" s="189"/>
      <c r="J45" s="189">
        <v>0.0</v>
      </c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/>
      <c r="I46" s="189"/>
      <c r="J46" s="189">
        <v>0.0</v>
      </c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/>
      <c r="I47" s="189"/>
      <c r="J47" s="189">
        <v>0.0</v>
      </c>
      <c r="K47" s="189"/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/>
      <c r="I48" s="189"/>
      <c r="J48" s="189">
        <v>0.0</v>
      </c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/>
      <c r="I49" s="189"/>
      <c r="J49" s="189">
        <v>0.0</v>
      </c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/>
      <c r="I50" s="189"/>
      <c r="J50" s="189">
        <v>0.0</v>
      </c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/>
      <c r="I51" s="189"/>
      <c r="J51" s="189">
        <v>0.0</v>
      </c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/>
      <c r="I52" s="189"/>
      <c r="J52" s="189">
        <v>0.0</v>
      </c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88"/>
      <c r="F53" s="188"/>
      <c r="G53" s="188"/>
      <c r="H53" s="189"/>
      <c r="I53" s="189"/>
      <c r="J53" s="189">
        <v>0.0</v>
      </c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190"/>
      <c r="F54" s="190"/>
      <c r="G54" s="190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/>
      <c r="I55" s="189"/>
      <c r="J55" s="189">
        <v>0.0</v>
      </c>
      <c r="K55" s="189"/>
    </row>
    <row r="56" ht="14.25" customHeight="1">
      <c r="A56" s="133" t="s">
        <v>16</v>
      </c>
      <c r="B56" s="127"/>
      <c r="C56" s="127"/>
      <c r="D56" s="200">
        <f t="shared" ref="D56:K56" si="3">SUM(D23:D55)</f>
        <v>0</v>
      </c>
      <c r="E56" s="200">
        <f t="shared" si="3"/>
        <v>0</v>
      </c>
      <c r="F56" s="200">
        <f t="shared" si="3"/>
        <v>1400</v>
      </c>
      <c r="G56" s="200">
        <f t="shared" si="3"/>
        <v>0</v>
      </c>
      <c r="H56" s="200">
        <f t="shared" si="3"/>
        <v>0</v>
      </c>
      <c r="I56" s="200">
        <f t="shared" si="3"/>
        <v>0</v>
      </c>
      <c r="J56" s="200">
        <f t="shared" si="3"/>
        <v>1200</v>
      </c>
      <c r="K56" s="200">
        <f t="shared" si="3"/>
        <v>0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/>
      <c r="I57" s="189"/>
      <c r="J57" s="189">
        <v>0.0</v>
      </c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/>
      <c r="F58" s="188"/>
      <c r="G58" s="188"/>
      <c r="H58" s="189"/>
      <c r="I58" s="189"/>
      <c r="J58" s="189">
        <v>0.0</v>
      </c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>
        <v>2800.0</v>
      </c>
      <c r="G59" s="188"/>
      <c r="H59" s="189"/>
      <c r="I59" s="189"/>
      <c r="J59" s="189">
        <v>1650.0</v>
      </c>
      <c r="K59" s="189"/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/>
      <c r="I60" s="189"/>
      <c r="J60" s="189">
        <v>0.0</v>
      </c>
      <c r="K60" s="189"/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/>
      <c r="I61" s="189"/>
      <c r="J61" s="189">
        <v>0.0</v>
      </c>
      <c r="K61" s="189"/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/>
      <c r="I62" s="189"/>
      <c r="J62" s="189">
        <v>0.0</v>
      </c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0</v>
      </c>
      <c r="E66" s="200">
        <f t="shared" si="4"/>
        <v>0</v>
      </c>
      <c r="F66" s="200">
        <f t="shared" si="4"/>
        <v>2800</v>
      </c>
      <c r="G66" s="200">
        <f t="shared" si="4"/>
        <v>0</v>
      </c>
      <c r="H66" s="200">
        <f t="shared" si="4"/>
        <v>0</v>
      </c>
      <c r="I66" s="200">
        <f t="shared" si="4"/>
        <v>0</v>
      </c>
      <c r="J66" s="200">
        <f t="shared" si="4"/>
        <v>1650</v>
      </c>
      <c r="K66" s="200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193"/>
      <c r="E67" s="193"/>
      <c r="F67" s="193"/>
      <c r="G67" s="193"/>
      <c r="H67" s="189"/>
      <c r="I67" s="189"/>
      <c r="J67" s="189">
        <v>0.0</v>
      </c>
      <c r="K67" s="189"/>
    </row>
    <row r="68" ht="14.25" customHeight="1">
      <c r="A68" s="99" t="s">
        <v>35</v>
      </c>
      <c r="B68" s="98" t="s">
        <v>23</v>
      </c>
      <c r="C68" s="98" t="s">
        <v>121</v>
      </c>
      <c r="D68" s="188">
        <v>12000.0</v>
      </c>
      <c r="E68" s="188"/>
      <c r="F68" s="188"/>
      <c r="G68" s="188"/>
      <c r="H68" s="189"/>
      <c r="I68" s="189"/>
      <c r="J68" s="189">
        <v>0.0</v>
      </c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88"/>
      <c r="E69" s="188"/>
      <c r="F69" s="188"/>
      <c r="G69" s="188"/>
      <c r="H69" s="189"/>
      <c r="I69" s="189"/>
      <c r="J69" s="189">
        <v>0.0</v>
      </c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88"/>
      <c r="E70" s="188"/>
      <c r="F70" s="188"/>
      <c r="G70" s="188"/>
      <c r="H70" s="189"/>
      <c r="I70" s="189"/>
      <c r="J70" s="189">
        <v>0.0</v>
      </c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88"/>
      <c r="E71" s="188"/>
      <c r="F71" s="188"/>
      <c r="G71" s="188"/>
      <c r="H71" s="189"/>
      <c r="I71" s="189"/>
      <c r="J71" s="189">
        <v>0.0</v>
      </c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88"/>
      <c r="E72" s="188"/>
      <c r="F72" s="188"/>
      <c r="G72" s="188"/>
      <c r="H72" s="189"/>
      <c r="I72" s="189"/>
      <c r="J72" s="189"/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88"/>
      <c r="E73" s="188"/>
      <c r="F73" s="188">
        <v>24947.06</v>
      </c>
      <c r="G73" s="188"/>
      <c r="H73" s="189"/>
      <c r="I73" s="189"/>
      <c r="J73" s="189"/>
      <c r="K73" s="189"/>
    </row>
    <row r="74" ht="14.25" customHeight="1">
      <c r="A74" s="98" t="s">
        <v>127</v>
      </c>
      <c r="B74" s="98" t="s">
        <v>23</v>
      </c>
      <c r="C74" s="98" t="s">
        <v>121</v>
      </c>
      <c r="D74" s="188"/>
      <c r="E74" s="188"/>
      <c r="F74" s="188"/>
      <c r="G74" s="188"/>
      <c r="H74" s="189"/>
      <c r="I74" s="189"/>
      <c r="J74" s="189">
        <v>0.0</v>
      </c>
      <c r="K74" s="189"/>
    </row>
    <row r="75" ht="14.25" customHeight="1">
      <c r="A75" s="206" t="s">
        <v>128</v>
      </c>
      <c r="B75" s="207"/>
      <c r="C75" s="207"/>
      <c r="D75" s="208">
        <f t="shared" ref="D75:K75" si="5">SUM(D67:D74)</f>
        <v>12000</v>
      </c>
      <c r="E75" s="208">
        <f t="shared" si="5"/>
        <v>0</v>
      </c>
      <c r="F75" s="208">
        <f t="shared" si="5"/>
        <v>24947.06</v>
      </c>
      <c r="G75" s="208">
        <f t="shared" si="5"/>
        <v>0</v>
      </c>
      <c r="H75" s="208">
        <f t="shared" si="5"/>
        <v>0</v>
      </c>
      <c r="I75" s="208">
        <f t="shared" si="5"/>
        <v>0</v>
      </c>
      <c r="J75" s="208">
        <f t="shared" si="5"/>
        <v>0</v>
      </c>
      <c r="K75" s="208">
        <f t="shared" si="5"/>
        <v>0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12000</v>
      </c>
      <c r="E76" s="196">
        <f t="shared" si="6"/>
        <v>0</v>
      </c>
      <c r="F76" s="196">
        <f t="shared" si="6"/>
        <v>243273.06</v>
      </c>
      <c r="G76" s="196">
        <f t="shared" si="6"/>
        <v>0</v>
      </c>
      <c r="H76" s="196">
        <f t="shared" si="6"/>
        <v>0</v>
      </c>
      <c r="I76" s="196">
        <f t="shared" si="6"/>
        <v>0</v>
      </c>
      <c r="J76" s="196">
        <f t="shared" si="6"/>
        <v>96450</v>
      </c>
      <c r="K76" s="196">
        <f t="shared" si="6"/>
        <v>0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F78" s="204"/>
      <c r="H78" s="113"/>
      <c r="I78" s="113"/>
      <c r="J78" s="113"/>
    </row>
    <row r="79" ht="14.25" customHeight="1">
      <c r="A79" s="4"/>
      <c r="B79" s="4"/>
      <c r="C79" s="4"/>
      <c r="F79" s="141"/>
      <c r="H79" s="113"/>
      <c r="I79" s="113"/>
      <c r="J79" s="113"/>
    </row>
    <row r="80" ht="14.25" customHeight="1">
      <c r="A80" s="4"/>
      <c r="B80" s="4"/>
      <c r="C80" s="4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88"/>
      <c r="E3" s="188">
        <v>3684.0</v>
      </c>
      <c r="F3" s="188"/>
      <c r="G3" s="188"/>
      <c r="H3" s="189"/>
      <c r="I3" s="189">
        <v>630.0</v>
      </c>
      <c r="J3" s="189"/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88"/>
      <c r="E4" s="188"/>
      <c r="F4" s="188"/>
      <c r="G4" s="188"/>
      <c r="H4" s="189"/>
      <c r="I4" s="189"/>
      <c r="J4" s="189"/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88"/>
      <c r="E5" s="188"/>
      <c r="F5" s="188"/>
      <c r="G5" s="188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190"/>
      <c r="E6" s="190"/>
      <c r="F6" s="190"/>
      <c r="G6" s="190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88"/>
      <c r="E7" s="188"/>
      <c r="F7" s="188"/>
      <c r="G7" s="188"/>
      <c r="H7" s="189"/>
      <c r="I7" s="189"/>
      <c r="J7" s="189"/>
      <c r="K7" s="189"/>
    </row>
    <row r="8" ht="14.25" customHeight="1">
      <c r="A8" s="126" t="s">
        <v>67</v>
      </c>
      <c r="B8" s="127"/>
      <c r="C8" s="127"/>
      <c r="D8" s="200">
        <f t="shared" ref="D8:K8" si="1">SUM(D3:D7)</f>
        <v>0</v>
      </c>
      <c r="E8" s="200">
        <f t="shared" si="1"/>
        <v>3684</v>
      </c>
      <c r="F8" s="200">
        <f t="shared" si="1"/>
        <v>0</v>
      </c>
      <c r="G8" s="200">
        <f t="shared" si="1"/>
        <v>0</v>
      </c>
      <c r="H8" s="200">
        <f t="shared" si="1"/>
        <v>0</v>
      </c>
      <c r="I8" s="200">
        <f t="shared" si="1"/>
        <v>630</v>
      </c>
      <c r="J8" s="200">
        <f t="shared" si="1"/>
        <v>0</v>
      </c>
      <c r="K8" s="200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89"/>
      <c r="I9" s="189"/>
      <c r="J9" s="189"/>
      <c r="K9" s="189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/>
      <c r="I10" s="189"/>
      <c r="J10" s="189"/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188"/>
      <c r="G11" s="188"/>
      <c r="H11" s="189"/>
      <c r="I11" s="189"/>
      <c r="J11" s="189"/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/>
      <c r="I12" s="189"/>
      <c r="J12" s="189"/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/>
      <c r="F13" s="188"/>
      <c r="G13" s="188"/>
      <c r="H13" s="189"/>
      <c r="I13" s="189"/>
      <c r="J13" s="189"/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/>
      <c r="F14" s="188"/>
      <c r="G14" s="188"/>
      <c r="H14" s="189"/>
      <c r="I14" s="189"/>
      <c r="J14" s="189"/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/>
      <c r="I15" s="189"/>
      <c r="J15" s="189"/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/>
      <c r="I16" s="189"/>
      <c r="J16" s="189"/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/>
      <c r="F17" s="188"/>
      <c r="G17" s="188"/>
      <c r="H17" s="189"/>
      <c r="I17" s="189"/>
      <c r="J17" s="189"/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/>
      <c r="E18" s="188"/>
      <c r="F18" s="188"/>
      <c r="G18" s="188"/>
      <c r="H18" s="189"/>
      <c r="I18" s="189"/>
      <c r="J18" s="189"/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/>
      <c r="I19" s="189"/>
      <c r="J19" s="189"/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/>
      <c r="I21" s="189"/>
      <c r="J21" s="189"/>
      <c r="K21" s="189"/>
    </row>
    <row r="22" ht="14.25" customHeight="1">
      <c r="A22" s="126" t="s">
        <v>78</v>
      </c>
      <c r="B22" s="127"/>
      <c r="C22" s="127"/>
      <c r="D22" s="200">
        <f t="shared" ref="D22:K22" si="2">SUM(D9:D21)</f>
        <v>0</v>
      </c>
      <c r="E22" s="200">
        <f t="shared" si="2"/>
        <v>0</v>
      </c>
      <c r="F22" s="200">
        <f t="shared" si="2"/>
        <v>0</v>
      </c>
      <c r="G22" s="200">
        <f t="shared" si="2"/>
        <v>0</v>
      </c>
      <c r="H22" s="200">
        <f t="shared" si="2"/>
        <v>0</v>
      </c>
      <c r="I22" s="200">
        <f t="shared" si="2"/>
        <v>0</v>
      </c>
      <c r="J22" s="200">
        <f t="shared" si="2"/>
        <v>0</v>
      </c>
      <c r="K22" s="200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>
        <v>864.0</v>
      </c>
      <c r="F23" s="193"/>
      <c r="G23" s="193"/>
      <c r="H23" s="189"/>
      <c r="I23" s="189">
        <v>144.0</v>
      </c>
      <c r="J23" s="189"/>
      <c r="K23" s="189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/>
      <c r="I24" s="189"/>
      <c r="J24" s="189"/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/>
      <c r="I25" s="189"/>
      <c r="J25" s="189"/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/>
      <c r="I26" s="189"/>
      <c r="J26" s="189"/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88"/>
      <c r="H27" s="189"/>
      <c r="I27" s="189"/>
      <c r="J27" s="189"/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/>
      <c r="I28" s="189"/>
      <c r="J28" s="189"/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/>
      <c r="I29" s="189"/>
      <c r="J29" s="189"/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/>
      <c r="I30" s="189"/>
      <c r="J30" s="189"/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>
        <v>1008.0</v>
      </c>
      <c r="F31" s="188"/>
      <c r="G31" s="188"/>
      <c r="H31" s="189"/>
      <c r="I31" s="189"/>
      <c r="J31" s="189"/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/>
      <c r="I32" s="189"/>
      <c r="J32" s="189"/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/>
      <c r="I33" s="189"/>
      <c r="J33" s="189"/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/>
      <c r="I34" s="189"/>
      <c r="J34" s="189"/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/>
      <c r="I35" s="189"/>
      <c r="J35" s="189"/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/>
      <c r="I36" s="189">
        <v>-198.0</v>
      </c>
      <c r="J36" s="189"/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/>
      <c r="I37" s="189"/>
      <c r="J37" s="189"/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/>
      <c r="I38" s="189"/>
      <c r="J38" s="189"/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/>
      <c r="I39" s="189"/>
      <c r="J39" s="189"/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/>
      <c r="I40" s="189"/>
      <c r="J40" s="189"/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/>
      <c r="I41" s="189"/>
      <c r="J41" s="189"/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/>
      <c r="I42" s="189"/>
      <c r="J42" s="189"/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/>
      <c r="I43" s="189"/>
      <c r="J43" s="189"/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/>
      <c r="I44" s="189"/>
      <c r="J44" s="189"/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/>
      <c r="I45" s="189"/>
      <c r="J45" s="189"/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/>
      <c r="I46" s="189"/>
      <c r="J46" s="189"/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/>
      <c r="I47" s="189"/>
      <c r="J47" s="189"/>
      <c r="K47" s="189"/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/>
      <c r="I48" s="189"/>
      <c r="J48" s="189"/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/>
      <c r="I49" s="189"/>
      <c r="J49" s="189"/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/>
      <c r="I50" s="189"/>
      <c r="J50" s="189"/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/>
      <c r="I51" s="189"/>
      <c r="J51" s="189"/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/>
      <c r="I52" s="189"/>
      <c r="J52" s="189"/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88"/>
      <c r="F53" s="188"/>
      <c r="G53" s="188"/>
      <c r="H53" s="189"/>
      <c r="I53" s="189"/>
      <c r="J53" s="189"/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190"/>
      <c r="F54" s="190"/>
      <c r="G54" s="190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/>
      <c r="I55" s="189"/>
      <c r="J55" s="189"/>
      <c r="K55" s="189"/>
    </row>
    <row r="56" ht="14.25" customHeight="1">
      <c r="A56" s="133" t="s">
        <v>16</v>
      </c>
      <c r="B56" s="127"/>
      <c r="C56" s="127"/>
      <c r="D56" s="200">
        <f t="shared" ref="D56:K56" si="3">SUM(D23:D55)</f>
        <v>0</v>
      </c>
      <c r="E56" s="200">
        <f t="shared" si="3"/>
        <v>1872</v>
      </c>
      <c r="F56" s="200">
        <f t="shared" si="3"/>
        <v>0</v>
      </c>
      <c r="G56" s="200">
        <f t="shared" si="3"/>
        <v>0</v>
      </c>
      <c r="H56" s="200">
        <f t="shared" si="3"/>
        <v>0</v>
      </c>
      <c r="I56" s="200">
        <f t="shared" si="3"/>
        <v>-54</v>
      </c>
      <c r="J56" s="200">
        <f t="shared" si="3"/>
        <v>0</v>
      </c>
      <c r="K56" s="200">
        <f t="shared" si="3"/>
        <v>0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/>
      <c r="I57" s="189"/>
      <c r="J57" s="189"/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>
        <v>396.0</v>
      </c>
      <c r="F58" s="188"/>
      <c r="G58" s="188"/>
      <c r="H58" s="189"/>
      <c r="I58" s="189"/>
      <c r="J58" s="189"/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/>
      <c r="I59" s="189"/>
      <c r="J59" s="189"/>
      <c r="K59" s="189"/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/>
      <c r="I60" s="189"/>
      <c r="J60" s="189"/>
      <c r="K60" s="189"/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/>
      <c r="I61" s="189"/>
      <c r="J61" s="189"/>
      <c r="K61" s="189"/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/>
      <c r="I62" s="189"/>
      <c r="J62" s="189"/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0</v>
      </c>
      <c r="E66" s="200">
        <f t="shared" si="4"/>
        <v>396</v>
      </c>
      <c r="F66" s="200">
        <f t="shared" si="4"/>
        <v>0</v>
      </c>
      <c r="G66" s="200">
        <f t="shared" si="4"/>
        <v>0</v>
      </c>
      <c r="H66" s="200">
        <f t="shared" si="4"/>
        <v>0</v>
      </c>
      <c r="I66" s="200">
        <f t="shared" si="4"/>
        <v>0</v>
      </c>
      <c r="J66" s="200">
        <f t="shared" si="4"/>
        <v>0</v>
      </c>
      <c r="K66" s="200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193"/>
      <c r="E67" s="193">
        <v>2700.0</v>
      </c>
      <c r="F67" s="193"/>
      <c r="G67" s="193"/>
      <c r="H67" s="189"/>
      <c r="I67" s="189">
        <v>1152.0</v>
      </c>
      <c r="J67" s="189"/>
      <c r="K67" s="189"/>
    </row>
    <row r="68" ht="14.25" customHeight="1">
      <c r="A68" s="99" t="s">
        <v>35</v>
      </c>
      <c r="B68" s="98" t="s">
        <v>23</v>
      </c>
      <c r="C68" s="98" t="s">
        <v>121</v>
      </c>
      <c r="D68" s="188"/>
      <c r="E68" s="188">
        <v>7785.0</v>
      </c>
      <c r="F68" s="188"/>
      <c r="G68" s="188"/>
      <c r="H68" s="189"/>
      <c r="I68" s="189">
        <v>288.0</v>
      </c>
      <c r="J68" s="189"/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88"/>
      <c r="E69" s="188"/>
      <c r="F69" s="188"/>
      <c r="G69" s="188"/>
      <c r="H69" s="189"/>
      <c r="I69" s="189"/>
      <c r="J69" s="189"/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88"/>
      <c r="E70" s="188"/>
      <c r="F70" s="188"/>
      <c r="G70" s="188"/>
      <c r="H70" s="189"/>
      <c r="I70" s="189"/>
      <c r="J70" s="189"/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88"/>
      <c r="E71" s="188"/>
      <c r="F71" s="188"/>
      <c r="G71" s="188"/>
      <c r="H71" s="189"/>
      <c r="I71" s="189"/>
      <c r="J71" s="189"/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88"/>
      <c r="E72" s="188"/>
      <c r="F72" s="188"/>
      <c r="G72" s="188"/>
      <c r="H72" s="189"/>
      <c r="I72" s="189"/>
      <c r="J72" s="189"/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88"/>
      <c r="E73" s="188">
        <v>432.0</v>
      </c>
      <c r="F73" s="188"/>
      <c r="G73" s="188"/>
      <c r="H73" s="189"/>
      <c r="I73" s="189">
        <v>72.0</v>
      </c>
      <c r="J73" s="189"/>
      <c r="K73" s="189"/>
    </row>
    <row r="74" ht="14.25" customHeight="1">
      <c r="A74" s="98" t="s">
        <v>127</v>
      </c>
      <c r="B74" s="98" t="s">
        <v>23</v>
      </c>
      <c r="C74" s="98" t="s">
        <v>121</v>
      </c>
      <c r="D74" s="188"/>
      <c r="E74" s="188"/>
      <c r="F74" s="188"/>
      <c r="G74" s="188"/>
      <c r="H74" s="189"/>
      <c r="I74" s="189"/>
      <c r="J74" s="189"/>
      <c r="K74" s="189"/>
    </row>
    <row r="75" ht="14.25" customHeight="1">
      <c r="A75" s="206" t="s">
        <v>128</v>
      </c>
      <c r="B75" s="207"/>
      <c r="C75" s="207"/>
      <c r="D75" s="208">
        <f t="shared" ref="D75:K75" si="5">SUM(D67:D74)</f>
        <v>0</v>
      </c>
      <c r="E75" s="208">
        <f t="shared" si="5"/>
        <v>10917</v>
      </c>
      <c r="F75" s="208">
        <f t="shared" si="5"/>
        <v>0</v>
      </c>
      <c r="G75" s="208">
        <f t="shared" si="5"/>
        <v>0</v>
      </c>
      <c r="H75" s="208">
        <f t="shared" si="5"/>
        <v>0</v>
      </c>
      <c r="I75" s="208">
        <f t="shared" si="5"/>
        <v>1512</v>
      </c>
      <c r="J75" s="208">
        <f t="shared" si="5"/>
        <v>0</v>
      </c>
      <c r="K75" s="208">
        <f t="shared" si="5"/>
        <v>0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0</v>
      </c>
      <c r="E76" s="196">
        <f t="shared" si="6"/>
        <v>16869</v>
      </c>
      <c r="F76" s="196">
        <f t="shared" si="6"/>
        <v>0</v>
      </c>
      <c r="G76" s="196">
        <f t="shared" si="6"/>
        <v>0</v>
      </c>
      <c r="H76" s="196">
        <f t="shared" si="6"/>
        <v>0</v>
      </c>
      <c r="I76" s="196">
        <f t="shared" si="6"/>
        <v>2088</v>
      </c>
      <c r="J76" s="196">
        <f t="shared" si="6"/>
        <v>0</v>
      </c>
      <c r="K76" s="196">
        <f t="shared" si="6"/>
        <v>0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E78" s="141"/>
      <c r="H78" s="113"/>
      <c r="I78" s="113"/>
      <c r="J78" s="113"/>
    </row>
    <row r="79" ht="14.25" customHeight="1">
      <c r="A79" s="4"/>
      <c r="B79" s="4"/>
      <c r="C79" s="4"/>
      <c r="H79" s="113"/>
      <c r="I79" s="113"/>
      <c r="J79" s="113"/>
    </row>
    <row r="80" ht="14.25" customHeight="1">
      <c r="A80" s="4"/>
      <c r="B80" s="4"/>
      <c r="C80" s="4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7.13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99"/>
      <c r="E3" s="199"/>
      <c r="F3" s="199">
        <f>10883768.29-42206-F4</f>
        <v>10075480.61</v>
      </c>
      <c r="G3" s="199"/>
      <c r="H3" s="189"/>
      <c r="I3" s="189"/>
      <c r="J3" s="189">
        <f>7082872.74-J4-J67</f>
        <v>5667710.71</v>
      </c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99"/>
      <c r="E4" s="199"/>
      <c r="F4" s="199">
        <v>766081.68</v>
      </c>
      <c r="G4" s="199"/>
      <c r="H4" s="189"/>
      <c r="I4" s="189"/>
      <c r="J4" s="189">
        <v>178620.51</v>
      </c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99"/>
      <c r="E5" s="199"/>
      <c r="F5" s="199"/>
      <c r="G5" s="199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203"/>
      <c r="E6" s="203"/>
      <c r="F6" s="203"/>
      <c r="G6" s="203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99"/>
      <c r="E7" s="199"/>
      <c r="F7" s="199"/>
      <c r="G7" s="199"/>
      <c r="H7" s="189"/>
      <c r="I7" s="189"/>
      <c r="J7" s="189"/>
      <c r="K7" s="189"/>
    </row>
    <row r="8" ht="14.25" customHeight="1">
      <c r="A8" s="126" t="s">
        <v>67</v>
      </c>
      <c r="B8" s="127"/>
      <c r="C8" s="127"/>
      <c r="D8" s="200">
        <f t="shared" ref="D8:K8" si="1">SUM(D3:D7)</f>
        <v>0</v>
      </c>
      <c r="E8" s="200">
        <f t="shared" si="1"/>
        <v>0</v>
      </c>
      <c r="F8" s="200">
        <f t="shared" si="1"/>
        <v>10841562.29</v>
      </c>
      <c r="G8" s="200">
        <f t="shared" si="1"/>
        <v>0</v>
      </c>
      <c r="H8" s="200">
        <f t="shared" si="1"/>
        <v>0</v>
      </c>
      <c r="I8" s="200">
        <f t="shared" si="1"/>
        <v>0</v>
      </c>
      <c r="J8" s="200">
        <f t="shared" si="1"/>
        <v>5846331.22</v>
      </c>
      <c r="K8" s="200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89"/>
      <c r="I9" s="189"/>
      <c r="J9" s="189"/>
      <c r="K9" s="189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/>
      <c r="I10" s="189"/>
      <c r="J10" s="189"/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188"/>
      <c r="G11" s="188"/>
      <c r="H11" s="189"/>
      <c r="I11" s="189"/>
      <c r="J11" s="189"/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/>
      <c r="I12" s="189"/>
      <c r="J12" s="189"/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/>
      <c r="F13" s="188"/>
      <c r="G13" s="188"/>
      <c r="H13" s="189"/>
      <c r="I13" s="189"/>
      <c r="J13" s="189"/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/>
      <c r="F14" s="188">
        <v>483446.19</v>
      </c>
      <c r="G14" s="188"/>
      <c r="H14" s="189"/>
      <c r="I14" s="189"/>
      <c r="J14" s="189">
        <v>887936.09</v>
      </c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/>
      <c r="I15" s="189"/>
      <c r="J15" s="189"/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/>
      <c r="I16" s="189"/>
      <c r="J16" s="189"/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/>
      <c r="F17" s="188">
        <v>1692004.87</v>
      </c>
      <c r="G17" s="188"/>
      <c r="H17" s="189"/>
      <c r="I17" s="189"/>
      <c r="J17" s="189">
        <v>2367504.53</v>
      </c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/>
      <c r="E18" s="188"/>
      <c r="F18" s="188">
        <v>566224.25</v>
      </c>
      <c r="G18" s="188"/>
      <c r="H18" s="189"/>
      <c r="I18" s="189"/>
      <c r="J18" s="189">
        <v>2951019.75</v>
      </c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/>
      <c r="I19" s="189"/>
      <c r="J19" s="189"/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/>
      <c r="I21" s="189"/>
      <c r="J21" s="189"/>
      <c r="K21" s="189"/>
    </row>
    <row r="22" ht="14.25" customHeight="1">
      <c r="A22" s="126" t="s">
        <v>78</v>
      </c>
      <c r="B22" s="127"/>
      <c r="C22" s="127"/>
      <c r="D22" s="200">
        <f t="shared" ref="D22:K22" si="2">SUM(D9:D21)</f>
        <v>0</v>
      </c>
      <c r="E22" s="200">
        <f t="shared" si="2"/>
        <v>0</v>
      </c>
      <c r="F22" s="200">
        <f t="shared" si="2"/>
        <v>2741675.31</v>
      </c>
      <c r="G22" s="200">
        <f t="shared" si="2"/>
        <v>0</v>
      </c>
      <c r="H22" s="200">
        <f t="shared" si="2"/>
        <v>0</v>
      </c>
      <c r="I22" s="200">
        <f t="shared" si="2"/>
        <v>0</v>
      </c>
      <c r="J22" s="200">
        <f t="shared" si="2"/>
        <v>6206460.37</v>
      </c>
      <c r="K22" s="200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89"/>
      <c r="I23" s="189"/>
      <c r="J23" s="189"/>
      <c r="K23" s="189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/>
      <c r="I24" s="189"/>
      <c r="J24" s="189"/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/>
      <c r="I25" s="189"/>
      <c r="J25" s="189"/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/>
      <c r="I26" s="189"/>
      <c r="J26" s="189"/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88"/>
      <c r="H27" s="189"/>
      <c r="I27" s="189"/>
      <c r="J27" s="189"/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/>
      <c r="I28" s="189"/>
      <c r="J28" s="189"/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/>
      <c r="I29" s="189"/>
      <c r="J29" s="189"/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/>
      <c r="I30" s="189"/>
      <c r="J30" s="189"/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188">
        <v>1122023.23</v>
      </c>
      <c r="G31" s="188"/>
      <c r="H31" s="189"/>
      <c r="I31" s="189"/>
      <c r="J31" s="189">
        <v>690833.6</v>
      </c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/>
      <c r="I32" s="189"/>
      <c r="J32" s="189"/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/>
      <c r="I33" s="189"/>
      <c r="J33" s="189"/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/>
      <c r="I34" s="189"/>
      <c r="J34" s="189"/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/>
      <c r="I35" s="189"/>
      <c r="J35" s="189"/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/>
      <c r="I36" s="189"/>
      <c r="J36" s="189"/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/>
      <c r="I37" s="189"/>
      <c r="J37" s="189"/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/>
      <c r="I38" s="189"/>
      <c r="J38" s="189"/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/>
      <c r="I39" s="189"/>
      <c r="J39" s="189"/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/>
      <c r="I40" s="189"/>
      <c r="J40" s="189"/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/>
      <c r="I41" s="189"/>
      <c r="J41" s="189"/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/>
      <c r="I42" s="189"/>
      <c r="J42" s="189"/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/>
      <c r="I43" s="189"/>
      <c r="J43" s="189"/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/>
      <c r="I44" s="189"/>
      <c r="J44" s="189"/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/>
      <c r="I45" s="189"/>
      <c r="J45" s="189"/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/>
      <c r="I46" s="189"/>
      <c r="J46" s="189"/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/>
      <c r="I47" s="189"/>
      <c r="J47" s="189"/>
      <c r="K47" s="189"/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/>
      <c r="I48" s="189"/>
      <c r="J48" s="189"/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/>
      <c r="I49" s="189"/>
      <c r="J49" s="189"/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/>
      <c r="I50" s="189"/>
      <c r="J50" s="189"/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/>
      <c r="I51" s="189"/>
      <c r="J51" s="189"/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/>
      <c r="I52" s="189"/>
      <c r="J52" s="189"/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88"/>
      <c r="F53" s="188"/>
      <c r="G53" s="188"/>
      <c r="H53" s="189"/>
      <c r="I53" s="189"/>
      <c r="J53" s="189"/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190"/>
      <c r="F54" s="190"/>
      <c r="G54" s="190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/>
      <c r="I55" s="189"/>
      <c r="J55" s="189"/>
      <c r="K55" s="189"/>
    </row>
    <row r="56" ht="14.25" customHeight="1">
      <c r="A56" s="133" t="s">
        <v>16</v>
      </c>
      <c r="B56" s="127"/>
      <c r="C56" s="127"/>
      <c r="D56" s="200">
        <f t="shared" ref="D56:K56" si="3">SUM(D23:D55)</f>
        <v>0</v>
      </c>
      <c r="E56" s="200">
        <f t="shared" si="3"/>
        <v>0</v>
      </c>
      <c r="F56" s="200">
        <f t="shared" si="3"/>
        <v>1122023.23</v>
      </c>
      <c r="G56" s="200">
        <f t="shared" si="3"/>
        <v>0</v>
      </c>
      <c r="H56" s="200">
        <f t="shared" si="3"/>
        <v>0</v>
      </c>
      <c r="I56" s="200">
        <f t="shared" si="3"/>
        <v>0</v>
      </c>
      <c r="J56" s="200">
        <f t="shared" si="3"/>
        <v>690833.6</v>
      </c>
      <c r="K56" s="200">
        <f t="shared" si="3"/>
        <v>0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/>
      <c r="I57" s="189"/>
      <c r="J57" s="189"/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/>
      <c r="F58" s="188">
        <v>406786.68</v>
      </c>
      <c r="G58" s="188"/>
      <c r="H58" s="189"/>
      <c r="I58" s="189"/>
      <c r="J58" s="189">
        <v>25284.95</v>
      </c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/>
      <c r="I59" s="189"/>
      <c r="J59" s="189"/>
      <c r="K59" s="189"/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/>
      <c r="I60" s="189"/>
      <c r="J60" s="189"/>
      <c r="K60" s="189"/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>
        <v>1492362.88</v>
      </c>
      <c r="G61" s="188"/>
      <c r="H61" s="189"/>
      <c r="I61" s="189"/>
      <c r="J61" s="189">
        <v>3401930.22</v>
      </c>
      <c r="K61" s="189"/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/>
      <c r="I62" s="189"/>
      <c r="J62" s="189"/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0</v>
      </c>
      <c r="E66" s="200">
        <f t="shared" si="4"/>
        <v>0</v>
      </c>
      <c r="F66" s="200">
        <f t="shared" si="4"/>
        <v>1899149.56</v>
      </c>
      <c r="G66" s="200">
        <f t="shared" si="4"/>
        <v>0</v>
      </c>
      <c r="H66" s="200">
        <f t="shared" si="4"/>
        <v>0</v>
      </c>
      <c r="I66" s="200">
        <f t="shared" si="4"/>
        <v>0</v>
      </c>
      <c r="J66" s="200">
        <f t="shared" si="4"/>
        <v>3427215.17</v>
      </c>
      <c r="K66" s="200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193"/>
      <c r="E67" s="193"/>
      <c r="F67" s="193">
        <f>1025035.55+42206</f>
        <v>1067241.55</v>
      </c>
      <c r="G67" s="193"/>
      <c r="H67" s="189"/>
      <c r="I67" s="189"/>
      <c r="J67" s="189">
        <v>1236541.52</v>
      </c>
      <c r="K67" s="189"/>
    </row>
    <row r="68" ht="14.25" customHeight="1">
      <c r="A68" s="99" t="s">
        <v>35</v>
      </c>
      <c r="B68" s="98" t="s">
        <v>23</v>
      </c>
      <c r="C68" s="98" t="s">
        <v>121</v>
      </c>
      <c r="D68" s="188"/>
      <c r="E68" s="188"/>
      <c r="F68" s="188">
        <v>217015.57</v>
      </c>
      <c r="G68" s="188"/>
      <c r="H68" s="189"/>
      <c r="I68" s="189"/>
      <c r="J68" s="189"/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88"/>
      <c r="E69" s="188"/>
      <c r="F69" s="188"/>
      <c r="G69" s="188"/>
      <c r="H69" s="189"/>
      <c r="I69" s="189"/>
      <c r="J69" s="189"/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88"/>
      <c r="E70" s="188"/>
      <c r="F70" s="188"/>
      <c r="G70" s="188"/>
      <c r="H70" s="189"/>
      <c r="I70" s="189"/>
      <c r="J70" s="189"/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88"/>
      <c r="E71" s="188"/>
      <c r="F71" s="188"/>
      <c r="G71" s="188"/>
      <c r="H71" s="189"/>
      <c r="I71" s="189"/>
      <c r="J71" s="189"/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88"/>
      <c r="E72" s="188"/>
      <c r="F72" s="188">
        <v>54675.26</v>
      </c>
      <c r="G72" s="188"/>
      <c r="H72" s="189"/>
      <c r="I72" s="189"/>
      <c r="J72" s="189">
        <v>1500.0</v>
      </c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88"/>
      <c r="E73" s="188"/>
      <c r="F73" s="188">
        <v>173195.4</v>
      </c>
      <c r="G73" s="188"/>
      <c r="H73" s="189"/>
      <c r="I73" s="189"/>
      <c r="J73" s="189">
        <v>3563477.34</v>
      </c>
      <c r="K73" s="189"/>
    </row>
    <row r="74" ht="14.25" customHeight="1">
      <c r="A74" s="98" t="s">
        <v>127</v>
      </c>
      <c r="B74" s="98" t="s">
        <v>23</v>
      </c>
      <c r="C74" s="98" t="s">
        <v>121</v>
      </c>
      <c r="D74" s="188"/>
      <c r="E74" s="188"/>
      <c r="F74" s="188"/>
      <c r="G74" s="188"/>
      <c r="H74" s="189"/>
      <c r="I74" s="189"/>
      <c r="J74" s="189"/>
      <c r="K74" s="189"/>
    </row>
    <row r="75" ht="14.25" customHeight="1">
      <c r="A75" s="206" t="s">
        <v>128</v>
      </c>
      <c r="B75" s="207"/>
      <c r="C75" s="207"/>
      <c r="D75" s="208">
        <f t="shared" ref="D75:K75" si="5">SUM(D67:D74)</f>
        <v>0</v>
      </c>
      <c r="E75" s="208">
        <f t="shared" si="5"/>
        <v>0</v>
      </c>
      <c r="F75" s="208">
        <f t="shared" si="5"/>
        <v>1512127.78</v>
      </c>
      <c r="G75" s="208">
        <f t="shared" si="5"/>
        <v>0</v>
      </c>
      <c r="H75" s="208">
        <f t="shared" si="5"/>
        <v>0</v>
      </c>
      <c r="I75" s="208">
        <f t="shared" si="5"/>
        <v>0</v>
      </c>
      <c r="J75" s="208">
        <f t="shared" si="5"/>
        <v>4801518.86</v>
      </c>
      <c r="K75" s="208">
        <f t="shared" si="5"/>
        <v>0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0</v>
      </c>
      <c r="E76" s="196">
        <f t="shared" si="6"/>
        <v>0</v>
      </c>
      <c r="F76" s="196">
        <f t="shared" si="6"/>
        <v>18116538.17</v>
      </c>
      <c r="G76" s="196">
        <f t="shared" si="6"/>
        <v>0</v>
      </c>
      <c r="H76" s="196">
        <f t="shared" si="6"/>
        <v>0</v>
      </c>
      <c r="I76" s="196">
        <f t="shared" si="6"/>
        <v>0</v>
      </c>
      <c r="J76" s="196">
        <f t="shared" si="6"/>
        <v>20972359.22</v>
      </c>
      <c r="K76" s="196">
        <f t="shared" si="6"/>
        <v>0</v>
      </c>
    </row>
    <row r="77" ht="14.25" customHeight="1">
      <c r="A77" s="4"/>
      <c r="B77" s="4"/>
      <c r="C77" s="4"/>
      <c r="H77" s="119"/>
      <c r="I77" s="119"/>
      <c r="J77" s="119"/>
    </row>
    <row r="78" ht="14.25" customHeight="1">
      <c r="A78" s="4"/>
      <c r="B78" s="4"/>
      <c r="C78" s="4"/>
      <c r="D78" s="213"/>
      <c r="E78" s="213"/>
      <c r="F78" s="213"/>
      <c r="G78" s="213"/>
      <c r="H78" s="113"/>
      <c r="I78" s="113"/>
      <c r="J78" s="216"/>
    </row>
    <row r="79" ht="14.25" customHeight="1">
      <c r="A79" s="4"/>
      <c r="B79" s="4"/>
      <c r="C79" s="4"/>
      <c r="D79" s="201"/>
      <c r="E79" s="201"/>
      <c r="F79" s="217"/>
      <c r="G79" s="201"/>
      <c r="H79" s="113"/>
      <c r="I79" s="113"/>
      <c r="J79" s="119"/>
    </row>
    <row r="80" ht="14.25" customHeight="1">
      <c r="A80" s="4"/>
      <c r="B80" s="4"/>
      <c r="C80" s="4"/>
      <c r="D80" s="213"/>
      <c r="E80" s="213"/>
      <c r="F80" s="213"/>
      <c r="G80" s="213"/>
      <c r="H80" s="113"/>
      <c r="I80" s="113"/>
      <c r="J80" s="113"/>
    </row>
    <row r="81" ht="14.25" customHeight="1">
      <c r="A81" s="4"/>
      <c r="B81" s="4"/>
      <c r="C81" s="4"/>
      <c r="D81" s="213"/>
      <c r="E81" s="201"/>
      <c r="F81" s="201"/>
      <c r="G81" s="201"/>
      <c r="H81" s="113"/>
      <c r="I81" s="113"/>
      <c r="J81" s="119"/>
    </row>
    <row r="82" ht="14.25" customHeight="1">
      <c r="A82" s="4"/>
      <c r="B82" s="4"/>
      <c r="C82" s="4"/>
      <c r="D82" s="213"/>
      <c r="E82" s="213"/>
      <c r="F82" s="213"/>
      <c r="G82" s="213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88"/>
      <c r="E3" s="188"/>
      <c r="F3" s="188"/>
      <c r="G3" s="188"/>
      <c r="H3" s="189"/>
      <c r="I3" s="189"/>
      <c r="J3" s="189"/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88"/>
      <c r="E4" s="188"/>
      <c r="F4" s="188"/>
      <c r="G4" s="188"/>
      <c r="H4" s="189"/>
      <c r="I4" s="189"/>
      <c r="J4" s="189"/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88"/>
      <c r="E5" s="188"/>
      <c r="F5" s="188"/>
      <c r="G5" s="188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190"/>
      <c r="E6" s="190"/>
      <c r="F6" s="190"/>
      <c r="G6" s="190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88"/>
      <c r="E7" s="188"/>
      <c r="F7" s="188"/>
      <c r="G7" s="188"/>
      <c r="H7" s="189"/>
      <c r="I7" s="189"/>
      <c r="J7" s="189"/>
      <c r="K7" s="189"/>
    </row>
    <row r="8" ht="14.25" customHeight="1">
      <c r="A8" s="126" t="s">
        <v>67</v>
      </c>
      <c r="B8" s="127"/>
      <c r="C8" s="127"/>
      <c r="D8" s="200">
        <f t="shared" ref="D8:K8" si="1">SUM(D3:D7)</f>
        <v>0</v>
      </c>
      <c r="E8" s="200">
        <f t="shared" si="1"/>
        <v>0</v>
      </c>
      <c r="F8" s="200">
        <f t="shared" si="1"/>
        <v>0</v>
      </c>
      <c r="G8" s="200">
        <f t="shared" si="1"/>
        <v>0</v>
      </c>
      <c r="H8" s="200">
        <f t="shared" si="1"/>
        <v>0</v>
      </c>
      <c r="I8" s="200">
        <f t="shared" si="1"/>
        <v>0</v>
      </c>
      <c r="J8" s="200">
        <f t="shared" si="1"/>
        <v>0</v>
      </c>
      <c r="K8" s="200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89"/>
      <c r="I9" s="189"/>
      <c r="J9" s="189"/>
      <c r="K9" s="189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/>
      <c r="I10" s="189"/>
      <c r="J10" s="189"/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188"/>
      <c r="G11" s="188"/>
      <c r="H11" s="189"/>
      <c r="I11" s="189"/>
      <c r="J11" s="189"/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/>
      <c r="I12" s="189"/>
      <c r="J12" s="189"/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/>
      <c r="F13" s="188"/>
      <c r="G13" s="188"/>
      <c r="H13" s="189"/>
      <c r="I13" s="189"/>
      <c r="J13" s="189"/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/>
      <c r="F14" s="188"/>
      <c r="G14" s="188"/>
      <c r="H14" s="189"/>
      <c r="I14" s="189"/>
      <c r="J14" s="189"/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/>
      <c r="I15" s="189"/>
      <c r="J15" s="189"/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/>
      <c r="I16" s="189"/>
      <c r="J16" s="189"/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/>
      <c r="F17" s="188"/>
      <c r="G17" s="188"/>
      <c r="H17" s="189"/>
      <c r="I17" s="189"/>
      <c r="J17" s="189"/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/>
      <c r="E18" s="188"/>
      <c r="F18" s="188"/>
      <c r="G18" s="188"/>
      <c r="H18" s="189"/>
      <c r="I18" s="189"/>
      <c r="J18" s="189"/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/>
      <c r="I19" s="189"/>
      <c r="J19" s="189"/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/>
      <c r="I21" s="189"/>
      <c r="J21" s="189"/>
      <c r="K21" s="189"/>
    </row>
    <row r="22" ht="14.25" customHeight="1">
      <c r="A22" s="126" t="s">
        <v>78</v>
      </c>
      <c r="B22" s="127"/>
      <c r="C22" s="127"/>
      <c r="D22" s="200">
        <f t="shared" ref="D22:K22" si="2">SUM(D9:D21)</f>
        <v>0</v>
      </c>
      <c r="E22" s="200">
        <f t="shared" si="2"/>
        <v>0</v>
      </c>
      <c r="F22" s="200">
        <f t="shared" si="2"/>
        <v>0</v>
      </c>
      <c r="G22" s="200">
        <f t="shared" si="2"/>
        <v>0</v>
      </c>
      <c r="H22" s="200">
        <f t="shared" si="2"/>
        <v>0</v>
      </c>
      <c r="I22" s="200">
        <f t="shared" si="2"/>
        <v>0</v>
      </c>
      <c r="J22" s="200">
        <f t="shared" si="2"/>
        <v>0</v>
      </c>
      <c r="K22" s="200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89"/>
      <c r="I23" s="189"/>
      <c r="J23" s="189"/>
      <c r="K23" s="189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/>
      <c r="I24" s="189"/>
      <c r="J24" s="189"/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/>
      <c r="I25" s="189"/>
      <c r="J25" s="189"/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/>
      <c r="I26" s="189"/>
      <c r="J26" s="189"/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88"/>
      <c r="H27" s="189"/>
      <c r="I27" s="189"/>
      <c r="J27" s="189"/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/>
      <c r="I28" s="189"/>
      <c r="J28" s="189"/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/>
      <c r="I29" s="189"/>
      <c r="J29" s="189"/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/>
      <c r="I30" s="189"/>
      <c r="J30" s="189"/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188"/>
      <c r="G31" s="188"/>
      <c r="H31" s="189"/>
      <c r="I31" s="189"/>
      <c r="J31" s="189"/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/>
      <c r="I32" s="189"/>
      <c r="J32" s="189"/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/>
      <c r="I33" s="189"/>
      <c r="J33" s="189"/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/>
      <c r="I34" s="189"/>
      <c r="J34" s="189"/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/>
      <c r="I35" s="189"/>
      <c r="J35" s="189"/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/>
      <c r="I36" s="189"/>
      <c r="J36" s="189"/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/>
      <c r="I37" s="189"/>
      <c r="J37" s="189"/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/>
      <c r="I38" s="189"/>
      <c r="J38" s="189"/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/>
      <c r="I39" s="189"/>
      <c r="J39" s="189"/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/>
      <c r="I40" s="189"/>
      <c r="J40" s="189"/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/>
      <c r="I41" s="189"/>
      <c r="J41" s="189"/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/>
      <c r="I42" s="189"/>
      <c r="J42" s="189"/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/>
      <c r="I43" s="189"/>
      <c r="J43" s="189"/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/>
      <c r="I44" s="189"/>
      <c r="J44" s="189"/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/>
      <c r="I45" s="189"/>
      <c r="J45" s="189"/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/>
      <c r="I46" s="189"/>
      <c r="J46" s="189"/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/>
      <c r="I47" s="189"/>
      <c r="J47" s="189"/>
      <c r="K47" s="189"/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/>
      <c r="I48" s="189"/>
      <c r="J48" s="189"/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/>
      <c r="I49" s="189"/>
      <c r="J49" s="189"/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/>
      <c r="I50" s="189"/>
      <c r="J50" s="189"/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/>
      <c r="I51" s="189"/>
      <c r="J51" s="189"/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/>
      <c r="I52" s="189"/>
      <c r="J52" s="189"/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88"/>
      <c r="F53" s="188"/>
      <c r="G53" s="188"/>
      <c r="H53" s="189"/>
      <c r="I53" s="189"/>
      <c r="J53" s="189"/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190"/>
      <c r="F54" s="190"/>
      <c r="G54" s="190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/>
      <c r="I55" s="189"/>
      <c r="J55" s="189"/>
      <c r="K55" s="189"/>
    </row>
    <row r="56" ht="14.25" customHeight="1">
      <c r="A56" s="133" t="s">
        <v>16</v>
      </c>
      <c r="B56" s="127"/>
      <c r="C56" s="127"/>
      <c r="D56" s="200">
        <f t="shared" ref="D56:K56" si="3">SUM(D23:D55)</f>
        <v>0</v>
      </c>
      <c r="E56" s="200">
        <f t="shared" si="3"/>
        <v>0</v>
      </c>
      <c r="F56" s="200">
        <f t="shared" si="3"/>
        <v>0</v>
      </c>
      <c r="G56" s="200">
        <f t="shared" si="3"/>
        <v>0</v>
      </c>
      <c r="H56" s="200">
        <f t="shared" si="3"/>
        <v>0</v>
      </c>
      <c r="I56" s="200">
        <f t="shared" si="3"/>
        <v>0</v>
      </c>
      <c r="J56" s="200">
        <f t="shared" si="3"/>
        <v>0</v>
      </c>
      <c r="K56" s="200">
        <f t="shared" si="3"/>
        <v>0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/>
      <c r="I57" s="189"/>
      <c r="J57" s="189"/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/>
      <c r="F58" s="188"/>
      <c r="G58" s="188"/>
      <c r="H58" s="189"/>
      <c r="I58" s="189"/>
      <c r="J58" s="189"/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/>
      <c r="I59" s="189"/>
      <c r="J59" s="189"/>
      <c r="K59" s="189"/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/>
      <c r="I60" s="189"/>
      <c r="J60" s="189"/>
      <c r="K60" s="189"/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/>
      <c r="I61" s="189"/>
      <c r="J61" s="189"/>
      <c r="K61" s="189"/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/>
      <c r="I62" s="189"/>
      <c r="J62" s="189"/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0</v>
      </c>
      <c r="E66" s="200">
        <f t="shared" si="4"/>
        <v>0</v>
      </c>
      <c r="F66" s="200">
        <f t="shared" si="4"/>
        <v>0</v>
      </c>
      <c r="G66" s="200">
        <f t="shared" si="4"/>
        <v>0</v>
      </c>
      <c r="H66" s="200">
        <f t="shared" si="4"/>
        <v>0</v>
      </c>
      <c r="I66" s="200">
        <f t="shared" si="4"/>
        <v>0</v>
      </c>
      <c r="J66" s="200">
        <f t="shared" si="4"/>
        <v>0</v>
      </c>
      <c r="K66" s="200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193"/>
      <c r="E67" s="193"/>
      <c r="F67" s="193"/>
      <c r="G67" s="193"/>
      <c r="H67" s="189"/>
      <c r="I67" s="189"/>
      <c r="J67" s="189"/>
      <c r="K67" s="189"/>
    </row>
    <row r="68" ht="14.25" customHeight="1">
      <c r="A68" s="99" t="s">
        <v>35</v>
      </c>
      <c r="B68" s="98" t="s">
        <v>23</v>
      </c>
      <c r="C68" s="98" t="s">
        <v>121</v>
      </c>
      <c r="D68" s="188"/>
      <c r="E68" s="188"/>
      <c r="F68" s="188"/>
      <c r="G68" s="188"/>
      <c r="H68" s="189"/>
      <c r="I68" s="189"/>
      <c r="J68" s="189"/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88"/>
      <c r="E69" s="188"/>
      <c r="F69" s="188"/>
      <c r="G69" s="188"/>
      <c r="H69" s="189"/>
      <c r="I69" s="189"/>
      <c r="J69" s="189"/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88"/>
      <c r="E70" s="188"/>
      <c r="F70" s="188"/>
      <c r="G70" s="188"/>
      <c r="H70" s="189"/>
      <c r="I70" s="189"/>
      <c r="J70" s="189"/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88"/>
      <c r="E71" s="188"/>
      <c r="F71" s="188"/>
      <c r="G71" s="188"/>
      <c r="H71" s="189"/>
      <c r="I71" s="189"/>
      <c r="J71" s="189"/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88"/>
      <c r="E72" s="188"/>
      <c r="F72" s="188"/>
      <c r="G72" s="188"/>
      <c r="H72" s="189"/>
      <c r="I72" s="189"/>
      <c r="J72" s="189"/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88"/>
      <c r="E73" s="188"/>
      <c r="F73" s="188"/>
      <c r="G73" s="188"/>
      <c r="H73" s="189"/>
      <c r="I73" s="189"/>
      <c r="J73" s="189"/>
      <c r="K73" s="189"/>
    </row>
    <row r="74" ht="14.25" customHeight="1">
      <c r="A74" s="98" t="s">
        <v>127</v>
      </c>
      <c r="B74" s="98" t="s">
        <v>23</v>
      </c>
      <c r="C74" s="98" t="s">
        <v>121</v>
      </c>
      <c r="D74" s="188"/>
      <c r="E74" s="188"/>
      <c r="F74" s="188"/>
      <c r="G74" s="188"/>
      <c r="H74" s="189"/>
      <c r="I74" s="189"/>
      <c r="J74" s="189"/>
      <c r="K74" s="189"/>
    </row>
    <row r="75" ht="14.25" customHeight="1">
      <c r="A75" s="206" t="s">
        <v>128</v>
      </c>
      <c r="B75" s="207"/>
      <c r="C75" s="207"/>
      <c r="D75" s="208">
        <f t="shared" ref="D75:K75" si="5">SUM(D67:D74)</f>
        <v>0</v>
      </c>
      <c r="E75" s="208">
        <f t="shared" si="5"/>
        <v>0</v>
      </c>
      <c r="F75" s="208">
        <f t="shared" si="5"/>
        <v>0</v>
      </c>
      <c r="G75" s="208">
        <f t="shared" si="5"/>
        <v>0</v>
      </c>
      <c r="H75" s="208">
        <f t="shared" si="5"/>
        <v>0</v>
      </c>
      <c r="I75" s="208">
        <f t="shared" si="5"/>
        <v>0</v>
      </c>
      <c r="J75" s="208">
        <f t="shared" si="5"/>
        <v>0</v>
      </c>
      <c r="K75" s="208">
        <f t="shared" si="5"/>
        <v>0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0</v>
      </c>
      <c r="E76" s="196">
        <f t="shared" si="6"/>
        <v>0</v>
      </c>
      <c r="F76" s="196">
        <f t="shared" si="6"/>
        <v>0</v>
      </c>
      <c r="G76" s="196">
        <f t="shared" si="6"/>
        <v>0</v>
      </c>
      <c r="H76" s="196">
        <f t="shared" si="6"/>
        <v>0</v>
      </c>
      <c r="I76" s="196">
        <f t="shared" si="6"/>
        <v>0</v>
      </c>
      <c r="J76" s="196">
        <f t="shared" si="6"/>
        <v>0</v>
      </c>
      <c r="K76" s="196">
        <f t="shared" si="6"/>
        <v>0</v>
      </c>
    </row>
    <row r="77" ht="14.25" customHeight="1">
      <c r="A77" s="4"/>
      <c r="B77" s="4"/>
      <c r="C77" s="4"/>
      <c r="H77" s="113"/>
      <c r="I77" s="113"/>
      <c r="J77" s="113"/>
    </row>
    <row r="78" ht="14.25" customHeight="1">
      <c r="A78" s="4"/>
      <c r="B78" s="4"/>
      <c r="C78" s="4"/>
      <c r="H78" s="113"/>
      <c r="I78" s="113"/>
      <c r="J78" s="113"/>
    </row>
    <row r="79" ht="14.25" customHeight="1">
      <c r="A79" s="4"/>
      <c r="B79" s="4"/>
      <c r="C79" s="4"/>
      <c r="H79" s="113"/>
      <c r="I79" s="113"/>
      <c r="J79" s="113"/>
    </row>
    <row r="80" ht="14.25" customHeight="1">
      <c r="A80" s="4"/>
      <c r="B80" s="4"/>
      <c r="C80" s="4"/>
      <c r="H80" s="113"/>
      <c r="I80" s="113"/>
      <c r="J80" s="113"/>
    </row>
    <row r="81" ht="14.25" customHeight="1">
      <c r="A81" s="4"/>
      <c r="B81" s="4"/>
      <c r="C81" s="4"/>
      <c r="H81" s="113"/>
      <c r="I81" s="113"/>
      <c r="J81" s="113"/>
    </row>
    <row r="82" ht="14.25" customHeight="1">
      <c r="A82" s="4"/>
      <c r="B82" s="4"/>
      <c r="C82" s="4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1" width="30.0"/>
    <col customWidth="1" min="2" max="2" width="11.38"/>
    <col customWidth="1" min="3" max="3" width="11.75"/>
    <col customWidth="1" min="4" max="4" width="16.88"/>
    <col customWidth="1" min="5" max="5" width="15.25"/>
    <col customWidth="1" min="6" max="6" width="16.88"/>
    <col customWidth="1" min="7" max="7" width="19.0"/>
    <col customWidth="1" min="8" max="9" width="15.25"/>
    <col customWidth="1" min="10" max="10" width="16.88"/>
    <col customWidth="1" min="11" max="11" width="19.0"/>
    <col customWidth="1" min="12" max="26" width="30.13"/>
  </cols>
  <sheetData>
    <row r="1" ht="14.25" customHeight="1">
      <c r="A1" s="98"/>
      <c r="B1" s="98"/>
      <c r="C1" s="98"/>
      <c r="D1" s="184">
        <v>2025.0</v>
      </c>
      <c r="E1" s="106"/>
      <c r="F1" s="106"/>
      <c r="G1" s="107"/>
      <c r="H1" s="185">
        <v>2024.0</v>
      </c>
      <c r="I1" s="106"/>
      <c r="J1" s="106"/>
      <c r="K1" s="107"/>
    </row>
    <row r="2" ht="14.25" customHeight="1">
      <c r="A2" s="114" t="s">
        <v>61</v>
      </c>
      <c r="B2" s="115" t="s">
        <v>62</v>
      </c>
      <c r="C2" s="115" t="s">
        <v>63</v>
      </c>
      <c r="D2" s="186" t="s">
        <v>6</v>
      </c>
      <c r="E2" s="186" t="s">
        <v>7</v>
      </c>
      <c r="F2" s="186" t="s">
        <v>8</v>
      </c>
      <c r="G2" s="186" t="s">
        <v>9</v>
      </c>
      <c r="H2" s="187" t="s">
        <v>6</v>
      </c>
      <c r="I2" s="187" t="s">
        <v>7</v>
      </c>
      <c r="J2" s="187" t="s">
        <v>8</v>
      </c>
      <c r="K2" s="187" t="s">
        <v>12</v>
      </c>
    </row>
    <row r="3" ht="14.25" customHeight="1">
      <c r="A3" s="98" t="s">
        <v>53</v>
      </c>
      <c r="B3" s="98" t="s">
        <v>25</v>
      </c>
      <c r="C3" s="98" t="s">
        <v>13</v>
      </c>
      <c r="D3" s="188"/>
      <c r="E3" s="188"/>
      <c r="F3" s="188"/>
      <c r="G3" s="188"/>
      <c r="H3" s="189"/>
      <c r="I3" s="189"/>
      <c r="J3" s="189"/>
      <c r="K3" s="189"/>
    </row>
    <row r="4" ht="14.25" customHeight="1">
      <c r="A4" s="98" t="s">
        <v>64</v>
      </c>
      <c r="B4" s="98" t="s">
        <v>25</v>
      </c>
      <c r="C4" s="98" t="s">
        <v>13</v>
      </c>
      <c r="D4" s="188"/>
      <c r="E4" s="188"/>
      <c r="F4" s="188"/>
      <c r="G4" s="188"/>
      <c r="H4" s="189"/>
      <c r="I4" s="189"/>
      <c r="J4" s="189"/>
      <c r="K4" s="189"/>
    </row>
    <row r="5" ht="14.25" customHeight="1">
      <c r="A5" s="98" t="s">
        <v>37</v>
      </c>
      <c r="B5" s="98" t="s">
        <v>25</v>
      </c>
      <c r="C5" s="98" t="s">
        <v>13</v>
      </c>
      <c r="D5" s="188"/>
      <c r="E5" s="188"/>
      <c r="F5" s="188"/>
      <c r="G5" s="188"/>
      <c r="H5" s="189"/>
      <c r="I5" s="189"/>
      <c r="J5" s="189"/>
      <c r="K5" s="189"/>
    </row>
    <row r="6" ht="14.25" customHeight="1">
      <c r="A6" s="123" t="s">
        <v>65</v>
      </c>
      <c r="B6" s="98" t="s">
        <v>25</v>
      </c>
      <c r="C6" s="123" t="s">
        <v>13</v>
      </c>
      <c r="D6" s="190"/>
      <c r="E6" s="190"/>
      <c r="F6" s="190"/>
      <c r="G6" s="190"/>
      <c r="H6" s="189"/>
      <c r="I6" s="189"/>
      <c r="J6" s="189"/>
      <c r="K6" s="189"/>
    </row>
    <row r="7" ht="14.25" customHeight="1">
      <c r="A7" s="98" t="s">
        <v>66</v>
      </c>
      <c r="B7" s="98" t="s">
        <v>25</v>
      </c>
      <c r="C7" s="98" t="s">
        <v>13</v>
      </c>
      <c r="D7" s="188"/>
      <c r="E7" s="188"/>
      <c r="F7" s="188"/>
      <c r="G7" s="188"/>
      <c r="H7" s="189"/>
      <c r="I7" s="189"/>
      <c r="J7" s="189"/>
      <c r="K7" s="189"/>
    </row>
    <row r="8" ht="14.25" customHeight="1">
      <c r="A8" s="126" t="s">
        <v>67</v>
      </c>
      <c r="B8" s="127"/>
      <c r="C8" s="127"/>
      <c r="D8" s="200">
        <f t="shared" ref="D8:K8" si="1">SUM(D3:D7)</f>
        <v>0</v>
      </c>
      <c r="E8" s="200">
        <f t="shared" si="1"/>
        <v>0</v>
      </c>
      <c r="F8" s="200">
        <f t="shared" si="1"/>
        <v>0</v>
      </c>
      <c r="G8" s="200">
        <f t="shared" si="1"/>
        <v>0</v>
      </c>
      <c r="H8" s="200">
        <f t="shared" si="1"/>
        <v>0</v>
      </c>
      <c r="I8" s="200">
        <f t="shared" si="1"/>
        <v>0</v>
      </c>
      <c r="J8" s="200">
        <f t="shared" si="1"/>
        <v>0</v>
      </c>
      <c r="K8" s="200">
        <f t="shared" si="1"/>
        <v>0</v>
      </c>
    </row>
    <row r="9" ht="14.25" customHeight="1">
      <c r="A9" s="125" t="s">
        <v>68</v>
      </c>
      <c r="B9" s="98" t="s">
        <v>25</v>
      </c>
      <c r="C9" s="125" t="s">
        <v>69</v>
      </c>
      <c r="D9" s="193"/>
      <c r="E9" s="193"/>
      <c r="F9" s="193"/>
      <c r="G9" s="193"/>
      <c r="H9" s="189"/>
      <c r="I9" s="189"/>
      <c r="J9" s="189"/>
      <c r="K9" s="189"/>
    </row>
    <row r="10" ht="14.25" customHeight="1">
      <c r="A10" s="98" t="s">
        <v>39</v>
      </c>
      <c r="B10" s="98" t="s">
        <v>25</v>
      </c>
      <c r="C10" s="98" t="s">
        <v>69</v>
      </c>
      <c r="D10" s="188"/>
      <c r="E10" s="188"/>
      <c r="F10" s="188"/>
      <c r="G10" s="188"/>
      <c r="H10" s="189"/>
      <c r="I10" s="189"/>
      <c r="J10" s="189"/>
      <c r="K10" s="189"/>
    </row>
    <row r="11" ht="14.25" customHeight="1">
      <c r="A11" s="98" t="s">
        <v>70</v>
      </c>
      <c r="B11" s="98" t="s">
        <v>25</v>
      </c>
      <c r="C11" s="98" t="s">
        <v>69</v>
      </c>
      <c r="D11" s="188"/>
      <c r="E11" s="188"/>
      <c r="F11" s="188"/>
      <c r="G11" s="188"/>
      <c r="H11" s="189"/>
      <c r="I11" s="189"/>
      <c r="J11" s="189"/>
      <c r="K11" s="189"/>
    </row>
    <row r="12" ht="14.25" customHeight="1">
      <c r="A12" s="98" t="s">
        <v>71</v>
      </c>
      <c r="B12" s="98" t="s">
        <v>25</v>
      </c>
      <c r="C12" s="98" t="s">
        <v>69</v>
      </c>
      <c r="D12" s="188"/>
      <c r="E12" s="188"/>
      <c r="F12" s="188"/>
      <c r="G12" s="188"/>
      <c r="H12" s="189"/>
      <c r="I12" s="189"/>
      <c r="J12" s="189"/>
      <c r="K12" s="189"/>
    </row>
    <row r="13" ht="14.25" customHeight="1">
      <c r="A13" s="98" t="s">
        <v>58</v>
      </c>
      <c r="B13" s="98" t="s">
        <v>25</v>
      </c>
      <c r="C13" s="98" t="s">
        <v>69</v>
      </c>
      <c r="D13" s="188"/>
      <c r="E13" s="188"/>
      <c r="F13" s="188"/>
      <c r="G13" s="188"/>
      <c r="H13" s="189"/>
      <c r="I13" s="189"/>
      <c r="J13" s="189"/>
      <c r="K13" s="189"/>
    </row>
    <row r="14" ht="14.25" customHeight="1">
      <c r="A14" s="98" t="s">
        <v>72</v>
      </c>
      <c r="B14" s="98" t="s">
        <v>25</v>
      </c>
      <c r="C14" s="98" t="s">
        <v>69</v>
      </c>
      <c r="D14" s="188"/>
      <c r="E14" s="188"/>
      <c r="F14" s="188"/>
      <c r="G14" s="188"/>
      <c r="H14" s="189"/>
      <c r="I14" s="189"/>
      <c r="J14" s="189"/>
      <c r="K14" s="189"/>
    </row>
    <row r="15" ht="14.25" customHeight="1">
      <c r="A15" s="98" t="s">
        <v>73</v>
      </c>
      <c r="B15" s="98" t="s">
        <v>25</v>
      </c>
      <c r="C15" s="98" t="s">
        <v>69</v>
      </c>
      <c r="D15" s="188"/>
      <c r="E15" s="188"/>
      <c r="F15" s="188"/>
      <c r="G15" s="188"/>
      <c r="H15" s="189"/>
      <c r="I15" s="189"/>
      <c r="J15" s="189"/>
      <c r="K15" s="189"/>
    </row>
    <row r="16" ht="14.25" customHeight="1">
      <c r="A16" s="98" t="s">
        <v>74</v>
      </c>
      <c r="B16" s="98" t="s">
        <v>25</v>
      </c>
      <c r="C16" s="98" t="s">
        <v>69</v>
      </c>
      <c r="D16" s="188"/>
      <c r="E16" s="188"/>
      <c r="F16" s="188"/>
      <c r="G16" s="188"/>
      <c r="H16" s="189"/>
      <c r="I16" s="189"/>
      <c r="J16" s="189"/>
      <c r="K16" s="189"/>
    </row>
    <row r="17" ht="14.25" customHeight="1">
      <c r="A17" s="98" t="s">
        <v>33</v>
      </c>
      <c r="B17" s="98" t="s">
        <v>25</v>
      </c>
      <c r="C17" s="98" t="s">
        <v>69</v>
      </c>
      <c r="D17" s="188"/>
      <c r="E17" s="188"/>
      <c r="F17" s="188"/>
      <c r="G17" s="188"/>
      <c r="H17" s="189"/>
      <c r="I17" s="189"/>
      <c r="J17" s="189"/>
      <c r="K17" s="189"/>
    </row>
    <row r="18" ht="14.25" customHeight="1">
      <c r="A18" s="98" t="s">
        <v>75</v>
      </c>
      <c r="B18" s="98" t="s">
        <v>25</v>
      </c>
      <c r="C18" s="98" t="s">
        <v>69</v>
      </c>
      <c r="D18" s="188"/>
      <c r="E18" s="188"/>
      <c r="F18" s="188"/>
      <c r="G18" s="188"/>
      <c r="H18" s="189"/>
      <c r="I18" s="189"/>
      <c r="J18" s="189"/>
      <c r="K18" s="189"/>
    </row>
    <row r="19" ht="14.25" customHeight="1">
      <c r="A19" s="98" t="s">
        <v>41</v>
      </c>
      <c r="B19" s="98" t="s">
        <v>25</v>
      </c>
      <c r="C19" s="98" t="s">
        <v>69</v>
      </c>
      <c r="D19" s="188"/>
      <c r="E19" s="188"/>
      <c r="F19" s="188"/>
      <c r="G19" s="188"/>
      <c r="H19" s="189"/>
      <c r="I19" s="189"/>
      <c r="J19" s="189"/>
      <c r="K19" s="189"/>
    </row>
    <row r="20" ht="14.25" customHeight="1">
      <c r="A20" s="123" t="s">
        <v>76</v>
      </c>
      <c r="B20" s="98" t="s">
        <v>25</v>
      </c>
      <c r="C20" s="98" t="s">
        <v>69</v>
      </c>
      <c r="D20" s="190"/>
      <c r="E20" s="190"/>
      <c r="F20" s="190"/>
      <c r="G20" s="190"/>
      <c r="H20" s="189"/>
      <c r="I20" s="189"/>
      <c r="J20" s="189"/>
      <c r="K20" s="189"/>
    </row>
    <row r="21" ht="14.25" customHeight="1">
      <c r="A21" s="123" t="s">
        <v>77</v>
      </c>
      <c r="B21" s="98" t="s">
        <v>25</v>
      </c>
      <c r="C21" s="123" t="s">
        <v>69</v>
      </c>
      <c r="D21" s="190"/>
      <c r="E21" s="190"/>
      <c r="F21" s="190"/>
      <c r="G21" s="190"/>
      <c r="H21" s="189"/>
      <c r="I21" s="189"/>
      <c r="J21" s="189"/>
      <c r="K21" s="189"/>
    </row>
    <row r="22" ht="14.25" customHeight="1">
      <c r="A22" s="126" t="s">
        <v>78</v>
      </c>
      <c r="B22" s="127"/>
      <c r="C22" s="127"/>
      <c r="D22" s="200">
        <f t="shared" ref="D22:K22" si="2">SUM(D9:D21)</f>
        <v>0</v>
      </c>
      <c r="E22" s="200">
        <f t="shared" si="2"/>
        <v>0</v>
      </c>
      <c r="F22" s="200">
        <f t="shared" si="2"/>
        <v>0</v>
      </c>
      <c r="G22" s="200">
        <f t="shared" si="2"/>
        <v>0</v>
      </c>
      <c r="H22" s="200">
        <f t="shared" si="2"/>
        <v>0</v>
      </c>
      <c r="I22" s="200">
        <f t="shared" si="2"/>
        <v>0</v>
      </c>
      <c r="J22" s="200">
        <f t="shared" si="2"/>
        <v>0</v>
      </c>
      <c r="K22" s="200">
        <f t="shared" si="2"/>
        <v>0</v>
      </c>
    </row>
    <row r="23" ht="14.25" customHeight="1">
      <c r="A23" s="125" t="s">
        <v>79</v>
      </c>
      <c r="B23" s="125" t="s">
        <v>23</v>
      </c>
      <c r="C23" s="125" t="s">
        <v>80</v>
      </c>
      <c r="D23" s="193"/>
      <c r="E23" s="193"/>
      <c r="F23" s="193"/>
      <c r="G23" s="193"/>
      <c r="H23" s="189"/>
      <c r="I23" s="189"/>
      <c r="J23" s="189"/>
      <c r="K23" s="189"/>
    </row>
    <row r="24" ht="14.25" customHeight="1">
      <c r="A24" s="99" t="s">
        <v>81</v>
      </c>
      <c r="B24" s="98" t="s">
        <v>23</v>
      </c>
      <c r="C24" s="98" t="s">
        <v>80</v>
      </c>
      <c r="D24" s="188"/>
      <c r="E24" s="188"/>
      <c r="F24" s="188"/>
      <c r="G24" s="188"/>
      <c r="H24" s="189"/>
      <c r="I24" s="189"/>
      <c r="J24" s="189"/>
      <c r="K24" s="189"/>
    </row>
    <row r="25" ht="14.25" customHeight="1">
      <c r="A25" s="99" t="s">
        <v>82</v>
      </c>
      <c r="B25" s="98" t="s">
        <v>23</v>
      </c>
      <c r="C25" s="98" t="s">
        <v>80</v>
      </c>
      <c r="D25" s="188"/>
      <c r="E25" s="188"/>
      <c r="F25" s="188"/>
      <c r="G25" s="188"/>
      <c r="H25" s="189"/>
      <c r="I25" s="189"/>
      <c r="J25" s="189"/>
      <c r="K25" s="189"/>
    </row>
    <row r="26" ht="14.25" customHeight="1">
      <c r="A26" s="98" t="s">
        <v>106</v>
      </c>
      <c r="B26" s="98" t="s">
        <v>24</v>
      </c>
      <c r="C26" s="98" t="s">
        <v>80</v>
      </c>
      <c r="D26" s="188"/>
      <c r="E26" s="188"/>
      <c r="F26" s="188"/>
      <c r="G26" s="188"/>
      <c r="H26" s="189"/>
      <c r="I26" s="189"/>
      <c r="J26" s="189"/>
      <c r="K26" s="189"/>
    </row>
    <row r="27" ht="14.25" customHeight="1">
      <c r="A27" s="99" t="s">
        <v>83</v>
      </c>
      <c r="B27" s="98" t="s">
        <v>23</v>
      </c>
      <c r="C27" s="98" t="s">
        <v>80</v>
      </c>
      <c r="D27" s="188"/>
      <c r="E27" s="188"/>
      <c r="F27" s="188"/>
      <c r="G27" s="188"/>
      <c r="H27" s="189"/>
      <c r="I27" s="189"/>
      <c r="J27" s="189"/>
      <c r="K27" s="189"/>
    </row>
    <row r="28" ht="14.25" customHeight="1">
      <c r="A28" s="99" t="s">
        <v>84</v>
      </c>
      <c r="B28" s="98" t="s">
        <v>23</v>
      </c>
      <c r="C28" s="98" t="s">
        <v>80</v>
      </c>
      <c r="D28" s="188"/>
      <c r="E28" s="188"/>
      <c r="F28" s="188"/>
      <c r="G28" s="188"/>
      <c r="H28" s="189"/>
      <c r="I28" s="189"/>
      <c r="J28" s="189"/>
      <c r="K28" s="189"/>
    </row>
    <row r="29" ht="14.25" customHeight="1">
      <c r="A29" s="99" t="s">
        <v>85</v>
      </c>
      <c r="B29" s="98" t="s">
        <v>23</v>
      </c>
      <c r="C29" s="98" t="s">
        <v>80</v>
      </c>
      <c r="D29" s="188"/>
      <c r="E29" s="188"/>
      <c r="F29" s="188"/>
      <c r="G29" s="188"/>
      <c r="H29" s="189"/>
      <c r="I29" s="189"/>
      <c r="J29" s="189"/>
      <c r="K29" s="189"/>
    </row>
    <row r="30" ht="14.25" customHeight="1">
      <c r="A30" s="98" t="s">
        <v>86</v>
      </c>
      <c r="B30" s="98" t="s">
        <v>23</v>
      </c>
      <c r="C30" s="98" t="s">
        <v>80</v>
      </c>
      <c r="D30" s="188"/>
      <c r="E30" s="188"/>
      <c r="F30" s="188"/>
      <c r="G30" s="188"/>
      <c r="H30" s="189"/>
      <c r="I30" s="189"/>
      <c r="J30" s="189"/>
      <c r="K30" s="189"/>
    </row>
    <row r="31" ht="14.25" customHeight="1">
      <c r="A31" s="98" t="s">
        <v>87</v>
      </c>
      <c r="B31" s="98" t="s">
        <v>23</v>
      </c>
      <c r="C31" s="98" t="s">
        <v>80</v>
      </c>
      <c r="D31" s="188"/>
      <c r="E31" s="188"/>
      <c r="F31" s="188"/>
      <c r="G31" s="188"/>
      <c r="H31" s="189"/>
      <c r="I31" s="189"/>
      <c r="J31" s="189"/>
      <c r="K31" s="189"/>
    </row>
    <row r="32" ht="14.25" customHeight="1">
      <c r="A32" s="98" t="s">
        <v>88</v>
      </c>
      <c r="B32" s="98" t="s">
        <v>23</v>
      </c>
      <c r="C32" s="98" t="s">
        <v>80</v>
      </c>
      <c r="D32" s="188"/>
      <c r="E32" s="188"/>
      <c r="F32" s="188"/>
      <c r="G32" s="188"/>
      <c r="H32" s="189"/>
      <c r="I32" s="189"/>
      <c r="J32" s="189"/>
      <c r="K32" s="189"/>
    </row>
    <row r="33" ht="14.25" customHeight="1">
      <c r="A33" s="98" t="s">
        <v>89</v>
      </c>
      <c r="B33" s="98" t="s">
        <v>23</v>
      </c>
      <c r="C33" s="98" t="s">
        <v>80</v>
      </c>
      <c r="D33" s="188"/>
      <c r="E33" s="188"/>
      <c r="F33" s="188"/>
      <c r="G33" s="188"/>
      <c r="H33" s="189"/>
      <c r="I33" s="189"/>
      <c r="J33" s="189"/>
      <c r="K33" s="189"/>
    </row>
    <row r="34" ht="14.25" customHeight="1">
      <c r="A34" s="98" t="s">
        <v>90</v>
      </c>
      <c r="B34" s="98" t="s">
        <v>23</v>
      </c>
      <c r="C34" s="98" t="s">
        <v>80</v>
      </c>
      <c r="D34" s="188"/>
      <c r="E34" s="188"/>
      <c r="F34" s="188"/>
      <c r="G34" s="188"/>
      <c r="H34" s="189"/>
      <c r="I34" s="189"/>
      <c r="J34" s="189"/>
      <c r="K34" s="189"/>
    </row>
    <row r="35" ht="14.25" customHeight="1">
      <c r="A35" s="98" t="s">
        <v>91</v>
      </c>
      <c r="B35" s="98" t="s">
        <v>23</v>
      </c>
      <c r="C35" s="98" t="s">
        <v>80</v>
      </c>
      <c r="D35" s="188"/>
      <c r="E35" s="188"/>
      <c r="F35" s="188"/>
      <c r="G35" s="188"/>
      <c r="H35" s="189"/>
      <c r="I35" s="189"/>
      <c r="J35" s="189"/>
      <c r="K35" s="189"/>
    </row>
    <row r="36" ht="14.25" customHeight="1">
      <c r="A36" s="99" t="s">
        <v>51</v>
      </c>
      <c r="B36" s="98" t="s">
        <v>23</v>
      </c>
      <c r="C36" s="98" t="s">
        <v>80</v>
      </c>
      <c r="D36" s="188"/>
      <c r="E36" s="188"/>
      <c r="F36" s="188"/>
      <c r="G36" s="188"/>
      <c r="H36" s="189"/>
      <c r="I36" s="189"/>
      <c r="J36" s="189"/>
      <c r="K36" s="189"/>
    </row>
    <row r="37" ht="14.25" customHeight="1">
      <c r="A37" s="98" t="s">
        <v>92</v>
      </c>
      <c r="B37" s="98" t="s">
        <v>23</v>
      </c>
      <c r="C37" s="98" t="s">
        <v>80</v>
      </c>
      <c r="D37" s="188"/>
      <c r="E37" s="188"/>
      <c r="F37" s="188"/>
      <c r="G37" s="188"/>
      <c r="H37" s="189"/>
      <c r="I37" s="189"/>
      <c r="J37" s="189"/>
      <c r="K37" s="189"/>
    </row>
    <row r="38" ht="14.25" customHeight="1">
      <c r="A38" s="98" t="s">
        <v>93</v>
      </c>
      <c r="B38" s="98" t="s">
        <v>23</v>
      </c>
      <c r="C38" s="98" t="s">
        <v>80</v>
      </c>
      <c r="D38" s="188"/>
      <c r="E38" s="188"/>
      <c r="F38" s="188"/>
      <c r="G38" s="188"/>
      <c r="H38" s="189"/>
      <c r="I38" s="189"/>
      <c r="J38" s="189"/>
      <c r="K38" s="189"/>
    </row>
    <row r="39" ht="14.25" customHeight="1">
      <c r="A39" s="98" t="s">
        <v>94</v>
      </c>
      <c r="B39" s="98" t="s">
        <v>23</v>
      </c>
      <c r="C39" s="98" t="s">
        <v>80</v>
      </c>
      <c r="D39" s="188"/>
      <c r="E39" s="188"/>
      <c r="F39" s="188"/>
      <c r="G39" s="188"/>
      <c r="H39" s="189"/>
      <c r="I39" s="189"/>
      <c r="J39" s="189"/>
      <c r="K39" s="189"/>
    </row>
    <row r="40" ht="14.25" customHeight="1">
      <c r="A40" s="98" t="s">
        <v>95</v>
      </c>
      <c r="B40" s="98" t="s">
        <v>23</v>
      </c>
      <c r="C40" s="98" t="s">
        <v>80</v>
      </c>
      <c r="D40" s="188"/>
      <c r="E40" s="188"/>
      <c r="F40" s="188"/>
      <c r="G40" s="188"/>
      <c r="H40" s="189"/>
      <c r="I40" s="189"/>
      <c r="J40" s="189"/>
      <c r="K40" s="189"/>
    </row>
    <row r="41" ht="14.25" customHeight="1">
      <c r="A41" s="98" t="s">
        <v>109</v>
      </c>
      <c r="B41" s="98" t="s">
        <v>24</v>
      </c>
      <c r="C41" s="98" t="s">
        <v>80</v>
      </c>
      <c r="D41" s="188"/>
      <c r="E41" s="188"/>
      <c r="F41" s="188"/>
      <c r="G41" s="188"/>
      <c r="H41" s="189"/>
      <c r="I41" s="189"/>
      <c r="J41" s="189"/>
      <c r="K41" s="189"/>
    </row>
    <row r="42" ht="14.25" customHeight="1">
      <c r="A42" s="98" t="s">
        <v>111</v>
      </c>
      <c r="B42" s="98" t="s">
        <v>24</v>
      </c>
      <c r="C42" s="98" t="s">
        <v>80</v>
      </c>
      <c r="D42" s="188"/>
      <c r="E42" s="188"/>
      <c r="F42" s="188"/>
      <c r="G42" s="188"/>
      <c r="H42" s="189"/>
      <c r="I42" s="189"/>
      <c r="J42" s="189"/>
      <c r="K42" s="189"/>
    </row>
    <row r="43" ht="14.25" customHeight="1">
      <c r="A43" s="99" t="s">
        <v>96</v>
      </c>
      <c r="B43" s="98" t="s">
        <v>23</v>
      </c>
      <c r="C43" s="98" t="s">
        <v>80</v>
      </c>
      <c r="D43" s="188"/>
      <c r="E43" s="188"/>
      <c r="F43" s="188"/>
      <c r="G43" s="188"/>
      <c r="H43" s="189"/>
      <c r="I43" s="189"/>
      <c r="J43" s="189"/>
      <c r="K43" s="189"/>
    </row>
    <row r="44" ht="14.25" customHeight="1">
      <c r="A44" s="98" t="s">
        <v>97</v>
      </c>
      <c r="B44" s="98" t="s">
        <v>23</v>
      </c>
      <c r="C44" s="98" t="s">
        <v>80</v>
      </c>
      <c r="D44" s="188"/>
      <c r="E44" s="188"/>
      <c r="F44" s="188"/>
      <c r="G44" s="188"/>
      <c r="H44" s="189"/>
      <c r="I44" s="189"/>
      <c r="J44" s="189"/>
      <c r="K44" s="189"/>
    </row>
    <row r="45" ht="14.25" customHeight="1">
      <c r="A45" s="98" t="s">
        <v>98</v>
      </c>
      <c r="B45" s="98" t="s">
        <v>23</v>
      </c>
      <c r="C45" s="98" t="s">
        <v>80</v>
      </c>
      <c r="D45" s="188"/>
      <c r="E45" s="188"/>
      <c r="F45" s="188"/>
      <c r="G45" s="188"/>
      <c r="H45" s="189"/>
      <c r="I45" s="189"/>
      <c r="J45" s="189"/>
      <c r="K45" s="189"/>
    </row>
    <row r="46" ht="14.25" customHeight="1">
      <c r="A46" s="98" t="s">
        <v>107</v>
      </c>
      <c r="B46" s="98" t="s">
        <v>24</v>
      </c>
      <c r="C46" s="98" t="s">
        <v>80</v>
      </c>
      <c r="D46" s="188"/>
      <c r="E46" s="188"/>
      <c r="F46" s="188"/>
      <c r="G46" s="188"/>
      <c r="H46" s="189"/>
      <c r="I46" s="189"/>
      <c r="J46" s="189"/>
      <c r="K46" s="189"/>
    </row>
    <row r="47" ht="14.25" customHeight="1">
      <c r="A47" s="98" t="s">
        <v>108</v>
      </c>
      <c r="B47" s="98" t="s">
        <v>24</v>
      </c>
      <c r="C47" s="98" t="s">
        <v>80</v>
      </c>
      <c r="D47" s="188"/>
      <c r="E47" s="188"/>
      <c r="F47" s="188"/>
      <c r="G47" s="188"/>
      <c r="H47" s="189"/>
      <c r="I47" s="189"/>
      <c r="J47" s="189"/>
      <c r="K47" s="189"/>
      <c r="L47" s="142"/>
    </row>
    <row r="48" ht="14.25" customHeight="1">
      <c r="A48" s="98" t="s">
        <v>99</v>
      </c>
      <c r="B48" s="98" t="s">
        <v>23</v>
      </c>
      <c r="C48" s="98" t="s">
        <v>80</v>
      </c>
      <c r="D48" s="188"/>
      <c r="E48" s="188"/>
      <c r="F48" s="188"/>
      <c r="G48" s="188"/>
      <c r="H48" s="189"/>
      <c r="I48" s="189"/>
      <c r="J48" s="189"/>
      <c r="K48" s="189"/>
    </row>
    <row r="49" ht="14.25" customHeight="1">
      <c r="A49" s="98" t="s">
        <v>100</v>
      </c>
      <c r="B49" s="98" t="s">
        <v>23</v>
      </c>
      <c r="C49" s="98" t="s">
        <v>80</v>
      </c>
      <c r="D49" s="188"/>
      <c r="E49" s="188"/>
      <c r="F49" s="188"/>
      <c r="G49" s="188"/>
      <c r="H49" s="189"/>
      <c r="I49" s="189"/>
      <c r="J49" s="189"/>
      <c r="K49" s="189"/>
    </row>
    <row r="50" ht="14.25" customHeight="1">
      <c r="A50" s="98" t="s">
        <v>101</v>
      </c>
      <c r="B50" s="98" t="s">
        <v>23</v>
      </c>
      <c r="C50" s="98" t="s">
        <v>80</v>
      </c>
      <c r="D50" s="188"/>
      <c r="E50" s="188"/>
      <c r="F50" s="188"/>
      <c r="G50" s="188"/>
      <c r="H50" s="189"/>
      <c r="I50" s="189"/>
      <c r="J50" s="189"/>
      <c r="K50" s="189"/>
    </row>
    <row r="51" ht="14.25" customHeight="1">
      <c r="A51" s="98" t="s">
        <v>102</v>
      </c>
      <c r="B51" s="98" t="s">
        <v>23</v>
      </c>
      <c r="C51" s="98" t="s">
        <v>80</v>
      </c>
      <c r="D51" s="188"/>
      <c r="E51" s="188"/>
      <c r="F51" s="188"/>
      <c r="G51" s="188"/>
      <c r="H51" s="189"/>
      <c r="I51" s="189"/>
      <c r="J51" s="189"/>
      <c r="K51" s="189"/>
    </row>
    <row r="52" ht="14.25" customHeight="1">
      <c r="A52" s="98" t="s">
        <v>103</v>
      </c>
      <c r="B52" s="98" t="s">
        <v>23</v>
      </c>
      <c r="C52" s="98" t="s">
        <v>80</v>
      </c>
      <c r="D52" s="188"/>
      <c r="E52" s="188"/>
      <c r="F52" s="188"/>
      <c r="G52" s="188"/>
      <c r="H52" s="189"/>
      <c r="I52" s="189"/>
      <c r="J52" s="189"/>
      <c r="K52" s="189"/>
    </row>
    <row r="53" ht="14.25" customHeight="1">
      <c r="A53" s="98" t="s">
        <v>104</v>
      </c>
      <c r="B53" s="98" t="s">
        <v>23</v>
      </c>
      <c r="C53" s="98" t="s">
        <v>80</v>
      </c>
      <c r="D53" s="188"/>
      <c r="E53" s="188"/>
      <c r="F53" s="188"/>
      <c r="G53" s="188"/>
      <c r="H53" s="189"/>
      <c r="I53" s="189"/>
      <c r="J53" s="189"/>
      <c r="K53" s="189"/>
    </row>
    <row r="54" ht="14.25" customHeight="1">
      <c r="A54" s="98" t="s">
        <v>110</v>
      </c>
      <c r="B54" s="98" t="s">
        <v>25</v>
      </c>
      <c r="C54" s="125" t="s">
        <v>80</v>
      </c>
      <c r="D54" s="190"/>
      <c r="E54" s="190"/>
      <c r="F54" s="190"/>
      <c r="G54" s="190"/>
      <c r="H54" s="189"/>
      <c r="I54" s="189"/>
      <c r="J54" s="189"/>
      <c r="K54" s="189"/>
    </row>
    <row r="55" ht="14.25" customHeight="1">
      <c r="A55" s="123" t="s">
        <v>105</v>
      </c>
      <c r="B55" s="123" t="s">
        <v>23</v>
      </c>
      <c r="C55" s="123" t="s">
        <v>80</v>
      </c>
      <c r="D55" s="190"/>
      <c r="E55" s="190"/>
      <c r="F55" s="190"/>
      <c r="G55" s="190"/>
      <c r="H55" s="189"/>
      <c r="I55" s="189"/>
      <c r="J55" s="189"/>
      <c r="K55" s="189"/>
    </row>
    <row r="56" ht="14.25" customHeight="1">
      <c r="A56" s="133" t="s">
        <v>16</v>
      </c>
      <c r="B56" s="127"/>
      <c r="C56" s="127"/>
      <c r="D56" s="200">
        <f t="shared" ref="D56:K56" si="3">SUM(D23:D55)</f>
        <v>0</v>
      </c>
      <c r="E56" s="200">
        <f t="shared" si="3"/>
        <v>0</v>
      </c>
      <c r="F56" s="200">
        <f t="shared" si="3"/>
        <v>0</v>
      </c>
      <c r="G56" s="200">
        <f t="shared" si="3"/>
        <v>0</v>
      </c>
      <c r="H56" s="200">
        <f t="shared" si="3"/>
        <v>0</v>
      </c>
      <c r="I56" s="200">
        <f t="shared" si="3"/>
        <v>0</v>
      </c>
      <c r="J56" s="200">
        <f t="shared" si="3"/>
        <v>0</v>
      </c>
      <c r="K56" s="200">
        <f t="shared" si="3"/>
        <v>0</v>
      </c>
    </row>
    <row r="57" ht="14.25" customHeight="1">
      <c r="A57" s="99" t="s">
        <v>113</v>
      </c>
      <c r="B57" s="98" t="s">
        <v>26</v>
      </c>
      <c r="C57" s="98" t="s">
        <v>80</v>
      </c>
      <c r="D57" s="188"/>
      <c r="E57" s="188"/>
      <c r="F57" s="188"/>
      <c r="G57" s="188"/>
      <c r="H57" s="189"/>
      <c r="I57" s="189"/>
      <c r="J57" s="189"/>
      <c r="K57" s="189"/>
    </row>
    <row r="58" ht="14.25" customHeight="1">
      <c r="A58" s="98" t="s">
        <v>114</v>
      </c>
      <c r="B58" s="98" t="s">
        <v>26</v>
      </c>
      <c r="C58" s="98" t="s">
        <v>80</v>
      </c>
      <c r="D58" s="188"/>
      <c r="E58" s="188"/>
      <c r="F58" s="188"/>
      <c r="G58" s="188"/>
      <c r="H58" s="189"/>
      <c r="I58" s="189"/>
      <c r="J58" s="189"/>
      <c r="K58" s="189"/>
    </row>
    <row r="59" ht="14.25" customHeight="1">
      <c r="A59" s="98" t="s">
        <v>57</v>
      </c>
      <c r="B59" s="98" t="s">
        <v>26</v>
      </c>
      <c r="C59" s="98" t="s">
        <v>80</v>
      </c>
      <c r="D59" s="188"/>
      <c r="E59" s="188"/>
      <c r="F59" s="188"/>
      <c r="G59" s="188"/>
      <c r="H59" s="189"/>
      <c r="I59" s="189"/>
      <c r="J59" s="189"/>
      <c r="K59" s="189"/>
      <c r="M59" s="204"/>
    </row>
    <row r="60" ht="14.25" customHeight="1">
      <c r="A60" s="98" t="s">
        <v>112</v>
      </c>
      <c r="B60" s="98" t="s">
        <v>26</v>
      </c>
      <c r="C60" s="98" t="s">
        <v>80</v>
      </c>
      <c r="D60" s="188"/>
      <c r="E60" s="188"/>
      <c r="F60" s="188"/>
      <c r="G60" s="188"/>
      <c r="H60" s="189"/>
      <c r="I60" s="189"/>
      <c r="J60" s="189"/>
      <c r="K60" s="189"/>
      <c r="M60" s="204"/>
    </row>
    <row r="61" ht="14.25" customHeight="1">
      <c r="A61" s="125" t="s">
        <v>55</v>
      </c>
      <c r="B61" s="125" t="s">
        <v>26</v>
      </c>
      <c r="C61" s="125" t="s">
        <v>80</v>
      </c>
      <c r="D61" s="188"/>
      <c r="E61" s="188"/>
      <c r="F61" s="188"/>
      <c r="G61" s="188"/>
      <c r="H61" s="189"/>
      <c r="I61" s="189"/>
      <c r="J61" s="189"/>
      <c r="K61" s="189"/>
      <c r="M61" s="204"/>
    </row>
    <row r="62" ht="14.25" customHeight="1">
      <c r="A62" s="99" t="s">
        <v>118</v>
      </c>
      <c r="B62" s="98" t="s">
        <v>26</v>
      </c>
      <c r="C62" s="98" t="s">
        <v>80</v>
      </c>
      <c r="D62" s="188"/>
      <c r="E62" s="188"/>
      <c r="F62" s="188"/>
      <c r="G62" s="188"/>
      <c r="H62" s="189"/>
      <c r="I62" s="189"/>
      <c r="J62" s="189"/>
      <c r="K62" s="189"/>
    </row>
    <row r="63" ht="14.25" customHeight="1">
      <c r="A63" s="136" t="s">
        <v>116</v>
      </c>
      <c r="B63" s="98" t="s">
        <v>26</v>
      </c>
      <c r="C63" s="125" t="s">
        <v>80</v>
      </c>
      <c r="D63" s="188"/>
      <c r="E63" s="188"/>
      <c r="F63" s="188"/>
      <c r="G63" s="188"/>
      <c r="H63" s="189"/>
      <c r="I63" s="189"/>
      <c r="J63" s="189"/>
      <c r="K63" s="189"/>
    </row>
    <row r="64" ht="14.25" customHeight="1">
      <c r="A64" s="137" t="s">
        <v>117</v>
      </c>
      <c r="B64" s="98" t="s">
        <v>26</v>
      </c>
      <c r="C64" s="125" t="s">
        <v>80</v>
      </c>
      <c r="D64" s="188"/>
      <c r="E64" s="188"/>
      <c r="F64" s="188"/>
      <c r="G64" s="188"/>
      <c r="H64" s="189"/>
      <c r="I64" s="189"/>
      <c r="J64" s="189"/>
      <c r="K64" s="189"/>
    </row>
    <row r="65" ht="14.25" customHeight="1">
      <c r="A65" s="181" t="s">
        <v>115</v>
      </c>
      <c r="B65" s="98" t="s">
        <v>26</v>
      </c>
      <c r="C65" s="98" t="s">
        <v>80</v>
      </c>
      <c r="D65" s="188"/>
      <c r="E65" s="188"/>
      <c r="F65" s="188"/>
      <c r="G65" s="188"/>
      <c r="H65" s="189"/>
      <c r="I65" s="189"/>
      <c r="J65" s="189"/>
      <c r="K65" s="189"/>
    </row>
    <row r="66" ht="14.25" customHeight="1">
      <c r="A66" s="133" t="s">
        <v>17</v>
      </c>
      <c r="B66" s="127"/>
      <c r="C66" s="127"/>
      <c r="D66" s="200">
        <f t="shared" ref="D66:K66" si="4">SUM(D57:D65)</f>
        <v>0</v>
      </c>
      <c r="E66" s="200">
        <f t="shared" si="4"/>
        <v>0</v>
      </c>
      <c r="F66" s="200">
        <f t="shared" si="4"/>
        <v>0</v>
      </c>
      <c r="G66" s="200">
        <f t="shared" si="4"/>
        <v>0</v>
      </c>
      <c r="H66" s="200">
        <f t="shared" si="4"/>
        <v>0</v>
      </c>
      <c r="I66" s="200">
        <f t="shared" si="4"/>
        <v>0</v>
      </c>
      <c r="J66" s="200">
        <f t="shared" si="4"/>
        <v>0</v>
      </c>
      <c r="K66" s="200">
        <f t="shared" si="4"/>
        <v>0</v>
      </c>
    </row>
    <row r="67" ht="14.25" customHeight="1">
      <c r="A67" s="125" t="s">
        <v>119</v>
      </c>
      <c r="B67" s="98" t="s">
        <v>25</v>
      </c>
      <c r="C67" s="125" t="s">
        <v>120</v>
      </c>
      <c r="D67" s="193"/>
      <c r="E67" s="193"/>
      <c r="F67" s="193"/>
      <c r="G67" s="193"/>
      <c r="H67" s="189"/>
      <c r="I67" s="189"/>
      <c r="J67" s="189"/>
      <c r="K67" s="189"/>
    </row>
    <row r="68" ht="14.25" customHeight="1">
      <c r="A68" s="99" t="s">
        <v>35</v>
      </c>
      <c r="B68" s="98" t="s">
        <v>23</v>
      </c>
      <c r="C68" s="98" t="s">
        <v>121</v>
      </c>
      <c r="D68" s="188"/>
      <c r="E68" s="188"/>
      <c r="F68" s="188"/>
      <c r="G68" s="188"/>
      <c r="H68" s="189"/>
      <c r="I68" s="189"/>
      <c r="J68" s="189"/>
      <c r="K68" s="189"/>
    </row>
    <row r="69" ht="14.25" customHeight="1">
      <c r="A69" s="98" t="s">
        <v>122</v>
      </c>
      <c r="B69" s="98" t="s">
        <v>25</v>
      </c>
      <c r="C69" s="98" t="s">
        <v>121</v>
      </c>
      <c r="D69" s="188"/>
      <c r="E69" s="188"/>
      <c r="F69" s="188"/>
      <c r="G69" s="188"/>
      <c r="H69" s="189"/>
      <c r="I69" s="189"/>
      <c r="J69" s="189"/>
      <c r="K69" s="189"/>
    </row>
    <row r="70" ht="14.25" customHeight="1">
      <c r="A70" s="98" t="s">
        <v>123</v>
      </c>
      <c r="B70" s="98" t="s">
        <v>23</v>
      </c>
      <c r="C70" s="98" t="s">
        <v>121</v>
      </c>
      <c r="D70" s="188"/>
      <c r="E70" s="188"/>
      <c r="F70" s="188"/>
      <c r="G70" s="188"/>
      <c r="H70" s="189"/>
      <c r="I70" s="189"/>
      <c r="J70" s="189"/>
      <c r="K70" s="189"/>
    </row>
    <row r="71" ht="14.25" customHeight="1">
      <c r="A71" s="98" t="s">
        <v>124</v>
      </c>
      <c r="B71" s="98" t="s">
        <v>23</v>
      </c>
      <c r="C71" s="98" t="s">
        <v>121</v>
      </c>
      <c r="D71" s="188"/>
      <c r="E71" s="188"/>
      <c r="F71" s="188"/>
      <c r="G71" s="188"/>
      <c r="H71" s="189"/>
      <c r="I71" s="189"/>
      <c r="J71" s="189"/>
      <c r="K71" s="189"/>
    </row>
    <row r="72" ht="14.25" customHeight="1">
      <c r="A72" s="98" t="s">
        <v>125</v>
      </c>
      <c r="B72" s="98" t="s">
        <v>23</v>
      </c>
      <c r="C72" s="98" t="s">
        <v>121</v>
      </c>
      <c r="D72" s="188"/>
      <c r="E72" s="188"/>
      <c r="F72" s="188"/>
      <c r="G72" s="188"/>
      <c r="H72" s="189"/>
      <c r="I72" s="189"/>
      <c r="J72" s="189"/>
      <c r="K72" s="189"/>
      <c r="L72" s="142"/>
    </row>
    <row r="73" ht="14.25" customHeight="1">
      <c r="A73" s="87" t="s">
        <v>126</v>
      </c>
      <c r="B73" s="98" t="s">
        <v>23</v>
      </c>
      <c r="C73" s="98" t="s">
        <v>121</v>
      </c>
      <c r="D73" s="188"/>
      <c r="E73" s="188"/>
      <c r="F73" s="188"/>
      <c r="G73" s="188"/>
      <c r="H73" s="189"/>
      <c r="I73" s="189"/>
      <c r="J73" s="189"/>
      <c r="K73" s="189"/>
    </row>
    <row r="74" ht="14.25" customHeight="1">
      <c r="A74" s="98" t="s">
        <v>127</v>
      </c>
      <c r="B74" s="98" t="s">
        <v>23</v>
      </c>
      <c r="C74" s="98" t="s">
        <v>121</v>
      </c>
      <c r="D74" s="188"/>
      <c r="E74" s="188"/>
      <c r="F74" s="188"/>
      <c r="G74" s="188"/>
      <c r="H74" s="189"/>
      <c r="I74" s="189"/>
      <c r="J74" s="189"/>
      <c r="K74" s="189"/>
    </row>
    <row r="75" ht="14.25" customHeight="1">
      <c r="A75" s="206" t="s">
        <v>128</v>
      </c>
      <c r="B75" s="207"/>
      <c r="C75" s="207"/>
      <c r="D75" s="208">
        <f t="shared" ref="D75:K75" si="5">SUM(D67:D74)</f>
        <v>0</v>
      </c>
      <c r="E75" s="208">
        <f t="shared" si="5"/>
        <v>0</v>
      </c>
      <c r="F75" s="208">
        <f t="shared" si="5"/>
        <v>0</v>
      </c>
      <c r="G75" s="208">
        <f t="shared" si="5"/>
        <v>0</v>
      </c>
      <c r="H75" s="208">
        <f t="shared" si="5"/>
        <v>0</v>
      </c>
      <c r="I75" s="208">
        <f t="shared" si="5"/>
        <v>0</v>
      </c>
      <c r="J75" s="208">
        <f t="shared" si="5"/>
        <v>0</v>
      </c>
      <c r="K75" s="208">
        <f t="shared" si="5"/>
        <v>0</v>
      </c>
    </row>
    <row r="76" ht="14.25" customHeight="1">
      <c r="A76" s="126" t="s">
        <v>129</v>
      </c>
      <c r="B76" s="127"/>
      <c r="C76" s="127"/>
      <c r="D76" s="196">
        <f t="shared" ref="D76:K76" si="6">D75+D66+D56+D22+D8</f>
        <v>0</v>
      </c>
      <c r="E76" s="196">
        <f t="shared" si="6"/>
        <v>0</v>
      </c>
      <c r="F76" s="196">
        <f t="shared" si="6"/>
        <v>0</v>
      </c>
      <c r="G76" s="196">
        <f t="shared" si="6"/>
        <v>0</v>
      </c>
      <c r="H76" s="196">
        <f t="shared" si="6"/>
        <v>0</v>
      </c>
      <c r="I76" s="196">
        <f t="shared" si="6"/>
        <v>0</v>
      </c>
      <c r="J76" s="196">
        <f t="shared" si="6"/>
        <v>0</v>
      </c>
      <c r="K76" s="196">
        <f t="shared" si="6"/>
        <v>0</v>
      </c>
    </row>
    <row r="77" ht="14.25" customHeight="1">
      <c r="A77" s="4"/>
      <c r="B77" s="4"/>
      <c r="C77" s="4"/>
      <c r="H77" s="119"/>
      <c r="I77" s="119"/>
      <c r="J77" s="119"/>
    </row>
    <row r="78" ht="14.25" customHeight="1">
      <c r="A78" s="4"/>
      <c r="B78" s="4"/>
      <c r="C78" s="4"/>
      <c r="D78" s="213"/>
      <c r="E78" s="213"/>
      <c r="F78" s="213"/>
      <c r="G78" s="213"/>
      <c r="H78" s="113"/>
      <c r="I78" s="113"/>
      <c r="J78" s="113"/>
    </row>
    <row r="79" ht="14.25" customHeight="1">
      <c r="A79" s="4"/>
      <c r="B79" s="4"/>
      <c r="C79" s="4"/>
      <c r="D79" s="201"/>
      <c r="E79" s="201"/>
      <c r="F79" s="201"/>
      <c r="G79" s="201"/>
      <c r="H79" s="113"/>
      <c r="I79" s="113"/>
      <c r="J79" s="113"/>
    </row>
    <row r="80" ht="14.25" customHeight="1">
      <c r="A80" s="4"/>
      <c r="B80" s="4"/>
      <c r="C80" s="4"/>
      <c r="D80" s="213"/>
      <c r="E80" s="213"/>
      <c r="F80" s="213"/>
      <c r="G80" s="213"/>
      <c r="H80" s="113"/>
      <c r="I80" s="113"/>
      <c r="J80" s="113"/>
    </row>
    <row r="81" ht="14.25" customHeight="1">
      <c r="A81" s="4"/>
      <c r="B81" s="4"/>
      <c r="C81" s="4"/>
      <c r="D81" s="213"/>
      <c r="E81" s="201"/>
      <c r="F81" s="201"/>
      <c r="G81" s="201"/>
      <c r="H81" s="113"/>
      <c r="I81" s="113"/>
      <c r="J81" s="113"/>
    </row>
    <row r="82" ht="14.25" customHeight="1">
      <c r="A82" s="4"/>
      <c r="B82" s="4"/>
      <c r="C82" s="4"/>
      <c r="D82" s="213"/>
      <c r="E82" s="213"/>
      <c r="F82" s="213"/>
      <c r="G82" s="213"/>
      <c r="H82" s="113"/>
      <c r="I82" s="113"/>
      <c r="J82" s="113"/>
    </row>
    <row r="83" ht="14.25" customHeight="1">
      <c r="A83" s="4"/>
      <c r="B83" s="4"/>
      <c r="C83" s="4"/>
      <c r="H83" s="113"/>
      <c r="I83" s="113"/>
      <c r="J83" s="113"/>
    </row>
    <row r="84" ht="14.25" customHeight="1">
      <c r="A84" s="4"/>
      <c r="B84" s="4"/>
      <c r="C84" s="4"/>
      <c r="H84" s="113"/>
      <c r="I84" s="113"/>
      <c r="J84" s="113"/>
    </row>
    <row r="85" ht="14.25" customHeight="1">
      <c r="A85" s="4"/>
      <c r="B85" s="4"/>
      <c r="C85" s="4"/>
      <c r="H85" s="113"/>
      <c r="I85" s="113"/>
      <c r="J85" s="113"/>
    </row>
    <row r="86" ht="14.25" customHeight="1">
      <c r="A86" s="4"/>
      <c r="B86" s="4"/>
      <c r="C86" s="4"/>
      <c r="H86" s="113"/>
      <c r="I86" s="113"/>
      <c r="J86" s="113"/>
    </row>
    <row r="87" ht="14.25" customHeight="1">
      <c r="A87" s="4"/>
      <c r="B87" s="4"/>
      <c r="C87" s="4"/>
      <c r="H87" s="113"/>
      <c r="I87" s="113"/>
      <c r="J87" s="113"/>
    </row>
    <row r="88" ht="14.25" customHeight="1">
      <c r="A88" s="4"/>
      <c r="B88" s="4"/>
      <c r="C88" s="4"/>
      <c r="H88" s="113"/>
      <c r="I88" s="113"/>
      <c r="J88" s="113"/>
    </row>
    <row r="89" ht="14.25" customHeight="1">
      <c r="A89" s="4"/>
      <c r="B89" s="4"/>
      <c r="C89" s="4"/>
      <c r="H89" s="113"/>
      <c r="I89" s="113"/>
      <c r="J89" s="113"/>
    </row>
    <row r="90" ht="14.25" customHeight="1">
      <c r="A90" s="4"/>
      <c r="B90" s="4"/>
      <c r="C90" s="4"/>
      <c r="H90" s="113"/>
      <c r="I90" s="113"/>
      <c r="J90" s="113"/>
    </row>
    <row r="91" ht="14.25" customHeight="1">
      <c r="A91" s="4"/>
      <c r="B91" s="4"/>
      <c r="C91" s="4"/>
      <c r="H91" s="113"/>
      <c r="I91" s="113"/>
      <c r="J91" s="113"/>
    </row>
    <row r="92" ht="14.25" customHeight="1">
      <c r="A92" s="4"/>
      <c r="B92" s="4"/>
      <c r="C92" s="4"/>
      <c r="H92" s="113"/>
      <c r="I92" s="113"/>
      <c r="J92" s="113"/>
    </row>
    <row r="93" ht="14.25" customHeight="1">
      <c r="A93" s="4"/>
      <c r="B93" s="4"/>
      <c r="C93" s="4"/>
      <c r="H93" s="113"/>
      <c r="I93" s="113"/>
      <c r="J93" s="113"/>
    </row>
    <row r="94" ht="14.25" customHeight="1">
      <c r="A94" s="4"/>
      <c r="B94" s="4"/>
      <c r="C94" s="4"/>
      <c r="H94" s="113"/>
      <c r="I94" s="113"/>
      <c r="J94" s="113"/>
    </row>
    <row r="95" ht="14.25" customHeight="1">
      <c r="A95" s="4"/>
      <c r="B95" s="4"/>
      <c r="C95" s="4"/>
      <c r="H95" s="113"/>
      <c r="I95" s="113"/>
      <c r="J95" s="113"/>
    </row>
    <row r="96" ht="14.25" customHeight="1">
      <c r="A96" s="4"/>
      <c r="B96" s="4"/>
      <c r="C96" s="4"/>
      <c r="H96" s="113"/>
      <c r="I96" s="113"/>
      <c r="J96" s="113"/>
    </row>
    <row r="97" ht="14.25" customHeight="1">
      <c r="A97" s="4"/>
      <c r="B97" s="4"/>
      <c r="C97" s="4"/>
      <c r="H97" s="113"/>
      <c r="I97" s="113"/>
      <c r="J97" s="113"/>
    </row>
    <row r="98" ht="14.25" customHeight="1">
      <c r="A98" s="4"/>
      <c r="B98" s="4"/>
      <c r="C98" s="4"/>
      <c r="H98" s="113"/>
      <c r="I98" s="113"/>
      <c r="J98" s="113"/>
    </row>
    <row r="99" ht="14.25" customHeight="1">
      <c r="A99" s="4"/>
      <c r="B99" s="4"/>
      <c r="C99" s="4"/>
      <c r="H99" s="113"/>
      <c r="I99" s="113"/>
      <c r="J99" s="113"/>
    </row>
    <row r="100" ht="14.25" customHeight="1">
      <c r="A100" s="4"/>
      <c r="B100" s="4"/>
      <c r="C100" s="4"/>
      <c r="H100" s="113"/>
      <c r="I100" s="113"/>
      <c r="J100" s="113"/>
    </row>
    <row r="101" ht="14.25" customHeight="1">
      <c r="A101" s="4"/>
      <c r="B101" s="4"/>
      <c r="C101" s="4"/>
      <c r="H101" s="113"/>
      <c r="I101" s="113"/>
      <c r="J101" s="113"/>
    </row>
    <row r="102" ht="14.25" customHeight="1">
      <c r="A102" s="4"/>
      <c r="B102" s="4"/>
      <c r="C102" s="4"/>
      <c r="H102" s="113"/>
      <c r="I102" s="113"/>
      <c r="J102" s="113"/>
    </row>
    <row r="103" ht="14.25" customHeight="1">
      <c r="A103" s="4"/>
      <c r="B103" s="4"/>
      <c r="C103" s="4"/>
      <c r="H103" s="113"/>
      <c r="I103" s="113"/>
      <c r="J103" s="113"/>
    </row>
    <row r="104" ht="14.25" customHeight="1">
      <c r="A104" s="4"/>
      <c r="B104" s="4"/>
      <c r="C104" s="4"/>
      <c r="H104" s="113"/>
      <c r="I104" s="113"/>
      <c r="J104" s="113"/>
    </row>
    <row r="105" ht="14.25" customHeight="1">
      <c r="A105" s="4"/>
      <c r="B105" s="4"/>
      <c r="C105" s="4"/>
      <c r="H105" s="113"/>
      <c r="I105" s="113"/>
      <c r="J105" s="113"/>
    </row>
    <row r="106" ht="14.25" customHeight="1">
      <c r="A106" s="4"/>
      <c r="B106" s="4"/>
      <c r="C106" s="4"/>
      <c r="H106" s="113"/>
      <c r="I106" s="113"/>
      <c r="J106" s="113"/>
    </row>
    <row r="107" ht="14.25" customHeight="1">
      <c r="A107" s="4"/>
      <c r="B107" s="4"/>
      <c r="C107" s="4"/>
      <c r="H107" s="113"/>
      <c r="I107" s="113"/>
      <c r="J107" s="113"/>
    </row>
    <row r="108" ht="14.25" customHeight="1">
      <c r="A108" s="4"/>
      <c r="B108" s="4"/>
      <c r="C108" s="4"/>
      <c r="H108" s="113"/>
      <c r="I108" s="113"/>
      <c r="J108" s="113"/>
    </row>
    <row r="109" ht="14.25" customHeight="1">
      <c r="A109" s="4"/>
      <c r="B109" s="4"/>
      <c r="C109" s="4"/>
      <c r="H109" s="113"/>
      <c r="I109" s="113"/>
      <c r="J109" s="113"/>
    </row>
    <row r="110" ht="14.25" customHeight="1">
      <c r="A110" s="4"/>
      <c r="B110" s="4"/>
      <c r="C110" s="4"/>
      <c r="H110" s="113"/>
      <c r="I110" s="113"/>
      <c r="J110" s="113"/>
    </row>
    <row r="111" ht="14.25" customHeight="1">
      <c r="A111" s="4"/>
      <c r="B111" s="4"/>
      <c r="C111" s="4"/>
      <c r="H111" s="113"/>
      <c r="I111" s="113"/>
      <c r="J111" s="113"/>
    </row>
    <row r="112" ht="14.25" customHeight="1">
      <c r="A112" s="4"/>
      <c r="B112" s="4"/>
      <c r="C112" s="4"/>
      <c r="H112" s="113"/>
      <c r="I112" s="113"/>
      <c r="J112" s="113"/>
    </row>
    <row r="113" ht="14.25" customHeight="1">
      <c r="A113" s="4"/>
      <c r="B113" s="4"/>
      <c r="C113" s="4"/>
      <c r="H113" s="113"/>
      <c r="I113" s="113"/>
      <c r="J113" s="113"/>
    </row>
    <row r="114" ht="14.25" customHeight="1">
      <c r="A114" s="4"/>
      <c r="B114" s="4"/>
      <c r="C114" s="4"/>
      <c r="H114" s="113"/>
      <c r="I114" s="113"/>
      <c r="J114" s="113"/>
    </row>
    <row r="115" ht="14.25" customHeight="1">
      <c r="A115" s="4"/>
      <c r="B115" s="4"/>
      <c r="C115" s="4"/>
      <c r="H115" s="113"/>
      <c r="I115" s="113"/>
      <c r="J115" s="113"/>
    </row>
    <row r="116" ht="14.25" customHeight="1">
      <c r="A116" s="4"/>
      <c r="B116" s="4"/>
      <c r="C116" s="4"/>
      <c r="H116" s="113"/>
      <c r="I116" s="113"/>
      <c r="J116" s="113"/>
    </row>
    <row r="117" ht="14.25" customHeight="1">
      <c r="A117" s="4"/>
      <c r="B117" s="4"/>
      <c r="C117" s="4"/>
      <c r="H117" s="113"/>
      <c r="I117" s="113"/>
      <c r="J117" s="113"/>
    </row>
    <row r="118" ht="14.25" customHeight="1">
      <c r="A118" s="4"/>
      <c r="B118" s="4"/>
      <c r="C118" s="4"/>
      <c r="H118" s="113"/>
      <c r="I118" s="113"/>
      <c r="J118" s="113"/>
    </row>
    <row r="119" ht="14.25" customHeight="1">
      <c r="A119" s="4"/>
      <c r="B119" s="4"/>
      <c r="C119" s="4"/>
      <c r="H119" s="113"/>
      <c r="I119" s="113"/>
      <c r="J119" s="113"/>
    </row>
    <row r="120" ht="14.25" customHeight="1">
      <c r="A120" s="4"/>
      <c r="B120" s="4"/>
      <c r="C120" s="4"/>
      <c r="H120" s="113"/>
      <c r="I120" s="113"/>
      <c r="J120" s="113"/>
    </row>
    <row r="121" ht="14.25" customHeight="1">
      <c r="A121" s="4"/>
      <c r="B121" s="4"/>
      <c r="C121" s="4"/>
      <c r="H121" s="113"/>
      <c r="I121" s="113"/>
      <c r="J121" s="113"/>
    </row>
    <row r="122" ht="14.25" customHeight="1">
      <c r="A122" s="4"/>
      <c r="B122" s="4"/>
      <c r="C122" s="4"/>
      <c r="H122" s="113"/>
      <c r="I122" s="113"/>
      <c r="J122" s="113"/>
    </row>
    <row r="123" ht="14.25" customHeight="1">
      <c r="A123" s="4"/>
      <c r="B123" s="4"/>
      <c r="C123" s="4"/>
      <c r="H123" s="113"/>
      <c r="I123" s="113"/>
      <c r="J123" s="113"/>
    </row>
    <row r="124" ht="14.25" customHeight="1">
      <c r="A124" s="4"/>
      <c r="B124" s="4"/>
      <c r="C124" s="4"/>
      <c r="H124" s="113"/>
      <c r="I124" s="113"/>
      <c r="J124" s="113"/>
    </row>
    <row r="125" ht="14.25" customHeight="1">
      <c r="A125" s="4"/>
      <c r="B125" s="4"/>
      <c r="C125" s="4"/>
      <c r="H125" s="113"/>
      <c r="I125" s="113"/>
      <c r="J125" s="113"/>
    </row>
    <row r="126" ht="14.25" customHeight="1">
      <c r="A126" s="4"/>
      <c r="B126" s="4"/>
      <c r="C126" s="4"/>
      <c r="H126" s="113"/>
      <c r="I126" s="113"/>
      <c r="J126" s="113"/>
    </row>
    <row r="127" ht="14.25" customHeight="1">
      <c r="A127" s="4"/>
      <c r="B127" s="4"/>
      <c r="C127" s="4"/>
      <c r="H127" s="113"/>
      <c r="I127" s="113"/>
      <c r="J127" s="113"/>
    </row>
    <row r="128" ht="14.25" customHeight="1">
      <c r="A128" s="4"/>
      <c r="B128" s="4"/>
      <c r="C128" s="4"/>
      <c r="H128" s="113"/>
      <c r="I128" s="113"/>
      <c r="J128" s="113"/>
    </row>
    <row r="129" ht="14.25" customHeight="1">
      <c r="A129" s="4"/>
      <c r="B129" s="4"/>
      <c r="C129" s="4"/>
      <c r="H129" s="113"/>
      <c r="I129" s="113"/>
      <c r="J129" s="113"/>
    </row>
    <row r="130" ht="14.25" customHeight="1">
      <c r="A130" s="4"/>
      <c r="B130" s="4"/>
      <c r="C130" s="4"/>
      <c r="H130" s="113"/>
      <c r="I130" s="113"/>
      <c r="J130" s="113"/>
    </row>
    <row r="131" ht="14.25" customHeight="1">
      <c r="A131" s="4"/>
      <c r="B131" s="4"/>
      <c r="C131" s="4"/>
      <c r="H131" s="113"/>
      <c r="I131" s="113"/>
      <c r="J131" s="113"/>
    </row>
    <row r="132" ht="14.25" customHeight="1">
      <c r="A132" s="4"/>
      <c r="B132" s="4"/>
      <c r="C132" s="4"/>
      <c r="H132" s="113"/>
      <c r="I132" s="113"/>
      <c r="J132" s="113"/>
    </row>
    <row r="133" ht="14.25" customHeight="1">
      <c r="A133" s="4"/>
      <c r="B133" s="4"/>
      <c r="C133" s="4"/>
      <c r="H133" s="113"/>
      <c r="I133" s="113"/>
      <c r="J133" s="113"/>
    </row>
    <row r="134" ht="14.25" customHeight="1">
      <c r="A134" s="4"/>
      <c r="B134" s="4"/>
      <c r="C134" s="4"/>
      <c r="H134" s="113"/>
      <c r="I134" s="113"/>
      <c r="J134" s="113"/>
    </row>
    <row r="135" ht="14.25" customHeight="1">
      <c r="A135" s="4"/>
      <c r="B135" s="4"/>
      <c r="C135" s="4"/>
      <c r="H135" s="113"/>
      <c r="I135" s="113"/>
      <c r="J135" s="113"/>
    </row>
    <row r="136" ht="14.25" customHeight="1">
      <c r="A136" s="4"/>
      <c r="B136" s="4"/>
      <c r="C136" s="4"/>
      <c r="H136" s="113"/>
      <c r="I136" s="113"/>
      <c r="J136" s="113"/>
    </row>
    <row r="137" ht="14.25" customHeight="1">
      <c r="A137" s="4"/>
      <c r="B137" s="4"/>
      <c r="C137" s="4"/>
      <c r="H137" s="113"/>
      <c r="I137" s="113"/>
      <c r="J137" s="113"/>
    </row>
    <row r="138" ht="14.25" customHeight="1">
      <c r="A138" s="4"/>
      <c r="B138" s="4"/>
      <c r="C138" s="4"/>
      <c r="H138" s="113"/>
      <c r="I138" s="113"/>
      <c r="J138" s="113"/>
    </row>
    <row r="139" ht="14.25" customHeight="1">
      <c r="A139" s="4"/>
      <c r="B139" s="4"/>
      <c r="C139" s="4"/>
      <c r="H139" s="113"/>
      <c r="I139" s="113"/>
      <c r="J139" s="113"/>
    </row>
    <row r="140" ht="14.25" customHeight="1">
      <c r="A140" s="4"/>
      <c r="B140" s="4"/>
      <c r="C140" s="4"/>
      <c r="H140" s="113"/>
      <c r="I140" s="113"/>
      <c r="J140" s="113"/>
    </row>
    <row r="141" ht="14.25" customHeight="1">
      <c r="A141" s="4"/>
      <c r="B141" s="4"/>
      <c r="C141" s="4"/>
      <c r="H141" s="113"/>
      <c r="I141" s="113"/>
      <c r="J141" s="113"/>
    </row>
    <row r="142" ht="14.25" customHeight="1">
      <c r="A142" s="4"/>
      <c r="B142" s="4"/>
      <c r="C142" s="4"/>
      <c r="H142" s="113"/>
      <c r="I142" s="113"/>
      <c r="J142" s="113"/>
    </row>
    <row r="143" ht="14.25" customHeight="1">
      <c r="A143" s="4"/>
      <c r="B143" s="4"/>
      <c r="C143" s="4"/>
      <c r="H143" s="113"/>
      <c r="I143" s="113"/>
      <c r="J143" s="113"/>
    </row>
    <row r="144" ht="14.25" customHeight="1">
      <c r="A144" s="4"/>
      <c r="B144" s="4"/>
      <c r="C144" s="4"/>
      <c r="H144" s="113"/>
      <c r="I144" s="113"/>
      <c r="J144" s="113"/>
    </row>
    <row r="145" ht="14.25" customHeight="1">
      <c r="A145" s="4"/>
      <c r="B145" s="4"/>
      <c r="C145" s="4"/>
      <c r="H145" s="113"/>
      <c r="I145" s="113"/>
      <c r="J145" s="113"/>
    </row>
    <row r="146" ht="14.25" customHeight="1">
      <c r="A146" s="4"/>
      <c r="B146" s="4"/>
      <c r="C146" s="4"/>
      <c r="H146" s="113"/>
      <c r="I146" s="113"/>
      <c r="J146" s="113"/>
    </row>
    <row r="147" ht="14.25" customHeight="1">
      <c r="A147" s="4"/>
      <c r="B147" s="4"/>
      <c r="C147" s="4"/>
      <c r="H147" s="113"/>
      <c r="I147" s="113"/>
      <c r="J147" s="113"/>
    </row>
    <row r="148" ht="14.25" customHeight="1">
      <c r="A148" s="4"/>
      <c r="B148" s="4"/>
      <c r="C148" s="4"/>
      <c r="H148" s="113"/>
      <c r="I148" s="113"/>
      <c r="J148" s="113"/>
    </row>
    <row r="149" ht="14.25" customHeight="1">
      <c r="A149" s="4"/>
      <c r="B149" s="4"/>
      <c r="C149" s="4"/>
      <c r="H149" s="113"/>
      <c r="I149" s="113"/>
      <c r="J149" s="113"/>
    </row>
    <row r="150" ht="14.25" customHeight="1">
      <c r="A150" s="4"/>
      <c r="B150" s="4"/>
      <c r="C150" s="4"/>
      <c r="H150" s="113"/>
      <c r="I150" s="113"/>
      <c r="J150" s="113"/>
    </row>
    <row r="151" ht="14.25" customHeight="1">
      <c r="A151" s="4"/>
      <c r="B151" s="4"/>
      <c r="C151" s="4"/>
      <c r="H151" s="113"/>
      <c r="I151" s="113"/>
      <c r="J151" s="113"/>
    </row>
    <row r="152" ht="14.25" customHeight="1">
      <c r="A152" s="4"/>
      <c r="B152" s="4"/>
      <c r="C152" s="4"/>
      <c r="H152" s="113"/>
      <c r="I152" s="113"/>
      <c r="J152" s="113"/>
    </row>
    <row r="153" ht="14.25" customHeight="1">
      <c r="A153" s="4"/>
      <c r="B153" s="4"/>
      <c r="C153" s="4"/>
      <c r="H153" s="113"/>
      <c r="I153" s="113"/>
      <c r="J153" s="113"/>
    </row>
    <row r="154" ht="14.25" customHeight="1">
      <c r="A154" s="4"/>
      <c r="B154" s="4"/>
      <c r="C154" s="4"/>
      <c r="H154" s="113"/>
      <c r="I154" s="113"/>
      <c r="J154" s="113"/>
    </row>
    <row r="155" ht="14.25" customHeight="1">
      <c r="A155" s="4"/>
      <c r="B155" s="4"/>
      <c r="C155" s="4"/>
      <c r="H155" s="113"/>
      <c r="I155" s="113"/>
      <c r="J155" s="113"/>
    </row>
    <row r="156" ht="14.25" customHeight="1">
      <c r="A156" s="4"/>
      <c r="B156" s="4"/>
      <c r="C156" s="4"/>
      <c r="H156" s="113"/>
      <c r="I156" s="113"/>
      <c r="J156" s="113"/>
    </row>
    <row r="157" ht="14.25" customHeight="1">
      <c r="A157" s="4"/>
      <c r="B157" s="4"/>
      <c r="C157" s="4"/>
      <c r="H157" s="113"/>
      <c r="I157" s="113"/>
      <c r="J157" s="113"/>
    </row>
    <row r="158" ht="14.25" customHeight="1">
      <c r="A158" s="4"/>
      <c r="B158" s="4"/>
      <c r="C158" s="4"/>
      <c r="H158" s="113"/>
      <c r="I158" s="113"/>
      <c r="J158" s="113"/>
    </row>
    <row r="159" ht="14.25" customHeight="1">
      <c r="A159" s="4"/>
      <c r="B159" s="4"/>
      <c r="C159" s="4"/>
      <c r="H159" s="113"/>
      <c r="I159" s="113"/>
      <c r="J159" s="113"/>
    </row>
    <row r="160" ht="14.25" customHeight="1">
      <c r="A160" s="4"/>
      <c r="B160" s="4"/>
      <c r="C160" s="4"/>
      <c r="H160" s="113"/>
      <c r="I160" s="113"/>
      <c r="J160" s="113"/>
    </row>
    <row r="161" ht="14.25" customHeight="1">
      <c r="A161" s="4"/>
      <c r="B161" s="4"/>
      <c r="C161" s="4"/>
      <c r="H161" s="113"/>
      <c r="I161" s="113"/>
      <c r="J161" s="113"/>
    </row>
    <row r="162" ht="14.25" customHeight="1">
      <c r="A162" s="4"/>
      <c r="B162" s="4"/>
      <c r="C162" s="4"/>
      <c r="H162" s="113"/>
      <c r="I162" s="113"/>
      <c r="J162" s="113"/>
    </row>
    <row r="163" ht="14.25" customHeight="1">
      <c r="A163" s="4"/>
      <c r="B163" s="4"/>
      <c r="C163" s="4"/>
      <c r="H163" s="113"/>
      <c r="I163" s="113"/>
      <c r="J163" s="113"/>
    </row>
    <row r="164" ht="14.25" customHeight="1">
      <c r="A164" s="4"/>
      <c r="B164" s="4"/>
      <c r="C164" s="4"/>
      <c r="H164" s="113"/>
      <c r="I164" s="113"/>
      <c r="J164" s="113"/>
    </row>
    <row r="165" ht="14.25" customHeight="1">
      <c r="A165" s="4"/>
      <c r="B165" s="4"/>
      <c r="C165" s="4"/>
      <c r="H165" s="113"/>
      <c r="I165" s="113"/>
      <c r="J165" s="113"/>
    </row>
    <row r="166" ht="14.25" customHeight="1">
      <c r="A166" s="4"/>
      <c r="B166" s="4"/>
      <c r="C166" s="4"/>
      <c r="H166" s="113"/>
      <c r="I166" s="113"/>
      <c r="J166" s="113"/>
    </row>
    <row r="167" ht="14.25" customHeight="1">
      <c r="A167" s="4"/>
      <c r="B167" s="4"/>
      <c r="C167" s="4"/>
      <c r="H167" s="113"/>
      <c r="I167" s="113"/>
      <c r="J167" s="113"/>
    </row>
    <row r="168" ht="14.25" customHeight="1">
      <c r="A168" s="4"/>
      <c r="B168" s="4"/>
      <c r="C168" s="4"/>
      <c r="H168" s="113"/>
      <c r="I168" s="113"/>
      <c r="J168" s="113"/>
    </row>
    <row r="169" ht="14.25" customHeight="1">
      <c r="A169" s="4"/>
      <c r="B169" s="4"/>
      <c r="C169" s="4"/>
      <c r="H169" s="113"/>
      <c r="I169" s="113"/>
      <c r="J169" s="113"/>
    </row>
    <row r="170" ht="14.25" customHeight="1">
      <c r="A170" s="4"/>
      <c r="B170" s="4"/>
      <c r="C170" s="4"/>
      <c r="H170" s="113"/>
      <c r="I170" s="113"/>
      <c r="J170" s="113"/>
    </row>
    <row r="171" ht="14.25" customHeight="1">
      <c r="A171" s="4"/>
      <c r="B171" s="4"/>
      <c r="C171" s="4"/>
      <c r="H171" s="113"/>
      <c r="I171" s="113"/>
      <c r="J171" s="113"/>
    </row>
    <row r="172" ht="14.25" customHeight="1">
      <c r="A172" s="4"/>
      <c r="B172" s="4"/>
      <c r="C172" s="4"/>
      <c r="H172" s="113"/>
      <c r="I172" s="113"/>
      <c r="J172" s="113"/>
    </row>
    <row r="173" ht="14.25" customHeight="1">
      <c r="A173" s="4"/>
      <c r="B173" s="4"/>
      <c r="C173" s="4"/>
      <c r="H173" s="113"/>
      <c r="I173" s="113"/>
      <c r="J173" s="113"/>
    </row>
    <row r="174" ht="14.25" customHeight="1">
      <c r="A174" s="4"/>
      <c r="B174" s="4"/>
      <c r="C174" s="4"/>
      <c r="H174" s="113"/>
      <c r="I174" s="113"/>
      <c r="J174" s="113"/>
    </row>
    <row r="175" ht="14.25" customHeight="1">
      <c r="A175" s="4"/>
      <c r="B175" s="4"/>
      <c r="C175" s="4"/>
      <c r="H175" s="113"/>
      <c r="I175" s="113"/>
      <c r="J175" s="113"/>
    </row>
    <row r="176" ht="14.25" customHeight="1">
      <c r="A176" s="4"/>
      <c r="B176" s="4"/>
      <c r="C176" s="4"/>
      <c r="H176" s="113"/>
      <c r="I176" s="113"/>
      <c r="J176" s="113"/>
    </row>
    <row r="177" ht="14.25" customHeight="1">
      <c r="A177" s="4"/>
      <c r="B177" s="4"/>
      <c r="C177" s="4"/>
      <c r="H177" s="113"/>
      <c r="I177" s="113"/>
      <c r="J177" s="113"/>
    </row>
    <row r="178" ht="14.25" customHeight="1">
      <c r="A178" s="4"/>
      <c r="B178" s="4"/>
      <c r="C178" s="4"/>
      <c r="H178" s="113"/>
      <c r="I178" s="113"/>
      <c r="J178" s="113"/>
    </row>
    <row r="179" ht="14.25" customHeight="1">
      <c r="A179" s="4"/>
      <c r="B179" s="4"/>
      <c r="C179" s="4"/>
      <c r="H179" s="113"/>
      <c r="I179" s="113"/>
      <c r="J179" s="113"/>
    </row>
    <row r="180" ht="14.25" customHeight="1">
      <c r="A180" s="4"/>
      <c r="B180" s="4"/>
      <c r="C180" s="4"/>
      <c r="H180" s="113"/>
      <c r="I180" s="113"/>
      <c r="J180" s="113"/>
    </row>
    <row r="181" ht="14.25" customHeight="1">
      <c r="A181" s="4"/>
      <c r="B181" s="4"/>
      <c r="C181" s="4"/>
      <c r="H181" s="113"/>
      <c r="I181" s="113"/>
      <c r="J181" s="113"/>
    </row>
    <row r="182" ht="14.25" customHeight="1">
      <c r="A182" s="4"/>
      <c r="B182" s="4"/>
      <c r="C182" s="4"/>
      <c r="H182" s="113"/>
      <c r="I182" s="113"/>
      <c r="J182" s="113"/>
    </row>
    <row r="183" ht="14.25" customHeight="1">
      <c r="A183" s="4"/>
      <c r="B183" s="4"/>
      <c r="C183" s="4"/>
      <c r="H183" s="113"/>
      <c r="I183" s="113"/>
      <c r="J183" s="113"/>
    </row>
    <row r="184" ht="14.25" customHeight="1">
      <c r="A184" s="4"/>
      <c r="B184" s="4"/>
      <c r="C184" s="4"/>
      <c r="H184" s="113"/>
      <c r="I184" s="113"/>
      <c r="J184" s="113"/>
    </row>
    <row r="185" ht="14.25" customHeight="1">
      <c r="A185" s="4"/>
      <c r="B185" s="4"/>
      <c r="C185" s="4"/>
      <c r="H185" s="113"/>
      <c r="I185" s="113"/>
      <c r="J185" s="113"/>
    </row>
    <row r="186" ht="14.25" customHeight="1">
      <c r="A186" s="4"/>
      <c r="B186" s="4"/>
      <c r="C186" s="4"/>
      <c r="H186" s="113"/>
      <c r="I186" s="113"/>
      <c r="J186" s="113"/>
    </row>
    <row r="187" ht="14.25" customHeight="1">
      <c r="A187" s="4"/>
      <c r="B187" s="4"/>
      <c r="C187" s="4"/>
      <c r="H187" s="113"/>
      <c r="I187" s="113"/>
      <c r="J187" s="113"/>
    </row>
    <row r="188" ht="14.25" customHeight="1">
      <c r="A188" s="4"/>
      <c r="B188" s="4"/>
      <c r="C188" s="4"/>
      <c r="H188" s="113"/>
      <c r="I188" s="113"/>
      <c r="J188" s="113"/>
    </row>
    <row r="189" ht="14.25" customHeight="1">
      <c r="A189" s="4"/>
      <c r="B189" s="4"/>
      <c r="C189" s="4"/>
      <c r="H189" s="113"/>
      <c r="I189" s="113"/>
      <c r="J189" s="113"/>
    </row>
    <row r="190" ht="14.25" customHeight="1">
      <c r="A190" s="4"/>
      <c r="B190" s="4"/>
      <c r="C190" s="4"/>
      <c r="H190" s="113"/>
      <c r="I190" s="113"/>
      <c r="J190" s="113"/>
    </row>
    <row r="191" ht="14.25" customHeight="1">
      <c r="A191" s="4"/>
      <c r="B191" s="4"/>
      <c r="C191" s="4"/>
      <c r="H191" s="113"/>
      <c r="I191" s="113"/>
      <c r="J191" s="113"/>
    </row>
    <row r="192" ht="14.25" customHeight="1">
      <c r="A192" s="4"/>
      <c r="B192" s="4"/>
      <c r="C192" s="4"/>
      <c r="H192" s="113"/>
      <c r="I192" s="113"/>
      <c r="J192" s="113"/>
    </row>
    <row r="193" ht="14.25" customHeight="1">
      <c r="A193" s="4"/>
      <c r="B193" s="4"/>
      <c r="C193" s="4"/>
      <c r="H193" s="113"/>
      <c r="I193" s="113"/>
      <c r="J193" s="113"/>
    </row>
    <row r="194" ht="14.25" customHeight="1">
      <c r="A194" s="4"/>
      <c r="B194" s="4"/>
      <c r="C194" s="4"/>
      <c r="H194" s="113"/>
      <c r="I194" s="113"/>
      <c r="J194" s="113"/>
    </row>
    <row r="195" ht="14.25" customHeight="1">
      <c r="A195" s="4"/>
      <c r="B195" s="4"/>
      <c r="C195" s="4"/>
      <c r="H195" s="113"/>
      <c r="I195" s="113"/>
      <c r="J195" s="113"/>
    </row>
    <row r="196" ht="14.25" customHeight="1">
      <c r="A196" s="4"/>
      <c r="B196" s="4"/>
      <c r="C196" s="4"/>
      <c r="H196" s="113"/>
      <c r="I196" s="113"/>
      <c r="J196" s="113"/>
    </row>
    <row r="197" ht="14.25" customHeight="1">
      <c r="A197" s="4"/>
      <c r="B197" s="4"/>
      <c r="C197" s="4"/>
      <c r="H197" s="113"/>
      <c r="I197" s="113"/>
      <c r="J197" s="113"/>
    </row>
    <row r="198" ht="14.25" customHeight="1">
      <c r="A198" s="4"/>
      <c r="B198" s="4"/>
      <c r="C198" s="4"/>
      <c r="H198" s="113"/>
      <c r="I198" s="113"/>
      <c r="J198" s="113"/>
    </row>
    <row r="199" ht="14.25" customHeight="1">
      <c r="A199" s="4"/>
      <c r="B199" s="4"/>
      <c r="C199" s="4"/>
      <c r="H199" s="113"/>
      <c r="I199" s="113"/>
      <c r="J199" s="113"/>
    </row>
    <row r="200" ht="14.25" customHeight="1">
      <c r="A200" s="4"/>
      <c r="B200" s="4"/>
      <c r="C200" s="4"/>
      <c r="H200" s="113"/>
      <c r="I200" s="113"/>
      <c r="J200" s="113"/>
    </row>
    <row r="201" ht="14.25" customHeight="1">
      <c r="A201" s="4"/>
      <c r="B201" s="4"/>
      <c r="C201" s="4"/>
      <c r="H201" s="113"/>
      <c r="I201" s="113"/>
      <c r="J201" s="113"/>
    </row>
    <row r="202" ht="14.25" customHeight="1">
      <c r="A202" s="4"/>
      <c r="B202" s="4"/>
      <c r="C202" s="4"/>
      <c r="H202" s="113"/>
      <c r="I202" s="113"/>
      <c r="J202" s="113"/>
    </row>
    <row r="203" ht="14.25" customHeight="1">
      <c r="A203" s="4"/>
      <c r="B203" s="4"/>
      <c r="C203" s="4"/>
      <c r="H203" s="113"/>
      <c r="I203" s="113"/>
      <c r="J203" s="113"/>
    </row>
    <row r="204" ht="14.25" customHeight="1">
      <c r="A204" s="4"/>
      <c r="B204" s="4"/>
      <c r="C204" s="4"/>
      <c r="H204" s="113"/>
      <c r="I204" s="113"/>
      <c r="J204" s="113"/>
    </row>
    <row r="205" ht="14.25" customHeight="1">
      <c r="A205" s="4"/>
      <c r="B205" s="4"/>
      <c r="C205" s="4"/>
      <c r="H205" s="113"/>
      <c r="I205" s="113"/>
      <c r="J205" s="113"/>
    </row>
    <row r="206" ht="14.25" customHeight="1">
      <c r="A206" s="4"/>
      <c r="B206" s="4"/>
      <c r="C206" s="4"/>
      <c r="H206" s="113"/>
      <c r="I206" s="113"/>
      <c r="J206" s="113"/>
    </row>
    <row r="207" ht="14.25" customHeight="1">
      <c r="A207" s="4"/>
      <c r="B207" s="4"/>
      <c r="C207" s="4"/>
      <c r="H207" s="113"/>
      <c r="I207" s="113"/>
      <c r="J207" s="113"/>
    </row>
    <row r="208" ht="14.25" customHeight="1">
      <c r="A208" s="4"/>
      <c r="B208" s="4"/>
      <c r="C208" s="4"/>
      <c r="H208" s="113"/>
      <c r="I208" s="113"/>
      <c r="J208" s="113"/>
    </row>
    <row r="209" ht="14.25" customHeight="1">
      <c r="A209" s="4"/>
      <c r="B209" s="4"/>
      <c r="C209" s="4"/>
      <c r="H209" s="113"/>
      <c r="I209" s="113"/>
      <c r="J209" s="113"/>
    </row>
    <row r="210" ht="14.25" customHeight="1">
      <c r="A210" s="4"/>
      <c r="B210" s="4"/>
      <c r="C210" s="4"/>
      <c r="H210" s="113"/>
      <c r="I210" s="113"/>
      <c r="J210" s="113"/>
    </row>
    <row r="211" ht="14.25" customHeight="1">
      <c r="A211" s="4"/>
      <c r="B211" s="4"/>
      <c r="C211" s="4"/>
      <c r="H211" s="113"/>
      <c r="I211" s="113"/>
      <c r="J211" s="113"/>
    </row>
    <row r="212" ht="14.25" customHeight="1">
      <c r="A212" s="4"/>
      <c r="B212" s="4"/>
      <c r="C212" s="4"/>
      <c r="H212" s="113"/>
      <c r="I212" s="113"/>
      <c r="J212" s="113"/>
    </row>
    <row r="213" ht="14.25" customHeight="1">
      <c r="A213" s="4"/>
      <c r="B213" s="4"/>
      <c r="C213" s="4"/>
      <c r="H213" s="113"/>
      <c r="I213" s="113"/>
      <c r="J213" s="113"/>
    </row>
    <row r="214" ht="14.25" customHeight="1">
      <c r="A214" s="4"/>
      <c r="B214" s="4"/>
      <c r="C214" s="4"/>
      <c r="H214" s="113"/>
      <c r="I214" s="113"/>
      <c r="J214" s="113"/>
    </row>
    <row r="215" ht="14.25" customHeight="1">
      <c r="A215" s="4"/>
      <c r="B215" s="4"/>
      <c r="C215" s="4"/>
      <c r="H215" s="113"/>
      <c r="I215" s="113"/>
      <c r="J215" s="113"/>
    </row>
    <row r="216" ht="14.25" customHeight="1">
      <c r="A216" s="4"/>
      <c r="B216" s="4"/>
      <c r="C216" s="4"/>
      <c r="H216" s="113"/>
      <c r="I216" s="113"/>
      <c r="J216" s="113"/>
    </row>
    <row r="217" ht="14.25" customHeight="1">
      <c r="A217" s="4"/>
      <c r="B217" s="4"/>
      <c r="C217" s="4"/>
      <c r="H217" s="113"/>
      <c r="I217" s="113"/>
      <c r="J217" s="113"/>
    </row>
    <row r="218" ht="14.25" customHeight="1">
      <c r="A218" s="4"/>
      <c r="B218" s="4"/>
      <c r="C218" s="4"/>
      <c r="H218" s="113"/>
      <c r="I218" s="113"/>
      <c r="J218" s="113"/>
    </row>
    <row r="219" ht="14.25" customHeight="1">
      <c r="A219" s="4"/>
      <c r="B219" s="4"/>
      <c r="C219" s="4"/>
      <c r="H219" s="113"/>
      <c r="I219" s="113"/>
      <c r="J219" s="113"/>
    </row>
    <row r="220" ht="14.25" customHeight="1">
      <c r="A220" s="4"/>
      <c r="B220" s="4"/>
      <c r="C220" s="4"/>
      <c r="H220" s="113"/>
      <c r="I220" s="113"/>
      <c r="J220" s="113"/>
    </row>
    <row r="221" ht="14.25" customHeight="1">
      <c r="A221" s="4"/>
      <c r="B221" s="4"/>
      <c r="C221" s="4"/>
      <c r="H221" s="113"/>
      <c r="I221" s="113"/>
      <c r="J221" s="113"/>
    </row>
    <row r="222" ht="14.25" customHeight="1">
      <c r="A222" s="4"/>
      <c r="B222" s="4"/>
      <c r="C222" s="4"/>
      <c r="H222" s="113"/>
      <c r="I222" s="113"/>
      <c r="J222" s="113"/>
    </row>
    <row r="223" ht="14.25" customHeight="1">
      <c r="A223" s="4"/>
      <c r="B223" s="4"/>
      <c r="C223" s="4"/>
      <c r="H223" s="113"/>
      <c r="I223" s="113"/>
      <c r="J223" s="113"/>
    </row>
    <row r="224" ht="14.25" customHeight="1">
      <c r="A224" s="4"/>
      <c r="B224" s="4"/>
      <c r="C224" s="4"/>
      <c r="H224" s="113"/>
      <c r="I224" s="113"/>
      <c r="J224" s="113"/>
    </row>
    <row r="225" ht="14.25" customHeight="1">
      <c r="A225" s="4"/>
      <c r="B225" s="4"/>
      <c r="C225" s="4"/>
      <c r="H225" s="113"/>
      <c r="I225" s="113"/>
      <c r="J225" s="113"/>
    </row>
    <row r="226" ht="14.25" customHeight="1">
      <c r="A226" s="4"/>
      <c r="B226" s="4"/>
      <c r="C226" s="4"/>
      <c r="H226" s="113"/>
      <c r="I226" s="113"/>
      <c r="J226" s="113"/>
    </row>
    <row r="227" ht="14.25" customHeight="1">
      <c r="A227" s="4"/>
      <c r="B227" s="4"/>
      <c r="C227" s="4"/>
      <c r="H227" s="113"/>
      <c r="I227" s="113"/>
      <c r="J227" s="113"/>
    </row>
    <row r="228" ht="14.25" customHeight="1">
      <c r="A228" s="4"/>
      <c r="B228" s="4"/>
      <c r="C228" s="4"/>
      <c r="H228" s="113"/>
      <c r="I228" s="113"/>
      <c r="J228" s="113"/>
    </row>
    <row r="229" ht="14.25" customHeight="1">
      <c r="A229" s="4"/>
      <c r="B229" s="4"/>
      <c r="C229" s="4"/>
      <c r="H229" s="113"/>
      <c r="I229" s="113"/>
      <c r="J229" s="113"/>
    </row>
    <row r="230" ht="14.25" customHeight="1">
      <c r="A230" s="4"/>
      <c r="B230" s="4"/>
      <c r="C230" s="4"/>
      <c r="H230" s="113"/>
      <c r="I230" s="113"/>
      <c r="J230" s="113"/>
    </row>
    <row r="231" ht="14.25" customHeight="1">
      <c r="A231" s="4"/>
      <c r="B231" s="4"/>
      <c r="C231" s="4"/>
      <c r="H231" s="113"/>
      <c r="I231" s="113"/>
      <c r="J231" s="113"/>
    </row>
    <row r="232" ht="14.25" customHeight="1">
      <c r="A232" s="4"/>
      <c r="B232" s="4"/>
      <c r="C232" s="4"/>
      <c r="H232" s="113"/>
      <c r="I232" s="113"/>
      <c r="J232" s="113"/>
    </row>
    <row r="233" ht="14.25" customHeight="1">
      <c r="A233" s="4"/>
      <c r="B233" s="4"/>
      <c r="C233" s="4"/>
      <c r="H233" s="113"/>
      <c r="I233" s="113"/>
      <c r="J233" s="113"/>
    </row>
    <row r="234" ht="14.25" customHeight="1">
      <c r="A234" s="4"/>
      <c r="B234" s="4"/>
      <c r="C234" s="4"/>
      <c r="H234" s="113"/>
      <c r="I234" s="113"/>
      <c r="J234" s="113"/>
    </row>
    <row r="235" ht="14.25" customHeight="1">
      <c r="A235" s="4"/>
      <c r="B235" s="4"/>
      <c r="C235" s="4"/>
      <c r="H235" s="113"/>
      <c r="I235" s="113"/>
      <c r="J235" s="113"/>
    </row>
    <row r="236" ht="14.25" customHeight="1">
      <c r="A236" s="4"/>
      <c r="B236" s="4"/>
      <c r="C236" s="4"/>
      <c r="H236" s="113"/>
      <c r="I236" s="113"/>
      <c r="J236" s="113"/>
    </row>
    <row r="237" ht="14.25" customHeight="1">
      <c r="A237" s="4"/>
      <c r="B237" s="4"/>
      <c r="C237" s="4"/>
      <c r="H237" s="113"/>
      <c r="I237" s="113"/>
      <c r="J237" s="113"/>
    </row>
    <row r="238" ht="14.25" customHeight="1">
      <c r="A238" s="4"/>
      <c r="B238" s="4"/>
      <c r="C238" s="4"/>
      <c r="H238" s="113"/>
      <c r="I238" s="113"/>
      <c r="J238" s="113"/>
    </row>
    <row r="239" ht="14.25" customHeight="1">
      <c r="A239" s="4"/>
      <c r="B239" s="4"/>
      <c r="C239" s="4"/>
      <c r="H239" s="113"/>
      <c r="I239" s="113"/>
      <c r="J239" s="113"/>
    </row>
    <row r="240" ht="14.25" customHeight="1">
      <c r="A240" s="4"/>
      <c r="B240" s="4"/>
      <c r="C240" s="4"/>
      <c r="H240" s="113"/>
      <c r="I240" s="113"/>
      <c r="J240" s="113"/>
    </row>
    <row r="241" ht="14.25" customHeight="1">
      <c r="A241" s="4"/>
      <c r="B241" s="4"/>
      <c r="C241" s="4"/>
      <c r="H241" s="113"/>
      <c r="I241" s="113"/>
      <c r="J241" s="113"/>
    </row>
    <row r="242" ht="14.25" customHeight="1">
      <c r="A242" s="4"/>
      <c r="B242" s="4"/>
      <c r="C242" s="4"/>
      <c r="H242" s="113"/>
      <c r="I242" s="113"/>
      <c r="J242" s="113"/>
    </row>
    <row r="243" ht="14.25" customHeight="1">
      <c r="A243" s="4"/>
      <c r="B243" s="4"/>
      <c r="C243" s="4"/>
      <c r="H243" s="113"/>
      <c r="I243" s="113"/>
      <c r="J243" s="113"/>
    </row>
    <row r="244" ht="14.25" customHeight="1">
      <c r="A244" s="4"/>
      <c r="B244" s="4"/>
      <c r="C244" s="4"/>
      <c r="H244" s="113"/>
      <c r="I244" s="113"/>
      <c r="J244" s="113"/>
    </row>
    <row r="245" ht="14.25" customHeight="1">
      <c r="A245" s="4"/>
      <c r="B245" s="4"/>
      <c r="C245" s="4"/>
      <c r="H245" s="113"/>
      <c r="I245" s="113"/>
      <c r="J245" s="113"/>
    </row>
    <row r="246" ht="14.25" customHeight="1">
      <c r="A246" s="4"/>
      <c r="B246" s="4"/>
      <c r="C246" s="4"/>
      <c r="H246" s="113"/>
      <c r="I246" s="113"/>
      <c r="J246" s="113"/>
    </row>
    <row r="247" ht="14.25" customHeight="1">
      <c r="A247" s="4"/>
      <c r="B247" s="4"/>
      <c r="C247" s="4"/>
      <c r="H247" s="113"/>
      <c r="I247" s="113"/>
      <c r="J247" s="113"/>
    </row>
    <row r="248" ht="14.25" customHeight="1">
      <c r="A248" s="4"/>
      <c r="B248" s="4"/>
      <c r="C248" s="4"/>
      <c r="H248" s="113"/>
      <c r="I248" s="113"/>
      <c r="J248" s="113"/>
    </row>
    <row r="249" ht="14.25" customHeight="1">
      <c r="A249" s="4"/>
      <c r="B249" s="4"/>
      <c r="C249" s="4"/>
      <c r="H249" s="113"/>
      <c r="I249" s="113"/>
      <c r="J249" s="113"/>
    </row>
    <row r="250" ht="14.25" customHeight="1">
      <c r="A250" s="4"/>
      <c r="B250" s="4"/>
      <c r="C250" s="4"/>
      <c r="H250" s="113"/>
      <c r="I250" s="113"/>
      <c r="J250" s="113"/>
    </row>
    <row r="251" ht="14.25" customHeight="1">
      <c r="A251" s="4"/>
      <c r="B251" s="4"/>
      <c r="C251" s="4"/>
      <c r="H251" s="113"/>
      <c r="I251" s="113"/>
      <c r="J251" s="113"/>
    </row>
    <row r="252" ht="14.25" customHeight="1">
      <c r="A252" s="4"/>
      <c r="B252" s="4"/>
      <c r="C252" s="4"/>
      <c r="H252" s="113"/>
      <c r="I252" s="113"/>
      <c r="J252" s="113"/>
    </row>
    <row r="253" ht="14.25" customHeight="1">
      <c r="A253" s="4"/>
      <c r="B253" s="4"/>
      <c r="C253" s="4"/>
      <c r="H253" s="113"/>
      <c r="I253" s="113"/>
      <c r="J253" s="113"/>
    </row>
    <row r="254" ht="14.25" customHeight="1">
      <c r="A254" s="4"/>
      <c r="B254" s="4"/>
      <c r="C254" s="4"/>
      <c r="H254" s="113"/>
      <c r="I254" s="113"/>
      <c r="J254" s="113"/>
    </row>
    <row r="255" ht="14.25" customHeight="1">
      <c r="A255" s="4"/>
      <c r="B255" s="4"/>
      <c r="C255" s="4"/>
      <c r="H255" s="113"/>
      <c r="I255" s="113"/>
      <c r="J255" s="113"/>
    </row>
    <row r="256" ht="14.25" customHeight="1">
      <c r="A256" s="4"/>
      <c r="B256" s="4"/>
      <c r="C256" s="4"/>
      <c r="H256" s="113"/>
      <c r="I256" s="113"/>
      <c r="J256" s="113"/>
    </row>
    <row r="257" ht="14.25" customHeight="1">
      <c r="A257" s="4"/>
      <c r="B257" s="4"/>
      <c r="C257" s="4"/>
      <c r="H257" s="113"/>
      <c r="I257" s="113"/>
      <c r="J257" s="113"/>
    </row>
    <row r="258" ht="14.25" customHeight="1">
      <c r="A258" s="4"/>
      <c r="B258" s="4"/>
      <c r="C258" s="4"/>
      <c r="H258" s="113"/>
      <c r="I258" s="113"/>
      <c r="J258" s="113"/>
    </row>
    <row r="259" ht="14.25" customHeight="1">
      <c r="A259" s="4"/>
      <c r="B259" s="4"/>
      <c r="C259" s="4"/>
      <c r="H259" s="113"/>
      <c r="I259" s="113"/>
      <c r="J259" s="113"/>
    </row>
    <row r="260" ht="14.25" customHeight="1">
      <c r="A260" s="4"/>
      <c r="B260" s="4"/>
      <c r="C260" s="4"/>
      <c r="H260" s="113"/>
      <c r="I260" s="113"/>
      <c r="J260" s="113"/>
    </row>
    <row r="261" ht="14.25" customHeight="1">
      <c r="A261" s="4"/>
      <c r="B261" s="4"/>
      <c r="C261" s="4"/>
      <c r="H261" s="113"/>
      <c r="I261" s="113"/>
      <c r="J261" s="113"/>
    </row>
    <row r="262" ht="14.25" customHeight="1">
      <c r="A262" s="4"/>
      <c r="B262" s="4"/>
      <c r="C262" s="4"/>
      <c r="H262" s="113"/>
      <c r="I262" s="113"/>
      <c r="J262" s="113"/>
    </row>
    <row r="263" ht="14.25" customHeight="1">
      <c r="A263" s="4"/>
      <c r="B263" s="4"/>
      <c r="C263" s="4"/>
      <c r="H263" s="113"/>
      <c r="I263" s="113"/>
      <c r="J263" s="113"/>
    </row>
    <row r="264" ht="14.25" customHeight="1">
      <c r="A264" s="4"/>
      <c r="B264" s="4"/>
      <c r="C264" s="4"/>
      <c r="H264" s="113"/>
      <c r="I264" s="113"/>
      <c r="J264" s="113"/>
    </row>
    <row r="265" ht="14.25" customHeight="1">
      <c r="A265" s="4"/>
      <c r="B265" s="4"/>
      <c r="C265" s="4"/>
      <c r="H265" s="113"/>
      <c r="I265" s="113"/>
      <c r="J265" s="113"/>
    </row>
    <row r="266" ht="14.25" customHeight="1">
      <c r="A266" s="4"/>
      <c r="B266" s="4"/>
      <c r="C266" s="4"/>
      <c r="H266" s="113"/>
      <c r="I266" s="113"/>
      <c r="J266" s="113"/>
    </row>
    <row r="267" ht="14.25" customHeight="1">
      <c r="A267" s="4"/>
      <c r="B267" s="4"/>
      <c r="C267" s="4"/>
      <c r="H267" s="113"/>
      <c r="I267" s="113"/>
      <c r="J267" s="113"/>
    </row>
    <row r="268" ht="14.25" customHeight="1">
      <c r="A268" s="4"/>
      <c r="B268" s="4"/>
      <c r="C268" s="4"/>
      <c r="H268" s="113"/>
      <c r="I268" s="113"/>
      <c r="J268" s="113"/>
    </row>
    <row r="269" ht="14.25" customHeight="1">
      <c r="A269" s="4"/>
      <c r="B269" s="4"/>
      <c r="C269" s="4"/>
      <c r="H269" s="113"/>
      <c r="I269" s="113"/>
      <c r="J269" s="113"/>
    </row>
    <row r="270" ht="14.25" customHeight="1">
      <c r="A270" s="4"/>
      <c r="B270" s="4"/>
      <c r="C270" s="4"/>
      <c r="H270" s="113"/>
      <c r="I270" s="113"/>
      <c r="J270" s="113"/>
    </row>
    <row r="271" ht="14.25" customHeight="1">
      <c r="A271" s="4"/>
      <c r="B271" s="4"/>
      <c r="C271" s="4"/>
      <c r="H271" s="113"/>
      <c r="I271" s="113"/>
      <c r="J271" s="113"/>
    </row>
    <row r="272" ht="14.25" customHeight="1">
      <c r="A272" s="4"/>
      <c r="B272" s="4"/>
      <c r="C272" s="4"/>
      <c r="H272" s="113"/>
      <c r="I272" s="113"/>
      <c r="J272" s="113"/>
    </row>
    <row r="273" ht="14.25" customHeight="1">
      <c r="A273" s="4"/>
      <c r="B273" s="4"/>
      <c r="C273" s="4"/>
      <c r="H273" s="113"/>
      <c r="I273" s="113"/>
      <c r="J273" s="113"/>
    </row>
    <row r="274" ht="14.25" customHeight="1">
      <c r="A274" s="4"/>
      <c r="B274" s="4"/>
      <c r="C274" s="4"/>
      <c r="H274" s="113"/>
      <c r="I274" s="113"/>
      <c r="J274" s="113"/>
    </row>
    <row r="275" ht="14.25" customHeight="1">
      <c r="A275" s="4"/>
      <c r="B275" s="4"/>
      <c r="C275" s="4"/>
      <c r="H275" s="113"/>
      <c r="I275" s="113"/>
      <c r="J275" s="113"/>
    </row>
    <row r="276" ht="14.25" customHeight="1">
      <c r="A276" s="4"/>
      <c r="B276" s="4"/>
      <c r="C276" s="4"/>
      <c r="H276" s="113"/>
      <c r="I276" s="113"/>
      <c r="J276" s="113"/>
    </row>
    <row r="277" ht="14.25" customHeight="1">
      <c r="A277" s="4"/>
      <c r="B277" s="4"/>
      <c r="C277" s="4"/>
      <c r="H277" s="113"/>
      <c r="I277" s="113"/>
      <c r="J277" s="113"/>
    </row>
    <row r="278" ht="14.25" customHeight="1">
      <c r="A278" s="4"/>
      <c r="B278" s="4"/>
      <c r="C278" s="4"/>
      <c r="H278" s="113"/>
      <c r="I278" s="113"/>
      <c r="J278" s="113"/>
    </row>
    <row r="279" ht="14.25" customHeight="1">
      <c r="A279" s="4"/>
      <c r="B279" s="4"/>
      <c r="C279" s="4"/>
      <c r="H279" s="113"/>
      <c r="I279" s="113"/>
      <c r="J279" s="113"/>
    </row>
    <row r="280" ht="14.25" customHeight="1">
      <c r="A280" s="4"/>
      <c r="B280" s="4"/>
      <c r="C280" s="4"/>
      <c r="H280" s="113"/>
      <c r="I280" s="113"/>
      <c r="J280" s="113"/>
    </row>
    <row r="281" ht="14.25" customHeight="1">
      <c r="A281" s="4"/>
      <c r="B281" s="4"/>
      <c r="C281" s="4"/>
      <c r="H281" s="113"/>
      <c r="I281" s="113"/>
      <c r="J281" s="113"/>
    </row>
    <row r="282" ht="14.25" customHeight="1">
      <c r="A282" s="4"/>
      <c r="B282" s="4"/>
      <c r="C282" s="4"/>
      <c r="H282" s="113"/>
      <c r="I282" s="113"/>
      <c r="J282" s="113"/>
    </row>
    <row r="283" ht="14.25" customHeight="1">
      <c r="A283" s="4"/>
      <c r="B283" s="4"/>
      <c r="C283" s="4"/>
      <c r="H283" s="113"/>
      <c r="I283" s="113"/>
      <c r="J283" s="113"/>
    </row>
    <row r="284" ht="14.25" customHeight="1">
      <c r="A284" s="4"/>
      <c r="B284" s="4"/>
      <c r="C284" s="4"/>
      <c r="H284" s="113"/>
      <c r="I284" s="113"/>
      <c r="J284" s="113"/>
    </row>
    <row r="285" ht="14.25" customHeight="1">
      <c r="A285" s="4"/>
      <c r="B285" s="4"/>
      <c r="C285" s="4"/>
      <c r="H285" s="113"/>
      <c r="I285" s="113"/>
      <c r="J285" s="113"/>
    </row>
    <row r="286" ht="14.25" customHeight="1">
      <c r="A286" s="4"/>
      <c r="B286" s="4"/>
      <c r="C286" s="4"/>
      <c r="H286" s="113"/>
      <c r="I286" s="113"/>
      <c r="J286" s="113"/>
    </row>
    <row r="287" ht="14.25" customHeight="1">
      <c r="A287" s="4"/>
      <c r="B287" s="4"/>
      <c r="C287" s="4"/>
      <c r="H287" s="113"/>
      <c r="I287" s="113"/>
      <c r="J287" s="113"/>
    </row>
    <row r="288" ht="14.25" customHeight="1">
      <c r="A288" s="4"/>
      <c r="B288" s="4"/>
      <c r="C288" s="4"/>
      <c r="H288" s="113"/>
      <c r="I288" s="113"/>
      <c r="J288" s="113"/>
    </row>
    <row r="289" ht="14.25" customHeight="1">
      <c r="A289" s="4"/>
      <c r="B289" s="4"/>
      <c r="C289" s="4"/>
      <c r="H289" s="113"/>
      <c r="I289" s="113"/>
      <c r="J289" s="113"/>
    </row>
    <row r="290" ht="14.25" customHeight="1">
      <c r="A290" s="4"/>
      <c r="B290" s="4"/>
      <c r="C290" s="4"/>
      <c r="H290" s="113"/>
      <c r="I290" s="113"/>
      <c r="J290" s="113"/>
    </row>
    <row r="291" ht="14.25" customHeight="1">
      <c r="A291" s="4"/>
      <c r="B291" s="4"/>
      <c r="C291" s="4"/>
      <c r="H291" s="113"/>
      <c r="I291" s="113"/>
      <c r="J291" s="113"/>
    </row>
    <row r="292" ht="14.25" customHeight="1">
      <c r="A292" s="4"/>
      <c r="B292" s="4"/>
      <c r="C292" s="4"/>
      <c r="H292" s="113"/>
      <c r="I292" s="113"/>
      <c r="J292" s="113"/>
    </row>
    <row r="293" ht="14.25" customHeight="1">
      <c r="A293" s="4"/>
      <c r="B293" s="4"/>
      <c r="C293" s="4"/>
      <c r="H293" s="113"/>
      <c r="I293" s="113"/>
      <c r="J293" s="113"/>
    </row>
    <row r="294" ht="14.25" customHeight="1">
      <c r="A294" s="4"/>
      <c r="B294" s="4"/>
      <c r="C294" s="4"/>
      <c r="H294" s="113"/>
      <c r="I294" s="113"/>
      <c r="J294" s="113"/>
    </row>
    <row r="295" ht="14.25" customHeight="1">
      <c r="A295" s="4"/>
      <c r="B295" s="4"/>
      <c r="C295" s="4"/>
      <c r="H295" s="113"/>
      <c r="I295" s="113"/>
      <c r="J295" s="113"/>
    </row>
    <row r="296" ht="14.25" customHeight="1">
      <c r="A296" s="4"/>
      <c r="B296" s="4"/>
      <c r="C296" s="4"/>
      <c r="H296" s="113"/>
      <c r="I296" s="113"/>
      <c r="J296" s="113"/>
    </row>
    <row r="297" ht="14.25" customHeight="1">
      <c r="A297" s="4"/>
      <c r="B297" s="4"/>
      <c r="C297" s="4"/>
      <c r="H297" s="113"/>
      <c r="I297" s="113"/>
      <c r="J297" s="113"/>
    </row>
    <row r="298" ht="14.25" customHeight="1">
      <c r="A298" s="4"/>
      <c r="B298" s="4"/>
      <c r="C298" s="4"/>
      <c r="H298" s="113"/>
      <c r="I298" s="113"/>
      <c r="J298" s="113"/>
    </row>
    <row r="299" ht="14.25" customHeight="1">
      <c r="A299" s="4"/>
      <c r="B299" s="4"/>
      <c r="C299" s="4"/>
      <c r="H299" s="113"/>
      <c r="I299" s="113"/>
      <c r="J299" s="113"/>
    </row>
    <row r="300" ht="14.25" customHeight="1">
      <c r="A300" s="4"/>
      <c r="B300" s="4"/>
      <c r="C300" s="4"/>
      <c r="H300" s="113"/>
      <c r="I300" s="113"/>
      <c r="J300" s="113"/>
    </row>
    <row r="301" ht="14.25" customHeight="1">
      <c r="A301" s="4"/>
      <c r="B301" s="4"/>
      <c r="C301" s="4"/>
      <c r="H301" s="113"/>
      <c r="I301" s="113"/>
      <c r="J301" s="113"/>
    </row>
    <row r="302" ht="14.25" customHeight="1">
      <c r="A302" s="4"/>
      <c r="B302" s="4"/>
      <c r="C302" s="4"/>
      <c r="H302" s="113"/>
      <c r="I302" s="113"/>
      <c r="J302" s="113"/>
    </row>
    <row r="303" ht="14.25" customHeight="1">
      <c r="A303" s="4"/>
      <c r="B303" s="4"/>
      <c r="C303" s="4"/>
      <c r="H303" s="113"/>
      <c r="I303" s="113"/>
      <c r="J303" s="113"/>
    </row>
    <row r="304" ht="14.25" customHeight="1">
      <c r="A304" s="4"/>
      <c r="B304" s="4"/>
      <c r="C304" s="4"/>
      <c r="H304" s="113"/>
      <c r="I304" s="113"/>
      <c r="J304" s="113"/>
    </row>
    <row r="305" ht="14.25" customHeight="1">
      <c r="A305" s="4"/>
      <c r="B305" s="4"/>
      <c r="C305" s="4"/>
      <c r="H305" s="113"/>
      <c r="I305" s="113"/>
      <c r="J305" s="113"/>
    </row>
    <row r="306" ht="14.25" customHeight="1">
      <c r="A306" s="4"/>
      <c r="B306" s="4"/>
      <c r="C306" s="4"/>
      <c r="H306" s="113"/>
      <c r="I306" s="113"/>
      <c r="J306" s="113"/>
    </row>
    <row r="307" ht="14.25" customHeight="1">
      <c r="A307" s="4"/>
      <c r="B307" s="4"/>
      <c r="C307" s="4"/>
      <c r="H307" s="113"/>
      <c r="I307" s="113"/>
      <c r="J307" s="113"/>
    </row>
    <row r="308" ht="14.25" customHeight="1">
      <c r="A308" s="4"/>
      <c r="B308" s="4"/>
      <c r="C308" s="4"/>
      <c r="H308" s="113"/>
      <c r="I308" s="113"/>
      <c r="J308" s="113"/>
    </row>
    <row r="309" ht="14.25" customHeight="1">
      <c r="A309" s="4"/>
      <c r="B309" s="4"/>
      <c r="C309" s="4"/>
      <c r="H309" s="113"/>
      <c r="I309" s="113"/>
      <c r="J309" s="113"/>
    </row>
    <row r="310" ht="14.25" customHeight="1">
      <c r="A310" s="4"/>
      <c r="B310" s="4"/>
      <c r="C310" s="4"/>
      <c r="H310" s="113"/>
      <c r="I310" s="113"/>
      <c r="J310" s="113"/>
    </row>
    <row r="311" ht="14.25" customHeight="1">
      <c r="A311" s="4"/>
      <c r="B311" s="4"/>
      <c r="C311" s="4"/>
      <c r="H311" s="113"/>
      <c r="I311" s="113"/>
      <c r="J311" s="113"/>
    </row>
    <row r="312" ht="14.25" customHeight="1">
      <c r="A312" s="4"/>
      <c r="B312" s="4"/>
      <c r="C312" s="4"/>
      <c r="H312" s="113"/>
      <c r="I312" s="113"/>
      <c r="J312" s="113"/>
    </row>
    <row r="313" ht="14.25" customHeight="1">
      <c r="A313" s="4"/>
      <c r="B313" s="4"/>
      <c r="C313" s="4"/>
      <c r="H313" s="113"/>
      <c r="I313" s="113"/>
      <c r="J313" s="113"/>
    </row>
    <row r="314" ht="14.25" customHeight="1">
      <c r="A314" s="4"/>
      <c r="B314" s="4"/>
      <c r="C314" s="4"/>
      <c r="H314" s="113"/>
      <c r="I314" s="113"/>
      <c r="J314" s="113"/>
    </row>
    <row r="315" ht="14.25" customHeight="1">
      <c r="A315" s="4"/>
      <c r="B315" s="4"/>
      <c r="C315" s="4"/>
      <c r="H315" s="113"/>
      <c r="I315" s="113"/>
      <c r="J315" s="113"/>
    </row>
    <row r="316" ht="14.25" customHeight="1">
      <c r="A316" s="4"/>
      <c r="B316" s="4"/>
      <c r="C316" s="4"/>
      <c r="H316" s="113"/>
      <c r="I316" s="113"/>
      <c r="J316" s="113"/>
    </row>
    <row r="317" ht="14.25" customHeight="1">
      <c r="A317" s="4"/>
      <c r="B317" s="4"/>
      <c r="C317" s="4"/>
      <c r="H317" s="113"/>
      <c r="I317" s="113"/>
      <c r="J317" s="113"/>
    </row>
    <row r="318" ht="14.25" customHeight="1">
      <c r="A318" s="4"/>
      <c r="B318" s="4"/>
      <c r="C318" s="4"/>
      <c r="H318" s="113"/>
      <c r="I318" s="113"/>
      <c r="J318" s="113"/>
    </row>
    <row r="319" ht="14.25" customHeight="1">
      <c r="A319" s="4"/>
      <c r="B319" s="4"/>
      <c r="C319" s="4"/>
      <c r="H319" s="113"/>
      <c r="I319" s="113"/>
      <c r="J319" s="113"/>
    </row>
    <row r="320" ht="14.25" customHeight="1">
      <c r="A320" s="4"/>
      <c r="B320" s="4"/>
      <c r="C320" s="4"/>
      <c r="H320" s="113"/>
      <c r="I320" s="113"/>
      <c r="J320" s="113"/>
    </row>
    <row r="321" ht="14.25" customHeight="1">
      <c r="A321" s="4"/>
      <c r="B321" s="4"/>
      <c r="C321" s="4"/>
      <c r="H321" s="113"/>
      <c r="I321" s="113"/>
      <c r="J321" s="113"/>
    </row>
    <row r="322" ht="14.25" customHeight="1">
      <c r="A322" s="4"/>
      <c r="B322" s="4"/>
      <c r="C322" s="4"/>
      <c r="H322" s="113"/>
      <c r="I322" s="113"/>
      <c r="J322" s="113"/>
    </row>
    <row r="323" ht="14.25" customHeight="1">
      <c r="A323" s="4"/>
      <c r="B323" s="4"/>
      <c r="C323" s="4"/>
      <c r="H323" s="113"/>
      <c r="I323" s="113"/>
      <c r="J323" s="113"/>
    </row>
    <row r="324" ht="14.25" customHeight="1">
      <c r="A324" s="4"/>
      <c r="B324" s="4"/>
      <c r="C324" s="4"/>
      <c r="H324" s="113"/>
      <c r="I324" s="113"/>
      <c r="J324" s="113"/>
    </row>
    <row r="325" ht="14.25" customHeight="1">
      <c r="A325" s="4"/>
      <c r="B325" s="4"/>
      <c r="C325" s="4"/>
      <c r="H325" s="113"/>
      <c r="I325" s="113"/>
      <c r="J325" s="113"/>
    </row>
    <row r="326" ht="14.25" customHeight="1">
      <c r="A326" s="4"/>
      <c r="B326" s="4"/>
      <c r="C326" s="4"/>
      <c r="H326" s="113"/>
      <c r="I326" s="113"/>
      <c r="J326" s="113"/>
    </row>
    <row r="327" ht="14.25" customHeight="1">
      <c r="A327" s="4"/>
      <c r="B327" s="4"/>
      <c r="C327" s="4"/>
      <c r="H327" s="113"/>
      <c r="I327" s="113"/>
      <c r="J327" s="113"/>
    </row>
    <row r="328" ht="14.25" customHeight="1">
      <c r="A328" s="4"/>
      <c r="B328" s="4"/>
      <c r="C328" s="4"/>
      <c r="H328" s="113"/>
      <c r="I328" s="113"/>
      <c r="J328" s="113"/>
    </row>
    <row r="329" ht="14.25" customHeight="1">
      <c r="A329" s="4"/>
      <c r="B329" s="4"/>
      <c r="C329" s="4"/>
      <c r="H329" s="113"/>
      <c r="I329" s="113"/>
      <c r="J329" s="113"/>
    </row>
    <row r="330" ht="14.25" customHeight="1">
      <c r="A330" s="4"/>
      <c r="B330" s="4"/>
      <c r="C330" s="4"/>
      <c r="H330" s="113"/>
      <c r="I330" s="113"/>
      <c r="J330" s="113"/>
    </row>
    <row r="331" ht="14.25" customHeight="1">
      <c r="A331" s="4"/>
      <c r="B331" s="4"/>
      <c r="C331" s="4"/>
      <c r="H331" s="113"/>
      <c r="I331" s="113"/>
      <c r="J331" s="113"/>
    </row>
    <row r="332" ht="14.25" customHeight="1">
      <c r="A332" s="4"/>
      <c r="B332" s="4"/>
      <c r="C332" s="4"/>
      <c r="H332" s="113"/>
      <c r="I332" s="113"/>
      <c r="J332" s="113"/>
    </row>
    <row r="333" ht="14.25" customHeight="1">
      <c r="A333" s="4"/>
      <c r="B333" s="4"/>
      <c r="C333" s="4"/>
      <c r="H333" s="113"/>
      <c r="I333" s="113"/>
      <c r="J333" s="113"/>
    </row>
    <row r="334" ht="14.25" customHeight="1">
      <c r="A334" s="4"/>
      <c r="B334" s="4"/>
      <c r="C334" s="4"/>
      <c r="H334" s="113"/>
      <c r="I334" s="113"/>
      <c r="J334" s="113"/>
    </row>
    <row r="335" ht="14.25" customHeight="1">
      <c r="A335" s="4"/>
      <c r="B335" s="4"/>
      <c r="C335" s="4"/>
      <c r="H335" s="113"/>
      <c r="I335" s="113"/>
      <c r="J335" s="113"/>
    </row>
    <row r="336" ht="14.25" customHeight="1">
      <c r="A336" s="4"/>
      <c r="B336" s="4"/>
      <c r="C336" s="4"/>
      <c r="H336" s="113"/>
      <c r="I336" s="113"/>
      <c r="J336" s="113"/>
    </row>
    <row r="337" ht="14.25" customHeight="1">
      <c r="A337" s="4"/>
      <c r="B337" s="4"/>
      <c r="C337" s="4"/>
      <c r="H337" s="113"/>
      <c r="I337" s="113"/>
      <c r="J337" s="113"/>
    </row>
    <row r="338" ht="14.25" customHeight="1">
      <c r="A338" s="4"/>
      <c r="B338" s="4"/>
      <c r="C338" s="4"/>
      <c r="H338" s="113"/>
      <c r="I338" s="113"/>
      <c r="J338" s="113"/>
    </row>
    <row r="339" ht="14.25" customHeight="1">
      <c r="A339" s="4"/>
      <c r="B339" s="4"/>
      <c r="C339" s="4"/>
      <c r="H339" s="113"/>
      <c r="I339" s="113"/>
      <c r="J339" s="113"/>
    </row>
    <row r="340" ht="14.25" customHeight="1">
      <c r="A340" s="4"/>
      <c r="B340" s="4"/>
      <c r="C340" s="4"/>
      <c r="H340" s="113"/>
      <c r="I340" s="113"/>
      <c r="J340" s="113"/>
    </row>
    <row r="341" ht="14.25" customHeight="1">
      <c r="A341" s="4"/>
      <c r="B341" s="4"/>
      <c r="C341" s="4"/>
      <c r="H341" s="113"/>
      <c r="I341" s="113"/>
      <c r="J341" s="113"/>
    </row>
    <row r="342" ht="14.25" customHeight="1">
      <c r="A342" s="4"/>
      <c r="B342" s="4"/>
      <c r="C342" s="4"/>
      <c r="H342" s="113"/>
      <c r="I342" s="113"/>
      <c r="J342" s="113"/>
    </row>
    <row r="343" ht="14.25" customHeight="1">
      <c r="A343" s="4"/>
      <c r="B343" s="4"/>
      <c r="C343" s="4"/>
      <c r="H343" s="113"/>
      <c r="I343" s="113"/>
      <c r="J343" s="113"/>
    </row>
    <row r="344" ht="14.25" customHeight="1">
      <c r="A344" s="4"/>
      <c r="B344" s="4"/>
      <c r="C344" s="4"/>
      <c r="H344" s="113"/>
      <c r="I344" s="113"/>
      <c r="J344" s="113"/>
    </row>
    <row r="345" ht="14.25" customHeight="1">
      <c r="A345" s="4"/>
      <c r="B345" s="4"/>
      <c r="C345" s="4"/>
      <c r="H345" s="113"/>
      <c r="I345" s="113"/>
      <c r="J345" s="113"/>
    </row>
    <row r="346" ht="14.25" customHeight="1">
      <c r="A346" s="4"/>
      <c r="B346" s="4"/>
      <c r="C346" s="4"/>
      <c r="H346" s="113"/>
      <c r="I346" s="113"/>
      <c r="J346" s="113"/>
    </row>
    <row r="347" ht="14.25" customHeight="1">
      <c r="A347" s="4"/>
      <c r="B347" s="4"/>
      <c r="C347" s="4"/>
      <c r="H347" s="113"/>
      <c r="I347" s="113"/>
      <c r="J347" s="113"/>
    </row>
    <row r="348" ht="14.25" customHeight="1">
      <c r="A348" s="4"/>
      <c r="B348" s="4"/>
      <c r="C348" s="4"/>
      <c r="H348" s="113"/>
      <c r="I348" s="113"/>
      <c r="J348" s="113"/>
    </row>
    <row r="349" ht="14.25" customHeight="1">
      <c r="A349" s="4"/>
      <c r="B349" s="4"/>
      <c r="C349" s="4"/>
      <c r="H349" s="113"/>
      <c r="I349" s="113"/>
      <c r="J349" s="113"/>
    </row>
    <row r="350" ht="14.25" customHeight="1">
      <c r="A350" s="4"/>
      <c r="B350" s="4"/>
      <c r="C350" s="4"/>
      <c r="H350" s="113"/>
      <c r="I350" s="113"/>
      <c r="J350" s="113"/>
    </row>
    <row r="351" ht="14.25" customHeight="1">
      <c r="A351" s="4"/>
      <c r="B351" s="4"/>
      <c r="C351" s="4"/>
      <c r="H351" s="113"/>
      <c r="I351" s="113"/>
      <c r="J351" s="113"/>
    </row>
    <row r="352" ht="14.25" customHeight="1">
      <c r="A352" s="4"/>
      <c r="B352" s="4"/>
      <c r="C352" s="4"/>
      <c r="H352" s="113"/>
      <c r="I352" s="113"/>
      <c r="J352" s="113"/>
    </row>
    <row r="353" ht="14.25" customHeight="1">
      <c r="A353" s="4"/>
      <c r="B353" s="4"/>
      <c r="C353" s="4"/>
      <c r="H353" s="113"/>
      <c r="I353" s="113"/>
      <c r="J353" s="113"/>
    </row>
    <row r="354" ht="14.25" customHeight="1">
      <c r="A354" s="4"/>
      <c r="B354" s="4"/>
      <c r="C354" s="4"/>
      <c r="H354" s="113"/>
      <c r="I354" s="113"/>
      <c r="J354" s="113"/>
    </row>
    <row r="355" ht="14.25" customHeight="1">
      <c r="A355" s="4"/>
      <c r="B355" s="4"/>
      <c r="C355" s="4"/>
      <c r="H355" s="113"/>
      <c r="I355" s="113"/>
      <c r="J355" s="113"/>
    </row>
    <row r="356" ht="14.25" customHeight="1">
      <c r="A356" s="4"/>
      <c r="B356" s="4"/>
      <c r="C356" s="4"/>
      <c r="H356" s="113"/>
      <c r="I356" s="113"/>
      <c r="J356" s="113"/>
    </row>
    <row r="357" ht="14.25" customHeight="1">
      <c r="A357" s="4"/>
      <c r="B357" s="4"/>
      <c r="C357" s="4"/>
      <c r="H357" s="113"/>
      <c r="I357" s="113"/>
      <c r="J357" s="113"/>
    </row>
    <row r="358" ht="14.25" customHeight="1">
      <c r="A358" s="4"/>
      <c r="B358" s="4"/>
      <c r="C358" s="4"/>
      <c r="H358" s="113"/>
      <c r="I358" s="113"/>
      <c r="J358" s="113"/>
    </row>
    <row r="359" ht="14.25" customHeight="1">
      <c r="A359" s="4"/>
      <c r="B359" s="4"/>
      <c r="C359" s="4"/>
      <c r="H359" s="113"/>
      <c r="I359" s="113"/>
      <c r="J359" s="113"/>
    </row>
    <row r="360" ht="14.25" customHeight="1">
      <c r="A360" s="4"/>
      <c r="B360" s="4"/>
      <c r="C360" s="4"/>
      <c r="H360" s="113"/>
      <c r="I360" s="113"/>
      <c r="J360" s="113"/>
    </row>
    <row r="361" ht="14.25" customHeight="1">
      <c r="A361" s="4"/>
      <c r="B361" s="4"/>
      <c r="C361" s="4"/>
      <c r="H361" s="113"/>
      <c r="I361" s="113"/>
      <c r="J361" s="113"/>
    </row>
    <row r="362" ht="14.25" customHeight="1">
      <c r="A362" s="4"/>
      <c r="B362" s="4"/>
      <c r="C362" s="4"/>
      <c r="H362" s="113"/>
      <c r="I362" s="113"/>
      <c r="J362" s="113"/>
    </row>
    <row r="363" ht="14.25" customHeight="1">
      <c r="A363" s="4"/>
      <c r="B363" s="4"/>
      <c r="C363" s="4"/>
      <c r="H363" s="113"/>
      <c r="I363" s="113"/>
      <c r="J363" s="113"/>
    </row>
    <row r="364" ht="14.25" customHeight="1">
      <c r="A364" s="4"/>
      <c r="B364" s="4"/>
      <c r="C364" s="4"/>
      <c r="H364" s="113"/>
      <c r="I364" s="113"/>
      <c r="J364" s="113"/>
    </row>
    <row r="365" ht="14.25" customHeight="1">
      <c r="A365" s="4"/>
      <c r="B365" s="4"/>
      <c r="C365" s="4"/>
      <c r="H365" s="113"/>
      <c r="I365" s="113"/>
      <c r="J365" s="113"/>
    </row>
    <row r="366" ht="14.25" customHeight="1">
      <c r="A366" s="4"/>
      <c r="B366" s="4"/>
      <c r="C366" s="4"/>
      <c r="H366" s="113"/>
      <c r="I366" s="113"/>
      <c r="J366" s="113"/>
    </row>
    <row r="367" ht="14.25" customHeight="1">
      <c r="A367" s="4"/>
      <c r="B367" s="4"/>
      <c r="C367" s="4"/>
      <c r="H367" s="113"/>
      <c r="I367" s="113"/>
      <c r="J367" s="113"/>
    </row>
    <row r="368" ht="14.25" customHeight="1">
      <c r="A368" s="4"/>
      <c r="B368" s="4"/>
      <c r="C368" s="4"/>
      <c r="H368" s="113"/>
      <c r="I368" s="113"/>
      <c r="J368" s="113"/>
    </row>
    <row r="369" ht="14.25" customHeight="1">
      <c r="A369" s="4"/>
      <c r="B369" s="4"/>
      <c r="C369" s="4"/>
      <c r="H369" s="113"/>
      <c r="I369" s="113"/>
      <c r="J369" s="113"/>
    </row>
    <row r="370" ht="14.25" customHeight="1">
      <c r="A370" s="4"/>
      <c r="B370" s="4"/>
      <c r="C370" s="4"/>
      <c r="H370" s="113"/>
      <c r="I370" s="113"/>
      <c r="J370" s="113"/>
    </row>
    <row r="371" ht="14.25" customHeight="1">
      <c r="A371" s="4"/>
      <c r="B371" s="4"/>
      <c r="C371" s="4"/>
      <c r="H371" s="113"/>
      <c r="I371" s="113"/>
      <c r="J371" s="113"/>
    </row>
    <row r="372" ht="14.25" customHeight="1">
      <c r="A372" s="4"/>
      <c r="B372" s="4"/>
      <c r="C372" s="4"/>
      <c r="H372" s="113"/>
      <c r="I372" s="113"/>
      <c r="J372" s="113"/>
    </row>
    <row r="373" ht="14.25" customHeight="1">
      <c r="A373" s="4"/>
      <c r="B373" s="4"/>
      <c r="C373" s="4"/>
      <c r="H373" s="113"/>
      <c r="I373" s="113"/>
      <c r="J373" s="113"/>
    </row>
    <row r="374" ht="14.25" customHeight="1">
      <c r="A374" s="4"/>
      <c r="B374" s="4"/>
      <c r="C374" s="4"/>
      <c r="H374" s="113"/>
      <c r="I374" s="113"/>
      <c r="J374" s="113"/>
    </row>
    <row r="375" ht="14.25" customHeight="1">
      <c r="A375" s="4"/>
      <c r="B375" s="4"/>
      <c r="C375" s="4"/>
      <c r="H375" s="113"/>
      <c r="I375" s="113"/>
      <c r="J375" s="113"/>
    </row>
    <row r="376" ht="14.25" customHeight="1">
      <c r="A376" s="4"/>
      <c r="B376" s="4"/>
      <c r="C376" s="4"/>
      <c r="H376" s="113"/>
      <c r="I376" s="113"/>
      <c r="J376" s="113"/>
    </row>
    <row r="377" ht="14.25" customHeight="1">
      <c r="A377" s="4"/>
      <c r="B377" s="4"/>
      <c r="C377" s="4"/>
      <c r="H377" s="113"/>
      <c r="I377" s="113"/>
      <c r="J377" s="113"/>
    </row>
    <row r="378" ht="14.25" customHeight="1">
      <c r="A378" s="4"/>
      <c r="B378" s="4"/>
      <c r="C378" s="4"/>
      <c r="H378" s="113"/>
      <c r="I378" s="113"/>
      <c r="J378" s="113"/>
    </row>
    <row r="379" ht="14.25" customHeight="1">
      <c r="A379" s="4"/>
      <c r="B379" s="4"/>
      <c r="C379" s="4"/>
      <c r="H379" s="113"/>
      <c r="I379" s="113"/>
      <c r="J379" s="113"/>
    </row>
    <row r="380" ht="14.25" customHeight="1">
      <c r="A380" s="4"/>
      <c r="B380" s="4"/>
      <c r="C380" s="4"/>
      <c r="H380" s="113"/>
      <c r="I380" s="113"/>
      <c r="J380" s="113"/>
    </row>
    <row r="381" ht="14.25" customHeight="1">
      <c r="A381" s="4"/>
      <c r="B381" s="4"/>
      <c r="C381" s="4"/>
      <c r="H381" s="113"/>
      <c r="I381" s="113"/>
      <c r="J381" s="113"/>
    </row>
    <row r="382" ht="14.25" customHeight="1">
      <c r="A382" s="4"/>
      <c r="B382" s="4"/>
      <c r="C382" s="4"/>
      <c r="H382" s="113"/>
      <c r="I382" s="113"/>
      <c r="J382" s="113"/>
    </row>
    <row r="383" ht="14.25" customHeight="1">
      <c r="A383" s="4"/>
      <c r="B383" s="4"/>
      <c r="C383" s="4"/>
      <c r="H383" s="113"/>
      <c r="I383" s="113"/>
      <c r="J383" s="113"/>
    </row>
    <row r="384" ht="14.25" customHeight="1">
      <c r="A384" s="4"/>
      <c r="B384" s="4"/>
      <c r="C384" s="4"/>
      <c r="H384" s="113"/>
      <c r="I384" s="113"/>
      <c r="J384" s="113"/>
    </row>
    <row r="385" ht="14.25" customHeight="1">
      <c r="A385" s="4"/>
      <c r="B385" s="4"/>
      <c r="C385" s="4"/>
      <c r="H385" s="113"/>
      <c r="I385" s="113"/>
      <c r="J385" s="113"/>
    </row>
    <row r="386" ht="14.25" customHeight="1">
      <c r="A386" s="4"/>
      <c r="B386" s="4"/>
      <c r="C386" s="4"/>
      <c r="H386" s="113"/>
      <c r="I386" s="113"/>
      <c r="J386" s="113"/>
    </row>
    <row r="387" ht="14.25" customHeight="1">
      <c r="A387" s="4"/>
      <c r="B387" s="4"/>
      <c r="C387" s="4"/>
      <c r="H387" s="113"/>
      <c r="I387" s="113"/>
      <c r="J387" s="113"/>
    </row>
    <row r="388" ht="14.25" customHeight="1">
      <c r="A388" s="4"/>
      <c r="B388" s="4"/>
      <c r="C388" s="4"/>
      <c r="H388" s="113"/>
      <c r="I388" s="113"/>
      <c r="J388" s="113"/>
    </row>
    <row r="389" ht="14.25" customHeight="1">
      <c r="A389" s="4"/>
      <c r="B389" s="4"/>
      <c r="C389" s="4"/>
      <c r="H389" s="113"/>
      <c r="I389" s="113"/>
      <c r="J389" s="113"/>
    </row>
    <row r="390" ht="14.25" customHeight="1">
      <c r="A390" s="4"/>
      <c r="B390" s="4"/>
      <c r="C390" s="4"/>
      <c r="H390" s="113"/>
      <c r="I390" s="113"/>
      <c r="J390" s="113"/>
    </row>
    <row r="391" ht="14.25" customHeight="1">
      <c r="A391" s="4"/>
      <c r="B391" s="4"/>
      <c r="C391" s="4"/>
      <c r="H391" s="113"/>
      <c r="I391" s="113"/>
      <c r="J391" s="113"/>
    </row>
    <row r="392" ht="14.25" customHeight="1">
      <c r="A392" s="4"/>
      <c r="B392" s="4"/>
      <c r="C392" s="4"/>
      <c r="H392" s="113"/>
      <c r="I392" s="113"/>
      <c r="J392" s="113"/>
    </row>
    <row r="393" ht="14.25" customHeight="1">
      <c r="A393" s="4"/>
      <c r="B393" s="4"/>
      <c r="C393" s="4"/>
      <c r="H393" s="113"/>
      <c r="I393" s="113"/>
      <c r="J393" s="113"/>
    </row>
    <row r="394" ht="14.25" customHeight="1">
      <c r="A394" s="4"/>
      <c r="B394" s="4"/>
      <c r="C394" s="4"/>
      <c r="H394" s="113"/>
      <c r="I394" s="113"/>
      <c r="J394" s="113"/>
    </row>
    <row r="395" ht="14.25" customHeight="1">
      <c r="A395" s="4"/>
      <c r="B395" s="4"/>
      <c r="C395" s="4"/>
      <c r="H395" s="113"/>
      <c r="I395" s="113"/>
      <c r="J395" s="113"/>
    </row>
    <row r="396" ht="14.25" customHeight="1">
      <c r="A396" s="4"/>
      <c r="B396" s="4"/>
      <c r="C396" s="4"/>
      <c r="H396" s="113"/>
      <c r="I396" s="113"/>
      <c r="J396" s="113"/>
    </row>
    <row r="397" ht="14.25" customHeight="1">
      <c r="A397" s="4"/>
      <c r="B397" s="4"/>
      <c r="C397" s="4"/>
      <c r="H397" s="113"/>
      <c r="I397" s="113"/>
      <c r="J397" s="113"/>
    </row>
    <row r="398" ht="14.25" customHeight="1">
      <c r="A398" s="4"/>
      <c r="B398" s="4"/>
      <c r="C398" s="4"/>
      <c r="H398" s="113"/>
      <c r="I398" s="113"/>
      <c r="J398" s="113"/>
    </row>
    <row r="399" ht="14.25" customHeight="1">
      <c r="A399" s="4"/>
      <c r="B399" s="4"/>
      <c r="C399" s="4"/>
      <c r="H399" s="113"/>
      <c r="I399" s="113"/>
      <c r="J399" s="113"/>
    </row>
    <row r="400" ht="14.25" customHeight="1">
      <c r="A400" s="4"/>
      <c r="B400" s="4"/>
      <c r="C400" s="4"/>
      <c r="H400" s="113"/>
      <c r="I400" s="113"/>
      <c r="J400" s="113"/>
    </row>
    <row r="401" ht="14.25" customHeight="1">
      <c r="A401" s="4"/>
      <c r="B401" s="4"/>
      <c r="C401" s="4"/>
      <c r="H401" s="113"/>
      <c r="I401" s="113"/>
      <c r="J401" s="113"/>
    </row>
    <row r="402" ht="14.25" customHeight="1">
      <c r="A402" s="4"/>
      <c r="B402" s="4"/>
      <c r="C402" s="4"/>
      <c r="H402" s="113"/>
      <c r="I402" s="113"/>
      <c r="J402" s="113"/>
    </row>
    <row r="403" ht="14.25" customHeight="1">
      <c r="A403" s="4"/>
      <c r="B403" s="4"/>
      <c r="C403" s="4"/>
      <c r="H403" s="113"/>
      <c r="I403" s="113"/>
      <c r="J403" s="113"/>
    </row>
    <row r="404" ht="14.25" customHeight="1">
      <c r="A404" s="4"/>
      <c r="B404" s="4"/>
      <c r="C404" s="4"/>
      <c r="H404" s="113"/>
      <c r="I404" s="113"/>
      <c r="J404" s="113"/>
    </row>
    <row r="405" ht="14.25" customHeight="1">
      <c r="A405" s="4"/>
      <c r="B405" s="4"/>
      <c r="C405" s="4"/>
      <c r="H405" s="113"/>
      <c r="I405" s="113"/>
      <c r="J405" s="113"/>
    </row>
    <row r="406" ht="14.25" customHeight="1">
      <c r="A406" s="4"/>
      <c r="B406" s="4"/>
      <c r="C406" s="4"/>
      <c r="H406" s="113"/>
      <c r="I406" s="113"/>
      <c r="J406" s="113"/>
    </row>
    <row r="407" ht="14.25" customHeight="1">
      <c r="A407" s="4"/>
      <c r="B407" s="4"/>
      <c r="C407" s="4"/>
      <c r="H407" s="113"/>
      <c r="I407" s="113"/>
      <c r="J407" s="113"/>
    </row>
    <row r="408" ht="14.25" customHeight="1">
      <c r="A408" s="4"/>
      <c r="B408" s="4"/>
      <c r="C408" s="4"/>
      <c r="H408" s="113"/>
      <c r="I408" s="113"/>
      <c r="J408" s="113"/>
    </row>
    <row r="409" ht="14.25" customHeight="1">
      <c r="A409" s="4"/>
      <c r="B409" s="4"/>
      <c r="C409" s="4"/>
      <c r="H409" s="113"/>
      <c r="I409" s="113"/>
      <c r="J409" s="113"/>
    </row>
    <row r="410" ht="14.25" customHeight="1">
      <c r="A410" s="4"/>
      <c r="B410" s="4"/>
      <c r="C410" s="4"/>
      <c r="H410" s="113"/>
      <c r="I410" s="113"/>
      <c r="J410" s="113"/>
    </row>
    <row r="411" ht="14.25" customHeight="1">
      <c r="A411" s="4"/>
      <c r="B411" s="4"/>
      <c r="C411" s="4"/>
      <c r="H411" s="113"/>
      <c r="I411" s="113"/>
      <c r="J411" s="113"/>
    </row>
    <row r="412" ht="14.25" customHeight="1">
      <c r="A412" s="4"/>
      <c r="B412" s="4"/>
      <c r="C412" s="4"/>
      <c r="H412" s="113"/>
      <c r="I412" s="113"/>
      <c r="J412" s="113"/>
    </row>
    <row r="413" ht="14.25" customHeight="1">
      <c r="A413" s="4"/>
      <c r="B413" s="4"/>
      <c r="C413" s="4"/>
      <c r="H413" s="113"/>
      <c r="I413" s="113"/>
      <c r="J413" s="113"/>
    </row>
    <row r="414" ht="14.25" customHeight="1">
      <c r="A414" s="4"/>
      <c r="B414" s="4"/>
      <c r="C414" s="4"/>
      <c r="H414" s="113"/>
      <c r="I414" s="113"/>
      <c r="J414" s="113"/>
    </row>
    <row r="415" ht="14.25" customHeight="1">
      <c r="A415" s="4"/>
      <c r="B415" s="4"/>
      <c r="C415" s="4"/>
      <c r="H415" s="113"/>
      <c r="I415" s="113"/>
      <c r="J415" s="113"/>
    </row>
    <row r="416" ht="14.25" customHeight="1">
      <c r="A416" s="4"/>
      <c r="B416" s="4"/>
      <c r="C416" s="4"/>
      <c r="H416" s="113"/>
      <c r="I416" s="113"/>
      <c r="J416" s="113"/>
    </row>
    <row r="417" ht="14.25" customHeight="1">
      <c r="A417" s="4"/>
      <c r="B417" s="4"/>
      <c r="C417" s="4"/>
      <c r="H417" s="113"/>
      <c r="I417" s="113"/>
      <c r="J417" s="113"/>
    </row>
    <row r="418" ht="14.25" customHeight="1">
      <c r="A418" s="4"/>
      <c r="B418" s="4"/>
      <c r="C418" s="4"/>
      <c r="H418" s="113"/>
      <c r="I418" s="113"/>
      <c r="J418" s="113"/>
    </row>
    <row r="419" ht="14.25" customHeight="1">
      <c r="A419" s="4"/>
      <c r="B419" s="4"/>
      <c r="C419" s="4"/>
      <c r="H419" s="113"/>
      <c r="I419" s="113"/>
      <c r="J419" s="113"/>
    </row>
    <row r="420" ht="14.25" customHeight="1">
      <c r="A420" s="4"/>
      <c r="B420" s="4"/>
      <c r="C420" s="4"/>
      <c r="H420" s="113"/>
      <c r="I420" s="113"/>
      <c r="J420" s="113"/>
    </row>
    <row r="421" ht="14.25" customHeight="1">
      <c r="A421" s="4"/>
      <c r="B421" s="4"/>
      <c r="C421" s="4"/>
      <c r="H421" s="113"/>
      <c r="I421" s="113"/>
      <c r="J421" s="113"/>
    </row>
    <row r="422" ht="14.25" customHeight="1">
      <c r="A422" s="4"/>
      <c r="B422" s="4"/>
      <c r="C422" s="4"/>
      <c r="H422" s="113"/>
      <c r="I422" s="113"/>
      <c r="J422" s="113"/>
    </row>
    <row r="423" ht="14.25" customHeight="1">
      <c r="A423" s="4"/>
      <c r="B423" s="4"/>
      <c r="C423" s="4"/>
      <c r="H423" s="113"/>
      <c r="I423" s="113"/>
      <c r="J423" s="113"/>
    </row>
    <row r="424" ht="14.25" customHeight="1">
      <c r="A424" s="4"/>
      <c r="B424" s="4"/>
      <c r="C424" s="4"/>
      <c r="H424" s="113"/>
      <c r="I424" s="113"/>
      <c r="J424" s="113"/>
    </row>
    <row r="425" ht="14.25" customHeight="1">
      <c r="A425" s="4"/>
      <c r="B425" s="4"/>
      <c r="C425" s="4"/>
      <c r="H425" s="113"/>
      <c r="I425" s="113"/>
      <c r="J425" s="113"/>
    </row>
    <row r="426" ht="14.25" customHeight="1">
      <c r="A426" s="4"/>
      <c r="B426" s="4"/>
      <c r="C426" s="4"/>
      <c r="H426" s="113"/>
      <c r="I426" s="113"/>
      <c r="J426" s="113"/>
    </row>
    <row r="427" ht="14.25" customHeight="1">
      <c r="A427" s="4"/>
      <c r="B427" s="4"/>
      <c r="C427" s="4"/>
      <c r="H427" s="113"/>
      <c r="I427" s="113"/>
      <c r="J427" s="113"/>
    </row>
    <row r="428" ht="14.25" customHeight="1">
      <c r="A428" s="4"/>
      <c r="B428" s="4"/>
      <c r="C428" s="4"/>
      <c r="H428" s="113"/>
      <c r="I428" s="113"/>
      <c r="J428" s="113"/>
    </row>
    <row r="429" ht="14.25" customHeight="1">
      <c r="A429" s="4"/>
      <c r="B429" s="4"/>
      <c r="C429" s="4"/>
      <c r="H429" s="113"/>
      <c r="I429" s="113"/>
      <c r="J429" s="113"/>
    </row>
    <row r="430" ht="14.25" customHeight="1">
      <c r="A430" s="4"/>
      <c r="B430" s="4"/>
      <c r="C430" s="4"/>
      <c r="H430" s="113"/>
      <c r="I430" s="113"/>
      <c r="J430" s="113"/>
    </row>
    <row r="431" ht="14.25" customHeight="1">
      <c r="A431" s="4"/>
      <c r="B431" s="4"/>
      <c r="C431" s="4"/>
      <c r="H431" s="113"/>
      <c r="I431" s="113"/>
      <c r="J431" s="113"/>
    </row>
    <row r="432" ht="14.25" customHeight="1">
      <c r="A432" s="4"/>
      <c r="B432" s="4"/>
      <c r="C432" s="4"/>
      <c r="H432" s="113"/>
      <c r="I432" s="113"/>
      <c r="J432" s="113"/>
    </row>
    <row r="433" ht="14.25" customHeight="1">
      <c r="A433" s="4"/>
      <c r="B433" s="4"/>
      <c r="C433" s="4"/>
      <c r="H433" s="113"/>
      <c r="I433" s="113"/>
      <c r="J433" s="113"/>
    </row>
    <row r="434" ht="14.25" customHeight="1">
      <c r="A434" s="4"/>
      <c r="B434" s="4"/>
      <c r="C434" s="4"/>
      <c r="H434" s="113"/>
      <c r="I434" s="113"/>
      <c r="J434" s="113"/>
    </row>
    <row r="435" ht="14.25" customHeight="1">
      <c r="A435" s="4"/>
      <c r="B435" s="4"/>
      <c r="C435" s="4"/>
      <c r="H435" s="113"/>
      <c r="I435" s="113"/>
      <c r="J435" s="113"/>
    </row>
    <row r="436" ht="14.25" customHeight="1">
      <c r="A436" s="4"/>
      <c r="B436" s="4"/>
      <c r="C436" s="4"/>
      <c r="H436" s="113"/>
      <c r="I436" s="113"/>
      <c r="J436" s="113"/>
    </row>
    <row r="437" ht="14.25" customHeight="1">
      <c r="A437" s="4"/>
      <c r="B437" s="4"/>
      <c r="C437" s="4"/>
      <c r="H437" s="113"/>
      <c r="I437" s="113"/>
      <c r="J437" s="113"/>
    </row>
    <row r="438" ht="14.25" customHeight="1">
      <c r="A438" s="4"/>
      <c r="B438" s="4"/>
      <c r="C438" s="4"/>
      <c r="H438" s="113"/>
      <c r="I438" s="113"/>
      <c r="J438" s="113"/>
    </row>
    <row r="439" ht="14.25" customHeight="1">
      <c r="A439" s="4"/>
      <c r="B439" s="4"/>
      <c r="C439" s="4"/>
      <c r="H439" s="113"/>
      <c r="I439" s="113"/>
      <c r="J439" s="113"/>
    </row>
    <row r="440" ht="14.25" customHeight="1">
      <c r="A440" s="4"/>
      <c r="B440" s="4"/>
      <c r="C440" s="4"/>
      <c r="H440" s="113"/>
      <c r="I440" s="113"/>
      <c r="J440" s="113"/>
    </row>
    <row r="441" ht="14.25" customHeight="1">
      <c r="A441" s="4"/>
      <c r="B441" s="4"/>
      <c r="C441" s="4"/>
      <c r="H441" s="113"/>
      <c r="I441" s="113"/>
      <c r="J441" s="113"/>
    </row>
    <row r="442" ht="14.25" customHeight="1">
      <c r="A442" s="4"/>
      <c r="B442" s="4"/>
      <c r="C442" s="4"/>
      <c r="H442" s="113"/>
      <c r="I442" s="113"/>
      <c r="J442" s="113"/>
    </row>
    <row r="443" ht="14.25" customHeight="1">
      <c r="A443" s="4"/>
      <c r="B443" s="4"/>
      <c r="C443" s="4"/>
      <c r="H443" s="113"/>
      <c r="I443" s="113"/>
      <c r="J443" s="113"/>
    </row>
    <row r="444" ht="14.25" customHeight="1">
      <c r="A444" s="4"/>
      <c r="B444" s="4"/>
      <c r="C444" s="4"/>
      <c r="H444" s="113"/>
      <c r="I444" s="113"/>
      <c r="J444" s="113"/>
    </row>
    <row r="445" ht="14.25" customHeight="1">
      <c r="A445" s="4"/>
      <c r="B445" s="4"/>
      <c r="C445" s="4"/>
      <c r="H445" s="113"/>
      <c r="I445" s="113"/>
      <c r="J445" s="113"/>
    </row>
    <row r="446" ht="14.25" customHeight="1">
      <c r="A446" s="4"/>
      <c r="B446" s="4"/>
      <c r="C446" s="4"/>
      <c r="H446" s="113"/>
      <c r="I446" s="113"/>
      <c r="J446" s="113"/>
    </row>
    <row r="447" ht="14.25" customHeight="1">
      <c r="A447" s="4"/>
      <c r="B447" s="4"/>
      <c r="C447" s="4"/>
      <c r="H447" s="113"/>
      <c r="I447" s="113"/>
      <c r="J447" s="113"/>
    </row>
    <row r="448" ht="14.25" customHeight="1">
      <c r="A448" s="4"/>
      <c r="B448" s="4"/>
      <c r="C448" s="4"/>
      <c r="H448" s="113"/>
      <c r="I448" s="113"/>
      <c r="J448" s="113"/>
    </row>
    <row r="449" ht="14.25" customHeight="1">
      <c r="A449" s="4"/>
      <c r="B449" s="4"/>
      <c r="C449" s="4"/>
      <c r="H449" s="113"/>
      <c r="I449" s="113"/>
      <c r="J449" s="113"/>
    </row>
    <row r="450" ht="14.25" customHeight="1">
      <c r="A450" s="4"/>
      <c r="B450" s="4"/>
      <c r="C450" s="4"/>
      <c r="H450" s="113"/>
      <c r="I450" s="113"/>
      <c r="J450" s="113"/>
    </row>
    <row r="451" ht="14.25" customHeight="1">
      <c r="A451" s="4"/>
      <c r="B451" s="4"/>
      <c r="C451" s="4"/>
      <c r="H451" s="113"/>
      <c r="I451" s="113"/>
      <c r="J451" s="113"/>
    </row>
    <row r="452" ht="14.25" customHeight="1">
      <c r="A452" s="4"/>
      <c r="B452" s="4"/>
      <c r="C452" s="4"/>
      <c r="H452" s="113"/>
      <c r="I452" s="113"/>
      <c r="J452" s="113"/>
    </row>
    <row r="453" ht="14.25" customHeight="1">
      <c r="A453" s="4"/>
      <c r="B453" s="4"/>
      <c r="C453" s="4"/>
      <c r="H453" s="113"/>
      <c r="I453" s="113"/>
      <c r="J453" s="113"/>
    </row>
    <row r="454" ht="14.25" customHeight="1">
      <c r="A454" s="4"/>
      <c r="B454" s="4"/>
      <c r="C454" s="4"/>
      <c r="H454" s="113"/>
      <c r="I454" s="113"/>
      <c r="J454" s="113"/>
    </row>
    <row r="455" ht="14.25" customHeight="1">
      <c r="A455" s="4"/>
      <c r="B455" s="4"/>
      <c r="C455" s="4"/>
      <c r="H455" s="113"/>
      <c r="I455" s="113"/>
      <c r="J455" s="113"/>
    </row>
    <row r="456" ht="14.25" customHeight="1">
      <c r="A456" s="4"/>
      <c r="B456" s="4"/>
      <c r="C456" s="4"/>
      <c r="H456" s="113"/>
      <c r="I456" s="113"/>
      <c r="J456" s="113"/>
    </row>
    <row r="457" ht="14.25" customHeight="1">
      <c r="A457" s="4"/>
      <c r="B457" s="4"/>
      <c r="C457" s="4"/>
      <c r="H457" s="113"/>
      <c r="I457" s="113"/>
      <c r="J457" s="113"/>
    </row>
    <row r="458" ht="14.25" customHeight="1">
      <c r="A458" s="4"/>
      <c r="B458" s="4"/>
      <c r="C458" s="4"/>
      <c r="H458" s="113"/>
      <c r="I458" s="113"/>
      <c r="J458" s="113"/>
    </row>
    <row r="459" ht="14.25" customHeight="1">
      <c r="A459" s="4"/>
      <c r="B459" s="4"/>
      <c r="C459" s="4"/>
      <c r="H459" s="113"/>
      <c r="I459" s="113"/>
      <c r="J459" s="113"/>
    </row>
    <row r="460" ht="14.25" customHeight="1">
      <c r="A460" s="4"/>
      <c r="B460" s="4"/>
      <c r="C460" s="4"/>
      <c r="H460" s="113"/>
      <c r="I460" s="113"/>
      <c r="J460" s="113"/>
    </row>
    <row r="461" ht="14.25" customHeight="1">
      <c r="A461" s="4"/>
      <c r="B461" s="4"/>
      <c r="C461" s="4"/>
      <c r="H461" s="113"/>
      <c r="I461" s="113"/>
      <c r="J461" s="113"/>
    </row>
    <row r="462" ht="14.25" customHeight="1">
      <c r="A462" s="4"/>
      <c r="B462" s="4"/>
      <c r="C462" s="4"/>
      <c r="H462" s="113"/>
      <c r="I462" s="113"/>
      <c r="J462" s="113"/>
    </row>
    <row r="463" ht="14.25" customHeight="1">
      <c r="A463" s="4"/>
      <c r="B463" s="4"/>
      <c r="C463" s="4"/>
      <c r="H463" s="113"/>
      <c r="I463" s="113"/>
      <c r="J463" s="113"/>
    </row>
    <row r="464" ht="14.25" customHeight="1">
      <c r="A464" s="4"/>
      <c r="B464" s="4"/>
      <c r="C464" s="4"/>
      <c r="H464" s="113"/>
      <c r="I464" s="113"/>
      <c r="J464" s="113"/>
    </row>
    <row r="465" ht="14.25" customHeight="1">
      <c r="A465" s="4"/>
      <c r="B465" s="4"/>
      <c r="C465" s="4"/>
      <c r="H465" s="113"/>
      <c r="I465" s="113"/>
      <c r="J465" s="113"/>
    </row>
    <row r="466" ht="14.25" customHeight="1">
      <c r="A466" s="4"/>
      <c r="B466" s="4"/>
      <c r="C466" s="4"/>
      <c r="H466" s="113"/>
      <c r="I466" s="113"/>
      <c r="J466" s="113"/>
    </row>
    <row r="467" ht="14.25" customHeight="1">
      <c r="A467" s="4"/>
      <c r="B467" s="4"/>
      <c r="C467" s="4"/>
      <c r="H467" s="113"/>
      <c r="I467" s="113"/>
      <c r="J467" s="113"/>
    </row>
    <row r="468" ht="14.25" customHeight="1">
      <c r="A468" s="4"/>
      <c r="B468" s="4"/>
      <c r="C468" s="4"/>
      <c r="H468" s="113"/>
      <c r="I468" s="113"/>
      <c r="J468" s="113"/>
    </row>
    <row r="469" ht="14.25" customHeight="1">
      <c r="A469" s="4"/>
      <c r="B469" s="4"/>
      <c r="C469" s="4"/>
      <c r="H469" s="113"/>
      <c r="I469" s="113"/>
      <c r="J469" s="113"/>
    </row>
    <row r="470" ht="14.25" customHeight="1">
      <c r="A470" s="4"/>
      <c r="B470" s="4"/>
      <c r="C470" s="4"/>
      <c r="H470" s="113"/>
      <c r="I470" s="113"/>
      <c r="J470" s="113"/>
    </row>
    <row r="471" ht="14.25" customHeight="1">
      <c r="A471" s="4"/>
      <c r="B471" s="4"/>
      <c r="C471" s="4"/>
      <c r="H471" s="113"/>
      <c r="I471" s="113"/>
      <c r="J471" s="113"/>
    </row>
    <row r="472" ht="14.25" customHeight="1">
      <c r="A472" s="4"/>
      <c r="B472" s="4"/>
      <c r="C472" s="4"/>
      <c r="H472" s="113"/>
      <c r="I472" s="113"/>
      <c r="J472" s="113"/>
    </row>
    <row r="473" ht="14.25" customHeight="1">
      <c r="A473" s="4"/>
      <c r="B473" s="4"/>
      <c r="C473" s="4"/>
      <c r="H473" s="113"/>
      <c r="I473" s="113"/>
      <c r="J473" s="113"/>
    </row>
    <row r="474" ht="14.25" customHeight="1">
      <c r="A474" s="4"/>
      <c r="B474" s="4"/>
      <c r="C474" s="4"/>
      <c r="H474" s="113"/>
      <c r="I474" s="113"/>
      <c r="J474" s="113"/>
    </row>
    <row r="475" ht="14.25" customHeight="1">
      <c r="A475" s="4"/>
      <c r="B475" s="4"/>
      <c r="C475" s="4"/>
      <c r="H475" s="113"/>
      <c r="I475" s="113"/>
      <c r="J475" s="113"/>
    </row>
    <row r="476" ht="14.25" customHeight="1">
      <c r="A476" s="4"/>
      <c r="B476" s="4"/>
      <c r="C476" s="4"/>
      <c r="H476" s="113"/>
      <c r="I476" s="113"/>
      <c r="J476" s="113"/>
    </row>
    <row r="477" ht="14.25" customHeight="1">
      <c r="A477" s="4"/>
      <c r="B477" s="4"/>
      <c r="C477" s="4"/>
      <c r="H477" s="113"/>
      <c r="I477" s="113"/>
      <c r="J477" s="113"/>
    </row>
    <row r="478" ht="14.25" customHeight="1">
      <c r="A478" s="4"/>
      <c r="B478" s="4"/>
      <c r="C478" s="4"/>
      <c r="H478" s="113"/>
      <c r="I478" s="113"/>
      <c r="J478" s="113"/>
    </row>
    <row r="479" ht="14.25" customHeight="1">
      <c r="A479" s="4"/>
      <c r="B479" s="4"/>
      <c r="C479" s="4"/>
      <c r="H479" s="113"/>
      <c r="I479" s="113"/>
      <c r="J479" s="113"/>
    </row>
    <row r="480" ht="14.25" customHeight="1">
      <c r="A480" s="4"/>
      <c r="B480" s="4"/>
      <c r="C480" s="4"/>
      <c r="H480" s="113"/>
      <c r="I480" s="113"/>
      <c r="J480" s="113"/>
    </row>
    <row r="481" ht="14.25" customHeight="1">
      <c r="A481" s="4"/>
      <c r="B481" s="4"/>
      <c r="C481" s="4"/>
      <c r="H481" s="113"/>
      <c r="I481" s="113"/>
      <c r="J481" s="113"/>
    </row>
    <row r="482" ht="14.25" customHeight="1">
      <c r="A482" s="4"/>
      <c r="B482" s="4"/>
      <c r="C482" s="4"/>
      <c r="H482" s="113"/>
      <c r="I482" s="113"/>
      <c r="J482" s="113"/>
    </row>
    <row r="483" ht="14.25" customHeight="1">
      <c r="A483" s="4"/>
      <c r="B483" s="4"/>
      <c r="C483" s="4"/>
      <c r="H483" s="113"/>
      <c r="I483" s="113"/>
      <c r="J483" s="113"/>
    </row>
    <row r="484" ht="14.25" customHeight="1">
      <c r="A484" s="4"/>
      <c r="B484" s="4"/>
      <c r="C484" s="4"/>
      <c r="H484" s="113"/>
      <c r="I484" s="113"/>
      <c r="J484" s="113"/>
    </row>
    <row r="485" ht="14.25" customHeight="1">
      <c r="A485" s="4"/>
      <c r="B485" s="4"/>
      <c r="C485" s="4"/>
      <c r="H485" s="113"/>
      <c r="I485" s="113"/>
      <c r="J485" s="113"/>
    </row>
    <row r="486" ht="14.25" customHeight="1">
      <c r="A486" s="4"/>
      <c r="B486" s="4"/>
      <c r="C486" s="4"/>
      <c r="H486" s="113"/>
      <c r="I486" s="113"/>
      <c r="J486" s="113"/>
    </row>
    <row r="487" ht="14.25" customHeight="1">
      <c r="A487" s="4"/>
      <c r="B487" s="4"/>
      <c r="C487" s="4"/>
      <c r="H487" s="113"/>
      <c r="I487" s="113"/>
      <c r="J487" s="113"/>
    </row>
    <row r="488" ht="14.25" customHeight="1">
      <c r="A488" s="4"/>
      <c r="B488" s="4"/>
      <c r="C488" s="4"/>
      <c r="H488" s="113"/>
      <c r="I488" s="113"/>
      <c r="J488" s="113"/>
    </row>
    <row r="489" ht="14.25" customHeight="1">
      <c r="A489" s="4"/>
      <c r="B489" s="4"/>
      <c r="C489" s="4"/>
      <c r="H489" s="113"/>
      <c r="I489" s="113"/>
      <c r="J489" s="113"/>
    </row>
    <row r="490" ht="14.25" customHeight="1">
      <c r="A490" s="4"/>
      <c r="B490" s="4"/>
      <c r="C490" s="4"/>
      <c r="H490" s="113"/>
      <c r="I490" s="113"/>
      <c r="J490" s="113"/>
    </row>
    <row r="491" ht="14.25" customHeight="1">
      <c r="A491" s="4"/>
      <c r="B491" s="4"/>
      <c r="C491" s="4"/>
      <c r="H491" s="113"/>
      <c r="I491" s="113"/>
      <c r="J491" s="113"/>
    </row>
    <row r="492" ht="14.25" customHeight="1">
      <c r="A492" s="4"/>
      <c r="B492" s="4"/>
      <c r="C492" s="4"/>
      <c r="H492" s="113"/>
      <c r="I492" s="113"/>
      <c r="J492" s="113"/>
    </row>
    <row r="493" ht="14.25" customHeight="1">
      <c r="A493" s="4"/>
      <c r="B493" s="4"/>
      <c r="C493" s="4"/>
      <c r="H493" s="113"/>
      <c r="I493" s="113"/>
      <c r="J493" s="113"/>
    </row>
    <row r="494" ht="14.25" customHeight="1">
      <c r="A494" s="4"/>
      <c r="B494" s="4"/>
      <c r="C494" s="4"/>
      <c r="H494" s="113"/>
      <c r="I494" s="113"/>
      <c r="J494" s="113"/>
    </row>
    <row r="495" ht="14.25" customHeight="1">
      <c r="A495" s="4"/>
      <c r="B495" s="4"/>
      <c r="C495" s="4"/>
      <c r="H495" s="113"/>
      <c r="I495" s="113"/>
      <c r="J495" s="113"/>
    </row>
    <row r="496" ht="14.25" customHeight="1">
      <c r="A496" s="4"/>
      <c r="B496" s="4"/>
      <c r="C496" s="4"/>
      <c r="H496" s="113"/>
      <c r="I496" s="113"/>
      <c r="J496" s="113"/>
    </row>
    <row r="497" ht="14.25" customHeight="1">
      <c r="A497" s="4"/>
      <c r="B497" s="4"/>
      <c r="C497" s="4"/>
      <c r="H497" s="113"/>
      <c r="I497" s="113"/>
      <c r="J497" s="113"/>
    </row>
    <row r="498" ht="14.25" customHeight="1">
      <c r="A498" s="4"/>
      <c r="B498" s="4"/>
      <c r="C498" s="4"/>
      <c r="H498" s="113"/>
      <c r="I498" s="113"/>
      <c r="J498" s="113"/>
    </row>
    <row r="499" ht="14.25" customHeight="1">
      <c r="A499" s="4"/>
      <c r="B499" s="4"/>
      <c r="C499" s="4"/>
      <c r="H499" s="113"/>
      <c r="I499" s="113"/>
      <c r="J499" s="113"/>
    </row>
    <row r="500" ht="14.25" customHeight="1">
      <c r="A500" s="4"/>
      <c r="B500" s="4"/>
      <c r="C500" s="4"/>
      <c r="H500" s="113"/>
      <c r="I500" s="113"/>
      <c r="J500" s="113"/>
    </row>
    <row r="501" ht="14.25" customHeight="1">
      <c r="A501" s="4"/>
      <c r="B501" s="4"/>
      <c r="C501" s="4"/>
      <c r="H501" s="113"/>
      <c r="I501" s="113"/>
      <c r="J501" s="113"/>
    </row>
    <row r="502" ht="14.25" customHeight="1">
      <c r="A502" s="4"/>
      <c r="B502" s="4"/>
      <c r="C502" s="4"/>
      <c r="H502" s="113"/>
      <c r="I502" s="113"/>
      <c r="J502" s="113"/>
    </row>
    <row r="503" ht="14.25" customHeight="1">
      <c r="A503" s="4"/>
      <c r="B503" s="4"/>
      <c r="C503" s="4"/>
      <c r="H503" s="113"/>
      <c r="I503" s="113"/>
      <c r="J503" s="113"/>
    </row>
    <row r="504" ht="14.25" customHeight="1">
      <c r="A504" s="4"/>
      <c r="B504" s="4"/>
      <c r="C504" s="4"/>
      <c r="H504" s="113"/>
      <c r="I504" s="113"/>
      <c r="J504" s="113"/>
    </row>
    <row r="505" ht="14.25" customHeight="1">
      <c r="A505" s="4"/>
      <c r="B505" s="4"/>
      <c r="C505" s="4"/>
      <c r="H505" s="113"/>
      <c r="I505" s="113"/>
      <c r="J505" s="113"/>
    </row>
    <row r="506" ht="14.25" customHeight="1">
      <c r="A506" s="4"/>
      <c r="B506" s="4"/>
      <c r="C506" s="4"/>
      <c r="H506" s="113"/>
      <c r="I506" s="113"/>
      <c r="J506" s="113"/>
    </row>
    <row r="507" ht="14.25" customHeight="1">
      <c r="A507" s="4"/>
      <c r="B507" s="4"/>
      <c r="C507" s="4"/>
      <c r="H507" s="113"/>
      <c r="I507" s="113"/>
      <c r="J507" s="113"/>
    </row>
    <row r="508" ht="14.25" customHeight="1">
      <c r="A508" s="4"/>
      <c r="B508" s="4"/>
      <c r="C508" s="4"/>
      <c r="H508" s="113"/>
      <c r="I508" s="113"/>
      <c r="J508" s="113"/>
    </row>
    <row r="509" ht="14.25" customHeight="1">
      <c r="A509" s="4"/>
      <c r="B509" s="4"/>
      <c r="C509" s="4"/>
      <c r="H509" s="113"/>
      <c r="I509" s="113"/>
      <c r="J509" s="113"/>
    </row>
    <row r="510" ht="14.25" customHeight="1">
      <c r="A510" s="4"/>
      <c r="B510" s="4"/>
      <c r="C510" s="4"/>
      <c r="H510" s="113"/>
      <c r="I510" s="113"/>
      <c r="J510" s="113"/>
    </row>
    <row r="511" ht="14.25" customHeight="1">
      <c r="A511" s="4"/>
      <c r="B511" s="4"/>
      <c r="C511" s="4"/>
      <c r="H511" s="113"/>
      <c r="I511" s="113"/>
      <c r="J511" s="113"/>
    </row>
    <row r="512" ht="14.25" customHeight="1">
      <c r="A512" s="4"/>
      <c r="B512" s="4"/>
      <c r="C512" s="4"/>
      <c r="H512" s="113"/>
      <c r="I512" s="113"/>
      <c r="J512" s="113"/>
    </row>
    <row r="513" ht="14.25" customHeight="1">
      <c r="A513" s="4"/>
      <c r="B513" s="4"/>
      <c r="C513" s="4"/>
      <c r="H513" s="113"/>
      <c r="I513" s="113"/>
      <c r="J513" s="113"/>
    </row>
    <row r="514" ht="14.25" customHeight="1">
      <c r="A514" s="4"/>
      <c r="B514" s="4"/>
      <c r="C514" s="4"/>
      <c r="H514" s="113"/>
      <c r="I514" s="113"/>
      <c r="J514" s="113"/>
    </row>
    <row r="515" ht="14.25" customHeight="1">
      <c r="A515" s="4"/>
      <c r="B515" s="4"/>
      <c r="C515" s="4"/>
      <c r="H515" s="113"/>
      <c r="I515" s="113"/>
      <c r="J515" s="113"/>
    </row>
    <row r="516" ht="14.25" customHeight="1">
      <c r="A516" s="4"/>
      <c r="B516" s="4"/>
      <c r="C516" s="4"/>
      <c r="H516" s="113"/>
      <c r="I516" s="113"/>
      <c r="J516" s="113"/>
    </row>
    <row r="517" ht="14.25" customHeight="1">
      <c r="A517" s="4"/>
      <c r="B517" s="4"/>
      <c r="C517" s="4"/>
      <c r="H517" s="113"/>
      <c r="I517" s="113"/>
      <c r="J517" s="113"/>
    </row>
    <row r="518" ht="14.25" customHeight="1">
      <c r="A518" s="4"/>
      <c r="B518" s="4"/>
      <c r="C518" s="4"/>
      <c r="H518" s="113"/>
      <c r="I518" s="113"/>
      <c r="J518" s="113"/>
    </row>
    <row r="519" ht="14.25" customHeight="1">
      <c r="A519" s="4"/>
      <c r="B519" s="4"/>
      <c r="C519" s="4"/>
      <c r="H519" s="113"/>
      <c r="I519" s="113"/>
      <c r="J519" s="113"/>
    </row>
    <row r="520" ht="14.25" customHeight="1">
      <c r="A520" s="4"/>
      <c r="B520" s="4"/>
      <c r="C520" s="4"/>
      <c r="H520" s="113"/>
      <c r="I520" s="113"/>
      <c r="J520" s="113"/>
    </row>
    <row r="521" ht="14.25" customHeight="1">
      <c r="A521" s="4"/>
      <c r="B521" s="4"/>
      <c r="C521" s="4"/>
      <c r="H521" s="113"/>
      <c r="I521" s="113"/>
      <c r="J521" s="113"/>
    </row>
    <row r="522" ht="14.25" customHeight="1">
      <c r="A522" s="4"/>
      <c r="B522" s="4"/>
      <c r="C522" s="4"/>
      <c r="H522" s="113"/>
      <c r="I522" s="113"/>
      <c r="J522" s="113"/>
    </row>
    <row r="523" ht="14.25" customHeight="1">
      <c r="A523" s="4"/>
      <c r="B523" s="4"/>
      <c r="C523" s="4"/>
      <c r="H523" s="113"/>
      <c r="I523" s="113"/>
      <c r="J523" s="113"/>
    </row>
    <row r="524" ht="14.25" customHeight="1">
      <c r="A524" s="4"/>
      <c r="B524" s="4"/>
      <c r="C524" s="4"/>
      <c r="H524" s="113"/>
      <c r="I524" s="113"/>
      <c r="J524" s="113"/>
    </row>
    <row r="525" ht="14.25" customHeight="1">
      <c r="A525" s="4"/>
      <c r="B525" s="4"/>
      <c r="C525" s="4"/>
      <c r="H525" s="113"/>
      <c r="I525" s="113"/>
      <c r="J525" s="113"/>
    </row>
    <row r="526" ht="14.25" customHeight="1">
      <c r="A526" s="4"/>
      <c r="B526" s="4"/>
      <c r="C526" s="4"/>
      <c r="H526" s="113"/>
      <c r="I526" s="113"/>
      <c r="J526" s="113"/>
    </row>
    <row r="527" ht="14.25" customHeight="1">
      <c r="A527" s="4"/>
      <c r="B527" s="4"/>
      <c r="C527" s="4"/>
      <c r="H527" s="113"/>
      <c r="I527" s="113"/>
      <c r="J527" s="113"/>
    </row>
    <row r="528" ht="14.25" customHeight="1">
      <c r="A528" s="4"/>
      <c r="B528" s="4"/>
      <c r="C528" s="4"/>
      <c r="H528" s="113"/>
      <c r="I528" s="113"/>
      <c r="J528" s="113"/>
    </row>
    <row r="529" ht="14.25" customHeight="1">
      <c r="A529" s="4"/>
      <c r="B529" s="4"/>
      <c r="C529" s="4"/>
      <c r="H529" s="113"/>
      <c r="I529" s="113"/>
      <c r="J529" s="113"/>
    </row>
    <row r="530" ht="14.25" customHeight="1">
      <c r="A530" s="4"/>
      <c r="B530" s="4"/>
      <c r="C530" s="4"/>
      <c r="H530" s="113"/>
      <c r="I530" s="113"/>
      <c r="J530" s="113"/>
    </row>
    <row r="531" ht="14.25" customHeight="1">
      <c r="A531" s="4"/>
      <c r="B531" s="4"/>
      <c r="C531" s="4"/>
      <c r="H531" s="113"/>
      <c r="I531" s="113"/>
      <c r="J531" s="113"/>
    </row>
    <row r="532" ht="14.25" customHeight="1">
      <c r="A532" s="4"/>
      <c r="B532" s="4"/>
      <c r="C532" s="4"/>
      <c r="H532" s="113"/>
      <c r="I532" s="113"/>
      <c r="J532" s="113"/>
    </row>
    <row r="533" ht="14.25" customHeight="1">
      <c r="A533" s="4"/>
      <c r="B533" s="4"/>
      <c r="C533" s="4"/>
      <c r="H533" s="113"/>
      <c r="I533" s="113"/>
      <c r="J533" s="113"/>
    </row>
    <row r="534" ht="14.25" customHeight="1">
      <c r="A534" s="4"/>
      <c r="B534" s="4"/>
      <c r="C534" s="4"/>
      <c r="H534" s="113"/>
      <c r="I534" s="113"/>
      <c r="J534" s="113"/>
    </row>
    <row r="535" ht="14.25" customHeight="1">
      <c r="A535" s="4"/>
      <c r="B535" s="4"/>
      <c r="C535" s="4"/>
      <c r="H535" s="113"/>
      <c r="I535" s="113"/>
      <c r="J535" s="113"/>
    </row>
    <row r="536" ht="14.25" customHeight="1">
      <c r="A536" s="4"/>
      <c r="B536" s="4"/>
      <c r="C536" s="4"/>
      <c r="H536" s="113"/>
      <c r="I536" s="113"/>
      <c r="J536" s="113"/>
    </row>
    <row r="537" ht="14.25" customHeight="1">
      <c r="A537" s="4"/>
      <c r="B537" s="4"/>
      <c r="C537" s="4"/>
      <c r="H537" s="113"/>
      <c r="I537" s="113"/>
      <c r="J537" s="113"/>
    </row>
    <row r="538" ht="14.25" customHeight="1">
      <c r="A538" s="4"/>
      <c r="B538" s="4"/>
      <c r="C538" s="4"/>
      <c r="H538" s="113"/>
      <c r="I538" s="113"/>
      <c r="J538" s="113"/>
    </row>
    <row r="539" ht="14.25" customHeight="1">
      <c r="A539" s="4"/>
      <c r="B539" s="4"/>
      <c r="C539" s="4"/>
      <c r="H539" s="113"/>
      <c r="I539" s="113"/>
      <c r="J539" s="113"/>
    </row>
    <row r="540" ht="14.25" customHeight="1">
      <c r="A540" s="4"/>
      <c r="B540" s="4"/>
      <c r="C540" s="4"/>
      <c r="H540" s="113"/>
      <c r="I540" s="113"/>
      <c r="J540" s="113"/>
    </row>
    <row r="541" ht="14.25" customHeight="1">
      <c r="A541" s="4"/>
      <c r="B541" s="4"/>
      <c r="C541" s="4"/>
      <c r="H541" s="113"/>
      <c r="I541" s="113"/>
      <c r="J541" s="113"/>
    </row>
    <row r="542" ht="14.25" customHeight="1">
      <c r="A542" s="4"/>
      <c r="B542" s="4"/>
      <c r="C542" s="4"/>
      <c r="H542" s="113"/>
      <c r="I542" s="113"/>
      <c r="J542" s="113"/>
    </row>
    <row r="543" ht="14.25" customHeight="1">
      <c r="A543" s="4"/>
      <c r="B543" s="4"/>
      <c r="C543" s="4"/>
      <c r="H543" s="113"/>
      <c r="I543" s="113"/>
      <c r="J543" s="113"/>
    </row>
    <row r="544" ht="14.25" customHeight="1">
      <c r="A544" s="4"/>
      <c r="B544" s="4"/>
      <c r="C544" s="4"/>
      <c r="H544" s="113"/>
      <c r="I544" s="113"/>
      <c r="J544" s="113"/>
    </row>
    <row r="545" ht="14.25" customHeight="1">
      <c r="A545" s="4"/>
      <c r="B545" s="4"/>
      <c r="C545" s="4"/>
      <c r="H545" s="113"/>
      <c r="I545" s="113"/>
      <c r="J545" s="113"/>
    </row>
    <row r="546" ht="14.25" customHeight="1">
      <c r="A546" s="4"/>
      <c r="B546" s="4"/>
      <c r="C546" s="4"/>
      <c r="H546" s="113"/>
      <c r="I546" s="113"/>
      <c r="J546" s="113"/>
    </row>
    <row r="547" ht="14.25" customHeight="1">
      <c r="A547" s="4"/>
      <c r="B547" s="4"/>
      <c r="C547" s="4"/>
      <c r="H547" s="113"/>
      <c r="I547" s="113"/>
      <c r="J547" s="113"/>
    </row>
    <row r="548" ht="14.25" customHeight="1">
      <c r="A548" s="4"/>
      <c r="B548" s="4"/>
      <c r="C548" s="4"/>
      <c r="H548" s="113"/>
      <c r="I548" s="113"/>
      <c r="J548" s="113"/>
    </row>
    <row r="549" ht="14.25" customHeight="1">
      <c r="A549" s="4"/>
      <c r="B549" s="4"/>
      <c r="C549" s="4"/>
      <c r="H549" s="113"/>
      <c r="I549" s="113"/>
      <c r="J549" s="113"/>
    </row>
    <row r="550" ht="14.25" customHeight="1">
      <c r="A550" s="4"/>
      <c r="B550" s="4"/>
      <c r="C550" s="4"/>
      <c r="H550" s="113"/>
      <c r="I550" s="113"/>
      <c r="J550" s="113"/>
    </row>
    <row r="551" ht="14.25" customHeight="1">
      <c r="A551" s="4"/>
      <c r="B551" s="4"/>
      <c r="C551" s="4"/>
      <c r="H551" s="113"/>
      <c r="I551" s="113"/>
      <c r="J551" s="113"/>
    </row>
    <row r="552" ht="14.25" customHeight="1">
      <c r="A552" s="4"/>
      <c r="B552" s="4"/>
      <c r="C552" s="4"/>
      <c r="H552" s="113"/>
      <c r="I552" s="113"/>
      <c r="J552" s="113"/>
    </row>
    <row r="553" ht="14.25" customHeight="1">
      <c r="A553" s="4"/>
      <c r="B553" s="4"/>
      <c r="C553" s="4"/>
      <c r="H553" s="113"/>
      <c r="I553" s="113"/>
      <c r="J553" s="113"/>
    </row>
    <row r="554" ht="14.25" customHeight="1">
      <c r="A554" s="4"/>
      <c r="B554" s="4"/>
      <c r="C554" s="4"/>
      <c r="H554" s="113"/>
      <c r="I554" s="113"/>
      <c r="J554" s="113"/>
    </row>
    <row r="555" ht="14.25" customHeight="1">
      <c r="A555" s="4"/>
      <c r="B555" s="4"/>
      <c r="C555" s="4"/>
      <c r="H555" s="113"/>
      <c r="I555" s="113"/>
      <c r="J555" s="113"/>
    </row>
    <row r="556" ht="14.25" customHeight="1">
      <c r="A556" s="4"/>
      <c r="B556" s="4"/>
      <c r="C556" s="4"/>
      <c r="H556" s="113"/>
      <c r="I556" s="113"/>
      <c r="J556" s="113"/>
    </row>
    <row r="557" ht="14.25" customHeight="1">
      <c r="A557" s="4"/>
      <c r="B557" s="4"/>
      <c r="C557" s="4"/>
      <c r="H557" s="113"/>
      <c r="I557" s="113"/>
      <c r="J557" s="113"/>
    </row>
    <row r="558" ht="14.25" customHeight="1">
      <c r="A558" s="4"/>
      <c r="B558" s="4"/>
      <c r="C558" s="4"/>
      <c r="H558" s="113"/>
      <c r="I558" s="113"/>
      <c r="J558" s="113"/>
    </row>
    <row r="559" ht="14.25" customHeight="1">
      <c r="A559" s="4"/>
      <c r="B559" s="4"/>
      <c r="C559" s="4"/>
      <c r="H559" s="113"/>
      <c r="I559" s="113"/>
      <c r="J559" s="113"/>
    </row>
    <row r="560" ht="14.25" customHeight="1">
      <c r="A560" s="4"/>
      <c r="B560" s="4"/>
      <c r="C560" s="4"/>
      <c r="H560" s="113"/>
      <c r="I560" s="113"/>
      <c r="J560" s="113"/>
    </row>
    <row r="561" ht="14.25" customHeight="1">
      <c r="A561" s="4"/>
      <c r="B561" s="4"/>
      <c r="C561" s="4"/>
      <c r="H561" s="113"/>
      <c r="I561" s="113"/>
      <c r="J561" s="113"/>
    </row>
    <row r="562" ht="14.25" customHeight="1">
      <c r="A562" s="4"/>
      <c r="B562" s="4"/>
      <c r="C562" s="4"/>
      <c r="H562" s="113"/>
      <c r="I562" s="113"/>
      <c r="J562" s="113"/>
    </row>
    <row r="563" ht="14.25" customHeight="1">
      <c r="A563" s="4"/>
      <c r="B563" s="4"/>
      <c r="C563" s="4"/>
      <c r="H563" s="113"/>
      <c r="I563" s="113"/>
      <c r="J563" s="113"/>
    </row>
    <row r="564" ht="14.25" customHeight="1">
      <c r="A564" s="4"/>
      <c r="B564" s="4"/>
      <c r="C564" s="4"/>
      <c r="H564" s="113"/>
      <c r="I564" s="113"/>
      <c r="J564" s="113"/>
    </row>
    <row r="565" ht="14.25" customHeight="1">
      <c r="A565" s="4"/>
      <c r="B565" s="4"/>
      <c r="C565" s="4"/>
      <c r="H565" s="113"/>
      <c r="I565" s="113"/>
      <c r="J565" s="113"/>
    </row>
    <row r="566" ht="14.25" customHeight="1">
      <c r="A566" s="4"/>
      <c r="B566" s="4"/>
      <c r="C566" s="4"/>
      <c r="H566" s="113"/>
      <c r="I566" s="113"/>
      <c r="J566" s="113"/>
    </row>
    <row r="567" ht="14.25" customHeight="1">
      <c r="A567" s="4"/>
      <c r="B567" s="4"/>
      <c r="C567" s="4"/>
      <c r="H567" s="113"/>
      <c r="I567" s="113"/>
      <c r="J567" s="113"/>
    </row>
    <row r="568" ht="14.25" customHeight="1">
      <c r="A568" s="4"/>
      <c r="B568" s="4"/>
      <c r="C568" s="4"/>
      <c r="H568" s="113"/>
      <c r="I568" s="113"/>
      <c r="J568" s="113"/>
    </row>
    <row r="569" ht="14.25" customHeight="1">
      <c r="A569" s="4"/>
      <c r="B569" s="4"/>
      <c r="C569" s="4"/>
      <c r="H569" s="113"/>
      <c r="I569" s="113"/>
      <c r="J569" s="113"/>
    </row>
    <row r="570" ht="14.25" customHeight="1">
      <c r="A570" s="4"/>
      <c r="B570" s="4"/>
      <c r="C570" s="4"/>
      <c r="H570" s="113"/>
      <c r="I570" s="113"/>
      <c r="J570" s="113"/>
    </row>
    <row r="571" ht="14.25" customHeight="1">
      <c r="A571" s="4"/>
      <c r="B571" s="4"/>
      <c r="C571" s="4"/>
      <c r="H571" s="113"/>
      <c r="I571" s="113"/>
      <c r="J571" s="113"/>
    </row>
    <row r="572" ht="14.25" customHeight="1">
      <c r="A572" s="4"/>
      <c r="B572" s="4"/>
      <c r="C572" s="4"/>
      <c r="H572" s="113"/>
      <c r="I572" s="113"/>
      <c r="J572" s="113"/>
    </row>
    <row r="573" ht="14.25" customHeight="1">
      <c r="A573" s="4"/>
      <c r="B573" s="4"/>
      <c r="C573" s="4"/>
      <c r="H573" s="113"/>
      <c r="I573" s="113"/>
      <c r="J573" s="113"/>
    </row>
    <row r="574" ht="14.25" customHeight="1">
      <c r="A574" s="4"/>
      <c r="B574" s="4"/>
      <c r="C574" s="4"/>
      <c r="H574" s="113"/>
      <c r="I574" s="113"/>
      <c r="J574" s="113"/>
    </row>
    <row r="575" ht="14.25" customHeight="1">
      <c r="A575" s="4"/>
      <c r="B575" s="4"/>
      <c r="C575" s="4"/>
      <c r="H575" s="113"/>
      <c r="I575" s="113"/>
      <c r="J575" s="113"/>
    </row>
    <row r="576" ht="14.25" customHeight="1">
      <c r="A576" s="4"/>
      <c r="B576" s="4"/>
      <c r="C576" s="4"/>
      <c r="H576" s="113"/>
      <c r="I576" s="113"/>
      <c r="J576" s="113"/>
    </row>
    <row r="577" ht="14.25" customHeight="1">
      <c r="A577" s="4"/>
      <c r="B577" s="4"/>
      <c r="C577" s="4"/>
      <c r="H577" s="113"/>
      <c r="I577" s="113"/>
      <c r="J577" s="113"/>
    </row>
    <row r="578" ht="14.25" customHeight="1">
      <c r="A578" s="4"/>
      <c r="B578" s="4"/>
      <c r="C578" s="4"/>
      <c r="H578" s="113"/>
      <c r="I578" s="113"/>
      <c r="J578" s="113"/>
    </row>
    <row r="579" ht="14.25" customHeight="1">
      <c r="A579" s="4"/>
      <c r="B579" s="4"/>
      <c r="C579" s="4"/>
      <c r="H579" s="113"/>
      <c r="I579" s="113"/>
      <c r="J579" s="113"/>
    </row>
    <row r="580" ht="14.25" customHeight="1">
      <c r="A580" s="4"/>
      <c r="B580" s="4"/>
      <c r="C580" s="4"/>
      <c r="H580" s="113"/>
      <c r="I580" s="113"/>
      <c r="J580" s="113"/>
    </row>
    <row r="581" ht="14.25" customHeight="1">
      <c r="A581" s="4"/>
      <c r="B581" s="4"/>
      <c r="C581" s="4"/>
      <c r="H581" s="113"/>
      <c r="I581" s="113"/>
      <c r="J581" s="113"/>
    </row>
    <row r="582" ht="14.25" customHeight="1">
      <c r="A582" s="4"/>
      <c r="B582" s="4"/>
      <c r="C582" s="4"/>
      <c r="H582" s="113"/>
      <c r="I582" s="113"/>
      <c r="J582" s="113"/>
    </row>
    <row r="583" ht="14.25" customHeight="1">
      <c r="A583" s="4"/>
      <c r="B583" s="4"/>
      <c r="C583" s="4"/>
      <c r="H583" s="113"/>
      <c r="I583" s="113"/>
      <c r="J583" s="113"/>
    </row>
    <row r="584" ht="14.25" customHeight="1">
      <c r="A584" s="4"/>
      <c r="B584" s="4"/>
      <c r="C584" s="4"/>
      <c r="H584" s="113"/>
      <c r="I584" s="113"/>
      <c r="J584" s="113"/>
    </row>
    <row r="585" ht="14.25" customHeight="1">
      <c r="A585" s="4"/>
      <c r="B585" s="4"/>
      <c r="C585" s="4"/>
      <c r="H585" s="113"/>
      <c r="I585" s="113"/>
      <c r="J585" s="113"/>
    </row>
    <row r="586" ht="14.25" customHeight="1">
      <c r="A586" s="4"/>
      <c r="B586" s="4"/>
      <c r="C586" s="4"/>
      <c r="H586" s="113"/>
      <c r="I586" s="113"/>
      <c r="J586" s="113"/>
    </row>
    <row r="587" ht="14.25" customHeight="1">
      <c r="A587" s="4"/>
      <c r="B587" s="4"/>
      <c r="C587" s="4"/>
      <c r="H587" s="113"/>
      <c r="I587" s="113"/>
      <c r="J587" s="113"/>
    </row>
    <row r="588" ht="14.25" customHeight="1">
      <c r="A588" s="4"/>
      <c r="B588" s="4"/>
      <c r="C588" s="4"/>
      <c r="H588" s="113"/>
      <c r="I588" s="113"/>
      <c r="J588" s="113"/>
    </row>
    <row r="589" ht="14.25" customHeight="1">
      <c r="A589" s="4"/>
      <c r="B589" s="4"/>
      <c r="C589" s="4"/>
      <c r="H589" s="113"/>
      <c r="I589" s="113"/>
      <c r="J589" s="113"/>
    </row>
    <row r="590" ht="14.25" customHeight="1">
      <c r="A590" s="4"/>
      <c r="B590" s="4"/>
      <c r="C590" s="4"/>
      <c r="H590" s="113"/>
      <c r="I590" s="113"/>
      <c r="J590" s="113"/>
    </row>
    <row r="591" ht="14.25" customHeight="1">
      <c r="A591" s="4"/>
      <c r="B591" s="4"/>
      <c r="C591" s="4"/>
      <c r="H591" s="113"/>
      <c r="I591" s="113"/>
      <c r="J591" s="113"/>
    </row>
    <row r="592" ht="14.25" customHeight="1">
      <c r="A592" s="4"/>
      <c r="B592" s="4"/>
      <c r="C592" s="4"/>
      <c r="H592" s="113"/>
      <c r="I592" s="113"/>
      <c r="J592" s="113"/>
    </row>
    <row r="593" ht="14.25" customHeight="1">
      <c r="A593" s="4"/>
      <c r="B593" s="4"/>
      <c r="C593" s="4"/>
      <c r="H593" s="113"/>
      <c r="I593" s="113"/>
      <c r="J593" s="113"/>
    </row>
    <row r="594" ht="14.25" customHeight="1">
      <c r="A594" s="4"/>
      <c r="B594" s="4"/>
      <c r="C594" s="4"/>
      <c r="H594" s="113"/>
      <c r="I594" s="113"/>
      <c r="J594" s="113"/>
    </row>
    <row r="595" ht="14.25" customHeight="1">
      <c r="A595" s="4"/>
      <c r="B595" s="4"/>
      <c r="C595" s="4"/>
      <c r="H595" s="113"/>
      <c r="I595" s="113"/>
      <c r="J595" s="113"/>
    </row>
    <row r="596" ht="14.25" customHeight="1">
      <c r="A596" s="4"/>
      <c r="B596" s="4"/>
      <c r="C596" s="4"/>
      <c r="H596" s="113"/>
      <c r="I596" s="113"/>
      <c r="J596" s="113"/>
    </row>
    <row r="597" ht="14.25" customHeight="1">
      <c r="A597" s="4"/>
      <c r="B597" s="4"/>
      <c r="C597" s="4"/>
      <c r="H597" s="113"/>
      <c r="I597" s="113"/>
      <c r="J597" s="113"/>
    </row>
    <row r="598" ht="14.25" customHeight="1">
      <c r="A598" s="4"/>
      <c r="B598" s="4"/>
      <c r="C598" s="4"/>
      <c r="H598" s="113"/>
      <c r="I598" s="113"/>
      <c r="J598" s="113"/>
    </row>
    <row r="599" ht="14.25" customHeight="1">
      <c r="A599" s="4"/>
      <c r="B599" s="4"/>
      <c r="C599" s="4"/>
      <c r="H599" s="113"/>
      <c r="I599" s="113"/>
      <c r="J599" s="113"/>
    </row>
    <row r="600" ht="14.25" customHeight="1">
      <c r="A600" s="4"/>
      <c r="B600" s="4"/>
      <c r="C600" s="4"/>
      <c r="H600" s="113"/>
      <c r="I600" s="113"/>
      <c r="J600" s="113"/>
    </row>
    <row r="601" ht="14.25" customHeight="1">
      <c r="A601" s="4"/>
      <c r="B601" s="4"/>
      <c r="C601" s="4"/>
      <c r="H601" s="113"/>
      <c r="I601" s="113"/>
      <c r="J601" s="113"/>
    </row>
    <row r="602" ht="14.25" customHeight="1">
      <c r="A602" s="4"/>
      <c r="B602" s="4"/>
      <c r="C602" s="4"/>
      <c r="H602" s="113"/>
      <c r="I602" s="113"/>
      <c r="J602" s="113"/>
    </row>
    <row r="603" ht="14.25" customHeight="1">
      <c r="A603" s="4"/>
      <c r="B603" s="4"/>
      <c r="C603" s="4"/>
      <c r="H603" s="113"/>
      <c r="I603" s="113"/>
      <c r="J603" s="113"/>
    </row>
    <row r="604" ht="14.25" customHeight="1">
      <c r="A604" s="4"/>
      <c r="B604" s="4"/>
      <c r="C604" s="4"/>
      <c r="H604" s="113"/>
      <c r="I604" s="113"/>
      <c r="J604" s="113"/>
    </row>
    <row r="605" ht="14.25" customHeight="1">
      <c r="A605" s="4"/>
      <c r="B605" s="4"/>
      <c r="C605" s="4"/>
      <c r="H605" s="113"/>
      <c r="I605" s="113"/>
      <c r="J605" s="113"/>
    </row>
    <row r="606" ht="14.25" customHeight="1">
      <c r="A606" s="4"/>
      <c r="B606" s="4"/>
      <c r="C606" s="4"/>
      <c r="H606" s="113"/>
      <c r="I606" s="113"/>
      <c r="J606" s="113"/>
    </row>
    <row r="607" ht="14.25" customHeight="1">
      <c r="A607" s="4"/>
      <c r="B607" s="4"/>
      <c r="C607" s="4"/>
      <c r="H607" s="113"/>
      <c r="I607" s="113"/>
      <c r="J607" s="113"/>
    </row>
    <row r="608" ht="14.25" customHeight="1">
      <c r="A608" s="4"/>
      <c r="B608" s="4"/>
      <c r="C608" s="4"/>
      <c r="H608" s="113"/>
      <c r="I608" s="113"/>
      <c r="J608" s="113"/>
    </row>
    <row r="609" ht="14.25" customHeight="1">
      <c r="A609" s="4"/>
      <c r="B609" s="4"/>
      <c r="C609" s="4"/>
      <c r="H609" s="113"/>
      <c r="I609" s="113"/>
      <c r="J609" s="113"/>
    </row>
    <row r="610" ht="14.25" customHeight="1">
      <c r="A610" s="4"/>
      <c r="B610" s="4"/>
      <c r="C610" s="4"/>
      <c r="H610" s="113"/>
      <c r="I610" s="113"/>
      <c r="J610" s="113"/>
    </row>
    <row r="611" ht="14.25" customHeight="1">
      <c r="A611" s="4"/>
      <c r="B611" s="4"/>
      <c r="C611" s="4"/>
      <c r="H611" s="113"/>
      <c r="I611" s="113"/>
      <c r="J611" s="113"/>
    </row>
    <row r="612" ht="14.25" customHeight="1">
      <c r="A612" s="4"/>
      <c r="B612" s="4"/>
      <c r="C612" s="4"/>
      <c r="H612" s="113"/>
      <c r="I612" s="113"/>
      <c r="J612" s="113"/>
    </row>
    <row r="613" ht="14.25" customHeight="1">
      <c r="A613" s="4"/>
      <c r="B613" s="4"/>
      <c r="C613" s="4"/>
      <c r="H613" s="113"/>
      <c r="I613" s="113"/>
      <c r="J613" s="113"/>
    </row>
    <row r="614" ht="14.25" customHeight="1">
      <c r="A614" s="4"/>
      <c r="B614" s="4"/>
      <c r="C614" s="4"/>
      <c r="H614" s="113"/>
      <c r="I614" s="113"/>
      <c r="J614" s="113"/>
    </row>
    <row r="615" ht="14.25" customHeight="1">
      <c r="A615" s="4"/>
      <c r="B615" s="4"/>
      <c r="C615" s="4"/>
      <c r="H615" s="113"/>
      <c r="I615" s="113"/>
      <c r="J615" s="113"/>
    </row>
    <row r="616" ht="14.25" customHeight="1">
      <c r="A616" s="4"/>
      <c r="B616" s="4"/>
      <c r="C616" s="4"/>
      <c r="H616" s="113"/>
      <c r="I616" s="113"/>
      <c r="J616" s="113"/>
    </row>
    <row r="617" ht="14.25" customHeight="1">
      <c r="A617" s="4"/>
      <c r="B617" s="4"/>
      <c r="C617" s="4"/>
      <c r="H617" s="113"/>
      <c r="I617" s="113"/>
      <c r="J617" s="113"/>
    </row>
    <row r="618" ht="14.25" customHeight="1">
      <c r="A618" s="4"/>
      <c r="B618" s="4"/>
      <c r="C618" s="4"/>
      <c r="H618" s="113"/>
      <c r="I618" s="113"/>
      <c r="J618" s="113"/>
    </row>
    <row r="619" ht="14.25" customHeight="1">
      <c r="A619" s="4"/>
      <c r="B619" s="4"/>
      <c r="C619" s="4"/>
      <c r="H619" s="113"/>
      <c r="I619" s="113"/>
      <c r="J619" s="113"/>
    </row>
    <row r="620" ht="14.25" customHeight="1">
      <c r="A620" s="4"/>
      <c r="B620" s="4"/>
      <c r="C620" s="4"/>
      <c r="H620" s="113"/>
      <c r="I620" s="113"/>
      <c r="J620" s="113"/>
    </row>
    <row r="621" ht="14.25" customHeight="1">
      <c r="A621" s="4"/>
      <c r="B621" s="4"/>
      <c r="C621" s="4"/>
      <c r="H621" s="113"/>
      <c r="I621" s="113"/>
      <c r="J621" s="113"/>
    </row>
    <row r="622" ht="14.25" customHeight="1">
      <c r="A622" s="4"/>
      <c r="B622" s="4"/>
      <c r="C622" s="4"/>
      <c r="H622" s="113"/>
      <c r="I622" s="113"/>
      <c r="J622" s="113"/>
    </row>
    <row r="623" ht="14.25" customHeight="1">
      <c r="A623" s="4"/>
      <c r="B623" s="4"/>
      <c r="C623" s="4"/>
      <c r="H623" s="113"/>
      <c r="I623" s="113"/>
      <c r="J623" s="113"/>
    </row>
    <row r="624" ht="14.25" customHeight="1">
      <c r="A624" s="4"/>
      <c r="B624" s="4"/>
      <c r="C624" s="4"/>
      <c r="H624" s="113"/>
      <c r="I624" s="113"/>
      <c r="J624" s="113"/>
    </row>
    <row r="625" ht="14.25" customHeight="1">
      <c r="A625" s="4"/>
      <c r="B625" s="4"/>
      <c r="C625" s="4"/>
      <c r="H625" s="113"/>
      <c r="I625" s="113"/>
      <c r="J625" s="113"/>
    </row>
    <row r="626" ht="14.25" customHeight="1">
      <c r="A626" s="4"/>
      <c r="B626" s="4"/>
      <c r="C626" s="4"/>
      <c r="H626" s="113"/>
      <c r="I626" s="113"/>
      <c r="J626" s="113"/>
    </row>
    <row r="627" ht="14.25" customHeight="1">
      <c r="A627" s="4"/>
      <c r="B627" s="4"/>
      <c r="C627" s="4"/>
      <c r="H627" s="113"/>
      <c r="I627" s="113"/>
      <c r="J627" s="113"/>
    </row>
    <row r="628" ht="14.25" customHeight="1">
      <c r="A628" s="4"/>
      <c r="B628" s="4"/>
      <c r="C628" s="4"/>
      <c r="H628" s="113"/>
      <c r="I628" s="113"/>
      <c r="J628" s="113"/>
    </row>
    <row r="629" ht="14.25" customHeight="1">
      <c r="A629" s="4"/>
      <c r="B629" s="4"/>
      <c r="C629" s="4"/>
      <c r="H629" s="113"/>
      <c r="I629" s="113"/>
      <c r="J629" s="113"/>
    </row>
    <row r="630" ht="14.25" customHeight="1">
      <c r="A630" s="4"/>
      <c r="B630" s="4"/>
      <c r="C630" s="4"/>
      <c r="H630" s="113"/>
      <c r="I630" s="113"/>
      <c r="J630" s="113"/>
    </row>
    <row r="631" ht="14.25" customHeight="1">
      <c r="A631" s="4"/>
      <c r="B631" s="4"/>
      <c r="C631" s="4"/>
      <c r="H631" s="113"/>
      <c r="I631" s="113"/>
      <c r="J631" s="113"/>
    </row>
    <row r="632" ht="14.25" customHeight="1">
      <c r="A632" s="4"/>
      <c r="B632" s="4"/>
      <c r="C632" s="4"/>
      <c r="H632" s="113"/>
      <c r="I632" s="113"/>
      <c r="J632" s="113"/>
    </row>
    <row r="633" ht="14.25" customHeight="1">
      <c r="A633" s="4"/>
      <c r="B633" s="4"/>
      <c r="C633" s="4"/>
      <c r="H633" s="113"/>
      <c r="I633" s="113"/>
      <c r="J633" s="113"/>
    </row>
    <row r="634" ht="14.25" customHeight="1">
      <c r="A634" s="4"/>
      <c r="B634" s="4"/>
      <c r="C634" s="4"/>
      <c r="H634" s="113"/>
      <c r="I634" s="113"/>
      <c r="J634" s="113"/>
    </row>
    <row r="635" ht="14.25" customHeight="1">
      <c r="A635" s="4"/>
      <c r="B635" s="4"/>
      <c r="C635" s="4"/>
      <c r="H635" s="113"/>
      <c r="I635" s="113"/>
      <c r="J635" s="113"/>
    </row>
    <row r="636" ht="14.25" customHeight="1">
      <c r="A636" s="4"/>
      <c r="B636" s="4"/>
      <c r="C636" s="4"/>
      <c r="H636" s="113"/>
      <c r="I636" s="113"/>
      <c r="J636" s="113"/>
    </row>
    <row r="637" ht="14.25" customHeight="1">
      <c r="A637" s="4"/>
      <c r="B637" s="4"/>
      <c r="C637" s="4"/>
      <c r="H637" s="113"/>
      <c r="I637" s="113"/>
      <c r="J637" s="113"/>
    </row>
    <row r="638" ht="14.25" customHeight="1">
      <c r="A638" s="4"/>
      <c r="B638" s="4"/>
      <c r="C638" s="4"/>
      <c r="H638" s="113"/>
      <c r="I638" s="113"/>
      <c r="J638" s="113"/>
    </row>
    <row r="639" ht="14.25" customHeight="1">
      <c r="A639" s="4"/>
      <c r="B639" s="4"/>
      <c r="C639" s="4"/>
      <c r="H639" s="113"/>
      <c r="I639" s="113"/>
      <c r="J639" s="113"/>
    </row>
    <row r="640" ht="14.25" customHeight="1">
      <c r="A640" s="4"/>
      <c r="B640" s="4"/>
      <c r="C640" s="4"/>
      <c r="H640" s="113"/>
      <c r="I640" s="113"/>
      <c r="J640" s="113"/>
    </row>
    <row r="641" ht="14.25" customHeight="1">
      <c r="A641" s="4"/>
      <c r="B641" s="4"/>
      <c r="C641" s="4"/>
      <c r="H641" s="113"/>
      <c r="I641" s="113"/>
      <c r="J641" s="113"/>
    </row>
    <row r="642" ht="14.25" customHeight="1">
      <c r="A642" s="4"/>
      <c r="B642" s="4"/>
      <c r="C642" s="4"/>
      <c r="H642" s="113"/>
      <c r="I642" s="113"/>
      <c r="J642" s="113"/>
    </row>
    <row r="643" ht="14.25" customHeight="1">
      <c r="A643" s="4"/>
      <c r="B643" s="4"/>
      <c r="C643" s="4"/>
      <c r="H643" s="113"/>
      <c r="I643" s="113"/>
      <c r="J643" s="113"/>
    </row>
    <row r="644" ht="14.25" customHeight="1">
      <c r="A644" s="4"/>
      <c r="B644" s="4"/>
      <c r="C644" s="4"/>
      <c r="H644" s="113"/>
      <c r="I644" s="113"/>
      <c r="J644" s="113"/>
    </row>
    <row r="645" ht="14.25" customHeight="1">
      <c r="A645" s="4"/>
      <c r="B645" s="4"/>
      <c r="C645" s="4"/>
      <c r="H645" s="113"/>
      <c r="I645" s="113"/>
      <c r="J645" s="113"/>
    </row>
    <row r="646" ht="14.25" customHeight="1">
      <c r="A646" s="4"/>
      <c r="B646" s="4"/>
      <c r="C646" s="4"/>
      <c r="H646" s="113"/>
      <c r="I646" s="113"/>
      <c r="J646" s="113"/>
    </row>
    <row r="647" ht="14.25" customHeight="1">
      <c r="A647" s="4"/>
      <c r="B647" s="4"/>
      <c r="C647" s="4"/>
      <c r="H647" s="113"/>
      <c r="I647" s="113"/>
      <c r="J647" s="113"/>
    </row>
    <row r="648" ht="14.25" customHeight="1">
      <c r="A648" s="4"/>
      <c r="B648" s="4"/>
      <c r="C648" s="4"/>
      <c r="H648" s="113"/>
      <c r="I648" s="113"/>
      <c r="J648" s="113"/>
    </row>
    <row r="649" ht="14.25" customHeight="1">
      <c r="A649" s="4"/>
      <c r="B649" s="4"/>
      <c r="C649" s="4"/>
      <c r="H649" s="113"/>
      <c r="I649" s="113"/>
      <c r="J649" s="113"/>
    </row>
    <row r="650" ht="14.25" customHeight="1">
      <c r="A650" s="4"/>
      <c r="B650" s="4"/>
      <c r="C650" s="4"/>
      <c r="H650" s="113"/>
      <c r="I650" s="113"/>
      <c r="J650" s="113"/>
    </row>
    <row r="651" ht="14.25" customHeight="1">
      <c r="A651" s="4"/>
      <c r="B651" s="4"/>
      <c r="C651" s="4"/>
      <c r="H651" s="113"/>
      <c r="I651" s="113"/>
      <c r="J651" s="113"/>
    </row>
    <row r="652" ht="14.25" customHeight="1">
      <c r="A652" s="4"/>
      <c r="B652" s="4"/>
      <c r="C652" s="4"/>
      <c r="H652" s="113"/>
      <c r="I652" s="113"/>
      <c r="J652" s="113"/>
    </row>
    <row r="653" ht="14.25" customHeight="1">
      <c r="A653" s="4"/>
      <c r="B653" s="4"/>
      <c r="C653" s="4"/>
      <c r="H653" s="113"/>
      <c r="I653" s="113"/>
      <c r="J653" s="113"/>
    </row>
    <row r="654" ht="14.25" customHeight="1">
      <c r="A654" s="4"/>
      <c r="B654" s="4"/>
      <c r="C654" s="4"/>
      <c r="H654" s="113"/>
      <c r="I654" s="113"/>
      <c r="J654" s="113"/>
    </row>
    <row r="655" ht="14.25" customHeight="1">
      <c r="A655" s="4"/>
      <c r="B655" s="4"/>
      <c r="C655" s="4"/>
      <c r="H655" s="113"/>
      <c r="I655" s="113"/>
      <c r="J655" s="113"/>
    </row>
    <row r="656" ht="14.25" customHeight="1">
      <c r="A656" s="4"/>
      <c r="B656" s="4"/>
      <c r="C656" s="4"/>
      <c r="H656" s="113"/>
      <c r="I656" s="113"/>
      <c r="J656" s="113"/>
    </row>
    <row r="657" ht="14.25" customHeight="1">
      <c r="A657" s="4"/>
      <c r="B657" s="4"/>
      <c r="C657" s="4"/>
      <c r="H657" s="113"/>
      <c r="I657" s="113"/>
      <c r="J657" s="113"/>
    </row>
    <row r="658" ht="14.25" customHeight="1">
      <c r="A658" s="4"/>
      <c r="B658" s="4"/>
      <c r="C658" s="4"/>
      <c r="H658" s="113"/>
      <c r="I658" s="113"/>
      <c r="J658" s="113"/>
    </row>
    <row r="659" ht="14.25" customHeight="1">
      <c r="A659" s="4"/>
      <c r="B659" s="4"/>
      <c r="C659" s="4"/>
      <c r="H659" s="113"/>
      <c r="I659" s="113"/>
      <c r="J659" s="113"/>
    </row>
    <row r="660" ht="14.25" customHeight="1">
      <c r="A660" s="4"/>
      <c r="B660" s="4"/>
      <c r="C660" s="4"/>
      <c r="H660" s="113"/>
      <c r="I660" s="113"/>
      <c r="J660" s="113"/>
    </row>
    <row r="661" ht="14.25" customHeight="1">
      <c r="A661" s="4"/>
      <c r="B661" s="4"/>
      <c r="C661" s="4"/>
      <c r="H661" s="113"/>
      <c r="I661" s="113"/>
      <c r="J661" s="113"/>
    </row>
    <row r="662" ht="14.25" customHeight="1">
      <c r="A662" s="4"/>
      <c r="B662" s="4"/>
      <c r="C662" s="4"/>
      <c r="H662" s="113"/>
      <c r="I662" s="113"/>
      <c r="J662" s="113"/>
    </row>
    <row r="663" ht="14.25" customHeight="1">
      <c r="A663" s="4"/>
      <c r="B663" s="4"/>
      <c r="C663" s="4"/>
      <c r="H663" s="113"/>
      <c r="I663" s="113"/>
      <c r="J663" s="113"/>
    </row>
    <row r="664" ht="14.25" customHeight="1">
      <c r="A664" s="4"/>
      <c r="B664" s="4"/>
      <c r="C664" s="4"/>
      <c r="H664" s="113"/>
      <c r="I664" s="113"/>
      <c r="J664" s="113"/>
    </row>
    <row r="665" ht="14.25" customHeight="1">
      <c r="A665" s="4"/>
      <c r="B665" s="4"/>
      <c r="C665" s="4"/>
      <c r="H665" s="113"/>
      <c r="I665" s="113"/>
      <c r="J665" s="113"/>
    </row>
    <row r="666" ht="14.25" customHeight="1">
      <c r="A666" s="4"/>
      <c r="B666" s="4"/>
      <c r="C666" s="4"/>
      <c r="H666" s="113"/>
      <c r="I666" s="113"/>
      <c r="J666" s="113"/>
    </row>
    <row r="667" ht="14.25" customHeight="1">
      <c r="A667" s="4"/>
      <c r="B667" s="4"/>
      <c r="C667" s="4"/>
      <c r="H667" s="113"/>
      <c r="I667" s="113"/>
      <c r="J667" s="113"/>
    </row>
    <row r="668" ht="14.25" customHeight="1">
      <c r="A668" s="4"/>
      <c r="B668" s="4"/>
      <c r="C668" s="4"/>
      <c r="H668" s="113"/>
      <c r="I668" s="113"/>
      <c r="J668" s="113"/>
    </row>
    <row r="669" ht="14.25" customHeight="1">
      <c r="A669" s="4"/>
      <c r="B669" s="4"/>
      <c r="C669" s="4"/>
      <c r="H669" s="113"/>
      <c r="I669" s="113"/>
      <c r="J669" s="113"/>
    </row>
    <row r="670" ht="14.25" customHeight="1">
      <c r="A670" s="4"/>
      <c r="B670" s="4"/>
      <c r="C670" s="4"/>
      <c r="H670" s="113"/>
      <c r="I670" s="113"/>
      <c r="J670" s="113"/>
    </row>
    <row r="671" ht="14.25" customHeight="1">
      <c r="A671" s="4"/>
      <c r="B671" s="4"/>
      <c r="C671" s="4"/>
      <c r="H671" s="113"/>
      <c r="I671" s="113"/>
      <c r="J671" s="113"/>
    </row>
    <row r="672" ht="14.25" customHeight="1">
      <c r="A672" s="4"/>
      <c r="B672" s="4"/>
      <c r="C672" s="4"/>
      <c r="H672" s="113"/>
      <c r="I672" s="113"/>
      <c r="J672" s="113"/>
    </row>
    <row r="673" ht="14.25" customHeight="1">
      <c r="A673" s="4"/>
      <c r="B673" s="4"/>
      <c r="C673" s="4"/>
      <c r="H673" s="113"/>
      <c r="I673" s="113"/>
      <c r="J673" s="113"/>
    </row>
    <row r="674" ht="14.25" customHeight="1">
      <c r="A674" s="4"/>
      <c r="B674" s="4"/>
      <c r="C674" s="4"/>
      <c r="H674" s="113"/>
      <c r="I674" s="113"/>
      <c r="J674" s="113"/>
    </row>
    <row r="675" ht="14.25" customHeight="1">
      <c r="A675" s="4"/>
      <c r="B675" s="4"/>
      <c r="C675" s="4"/>
      <c r="H675" s="113"/>
      <c r="I675" s="113"/>
      <c r="J675" s="113"/>
    </row>
    <row r="676" ht="14.25" customHeight="1">
      <c r="A676" s="4"/>
      <c r="B676" s="4"/>
      <c r="C676" s="4"/>
      <c r="H676" s="113"/>
      <c r="I676" s="113"/>
      <c r="J676" s="113"/>
    </row>
    <row r="677" ht="14.25" customHeight="1">
      <c r="A677" s="4"/>
      <c r="B677" s="4"/>
      <c r="C677" s="4"/>
      <c r="H677" s="113"/>
      <c r="I677" s="113"/>
      <c r="J677" s="113"/>
    </row>
    <row r="678" ht="14.25" customHeight="1">
      <c r="A678" s="4"/>
      <c r="B678" s="4"/>
      <c r="C678" s="4"/>
      <c r="H678" s="113"/>
      <c r="I678" s="113"/>
      <c r="J678" s="113"/>
    </row>
    <row r="679" ht="14.25" customHeight="1">
      <c r="A679" s="4"/>
      <c r="B679" s="4"/>
      <c r="C679" s="4"/>
      <c r="H679" s="113"/>
      <c r="I679" s="113"/>
      <c r="J679" s="113"/>
    </row>
    <row r="680" ht="14.25" customHeight="1">
      <c r="A680" s="4"/>
      <c r="B680" s="4"/>
      <c r="C680" s="4"/>
      <c r="H680" s="113"/>
      <c r="I680" s="113"/>
      <c r="J680" s="113"/>
    </row>
    <row r="681" ht="14.25" customHeight="1">
      <c r="A681" s="4"/>
      <c r="B681" s="4"/>
      <c r="C681" s="4"/>
      <c r="H681" s="113"/>
      <c r="I681" s="113"/>
      <c r="J681" s="113"/>
    </row>
    <row r="682" ht="14.25" customHeight="1">
      <c r="A682" s="4"/>
      <c r="B682" s="4"/>
      <c r="C682" s="4"/>
      <c r="H682" s="113"/>
      <c r="I682" s="113"/>
      <c r="J682" s="113"/>
    </row>
    <row r="683" ht="14.25" customHeight="1">
      <c r="A683" s="4"/>
      <c r="B683" s="4"/>
      <c r="C683" s="4"/>
      <c r="H683" s="113"/>
      <c r="I683" s="113"/>
      <c r="J683" s="113"/>
    </row>
    <row r="684" ht="14.25" customHeight="1">
      <c r="A684" s="4"/>
      <c r="B684" s="4"/>
      <c r="C684" s="4"/>
      <c r="H684" s="113"/>
      <c r="I684" s="113"/>
      <c r="J684" s="113"/>
    </row>
    <row r="685" ht="14.25" customHeight="1">
      <c r="A685" s="4"/>
      <c r="B685" s="4"/>
      <c r="C685" s="4"/>
      <c r="H685" s="113"/>
      <c r="I685" s="113"/>
      <c r="J685" s="113"/>
    </row>
    <row r="686" ht="14.25" customHeight="1">
      <c r="A686" s="4"/>
      <c r="B686" s="4"/>
      <c r="C686" s="4"/>
      <c r="H686" s="113"/>
      <c r="I686" s="113"/>
      <c r="J686" s="113"/>
    </row>
    <row r="687" ht="14.25" customHeight="1">
      <c r="A687" s="4"/>
      <c r="B687" s="4"/>
      <c r="C687" s="4"/>
      <c r="H687" s="113"/>
      <c r="I687" s="113"/>
      <c r="J687" s="113"/>
    </row>
    <row r="688" ht="14.25" customHeight="1">
      <c r="A688" s="4"/>
      <c r="B688" s="4"/>
      <c r="C688" s="4"/>
      <c r="H688" s="113"/>
      <c r="I688" s="113"/>
      <c r="J688" s="113"/>
    </row>
    <row r="689" ht="14.25" customHeight="1">
      <c r="A689" s="4"/>
      <c r="B689" s="4"/>
      <c r="C689" s="4"/>
      <c r="H689" s="113"/>
      <c r="I689" s="113"/>
      <c r="J689" s="113"/>
    </row>
    <row r="690" ht="14.25" customHeight="1">
      <c r="A690" s="4"/>
      <c r="B690" s="4"/>
      <c r="C690" s="4"/>
      <c r="H690" s="113"/>
      <c r="I690" s="113"/>
      <c r="J690" s="113"/>
    </row>
    <row r="691" ht="14.25" customHeight="1">
      <c r="A691" s="4"/>
      <c r="B691" s="4"/>
      <c r="C691" s="4"/>
      <c r="H691" s="113"/>
      <c r="I691" s="113"/>
      <c r="J691" s="113"/>
    </row>
    <row r="692" ht="14.25" customHeight="1">
      <c r="A692" s="4"/>
      <c r="B692" s="4"/>
      <c r="C692" s="4"/>
      <c r="H692" s="113"/>
      <c r="I692" s="113"/>
      <c r="J692" s="113"/>
    </row>
    <row r="693" ht="14.25" customHeight="1">
      <c r="A693" s="4"/>
      <c r="B693" s="4"/>
      <c r="C693" s="4"/>
      <c r="H693" s="113"/>
      <c r="I693" s="113"/>
      <c r="J693" s="113"/>
    </row>
    <row r="694" ht="14.25" customHeight="1">
      <c r="A694" s="4"/>
      <c r="B694" s="4"/>
      <c r="C694" s="4"/>
      <c r="H694" s="113"/>
      <c r="I694" s="113"/>
      <c r="J694" s="113"/>
    </row>
    <row r="695" ht="14.25" customHeight="1">
      <c r="A695" s="4"/>
      <c r="B695" s="4"/>
      <c r="C695" s="4"/>
      <c r="H695" s="113"/>
      <c r="I695" s="113"/>
      <c r="J695" s="113"/>
    </row>
    <row r="696" ht="14.25" customHeight="1">
      <c r="A696" s="4"/>
      <c r="B696" s="4"/>
      <c r="C696" s="4"/>
      <c r="H696" s="113"/>
      <c r="I696" s="113"/>
      <c r="J696" s="113"/>
    </row>
    <row r="697" ht="14.25" customHeight="1">
      <c r="A697" s="4"/>
      <c r="B697" s="4"/>
      <c r="C697" s="4"/>
      <c r="H697" s="113"/>
      <c r="I697" s="113"/>
      <c r="J697" s="113"/>
    </row>
    <row r="698" ht="14.25" customHeight="1">
      <c r="A698" s="4"/>
      <c r="B698" s="4"/>
      <c r="C698" s="4"/>
      <c r="H698" s="113"/>
      <c r="I698" s="113"/>
      <c r="J698" s="113"/>
    </row>
    <row r="699" ht="14.25" customHeight="1">
      <c r="A699" s="4"/>
      <c r="B699" s="4"/>
      <c r="C699" s="4"/>
      <c r="H699" s="113"/>
      <c r="I699" s="113"/>
      <c r="J699" s="113"/>
    </row>
    <row r="700" ht="14.25" customHeight="1">
      <c r="A700" s="4"/>
      <c r="B700" s="4"/>
      <c r="C700" s="4"/>
      <c r="H700" s="113"/>
      <c r="I700" s="113"/>
      <c r="J700" s="113"/>
    </row>
    <row r="701" ht="14.25" customHeight="1">
      <c r="A701" s="4"/>
      <c r="B701" s="4"/>
      <c r="C701" s="4"/>
      <c r="H701" s="113"/>
      <c r="I701" s="113"/>
      <c r="J701" s="113"/>
    </row>
    <row r="702" ht="14.25" customHeight="1">
      <c r="A702" s="4"/>
      <c r="B702" s="4"/>
      <c r="C702" s="4"/>
      <c r="H702" s="113"/>
      <c r="I702" s="113"/>
      <c r="J702" s="113"/>
    </row>
    <row r="703" ht="14.25" customHeight="1">
      <c r="A703" s="4"/>
      <c r="B703" s="4"/>
      <c r="C703" s="4"/>
      <c r="H703" s="113"/>
      <c r="I703" s="113"/>
      <c r="J703" s="113"/>
    </row>
    <row r="704" ht="14.25" customHeight="1">
      <c r="A704" s="4"/>
      <c r="B704" s="4"/>
      <c r="C704" s="4"/>
      <c r="H704" s="113"/>
      <c r="I704" s="113"/>
      <c r="J704" s="113"/>
    </row>
    <row r="705" ht="14.25" customHeight="1">
      <c r="A705" s="4"/>
      <c r="B705" s="4"/>
      <c r="C705" s="4"/>
      <c r="H705" s="113"/>
      <c r="I705" s="113"/>
      <c r="J705" s="113"/>
    </row>
    <row r="706" ht="14.25" customHeight="1">
      <c r="A706" s="4"/>
      <c r="B706" s="4"/>
      <c r="C706" s="4"/>
      <c r="H706" s="113"/>
      <c r="I706" s="113"/>
      <c r="J706" s="113"/>
    </row>
    <row r="707" ht="14.25" customHeight="1">
      <c r="A707" s="4"/>
      <c r="B707" s="4"/>
      <c r="C707" s="4"/>
      <c r="H707" s="113"/>
      <c r="I707" s="113"/>
      <c r="J707" s="113"/>
    </row>
    <row r="708" ht="14.25" customHeight="1">
      <c r="A708" s="4"/>
      <c r="B708" s="4"/>
      <c r="C708" s="4"/>
      <c r="H708" s="113"/>
      <c r="I708" s="113"/>
      <c r="J708" s="113"/>
    </row>
    <row r="709" ht="14.25" customHeight="1">
      <c r="A709" s="4"/>
      <c r="B709" s="4"/>
      <c r="C709" s="4"/>
      <c r="H709" s="113"/>
      <c r="I709" s="113"/>
      <c r="J709" s="113"/>
    </row>
    <row r="710" ht="14.25" customHeight="1">
      <c r="A710" s="4"/>
      <c r="B710" s="4"/>
      <c r="C710" s="4"/>
      <c r="H710" s="113"/>
      <c r="I710" s="113"/>
      <c r="J710" s="113"/>
    </row>
    <row r="711" ht="14.25" customHeight="1">
      <c r="A711" s="4"/>
      <c r="B711" s="4"/>
      <c r="C711" s="4"/>
      <c r="H711" s="113"/>
      <c r="I711" s="113"/>
      <c r="J711" s="113"/>
    </row>
    <row r="712" ht="14.25" customHeight="1">
      <c r="A712" s="4"/>
      <c r="B712" s="4"/>
      <c r="C712" s="4"/>
      <c r="H712" s="113"/>
      <c r="I712" s="113"/>
      <c r="J712" s="113"/>
    </row>
    <row r="713" ht="14.25" customHeight="1">
      <c r="A713" s="4"/>
      <c r="B713" s="4"/>
      <c r="C713" s="4"/>
      <c r="H713" s="113"/>
      <c r="I713" s="113"/>
      <c r="J713" s="113"/>
    </row>
    <row r="714" ht="14.25" customHeight="1">
      <c r="A714" s="4"/>
      <c r="B714" s="4"/>
      <c r="C714" s="4"/>
      <c r="H714" s="113"/>
      <c r="I714" s="113"/>
      <c r="J714" s="113"/>
    </row>
    <row r="715" ht="14.25" customHeight="1">
      <c r="A715" s="4"/>
      <c r="B715" s="4"/>
      <c r="C715" s="4"/>
      <c r="H715" s="113"/>
      <c r="I715" s="113"/>
      <c r="J715" s="113"/>
    </row>
    <row r="716" ht="14.25" customHeight="1">
      <c r="A716" s="4"/>
      <c r="B716" s="4"/>
      <c r="C716" s="4"/>
      <c r="H716" s="113"/>
      <c r="I716" s="113"/>
      <c r="J716" s="113"/>
    </row>
    <row r="717" ht="14.25" customHeight="1">
      <c r="A717" s="4"/>
      <c r="B717" s="4"/>
      <c r="C717" s="4"/>
      <c r="H717" s="113"/>
      <c r="I717" s="113"/>
      <c r="J717" s="113"/>
    </row>
    <row r="718" ht="14.25" customHeight="1">
      <c r="A718" s="4"/>
      <c r="B718" s="4"/>
      <c r="C718" s="4"/>
      <c r="H718" s="113"/>
      <c r="I718" s="113"/>
      <c r="J718" s="113"/>
    </row>
    <row r="719" ht="14.25" customHeight="1">
      <c r="A719" s="4"/>
      <c r="B719" s="4"/>
      <c r="C719" s="4"/>
      <c r="H719" s="113"/>
      <c r="I719" s="113"/>
      <c r="J719" s="113"/>
    </row>
    <row r="720" ht="14.25" customHeight="1">
      <c r="A720" s="4"/>
      <c r="B720" s="4"/>
      <c r="C720" s="4"/>
      <c r="H720" s="113"/>
      <c r="I720" s="113"/>
      <c r="J720" s="113"/>
    </row>
    <row r="721" ht="14.25" customHeight="1">
      <c r="A721" s="4"/>
      <c r="B721" s="4"/>
      <c r="C721" s="4"/>
      <c r="H721" s="113"/>
      <c r="I721" s="113"/>
      <c r="J721" s="113"/>
    </row>
    <row r="722" ht="14.25" customHeight="1">
      <c r="A722" s="4"/>
      <c r="B722" s="4"/>
      <c r="C722" s="4"/>
      <c r="H722" s="113"/>
      <c r="I722" s="113"/>
      <c r="J722" s="113"/>
    </row>
    <row r="723" ht="14.25" customHeight="1">
      <c r="A723" s="4"/>
      <c r="B723" s="4"/>
      <c r="C723" s="4"/>
      <c r="H723" s="113"/>
      <c r="I723" s="113"/>
      <c r="J723" s="113"/>
    </row>
    <row r="724" ht="14.25" customHeight="1">
      <c r="A724" s="4"/>
      <c r="B724" s="4"/>
      <c r="C724" s="4"/>
      <c r="H724" s="113"/>
      <c r="I724" s="113"/>
      <c r="J724" s="113"/>
    </row>
    <row r="725" ht="14.25" customHeight="1">
      <c r="A725" s="4"/>
      <c r="B725" s="4"/>
      <c r="C725" s="4"/>
      <c r="H725" s="113"/>
      <c r="I725" s="113"/>
      <c r="J725" s="113"/>
    </row>
    <row r="726" ht="14.25" customHeight="1">
      <c r="A726" s="4"/>
      <c r="B726" s="4"/>
      <c r="C726" s="4"/>
      <c r="H726" s="113"/>
      <c r="I726" s="113"/>
      <c r="J726" s="113"/>
    </row>
    <row r="727" ht="14.25" customHeight="1">
      <c r="A727" s="4"/>
      <c r="B727" s="4"/>
      <c r="C727" s="4"/>
      <c r="H727" s="113"/>
      <c r="I727" s="113"/>
      <c r="J727" s="113"/>
    </row>
    <row r="728" ht="14.25" customHeight="1">
      <c r="A728" s="4"/>
      <c r="B728" s="4"/>
      <c r="C728" s="4"/>
      <c r="H728" s="113"/>
      <c r="I728" s="113"/>
      <c r="J728" s="113"/>
    </row>
    <row r="729" ht="14.25" customHeight="1">
      <c r="A729" s="4"/>
      <c r="B729" s="4"/>
      <c r="C729" s="4"/>
      <c r="H729" s="113"/>
      <c r="I729" s="113"/>
      <c r="J729" s="113"/>
    </row>
    <row r="730" ht="14.25" customHeight="1">
      <c r="A730" s="4"/>
      <c r="B730" s="4"/>
      <c r="C730" s="4"/>
      <c r="H730" s="113"/>
      <c r="I730" s="113"/>
      <c r="J730" s="113"/>
    </row>
    <row r="731" ht="14.25" customHeight="1">
      <c r="A731" s="4"/>
      <c r="B731" s="4"/>
      <c r="C731" s="4"/>
      <c r="H731" s="113"/>
      <c r="I731" s="113"/>
      <c r="J731" s="113"/>
    </row>
    <row r="732" ht="14.25" customHeight="1">
      <c r="A732" s="4"/>
      <c r="B732" s="4"/>
      <c r="C732" s="4"/>
      <c r="H732" s="113"/>
      <c r="I732" s="113"/>
      <c r="J732" s="113"/>
    </row>
    <row r="733" ht="14.25" customHeight="1">
      <c r="A733" s="4"/>
      <c r="B733" s="4"/>
      <c r="C733" s="4"/>
      <c r="H733" s="113"/>
      <c r="I733" s="113"/>
      <c r="J733" s="113"/>
    </row>
    <row r="734" ht="14.25" customHeight="1">
      <c r="A734" s="4"/>
      <c r="B734" s="4"/>
      <c r="C734" s="4"/>
      <c r="H734" s="113"/>
      <c r="I734" s="113"/>
      <c r="J734" s="113"/>
    </row>
    <row r="735" ht="14.25" customHeight="1">
      <c r="A735" s="4"/>
      <c r="B735" s="4"/>
      <c r="C735" s="4"/>
      <c r="H735" s="113"/>
      <c r="I735" s="113"/>
      <c r="J735" s="113"/>
    </row>
    <row r="736" ht="14.25" customHeight="1">
      <c r="A736" s="4"/>
      <c r="B736" s="4"/>
      <c r="C736" s="4"/>
      <c r="H736" s="113"/>
      <c r="I736" s="113"/>
      <c r="J736" s="113"/>
    </row>
    <row r="737" ht="14.25" customHeight="1">
      <c r="A737" s="4"/>
      <c r="B737" s="4"/>
      <c r="C737" s="4"/>
      <c r="H737" s="113"/>
      <c r="I737" s="113"/>
      <c r="J737" s="113"/>
    </row>
    <row r="738" ht="14.25" customHeight="1">
      <c r="A738" s="4"/>
      <c r="B738" s="4"/>
      <c r="C738" s="4"/>
      <c r="H738" s="113"/>
      <c r="I738" s="113"/>
      <c r="J738" s="113"/>
    </row>
    <row r="739" ht="14.25" customHeight="1">
      <c r="A739" s="4"/>
      <c r="B739" s="4"/>
      <c r="C739" s="4"/>
      <c r="H739" s="113"/>
      <c r="I739" s="113"/>
      <c r="J739" s="113"/>
    </row>
    <row r="740" ht="14.25" customHeight="1">
      <c r="A740" s="4"/>
      <c r="B740" s="4"/>
      <c r="C740" s="4"/>
      <c r="H740" s="113"/>
      <c r="I740" s="113"/>
      <c r="J740" s="113"/>
    </row>
    <row r="741" ht="14.25" customHeight="1">
      <c r="A741" s="4"/>
      <c r="B741" s="4"/>
      <c r="C741" s="4"/>
      <c r="H741" s="113"/>
      <c r="I741" s="113"/>
      <c r="J741" s="113"/>
    </row>
    <row r="742" ht="14.25" customHeight="1">
      <c r="A742" s="4"/>
      <c r="B742" s="4"/>
      <c r="C742" s="4"/>
      <c r="H742" s="113"/>
      <c r="I742" s="113"/>
      <c r="J742" s="113"/>
    </row>
    <row r="743" ht="14.25" customHeight="1">
      <c r="A743" s="4"/>
      <c r="B743" s="4"/>
      <c r="C743" s="4"/>
      <c r="H743" s="113"/>
      <c r="I743" s="113"/>
      <c r="J743" s="113"/>
    </row>
    <row r="744" ht="14.25" customHeight="1">
      <c r="A744" s="4"/>
      <c r="B744" s="4"/>
      <c r="C744" s="4"/>
      <c r="H744" s="113"/>
      <c r="I744" s="113"/>
      <c r="J744" s="113"/>
    </row>
    <row r="745" ht="14.25" customHeight="1">
      <c r="A745" s="4"/>
      <c r="B745" s="4"/>
      <c r="C745" s="4"/>
      <c r="H745" s="113"/>
      <c r="I745" s="113"/>
      <c r="J745" s="113"/>
    </row>
    <row r="746" ht="14.25" customHeight="1">
      <c r="A746" s="4"/>
      <c r="B746" s="4"/>
      <c r="C746" s="4"/>
      <c r="H746" s="113"/>
      <c r="I746" s="113"/>
      <c r="J746" s="113"/>
    </row>
    <row r="747" ht="14.25" customHeight="1">
      <c r="A747" s="4"/>
      <c r="B747" s="4"/>
      <c r="C747" s="4"/>
      <c r="H747" s="113"/>
      <c r="I747" s="113"/>
      <c r="J747" s="113"/>
    </row>
    <row r="748" ht="14.25" customHeight="1">
      <c r="A748" s="4"/>
      <c r="B748" s="4"/>
      <c r="C748" s="4"/>
      <c r="H748" s="113"/>
      <c r="I748" s="113"/>
      <c r="J748" s="113"/>
    </row>
    <row r="749" ht="14.25" customHeight="1">
      <c r="A749" s="4"/>
      <c r="B749" s="4"/>
      <c r="C749" s="4"/>
      <c r="H749" s="113"/>
      <c r="I749" s="113"/>
      <c r="J749" s="113"/>
    </row>
    <row r="750" ht="14.25" customHeight="1">
      <c r="A750" s="4"/>
      <c r="B750" s="4"/>
      <c r="C750" s="4"/>
      <c r="H750" s="113"/>
      <c r="I750" s="113"/>
      <c r="J750" s="113"/>
    </row>
    <row r="751" ht="14.25" customHeight="1">
      <c r="A751" s="4"/>
      <c r="B751" s="4"/>
      <c r="C751" s="4"/>
      <c r="H751" s="113"/>
      <c r="I751" s="113"/>
      <c r="J751" s="113"/>
    </row>
    <row r="752" ht="14.25" customHeight="1">
      <c r="A752" s="4"/>
      <c r="B752" s="4"/>
      <c r="C752" s="4"/>
      <c r="H752" s="113"/>
      <c r="I752" s="113"/>
      <c r="J752" s="113"/>
    </row>
    <row r="753" ht="14.25" customHeight="1">
      <c r="A753" s="4"/>
      <c r="B753" s="4"/>
      <c r="C753" s="4"/>
      <c r="H753" s="113"/>
      <c r="I753" s="113"/>
      <c r="J753" s="113"/>
    </row>
    <row r="754" ht="14.25" customHeight="1">
      <c r="A754" s="4"/>
      <c r="B754" s="4"/>
      <c r="C754" s="4"/>
      <c r="H754" s="113"/>
      <c r="I754" s="113"/>
      <c r="J754" s="113"/>
    </row>
    <row r="755" ht="14.25" customHeight="1">
      <c r="A755" s="4"/>
      <c r="B755" s="4"/>
      <c r="C755" s="4"/>
      <c r="H755" s="113"/>
      <c r="I755" s="113"/>
      <c r="J755" s="113"/>
    </row>
    <row r="756" ht="14.25" customHeight="1">
      <c r="A756" s="4"/>
      <c r="B756" s="4"/>
      <c r="C756" s="4"/>
      <c r="H756" s="113"/>
      <c r="I756" s="113"/>
      <c r="J756" s="113"/>
    </row>
    <row r="757" ht="14.25" customHeight="1">
      <c r="A757" s="4"/>
      <c r="B757" s="4"/>
      <c r="C757" s="4"/>
      <c r="H757" s="113"/>
      <c r="I757" s="113"/>
      <c r="J757" s="113"/>
    </row>
    <row r="758" ht="14.25" customHeight="1">
      <c r="A758" s="4"/>
      <c r="B758" s="4"/>
      <c r="C758" s="4"/>
      <c r="H758" s="113"/>
      <c r="I758" s="113"/>
      <c r="J758" s="113"/>
    </row>
    <row r="759" ht="14.25" customHeight="1">
      <c r="A759" s="4"/>
      <c r="B759" s="4"/>
      <c r="C759" s="4"/>
      <c r="H759" s="113"/>
      <c r="I759" s="113"/>
      <c r="J759" s="113"/>
    </row>
    <row r="760" ht="14.25" customHeight="1">
      <c r="A760" s="4"/>
      <c r="B760" s="4"/>
      <c r="C760" s="4"/>
      <c r="H760" s="113"/>
      <c r="I760" s="113"/>
      <c r="J760" s="113"/>
    </row>
    <row r="761" ht="14.25" customHeight="1">
      <c r="A761" s="4"/>
      <c r="B761" s="4"/>
      <c r="C761" s="4"/>
      <c r="H761" s="113"/>
      <c r="I761" s="113"/>
      <c r="J761" s="113"/>
    </row>
    <row r="762" ht="14.25" customHeight="1">
      <c r="A762" s="4"/>
      <c r="B762" s="4"/>
      <c r="C762" s="4"/>
      <c r="H762" s="113"/>
      <c r="I762" s="113"/>
      <c r="J762" s="113"/>
    </row>
    <row r="763" ht="14.25" customHeight="1">
      <c r="A763" s="4"/>
      <c r="B763" s="4"/>
      <c r="C763" s="4"/>
      <c r="H763" s="113"/>
      <c r="I763" s="113"/>
      <c r="J763" s="113"/>
    </row>
    <row r="764" ht="14.25" customHeight="1">
      <c r="A764" s="4"/>
      <c r="B764" s="4"/>
      <c r="C764" s="4"/>
      <c r="H764" s="113"/>
      <c r="I764" s="113"/>
      <c r="J764" s="113"/>
    </row>
    <row r="765" ht="14.25" customHeight="1">
      <c r="A765" s="4"/>
      <c r="B765" s="4"/>
      <c r="C765" s="4"/>
      <c r="H765" s="113"/>
      <c r="I765" s="113"/>
      <c r="J765" s="113"/>
    </row>
    <row r="766" ht="14.25" customHeight="1">
      <c r="A766" s="4"/>
      <c r="B766" s="4"/>
      <c r="C766" s="4"/>
      <c r="H766" s="113"/>
      <c r="I766" s="113"/>
      <c r="J766" s="113"/>
    </row>
    <row r="767" ht="14.25" customHeight="1">
      <c r="A767" s="4"/>
      <c r="B767" s="4"/>
      <c r="C767" s="4"/>
      <c r="H767" s="113"/>
      <c r="I767" s="113"/>
      <c r="J767" s="113"/>
    </row>
    <row r="768" ht="14.25" customHeight="1">
      <c r="A768" s="4"/>
      <c r="B768" s="4"/>
      <c r="C768" s="4"/>
      <c r="H768" s="113"/>
      <c r="I768" s="113"/>
      <c r="J768" s="113"/>
    </row>
    <row r="769" ht="14.25" customHeight="1">
      <c r="A769" s="4"/>
      <c r="B769" s="4"/>
      <c r="C769" s="4"/>
      <c r="H769" s="113"/>
      <c r="I769" s="113"/>
      <c r="J769" s="113"/>
    </row>
    <row r="770" ht="14.25" customHeight="1">
      <c r="A770" s="4"/>
      <c r="B770" s="4"/>
      <c r="C770" s="4"/>
      <c r="H770" s="113"/>
      <c r="I770" s="113"/>
      <c r="J770" s="113"/>
    </row>
    <row r="771" ht="14.25" customHeight="1">
      <c r="A771" s="4"/>
      <c r="B771" s="4"/>
      <c r="C771" s="4"/>
      <c r="H771" s="113"/>
      <c r="I771" s="113"/>
      <c r="J771" s="113"/>
    </row>
    <row r="772" ht="14.25" customHeight="1">
      <c r="A772" s="4"/>
      <c r="B772" s="4"/>
      <c r="C772" s="4"/>
      <c r="H772" s="113"/>
      <c r="I772" s="113"/>
      <c r="J772" s="113"/>
    </row>
    <row r="773" ht="14.25" customHeight="1">
      <c r="A773" s="4"/>
      <c r="B773" s="4"/>
      <c r="C773" s="4"/>
      <c r="H773" s="113"/>
      <c r="I773" s="113"/>
      <c r="J773" s="113"/>
    </row>
    <row r="774" ht="14.25" customHeight="1">
      <c r="A774" s="4"/>
      <c r="B774" s="4"/>
      <c r="C774" s="4"/>
      <c r="H774" s="113"/>
      <c r="I774" s="113"/>
      <c r="J774" s="113"/>
    </row>
    <row r="775" ht="14.25" customHeight="1">
      <c r="A775" s="4"/>
      <c r="B775" s="4"/>
      <c r="C775" s="4"/>
      <c r="H775" s="113"/>
      <c r="I775" s="113"/>
      <c r="J775" s="113"/>
    </row>
    <row r="776" ht="14.25" customHeight="1">
      <c r="A776" s="4"/>
      <c r="B776" s="4"/>
      <c r="C776" s="4"/>
      <c r="H776" s="113"/>
      <c r="I776" s="113"/>
      <c r="J776" s="113"/>
    </row>
    <row r="777" ht="14.25" customHeight="1">
      <c r="A777" s="4"/>
      <c r="B777" s="4"/>
      <c r="C777" s="4"/>
      <c r="H777" s="113"/>
      <c r="I777" s="113"/>
      <c r="J777" s="113"/>
    </row>
    <row r="778" ht="14.25" customHeight="1">
      <c r="A778" s="4"/>
      <c r="B778" s="4"/>
      <c r="C778" s="4"/>
      <c r="H778" s="113"/>
      <c r="I778" s="113"/>
      <c r="J778" s="113"/>
    </row>
    <row r="779" ht="14.25" customHeight="1">
      <c r="A779" s="4"/>
      <c r="B779" s="4"/>
      <c r="C779" s="4"/>
      <c r="H779" s="113"/>
      <c r="I779" s="113"/>
      <c r="J779" s="113"/>
    </row>
    <row r="780" ht="14.25" customHeight="1">
      <c r="A780" s="4"/>
      <c r="B780" s="4"/>
      <c r="C780" s="4"/>
      <c r="H780" s="113"/>
      <c r="I780" s="113"/>
      <c r="J780" s="113"/>
    </row>
    <row r="781" ht="14.25" customHeight="1">
      <c r="A781" s="4"/>
      <c r="B781" s="4"/>
      <c r="C781" s="4"/>
      <c r="H781" s="113"/>
      <c r="I781" s="113"/>
      <c r="J781" s="113"/>
    </row>
    <row r="782" ht="14.25" customHeight="1">
      <c r="A782" s="4"/>
      <c r="B782" s="4"/>
      <c r="C782" s="4"/>
      <c r="H782" s="113"/>
      <c r="I782" s="113"/>
      <c r="J782" s="113"/>
    </row>
    <row r="783" ht="14.25" customHeight="1">
      <c r="A783" s="4"/>
      <c r="B783" s="4"/>
      <c r="C783" s="4"/>
      <c r="H783" s="113"/>
      <c r="I783" s="113"/>
      <c r="J783" s="113"/>
    </row>
    <row r="784" ht="14.25" customHeight="1">
      <c r="A784" s="4"/>
      <c r="B784" s="4"/>
      <c r="C784" s="4"/>
      <c r="H784" s="113"/>
      <c r="I784" s="113"/>
      <c r="J784" s="113"/>
    </row>
    <row r="785" ht="14.25" customHeight="1">
      <c r="A785" s="4"/>
      <c r="B785" s="4"/>
      <c r="C785" s="4"/>
      <c r="H785" s="113"/>
      <c r="I785" s="113"/>
      <c r="J785" s="113"/>
    </row>
    <row r="786" ht="14.25" customHeight="1">
      <c r="A786" s="4"/>
      <c r="B786" s="4"/>
      <c r="C786" s="4"/>
      <c r="H786" s="113"/>
      <c r="I786" s="113"/>
      <c r="J786" s="113"/>
    </row>
    <row r="787" ht="14.25" customHeight="1">
      <c r="A787" s="4"/>
      <c r="B787" s="4"/>
      <c r="C787" s="4"/>
      <c r="H787" s="113"/>
      <c r="I787" s="113"/>
      <c r="J787" s="113"/>
    </row>
    <row r="788" ht="14.25" customHeight="1">
      <c r="A788" s="4"/>
      <c r="B788" s="4"/>
      <c r="C788" s="4"/>
      <c r="H788" s="113"/>
      <c r="I788" s="113"/>
      <c r="J788" s="113"/>
    </row>
    <row r="789" ht="14.25" customHeight="1">
      <c r="A789" s="4"/>
      <c r="B789" s="4"/>
      <c r="C789" s="4"/>
      <c r="H789" s="113"/>
      <c r="I789" s="113"/>
      <c r="J789" s="113"/>
    </row>
    <row r="790" ht="14.25" customHeight="1">
      <c r="A790" s="4"/>
      <c r="B790" s="4"/>
      <c r="C790" s="4"/>
      <c r="H790" s="113"/>
      <c r="I790" s="113"/>
      <c r="J790" s="113"/>
    </row>
    <row r="791" ht="14.25" customHeight="1">
      <c r="A791" s="4"/>
      <c r="B791" s="4"/>
      <c r="C791" s="4"/>
      <c r="H791" s="113"/>
      <c r="I791" s="113"/>
      <c r="J791" s="113"/>
    </row>
    <row r="792" ht="14.25" customHeight="1">
      <c r="A792" s="4"/>
      <c r="B792" s="4"/>
      <c r="C792" s="4"/>
      <c r="H792" s="113"/>
      <c r="I792" s="113"/>
      <c r="J792" s="113"/>
    </row>
    <row r="793" ht="14.25" customHeight="1">
      <c r="A793" s="4"/>
      <c r="B793" s="4"/>
      <c r="C793" s="4"/>
      <c r="H793" s="113"/>
      <c r="I793" s="113"/>
      <c r="J793" s="113"/>
    </row>
    <row r="794" ht="14.25" customHeight="1">
      <c r="A794" s="4"/>
      <c r="B794" s="4"/>
      <c r="C794" s="4"/>
      <c r="H794" s="113"/>
      <c r="I794" s="113"/>
      <c r="J794" s="113"/>
    </row>
    <row r="795" ht="14.25" customHeight="1">
      <c r="A795" s="4"/>
      <c r="B795" s="4"/>
      <c r="C795" s="4"/>
      <c r="H795" s="113"/>
      <c r="I795" s="113"/>
      <c r="J795" s="113"/>
    </row>
    <row r="796" ht="14.25" customHeight="1">
      <c r="A796" s="4"/>
      <c r="B796" s="4"/>
      <c r="C796" s="4"/>
      <c r="H796" s="113"/>
      <c r="I796" s="113"/>
      <c r="J796" s="113"/>
    </row>
    <row r="797" ht="14.25" customHeight="1">
      <c r="A797" s="4"/>
      <c r="B797" s="4"/>
      <c r="C797" s="4"/>
      <c r="H797" s="113"/>
      <c r="I797" s="113"/>
      <c r="J797" s="113"/>
    </row>
    <row r="798" ht="14.25" customHeight="1">
      <c r="A798" s="4"/>
      <c r="B798" s="4"/>
      <c r="C798" s="4"/>
      <c r="H798" s="113"/>
      <c r="I798" s="113"/>
      <c r="J798" s="113"/>
    </row>
    <row r="799" ht="14.25" customHeight="1">
      <c r="A799" s="4"/>
      <c r="B799" s="4"/>
      <c r="C799" s="4"/>
      <c r="H799" s="113"/>
      <c r="I799" s="113"/>
      <c r="J799" s="113"/>
    </row>
    <row r="800" ht="14.25" customHeight="1">
      <c r="A800" s="4"/>
      <c r="B800" s="4"/>
      <c r="C800" s="4"/>
      <c r="H800" s="113"/>
      <c r="I800" s="113"/>
      <c r="J800" s="113"/>
    </row>
    <row r="801" ht="14.25" customHeight="1">
      <c r="A801" s="4"/>
      <c r="B801" s="4"/>
      <c r="C801" s="4"/>
      <c r="H801" s="113"/>
      <c r="I801" s="113"/>
      <c r="J801" s="113"/>
    </row>
    <row r="802" ht="14.25" customHeight="1">
      <c r="A802" s="4"/>
      <c r="B802" s="4"/>
      <c r="C802" s="4"/>
      <c r="H802" s="113"/>
      <c r="I802" s="113"/>
      <c r="J802" s="113"/>
    </row>
    <row r="803" ht="14.25" customHeight="1">
      <c r="A803" s="4"/>
      <c r="B803" s="4"/>
      <c r="C803" s="4"/>
      <c r="H803" s="113"/>
      <c r="I803" s="113"/>
      <c r="J803" s="113"/>
    </row>
    <row r="804" ht="14.25" customHeight="1">
      <c r="A804" s="4"/>
      <c r="B804" s="4"/>
      <c r="C804" s="4"/>
      <c r="H804" s="113"/>
      <c r="I804" s="113"/>
      <c r="J804" s="113"/>
    </row>
    <row r="805" ht="14.25" customHeight="1">
      <c r="A805" s="4"/>
      <c r="B805" s="4"/>
      <c r="C805" s="4"/>
      <c r="H805" s="113"/>
      <c r="I805" s="113"/>
      <c r="J805" s="113"/>
    </row>
    <row r="806" ht="14.25" customHeight="1">
      <c r="A806" s="4"/>
      <c r="B806" s="4"/>
      <c r="C806" s="4"/>
      <c r="H806" s="113"/>
      <c r="I806" s="113"/>
      <c r="J806" s="113"/>
    </row>
    <row r="807" ht="14.25" customHeight="1">
      <c r="A807" s="4"/>
      <c r="B807" s="4"/>
      <c r="C807" s="4"/>
      <c r="H807" s="113"/>
      <c r="I807" s="113"/>
      <c r="J807" s="113"/>
    </row>
    <row r="808" ht="14.25" customHeight="1">
      <c r="A808" s="4"/>
      <c r="B808" s="4"/>
      <c r="C808" s="4"/>
      <c r="H808" s="113"/>
      <c r="I808" s="113"/>
      <c r="J808" s="113"/>
    </row>
    <row r="809" ht="14.25" customHeight="1">
      <c r="A809" s="4"/>
      <c r="B809" s="4"/>
      <c r="C809" s="4"/>
      <c r="H809" s="113"/>
      <c r="I809" s="113"/>
      <c r="J809" s="113"/>
    </row>
    <row r="810" ht="14.25" customHeight="1">
      <c r="A810" s="4"/>
      <c r="B810" s="4"/>
      <c r="C810" s="4"/>
      <c r="H810" s="113"/>
      <c r="I810" s="113"/>
      <c r="J810" s="113"/>
    </row>
    <row r="811" ht="14.25" customHeight="1">
      <c r="A811" s="4"/>
      <c r="B811" s="4"/>
      <c r="C811" s="4"/>
      <c r="H811" s="113"/>
      <c r="I811" s="113"/>
      <c r="J811" s="113"/>
    </row>
    <row r="812" ht="14.25" customHeight="1">
      <c r="A812" s="4"/>
      <c r="B812" s="4"/>
      <c r="C812" s="4"/>
      <c r="H812" s="113"/>
      <c r="I812" s="113"/>
      <c r="J812" s="113"/>
    </row>
    <row r="813" ht="14.25" customHeight="1">
      <c r="A813" s="4"/>
      <c r="B813" s="4"/>
      <c r="C813" s="4"/>
      <c r="H813" s="113"/>
      <c r="I813" s="113"/>
      <c r="J813" s="113"/>
    </row>
    <row r="814" ht="14.25" customHeight="1">
      <c r="A814" s="4"/>
      <c r="B814" s="4"/>
      <c r="C814" s="4"/>
      <c r="H814" s="113"/>
      <c r="I814" s="113"/>
      <c r="J814" s="113"/>
    </row>
    <row r="815" ht="14.25" customHeight="1">
      <c r="A815" s="4"/>
      <c r="B815" s="4"/>
      <c r="C815" s="4"/>
      <c r="H815" s="113"/>
      <c r="I815" s="113"/>
      <c r="J815" s="113"/>
    </row>
    <row r="816" ht="14.25" customHeight="1">
      <c r="A816" s="4"/>
      <c r="B816" s="4"/>
      <c r="C816" s="4"/>
      <c r="H816" s="113"/>
      <c r="I816" s="113"/>
      <c r="J816" s="113"/>
    </row>
    <row r="817" ht="14.25" customHeight="1">
      <c r="A817" s="4"/>
      <c r="B817" s="4"/>
      <c r="C817" s="4"/>
      <c r="H817" s="113"/>
      <c r="I817" s="113"/>
      <c r="J817" s="113"/>
    </row>
    <row r="818" ht="14.25" customHeight="1">
      <c r="A818" s="4"/>
      <c r="B818" s="4"/>
      <c r="C818" s="4"/>
      <c r="H818" s="113"/>
      <c r="I818" s="113"/>
      <c r="J818" s="113"/>
    </row>
    <row r="819" ht="14.25" customHeight="1">
      <c r="A819" s="4"/>
      <c r="B819" s="4"/>
      <c r="C819" s="4"/>
      <c r="H819" s="113"/>
      <c r="I819" s="113"/>
      <c r="J819" s="113"/>
    </row>
    <row r="820" ht="14.25" customHeight="1">
      <c r="A820" s="4"/>
      <c r="B820" s="4"/>
      <c r="C820" s="4"/>
      <c r="H820" s="113"/>
      <c r="I820" s="113"/>
      <c r="J820" s="113"/>
    </row>
    <row r="821" ht="14.25" customHeight="1">
      <c r="A821" s="4"/>
      <c r="B821" s="4"/>
      <c r="C821" s="4"/>
      <c r="H821" s="113"/>
      <c r="I821" s="113"/>
      <c r="J821" s="113"/>
    </row>
    <row r="822" ht="14.25" customHeight="1">
      <c r="A822" s="4"/>
      <c r="B822" s="4"/>
      <c r="C822" s="4"/>
      <c r="H822" s="113"/>
      <c r="I822" s="113"/>
      <c r="J822" s="113"/>
    </row>
    <row r="823" ht="14.25" customHeight="1">
      <c r="A823" s="4"/>
      <c r="B823" s="4"/>
      <c r="C823" s="4"/>
      <c r="H823" s="113"/>
      <c r="I823" s="113"/>
      <c r="J823" s="113"/>
    </row>
    <row r="824" ht="14.25" customHeight="1">
      <c r="A824" s="4"/>
      <c r="B824" s="4"/>
      <c r="C824" s="4"/>
      <c r="H824" s="113"/>
      <c r="I824" s="113"/>
      <c r="J824" s="113"/>
    </row>
    <row r="825" ht="14.25" customHeight="1">
      <c r="A825" s="4"/>
      <c r="B825" s="4"/>
      <c r="C825" s="4"/>
      <c r="H825" s="113"/>
      <c r="I825" s="113"/>
      <c r="J825" s="113"/>
    </row>
    <row r="826" ht="14.25" customHeight="1">
      <c r="A826" s="4"/>
      <c r="B826" s="4"/>
      <c r="C826" s="4"/>
      <c r="H826" s="113"/>
      <c r="I826" s="113"/>
      <c r="J826" s="113"/>
    </row>
    <row r="827" ht="14.25" customHeight="1">
      <c r="A827" s="4"/>
      <c r="B827" s="4"/>
      <c r="C827" s="4"/>
      <c r="H827" s="113"/>
      <c r="I827" s="113"/>
      <c r="J827" s="113"/>
    </row>
    <row r="828" ht="14.25" customHeight="1">
      <c r="A828" s="4"/>
      <c r="B828" s="4"/>
      <c r="C828" s="4"/>
      <c r="H828" s="113"/>
      <c r="I828" s="113"/>
      <c r="J828" s="113"/>
    </row>
    <row r="829" ht="14.25" customHeight="1">
      <c r="A829" s="4"/>
      <c r="B829" s="4"/>
      <c r="C829" s="4"/>
      <c r="H829" s="113"/>
      <c r="I829" s="113"/>
      <c r="J829" s="113"/>
    </row>
    <row r="830" ht="14.25" customHeight="1">
      <c r="A830" s="4"/>
      <c r="B830" s="4"/>
      <c r="C830" s="4"/>
      <c r="H830" s="113"/>
      <c r="I830" s="113"/>
      <c r="J830" s="113"/>
    </row>
    <row r="831" ht="14.25" customHeight="1">
      <c r="A831" s="4"/>
      <c r="B831" s="4"/>
      <c r="C831" s="4"/>
      <c r="H831" s="113"/>
      <c r="I831" s="113"/>
      <c r="J831" s="113"/>
    </row>
    <row r="832" ht="14.25" customHeight="1">
      <c r="A832" s="4"/>
      <c r="B832" s="4"/>
      <c r="C832" s="4"/>
      <c r="H832" s="113"/>
      <c r="I832" s="113"/>
      <c r="J832" s="113"/>
    </row>
    <row r="833" ht="14.25" customHeight="1">
      <c r="A833" s="4"/>
      <c r="B833" s="4"/>
      <c r="C833" s="4"/>
      <c r="H833" s="113"/>
      <c r="I833" s="113"/>
      <c r="J833" s="113"/>
    </row>
    <row r="834" ht="14.25" customHeight="1">
      <c r="A834" s="4"/>
      <c r="B834" s="4"/>
      <c r="C834" s="4"/>
      <c r="H834" s="113"/>
      <c r="I834" s="113"/>
      <c r="J834" s="113"/>
    </row>
    <row r="835" ht="14.25" customHeight="1">
      <c r="A835" s="4"/>
      <c r="B835" s="4"/>
      <c r="C835" s="4"/>
      <c r="H835" s="113"/>
      <c r="I835" s="113"/>
      <c r="J835" s="113"/>
    </row>
    <row r="836" ht="14.25" customHeight="1">
      <c r="A836" s="4"/>
      <c r="B836" s="4"/>
      <c r="C836" s="4"/>
      <c r="H836" s="113"/>
      <c r="I836" s="113"/>
      <c r="J836" s="113"/>
    </row>
    <row r="837" ht="14.25" customHeight="1">
      <c r="A837" s="4"/>
      <c r="B837" s="4"/>
      <c r="C837" s="4"/>
      <c r="H837" s="113"/>
      <c r="I837" s="113"/>
      <c r="J837" s="113"/>
    </row>
    <row r="838" ht="14.25" customHeight="1">
      <c r="A838" s="4"/>
      <c r="B838" s="4"/>
      <c r="C838" s="4"/>
      <c r="H838" s="113"/>
      <c r="I838" s="113"/>
      <c r="J838" s="113"/>
    </row>
    <row r="839" ht="14.25" customHeight="1">
      <c r="A839" s="4"/>
      <c r="B839" s="4"/>
      <c r="C839" s="4"/>
      <c r="H839" s="113"/>
      <c r="I839" s="113"/>
      <c r="J839" s="113"/>
    </row>
    <row r="840" ht="14.25" customHeight="1">
      <c r="A840" s="4"/>
      <c r="B840" s="4"/>
      <c r="C840" s="4"/>
      <c r="H840" s="113"/>
      <c r="I840" s="113"/>
      <c r="J840" s="113"/>
    </row>
    <row r="841" ht="14.25" customHeight="1">
      <c r="A841" s="4"/>
      <c r="B841" s="4"/>
      <c r="C841" s="4"/>
      <c r="H841" s="113"/>
      <c r="I841" s="113"/>
      <c r="J841" s="113"/>
    </row>
    <row r="842" ht="14.25" customHeight="1">
      <c r="A842" s="4"/>
      <c r="B842" s="4"/>
      <c r="C842" s="4"/>
      <c r="H842" s="113"/>
      <c r="I842" s="113"/>
      <c r="J842" s="113"/>
    </row>
    <row r="843" ht="14.25" customHeight="1">
      <c r="A843" s="4"/>
      <c r="B843" s="4"/>
      <c r="C843" s="4"/>
      <c r="H843" s="113"/>
      <c r="I843" s="113"/>
      <c r="J843" s="113"/>
    </row>
    <row r="844" ht="14.25" customHeight="1">
      <c r="A844" s="4"/>
      <c r="B844" s="4"/>
      <c r="C844" s="4"/>
      <c r="H844" s="113"/>
      <c r="I844" s="113"/>
      <c r="J844" s="113"/>
    </row>
    <row r="845" ht="14.25" customHeight="1">
      <c r="A845" s="4"/>
      <c r="B845" s="4"/>
      <c r="C845" s="4"/>
      <c r="H845" s="113"/>
      <c r="I845" s="113"/>
      <c r="J845" s="113"/>
    </row>
    <row r="846" ht="14.25" customHeight="1">
      <c r="A846" s="4"/>
      <c r="B846" s="4"/>
      <c r="C846" s="4"/>
      <c r="H846" s="113"/>
      <c r="I846" s="113"/>
      <c r="J846" s="113"/>
    </row>
    <row r="847" ht="14.25" customHeight="1">
      <c r="A847" s="4"/>
      <c r="B847" s="4"/>
      <c r="C847" s="4"/>
      <c r="H847" s="113"/>
      <c r="I847" s="113"/>
      <c r="J847" s="113"/>
    </row>
    <row r="848" ht="14.25" customHeight="1">
      <c r="A848" s="4"/>
      <c r="B848" s="4"/>
      <c r="C848" s="4"/>
      <c r="H848" s="113"/>
      <c r="I848" s="113"/>
      <c r="J848" s="113"/>
    </row>
    <row r="849" ht="14.25" customHeight="1">
      <c r="A849" s="4"/>
      <c r="B849" s="4"/>
      <c r="C849" s="4"/>
      <c r="H849" s="113"/>
      <c r="I849" s="113"/>
      <c r="J849" s="113"/>
    </row>
    <row r="850" ht="14.25" customHeight="1">
      <c r="A850" s="4"/>
      <c r="B850" s="4"/>
      <c r="C850" s="4"/>
      <c r="H850" s="113"/>
      <c r="I850" s="113"/>
      <c r="J850" s="113"/>
    </row>
    <row r="851" ht="14.25" customHeight="1">
      <c r="A851" s="4"/>
      <c r="B851" s="4"/>
      <c r="C851" s="4"/>
      <c r="H851" s="113"/>
      <c r="I851" s="113"/>
      <c r="J851" s="113"/>
    </row>
    <row r="852" ht="14.25" customHeight="1">
      <c r="A852" s="4"/>
      <c r="B852" s="4"/>
      <c r="C852" s="4"/>
      <c r="H852" s="113"/>
      <c r="I852" s="113"/>
      <c r="J852" s="113"/>
    </row>
    <row r="853" ht="14.25" customHeight="1">
      <c r="A853" s="4"/>
      <c r="B853" s="4"/>
      <c r="C853" s="4"/>
      <c r="H853" s="113"/>
      <c r="I853" s="113"/>
      <c r="J853" s="113"/>
    </row>
    <row r="854" ht="14.25" customHeight="1">
      <c r="A854" s="4"/>
      <c r="B854" s="4"/>
      <c r="C854" s="4"/>
      <c r="H854" s="113"/>
      <c r="I854" s="113"/>
      <c r="J854" s="113"/>
    </row>
    <row r="855" ht="14.25" customHeight="1">
      <c r="A855" s="4"/>
      <c r="B855" s="4"/>
      <c r="C855" s="4"/>
      <c r="H855" s="113"/>
      <c r="I855" s="113"/>
      <c r="J855" s="113"/>
    </row>
    <row r="856" ht="14.25" customHeight="1">
      <c r="A856" s="4"/>
      <c r="B856" s="4"/>
      <c r="C856" s="4"/>
      <c r="H856" s="113"/>
      <c r="I856" s="113"/>
      <c r="J856" s="113"/>
    </row>
    <row r="857" ht="14.25" customHeight="1">
      <c r="A857" s="4"/>
      <c r="B857" s="4"/>
      <c r="C857" s="4"/>
      <c r="H857" s="113"/>
      <c r="I857" s="113"/>
      <c r="J857" s="113"/>
    </row>
    <row r="858" ht="14.25" customHeight="1">
      <c r="A858" s="4"/>
      <c r="B858" s="4"/>
      <c r="C858" s="4"/>
      <c r="H858" s="113"/>
      <c r="I858" s="113"/>
      <c r="J858" s="113"/>
    </row>
    <row r="859" ht="14.25" customHeight="1">
      <c r="A859" s="4"/>
      <c r="B859" s="4"/>
      <c r="C859" s="4"/>
      <c r="H859" s="113"/>
      <c r="I859" s="113"/>
      <c r="J859" s="113"/>
    </row>
    <row r="860" ht="14.25" customHeight="1">
      <c r="A860" s="4"/>
      <c r="B860" s="4"/>
      <c r="C860" s="4"/>
      <c r="H860" s="113"/>
      <c r="I860" s="113"/>
      <c r="J860" s="113"/>
    </row>
    <row r="861" ht="14.25" customHeight="1">
      <c r="A861" s="4"/>
      <c r="B861" s="4"/>
      <c r="C861" s="4"/>
      <c r="H861" s="113"/>
      <c r="I861" s="113"/>
      <c r="J861" s="113"/>
    </row>
    <row r="862" ht="14.25" customHeight="1">
      <c r="A862" s="4"/>
      <c r="B862" s="4"/>
      <c r="C862" s="4"/>
      <c r="H862" s="113"/>
      <c r="I862" s="113"/>
      <c r="J862" s="113"/>
    </row>
    <row r="863" ht="14.25" customHeight="1">
      <c r="A863" s="4"/>
      <c r="B863" s="4"/>
      <c r="C863" s="4"/>
      <c r="H863" s="113"/>
      <c r="I863" s="113"/>
      <c r="J863" s="113"/>
    </row>
    <row r="864" ht="14.25" customHeight="1">
      <c r="A864" s="4"/>
      <c r="B864" s="4"/>
      <c r="C864" s="4"/>
      <c r="H864" s="113"/>
      <c r="I864" s="113"/>
      <c r="J864" s="113"/>
    </row>
    <row r="865" ht="14.25" customHeight="1">
      <c r="A865" s="4"/>
      <c r="B865" s="4"/>
      <c r="C865" s="4"/>
      <c r="H865" s="113"/>
      <c r="I865" s="113"/>
      <c r="J865" s="113"/>
    </row>
    <row r="866" ht="14.25" customHeight="1">
      <c r="A866" s="4"/>
      <c r="B866" s="4"/>
      <c r="C866" s="4"/>
      <c r="H866" s="113"/>
      <c r="I866" s="113"/>
      <c r="J866" s="113"/>
    </row>
    <row r="867" ht="14.25" customHeight="1">
      <c r="A867" s="4"/>
      <c r="B867" s="4"/>
      <c r="C867" s="4"/>
      <c r="H867" s="113"/>
      <c r="I867" s="113"/>
      <c r="J867" s="113"/>
    </row>
    <row r="868" ht="14.25" customHeight="1">
      <c r="A868" s="4"/>
      <c r="B868" s="4"/>
      <c r="C868" s="4"/>
      <c r="H868" s="113"/>
      <c r="I868" s="113"/>
      <c r="J868" s="113"/>
    </row>
    <row r="869" ht="14.25" customHeight="1">
      <c r="A869" s="4"/>
      <c r="B869" s="4"/>
      <c r="C869" s="4"/>
      <c r="H869" s="113"/>
      <c r="I869" s="113"/>
      <c r="J869" s="113"/>
    </row>
    <row r="870" ht="14.25" customHeight="1">
      <c r="A870" s="4"/>
      <c r="B870" s="4"/>
      <c r="C870" s="4"/>
      <c r="H870" s="113"/>
      <c r="I870" s="113"/>
      <c r="J870" s="113"/>
    </row>
    <row r="871" ht="14.25" customHeight="1">
      <c r="A871" s="4"/>
      <c r="B871" s="4"/>
      <c r="C871" s="4"/>
      <c r="H871" s="113"/>
      <c r="I871" s="113"/>
      <c r="J871" s="113"/>
    </row>
    <row r="872" ht="14.25" customHeight="1">
      <c r="A872" s="4"/>
      <c r="B872" s="4"/>
      <c r="C872" s="4"/>
      <c r="H872" s="113"/>
      <c r="I872" s="113"/>
      <c r="J872" s="113"/>
    </row>
    <row r="873" ht="14.25" customHeight="1">
      <c r="A873" s="4"/>
      <c r="B873" s="4"/>
      <c r="C873" s="4"/>
      <c r="H873" s="113"/>
      <c r="I873" s="113"/>
      <c r="J873" s="113"/>
    </row>
    <row r="874" ht="14.25" customHeight="1">
      <c r="A874" s="4"/>
      <c r="B874" s="4"/>
      <c r="C874" s="4"/>
      <c r="H874" s="113"/>
      <c r="I874" s="113"/>
      <c r="J874" s="113"/>
    </row>
    <row r="875" ht="14.25" customHeight="1">
      <c r="A875" s="4"/>
      <c r="B875" s="4"/>
      <c r="C875" s="4"/>
      <c r="H875" s="113"/>
      <c r="I875" s="113"/>
      <c r="J875" s="113"/>
    </row>
    <row r="876" ht="14.25" customHeight="1">
      <c r="A876" s="4"/>
      <c r="B876" s="4"/>
      <c r="C876" s="4"/>
      <c r="H876" s="113"/>
      <c r="I876" s="113"/>
      <c r="J876" s="113"/>
    </row>
    <row r="877" ht="14.25" customHeight="1">
      <c r="A877" s="4"/>
      <c r="B877" s="4"/>
      <c r="C877" s="4"/>
      <c r="H877" s="113"/>
      <c r="I877" s="113"/>
      <c r="J877" s="113"/>
    </row>
    <row r="878" ht="14.25" customHeight="1">
      <c r="A878" s="4"/>
      <c r="B878" s="4"/>
      <c r="C878" s="4"/>
      <c r="H878" s="113"/>
      <c r="I878" s="113"/>
      <c r="J878" s="113"/>
    </row>
    <row r="879" ht="14.25" customHeight="1">
      <c r="A879" s="4"/>
      <c r="B879" s="4"/>
      <c r="C879" s="4"/>
      <c r="H879" s="113"/>
      <c r="I879" s="113"/>
      <c r="J879" s="113"/>
    </row>
    <row r="880" ht="14.25" customHeight="1">
      <c r="A880" s="4"/>
      <c r="B880" s="4"/>
      <c r="C880" s="4"/>
      <c r="H880" s="113"/>
      <c r="I880" s="113"/>
      <c r="J880" s="113"/>
    </row>
    <row r="881" ht="14.25" customHeight="1">
      <c r="A881" s="4"/>
      <c r="B881" s="4"/>
      <c r="C881" s="4"/>
      <c r="H881" s="113"/>
      <c r="I881" s="113"/>
      <c r="J881" s="113"/>
    </row>
    <row r="882" ht="14.25" customHeight="1">
      <c r="A882" s="4"/>
      <c r="B882" s="4"/>
      <c r="C882" s="4"/>
      <c r="H882" s="113"/>
      <c r="I882" s="113"/>
      <c r="J882" s="113"/>
    </row>
    <row r="883" ht="14.25" customHeight="1">
      <c r="A883" s="4"/>
      <c r="B883" s="4"/>
      <c r="C883" s="4"/>
      <c r="H883" s="113"/>
      <c r="I883" s="113"/>
      <c r="J883" s="113"/>
    </row>
    <row r="884" ht="14.25" customHeight="1">
      <c r="A884" s="4"/>
      <c r="B884" s="4"/>
      <c r="C884" s="4"/>
      <c r="H884" s="113"/>
      <c r="I884" s="113"/>
      <c r="J884" s="113"/>
    </row>
    <row r="885" ht="14.25" customHeight="1">
      <c r="A885" s="4"/>
      <c r="B885" s="4"/>
      <c r="C885" s="4"/>
      <c r="H885" s="113"/>
      <c r="I885" s="113"/>
      <c r="J885" s="113"/>
    </row>
    <row r="886" ht="14.25" customHeight="1">
      <c r="A886" s="4"/>
      <c r="B886" s="4"/>
      <c r="C886" s="4"/>
      <c r="H886" s="113"/>
      <c r="I886" s="113"/>
      <c r="J886" s="113"/>
    </row>
    <row r="887" ht="14.25" customHeight="1">
      <c r="A887" s="4"/>
      <c r="B887" s="4"/>
      <c r="C887" s="4"/>
      <c r="H887" s="113"/>
      <c r="I887" s="113"/>
      <c r="J887" s="113"/>
    </row>
    <row r="888" ht="14.25" customHeight="1">
      <c r="A888" s="4"/>
      <c r="B888" s="4"/>
      <c r="C888" s="4"/>
      <c r="H888" s="113"/>
      <c r="I888" s="113"/>
      <c r="J888" s="113"/>
    </row>
    <row r="889" ht="14.25" customHeight="1">
      <c r="A889" s="4"/>
      <c r="B889" s="4"/>
      <c r="C889" s="4"/>
      <c r="H889" s="113"/>
      <c r="I889" s="113"/>
      <c r="J889" s="113"/>
    </row>
    <row r="890" ht="14.25" customHeight="1">
      <c r="A890" s="4"/>
      <c r="B890" s="4"/>
      <c r="C890" s="4"/>
      <c r="H890" s="113"/>
      <c r="I890" s="113"/>
      <c r="J890" s="113"/>
    </row>
    <row r="891" ht="14.25" customHeight="1">
      <c r="A891" s="4"/>
      <c r="B891" s="4"/>
      <c r="C891" s="4"/>
      <c r="H891" s="113"/>
      <c r="I891" s="113"/>
      <c r="J891" s="113"/>
    </row>
    <row r="892" ht="14.25" customHeight="1">
      <c r="A892" s="4"/>
      <c r="B892" s="4"/>
      <c r="C892" s="4"/>
      <c r="H892" s="113"/>
      <c r="I892" s="113"/>
      <c r="J892" s="113"/>
    </row>
    <row r="893" ht="14.25" customHeight="1">
      <c r="A893" s="4"/>
      <c r="B893" s="4"/>
      <c r="C893" s="4"/>
      <c r="H893" s="113"/>
      <c r="I893" s="113"/>
      <c r="J893" s="113"/>
    </row>
    <row r="894" ht="14.25" customHeight="1">
      <c r="A894" s="4"/>
      <c r="B894" s="4"/>
      <c r="C894" s="4"/>
      <c r="H894" s="113"/>
      <c r="I894" s="113"/>
      <c r="J894" s="113"/>
    </row>
    <row r="895" ht="14.25" customHeight="1">
      <c r="A895" s="4"/>
      <c r="B895" s="4"/>
      <c r="C895" s="4"/>
      <c r="H895" s="113"/>
      <c r="I895" s="113"/>
      <c r="J895" s="113"/>
    </row>
    <row r="896" ht="14.25" customHeight="1">
      <c r="A896" s="4"/>
      <c r="B896" s="4"/>
      <c r="C896" s="4"/>
      <c r="H896" s="113"/>
      <c r="I896" s="113"/>
      <c r="J896" s="113"/>
    </row>
    <row r="897" ht="14.25" customHeight="1">
      <c r="A897" s="4"/>
      <c r="B897" s="4"/>
      <c r="C897" s="4"/>
      <c r="H897" s="113"/>
      <c r="I897" s="113"/>
      <c r="J897" s="113"/>
    </row>
    <row r="898" ht="14.25" customHeight="1">
      <c r="A898" s="4"/>
      <c r="B898" s="4"/>
      <c r="C898" s="4"/>
      <c r="H898" s="113"/>
      <c r="I898" s="113"/>
      <c r="J898" s="113"/>
    </row>
    <row r="899" ht="14.25" customHeight="1">
      <c r="A899" s="4"/>
      <c r="B899" s="4"/>
      <c r="C899" s="4"/>
      <c r="H899" s="113"/>
      <c r="I899" s="113"/>
      <c r="J899" s="113"/>
    </row>
    <row r="900" ht="14.25" customHeight="1">
      <c r="A900" s="4"/>
      <c r="B900" s="4"/>
      <c r="C900" s="4"/>
      <c r="H900" s="113"/>
      <c r="I900" s="113"/>
      <c r="J900" s="113"/>
    </row>
    <row r="901" ht="14.25" customHeight="1">
      <c r="A901" s="4"/>
      <c r="B901" s="4"/>
      <c r="C901" s="4"/>
      <c r="H901" s="113"/>
      <c r="I901" s="113"/>
      <c r="J901" s="113"/>
    </row>
    <row r="902" ht="14.25" customHeight="1">
      <c r="A902" s="4"/>
      <c r="B902" s="4"/>
      <c r="C902" s="4"/>
      <c r="H902" s="113"/>
      <c r="I902" s="113"/>
      <c r="J902" s="113"/>
    </row>
    <row r="903" ht="14.25" customHeight="1">
      <c r="A903" s="4"/>
      <c r="B903" s="4"/>
      <c r="C903" s="4"/>
      <c r="H903" s="113"/>
      <c r="I903" s="113"/>
      <c r="J903" s="113"/>
    </row>
    <row r="904" ht="14.25" customHeight="1">
      <c r="A904" s="4"/>
      <c r="B904" s="4"/>
      <c r="C904" s="4"/>
      <c r="H904" s="113"/>
      <c r="I904" s="113"/>
      <c r="J904" s="113"/>
    </row>
    <row r="905" ht="14.25" customHeight="1">
      <c r="A905" s="4"/>
      <c r="B905" s="4"/>
      <c r="C905" s="4"/>
      <c r="H905" s="113"/>
      <c r="I905" s="113"/>
      <c r="J905" s="113"/>
    </row>
    <row r="906" ht="14.25" customHeight="1">
      <c r="A906" s="4"/>
      <c r="B906" s="4"/>
      <c r="C906" s="4"/>
      <c r="H906" s="113"/>
      <c r="I906" s="113"/>
      <c r="J906" s="113"/>
    </row>
    <row r="907" ht="14.25" customHeight="1">
      <c r="A907" s="4"/>
      <c r="B907" s="4"/>
      <c r="C907" s="4"/>
      <c r="H907" s="113"/>
      <c r="I907" s="113"/>
      <c r="J907" s="113"/>
    </row>
    <row r="908" ht="14.25" customHeight="1">
      <c r="A908" s="4"/>
      <c r="B908" s="4"/>
      <c r="C908" s="4"/>
      <c r="H908" s="113"/>
      <c r="I908" s="113"/>
      <c r="J908" s="113"/>
    </row>
    <row r="909" ht="14.25" customHeight="1">
      <c r="A909" s="4"/>
      <c r="B909" s="4"/>
      <c r="C909" s="4"/>
      <c r="H909" s="113"/>
      <c r="I909" s="113"/>
      <c r="J909" s="113"/>
    </row>
    <row r="910" ht="14.25" customHeight="1">
      <c r="A910" s="4"/>
      <c r="B910" s="4"/>
      <c r="C910" s="4"/>
      <c r="H910" s="113"/>
      <c r="I910" s="113"/>
      <c r="J910" s="113"/>
    </row>
    <row r="911" ht="14.25" customHeight="1">
      <c r="A911" s="4"/>
      <c r="B911" s="4"/>
      <c r="C911" s="4"/>
      <c r="H911" s="113"/>
      <c r="I911" s="113"/>
      <c r="J911" s="113"/>
    </row>
    <row r="912" ht="14.25" customHeight="1">
      <c r="A912" s="4"/>
      <c r="B912" s="4"/>
      <c r="C912" s="4"/>
      <c r="H912" s="113"/>
      <c r="I912" s="113"/>
      <c r="J912" s="113"/>
    </row>
    <row r="913" ht="14.25" customHeight="1">
      <c r="A913" s="4"/>
      <c r="B913" s="4"/>
      <c r="C913" s="4"/>
      <c r="H913" s="113"/>
      <c r="I913" s="113"/>
      <c r="J913" s="113"/>
    </row>
    <row r="914" ht="14.25" customHeight="1">
      <c r="A914" s="4"/>
      <c r="B914" s="4"/>
      <c r="C914" s="4"/>
      <c r="H914" s="113"/>
      <c r="I914" s="113"/>
      <c r="J914" s="113"/>
    </row>
    <row r="915" ht="14.25" customHeight="1">
      <c r="A915" s="4"/>
      <c r="B915" s="4"/>
      <c r="C915" s="4"/>
      <c r="H915" s="113"/>
      <c r="I915" s="113"/>
      <c r="J915" s="113"/>
    </row>
    <row r="916" ht="14.25" customHeight="1">
      <c r="A916" s="4"/>
      <c r="B916" s="4"/>
      <c r="C916" s="4"/>
      <c r="H916" s="113"/>
      <c r="I916" s="113"/>
      <c r="J916" s="113"/>
    </row>
    <row r="917" ht="14.25" customHeight="1">
      <c r="A917" s="4"/>
      <c r="B917" s="4"/>
      <c r="C917" s="4"/>
      <c r="H917" s="113"/>
      <c r="I917" s="113"/>
      <c r="J917" s="113"/>
    </row>
    <row r="918" ht="14.25" customHeight="1">
      <c r="A918" s="4"/>
      <c r="B918" s="4"/>
      <c r="C918" s="4"/>
      <c r="H918" s="113"/>
      <c r="I918" s="113"/>
      <c r="J918" s="113"/>
    </row>
    <row r="919" ht="14.25" customHeight="1">
      <c r="A919" s="4"/>
      <c r="B919" s="4"/>
      <c r="C919" s="4"/>
      <c r="H919" s="113"/>
      <c r="I919" s="113"/>
      <c r="J919" s="113"/>
    </row>
    <row r="920" ht="14.25" customHeight="1">
      <c r="A920" s="4"/>
      <c r="B920" s="4"/>
      <c r="C920" s="4"/>
      <c r="H920" s="113"/>
      <c r="I920" s="113"/>
      <c r="J920" s="113"/>
    </row>
    <row r="921" ht="14.25" customHeight="1">
      <c r="A921" s="4"/>
      <c r="B921" s="4"/>
      <c r="C921" s="4"/>
      <c r="H921" s="113"/>
      <c r="I921" s="113"/>
      <c r="J921" s="113"/>
    </row>
    <row r="922" ht="14.25" customHeight="1">
      <c r="A922" s="4"/>
      <c r="B922" s="4"/>
      <c r="C922" s="4"/>
      <c r="H922" s="113"/>
      <c r="I922" s="113"/>
      <c r="J922" s="113"/>
    </row>
    <row r="923" ht="14.25" customHeight="1">
      <c r="A923" s="4"/>
      <c r="B923" s="4"/>
      <c r="C923" s="4"/>
      <c r="H923" s="113"/>
      <c r="I923" s="113"/>
      <c r="J923" s="113"/>
    </row>
    <row r="924" ht="14.25" customHeight="1">
      <c r="A924" s="4"/>
      <c r="B924" s="4"/>
      <c r="C924" s="4"/>
      <c r="H924" s="113"/>
      <c r="I924" s="113"/>
      <c r="J924" s="113"/>
    </row>
    <row r="925" ht="14.25" customHeight="1">
      <c r="A925" s="4"/>
      <c r="B925" s="4"/>
      <c r="C925" s="4"/>
      <c r="H925" s="113"/>
      <c r="I925" s="113"/>
      <c r="J925" s="113"/>
    </row>
    <row r="926" ht="14.25" customHeight="1">
      <c r="A926" s="4"/>
      <c r="B926" s="4"/>
      <c r="C926" s="4"/>
      <c r="H926" s="113"/>
      <c r="I926" s="113"/>
      <c r="J926" s="113"/>
    </row>
    <row r="927" ht="14.25" customHeight="1">
      <c r="A927" s="4"/>
      <c r="B927" s="4"/>
      <c r="C927" s="4"/>
      <c r="H927" s="113"/>
      <c r="I927" s="113"/>
      <c r="J927" s="113"/>
    </row>
    <row r="928" ht="14.25" customHeight="1">
      <c r="A928" s="4"/>
      <c r="B928" s="4"/>
      <c r="C928" s="4"/>
      <c r="H928" s="113"/>
      <c r="I928" s="113"/>
      <c r="J928" s="113"/>
    </row>
    <row r="929" ht="14.25" customHeight="1">
      <c r="A929" s="4"/>
      <c r="B929" s="4"/>
      <c r="C929" s="4"/>
      <c r="H929" s="113"/>
      <c r="I929" s="113"/>
      <c r="J929" s="113"/>
    </row>
    <row r="930" ht="14.25" customHeight="1">
      <c r="A930" s="4"/>
      <c r="B930" s="4"/>
      <c r="C930" s="4"/>
      <c r="H930" s="113"/>
      <c r="I930" s="113"/>
      <c r="J930" s="113"/>
    </row>
    <row r="931" ht="14.25" customHeight="1">
      <c r="A931" s="4"/>
      <c r="B931" s="4"/>
      <c r="C931" s="4"/>
      <c r="H931" s="113"/>
      <c r="I931" s="113"/>
      <c r="J931" s="113"/>
    </row>
    <row r="932" ht="14.25" customHeight="1">
      <c r="A932" s="4"/>
      <c r="B932" s="4"/>
      <c r="C932" s="4"/>
      <c r="H932" s="113"/>
      <c r="I932" s="113"/>
      <c r="J932" s="113"/>
    </row>
    <row r="933" ht="14.25" customHeight="1">
      <c r="A933" s="4"/>
      <c r="B933" s="4"/>
      <c r="C933" s="4"/>
      <c r="H933" s="113"/>
      <c r="I933" s="113"/>
      <c r="J933" s="113"/>
    </row>
    <row r="934" ht="14.25" customHeight="1">
      <c r="A934" s="4"/>
      <c r="B934" s="4"/>
      <c r="C934" s="4"/>
      <c r="H934" s="113"/>
      <c r="I934" s="113"/>
      <c r="J934" s="113"/>
    </row>
    <row r="935" ht="14.25" customHeight="1">
      <c r="A935" s="4"/>
      <c r="B935" s="4"/>
      <c r="C935" s="4"/>
      <c r="H935" s="113"/>
      <c r="I935" s="113"/>
      <c r="J935" s="113"/>
    </row>
    <row r="936" ht="14.25" customHeight="1">
      <c r="A936" s="4"/>
      <c r="B936" s="4"/>
      <c r="C936" s="4"/>
      <c r="H936" s="113"/>
      <c r="I936" s="113"/>
      <c r="J936" s="113"/>
    </row>
    <row r="937" ht="14.25" customHeight="1">
      <c r="A937" s="4"/>
      <c r="B937" s="4"/>
      <c r="C937" s="4"/>
      <c r="H937" s="113"/>
      <c r="I937" s="113"/>
      <c r="J937" s="113"/>
    </row>
    <row r="938" ht="14.25" customHeight="1">
      <c r="A938" s="4"/>
      <c r="B938" s="4"/>
      <c r="C938" s="4"/>
      <c r="H938" s="113"/>
      <c r="I938" s="113"/>
      <c r="J938" s="113"/>
    </row>
    <row r="939" ht="14.25" customHeight="1">
      <c r="A939" s="4"/>
      <c r="B939" s="4"/>
      <c r="C939" s="4"/>
      <c r="H939" s="113"/>
      <c r="I939" s="113"/>
      <c r="J939" s="113"/>
    </row>
    <row r="940" ht="14.25" customHeight="1">
      <c r="A940" s="4"/>
      <c r="B940" s="4"/>
      <c r="C940" s="4"/>
      <c r="H940" s="113"/>
      <c r="I940" s="113"/>
      <c r="J940" s="113"/>
    </row>
    <row r="941" ht="14.25" customHeight="1">
      <c r="A941" s="4"/>
      <c r="B941" s="4"/>
      <c r="C941" s="4"/>
      <c r="H941" s="113"/>
      <c r="I941" s="113"/>
      <c r="J941" s="113"/>
    </row>
    <row r="942" ht="14.25" customHeight="1">
      <c r="A942" s="4"/>
      <c r="B942" s="4"/>
      <c r="C942" s="4"/>
      <c r="H942" s="113"/>
      <c r="I942" s="113"/>
      <c r="J942" s="113"/>
    </row>
    <row r="943" ht="14.25" customHeight="1">
      <c r="A943" s="4"/>
      <c r="B943" s="4"/>
      <c r="C943" s="4"/>
      <c r="H943" s="113"/>
      <c r="I943" s="113"/>
      <c r="J943" s="113"/>
    </row>
    <row r="944" ht="14.25" customHeight="1">
      <c r="A944" s="4"/>
      <c r="B944" s="4"/>
      <c r="C944" s="4"/>
      <c r="H944" s="113"/>
      <c r="I944" s="113"/>
      <c r="J944" s="113"/>
    </row>
    <row r="945" ht="14.25" customHeight="1">
      <c r="A945" s="4"/>
      <c r="B945" s="4"/>
      <c r="C945" s="4"/>
      <c r="H945" s="113"/>
      <c r="I945" s="113"/>
      <c r="J945" s="113"/>
    </row>
    <row r="946" ht="14.25" customHeight="1">
      <c r="A946" s="4"/>
      <c r="B946" s="4"/>
      <c r="C946" s="4"/>
      <c r="H946" s="113"/>
      <c r="I946" s="113"/>
      <c r="J946" s="113"/>
    </row>
    <row r="947" ht="14.25" customHeight="1">
      <c r="A947" s="4"/>
      <c r="B947" s="4"/>
      <c r="C947" s="4"/>
      <c r="H947" s="113"/>
      <c r="I947" s="113"/>
      <c r="J947" s="113"/>
    </row>
    <row r="948" ht="14.25" customHeight="1">
      <c r="A948" s="4"/>
      <c r="B948" s="4"/>
      <c r="C948" s="4"/>
      <c r="H948" s="113"/>
      <c r="I948" s="113"/>
      <c r="J948" s="113"/>
    </row>
    <row r="949" ht="14.25" customHeight="1">
      <c r="A949" s="4"/>
      <c r="B949" s="4"/>
      <c r="C949" s="4"/>
      <c r="H949" s="113"/>
      <c r="I949" s="113"/>
      <c r="J949" s="113"/>
    </row>
    <row r="950" ht="14.25" customHeight="1">
      <c r="A950" s="4"/>
      <c r="B950" s="4"/>
      <c r="C950" s="4"/>
      <c r="H950" s="113"/>
      <c r="I950" s="113"/>
      <c r="J950" s="113"/>
    </row>
    <row r="951" ht="14.25" customHeight="1">
      <c r="A951" s="4"/>
      <c r="B951" s="4"/>
      <c r="C951" s="4"/>
      <c r="H951" s="113"/>
      <c r="I951" s="113"/>
      <c r="J951" s="113"/>
    </row>
    <row r="952" ht="14.25" customHeight="1">
      <c r="A952" s="4"/>
      <c r="B952" s="4"/>
      <c r="C952" s="4"/>
      <c r="H952" s="113"/>
      <c r="I952" s="113"/>
      <c r="J952" s="113"/>
    </row>
    <row r="953" ht="14.25" customHeight="1">
      <c r="A953" s="4"/>
      <c r="B953" s="4"/>
      <c r="C953" s="4"/>
      <c r="H953" s="113"/>
      <c r="I953" s="113"/>
      <c r="J953" s="113"/>
    </row>
    <row r="954" ht="14.25" customHeight="1">
      <c r="A954" s="4"/>
      <c r="B954" s="4"/>
      <c r="C954" s="4"/>
      <c r="H954" s="113"/>
      <c r="I954" s="113"/>
      <c r="J954" s="113"/>
    </row>
    <row r="955" ht="14.25" customHeight="1">
      <c r="A955" s="4"/>
      <c r="B955" s="4"/>
      <c r="C955" s="4"/>
      <c r="H955" s="113"/>
      <c r="I955" s="113"/>
      <c r="J955" s="113"/>
    </row>
    <row r="956" ht="14.25" customHeight="1">
      <c r="A956" s="4"/>
      <c r="B956" s="4"/>
      <c r="C956" s="4"/>
      <c r="H956" s="113"/>
      <c r="I956" s="113"/>
      <c r="J956" s="113"/>
    </row>
    <row r="957" ht="14.25" customHeight="1">
      <c r="A957" s="4"/>
      <c r="B957" s="4"/>
      <c r="C957" s="4"/>
      <c r="H957" s="113"/>
      <c r="I957" s="113"/>
      <c r="J957" s="113"/>
    </row>
    <row r="958" ht="14.25" customHeight="1">
      <c r="A958" s="4"/>
      <c r="B958" s="4"/>
      <c r="C958" s="4"/>
      <c r="H958" s="113"/>
      <c r="I958" s="113"/>
      <c r="J958" s="113"/>
    </row>
    <row r="959" ht="14.25" customHeight="1">
      <c r="A959" s="4"/>
      <c r="B959" s="4"/>
      <c r="C959" s="4"/>
      <c r="H959" s="113"/>
      <c r="I959" s="113"/>
      <c r="J959" s="113"/>
    </row>
    <row r="960" ht="14.25" customHeight="1">
      <c r="A960" s="4"/>
      <c r="B960" s="4"/>
      <c r="C960" s="4"/>
      <c r="H960" s="113"/>
      <c r="I960" s="113"/>
      <c r="J960" s="113"/>
    </row>
    <row r="961" ht="14.25" customHeight="1">
      <c r="A961" s="4"/>
      <c r="B961" s="4"/>
      <c r="C961" s="4"/>
      <c r="H961" s="113"/>
      <c r="I961" s="113"/>
      <c r="J961" s="113"/>
    </row>
    <row r="962" ht="14.25" customHeight="1">
      <c r="A962" s="4"/>
      <c r="B962" s="4"/>
      <c r="C962" s="4"/>
      <c r="H962" s="113"/>
      <c r="I962" s="113"/>
      <c r="J962" s="113"/>
    </row>
    <row r="963" ht="14.25" customHeight="1">
      <c r="A963" s="4"/>
      <c r="B963" s="4"/>
      <c r="C963" s="4"/>
      <c r="H963" s="113"/>
      <c r="I963" s="113"/>
      <c r="J963" s="113"/>
    </row>
    <row r="964" ht="14.25" customHeight="1">
      <c r="A964" s="4"/>
      <c r="B964" s="4"/>
      <c r="C964" s="4"/>
      <c r="H964" s="113"/>
      <c r="I964" s="113"/>
      <c r="J964" s="113"/>
    </row>
    <row r="965" ht="14.25" customHeight="1">
      <c r="A965" s="4"/>
      <c r="B965" s="4"/>
      <c r="C965" s="4"/>
      <c r="H965" s="113"/>
      <c r="I965" s="113"/>
      <c r="J965" s="113"/>
    </row>
    <row r="966" ht="14.25" customHeight="1">
      <c r="A966" s="4"/>
      <c r="B966" s="4"/>
      <c r="C966" s="4"/>
      <c r="H966" s="113"/>
      <c r="I966" s="113"/>
      <c r="J966" s="113"/>
    </row>
    <row r="967" ht="14.25" customHeight="1">
      <c r="A967" s="4"/>
      <c r="B967" s="4"/>
      <c r="C967" s="4"/>
      <c r="H967" s="113"/>
      <c r="I967" s="113"/>
      <c r="J967" s="113"/>
    </row>
    <row r="968" ht="14.25" customHeight="1">
      <c r="A968" s="4"/>
      <c r="B968" s="4"/>
      <c r="C968" s="4"/>
      <c r="H968" s="113"/>
      <c r="I968" s="113"/>
      <c r="J968" s="113"/>
    </row>
    <row r="969" ht="14.25" customHeight="1">
      <c r="A969" s="4"/>
      <c r="B969" s="4"/>
      <c r="C969" s="4"/>
      <c r="H969" s="113"/>
      <c r="I969" s="113"/>
      <c r="J969" s="113"/>
    </row>
    <row r="970" ht="14.25" customHeight="1">
      <c r="A970" s="4"/>
      <c r="B970" s="4"/>
      <c r="C970" s="4"/>
      <c r="H970" s="113"/>
      <c r="I970" s="113"/>
      <c r="J970" s="113"/>
    </row>
    <row r="971" ht="14.25" customHeight="1">
      <c r="A971" s="4"/>
      <c r="B971" s="4"/>
      <c r="C971" s="4"/>
      <c r="H971" s="113"/>
      <c r="I971" s="113"/>
      <c r="J971" s="113"/>
    </row>
    <row r="972" ht="14.25" customHeight="1">
      <c r="A972" s="4"/>
      <c r="B972" s="4"/>
      <c r="C972" s="4"/>
      <c r="H972" s="113"/>
      <c r="I972" s="113"/>
      <c r="J972" s="113"/>
    </row>
    <row r="973" ht="14.25" customHeight="1">
      <c r="A973" s="4"/>
      <c r="B973" s="4"/>
      <c r="C973" s="4"/>
      <c r="H973" s="113"/>
      <c r="I973" s="113"/>
      <c r="J973" s="113"/>
    </row>
    <row r="974" ht="14.25" customHeight="1">
      <c r="A974" s="4"/>
      <c r="B974" s="4"/>
      <c r="C974" s="4"/>
      <c r="H974" s="113"/>
      <c r="I974" s="113"/>
      <c r="J974" s="113"/>
    </row>
    <row r="975" ht="14.25" customHeight="1">
      <c r="A975" s="4"/>
      <c r="B975" s="4"/>
      <c r="C975" s="4"/>
      <c r="H975" s="113"/>
      <c r="I975" s="113"/>
      <c r="J975" s="113"/>
    </row>
    <row r="976" ht="14.25" customHeight="1">
      <c r="A976" s="4"/>
      <c r="B976" s="4"/>
      <c r="C976" s="4"/>
      <c r="H976" s="113"/>
      <c r="I976" s="113"/>
      <c r="J976" s="113"/>
    </row>
    <row r="977" ht="14.25" customHeight="1">
      <c r="A977" s="4"/>
      <c r="B977" s="4"/>
      <c r="C977" s="4"/>
      <c r="H977" s="113"/>
      <c r="I977" s="113"/>
      <c r="J977" s="113"/>
    </row>
    <row r="978" ht="14.25" customHeight="1">
      <c r="A978" s="4"/>
      <c r="B978" s="4"/>
      <c r="C978" s="4"/>
      <c r="H978" s="113"/>
      <c r="I978" s="113"/>
      <c r="J978" s="113"/>
    </row>
    <row r="979" ht="14.25" customHeight="1">
      <c r="A979" s="4"/>
      <c r="B979" s="4"/>
      <c r="C979" s="4"/>
      <c r="H979" s="113"/>
      <c r="I979" s="113"/>
      <c r="J979" s="113"/>
    </row>
    <row r="980" ht="14.25" customHeight="1">
      <c r="A980" s="4"/>
      <c r="B980" s="4"/>
      <c r="C980" s="4"/>
      <c r="H980" s="113"/>
      <c r="I980" s="113"/>
      <c r="J980" s="113"/>
    </row>
    <row r="981" ht="14.25" customHeight="1">
      <c r="A981" s="4"/>
      <c r="B981" s="4"/>
      <c r="C981" s="4"/>
      <c r="H981" s="113"/>
      <c r="I981" s="113"/>
      <c r="J981" s="113"/>
    </row>
    <row r="982" ht="14.25" customHeight="1">
      <c r="A982" s="4"/>
      <c r="B982" s="4"/>
      <c r="C982" s="4"/>
      <c r="H982" s="113"/>
      <c r="I982" s="113"/>
      <c r="J982" s="113"/>
    </row>
    <row r="983" ht="14.25" customHeight="1">
      <c r="A983" s="4"/>
      <c r="B983" s="4"/>
      <c r="C983" s="4"/>
      <c r="H983" s="113"/>
      <c r="I983" s="113"/>
      <c r="J983" s="113"/>
    </row>
    <row r="984" ht="14.25" customHeight="1">
      <c r="A984" s="4"/>
      <c r="B984" s="4"/>
      <c r="C984" s="4"/>
      <c r="H984" s="113"/>
      <c r="I984" s="113"/>
      <c r="J984" s="113"/>
    </row>
    <row r="985" ht="14.25" customHeight="1">
      <c r="A985" s="4"/>
      <c r="B985" s="4"/>
      <c r="C985" s="4"/>
      <c r="H985" s="113"/>
      <c r="I985" s="113"/>
      <c r="J985" s="113"/>
    </row>
    <row r="986" ht="14.25" customHeight="1">
      <c r="A986" s="4"/>
      <c r="B986" s="4"/>
      <c r="C986" s="4"/>
      <c r="H986" s="113"/>
      <c r="I986" s="113"/>
      <c r="J986" s="113"/>
    </row>
    <row r="987" ht="14.25" customHeight="1">
      <c r="A987" s="4"/>
      <c r="B987" s="4"/>
      <c r="C987" s="4"/>
      <c r="H987" s="113"/>
      <c r="I987" s="113"/>
      <c r="J987" s="113"/>
    </row>
    <row r="988" ht="14.25" customHeight="1">
      <c r="A988" s="4"/>
      <c r="B988" s="4"/>
      <c r="C988" s="4"/>
      <c r="H988" s="113"/>
      <c r="I988" s="113"/>
      <c r="J988" s="113"/>
    </row>
    <row r="989" ht="14.25" customHeight="1">
      <c r="A989" s="4"/>
      <c r="B989" s="4"/>
      <c r="C989" s="4"/>
      <c r="H989" s="113"/>
      <c r="I989" s="113"/>
      <c r="J989" s="113"/>
    </row>
    <row r="990" ht="14.25" customHeight="1">
      <c r="A990" s="4"/>
      <c r="B990" s="4"/>
      <c r="C990" s="4"/>
      <c r="H990" s="113"/>
      <c r="I990" s="113"/>
      <c r="J990" s="113"/>
    </row>
    <row r="991" ht="14.25" customHeight="1">
      <c r="A991" s="4"/>
      <c r="B991" s="4"/>
      <c r="C991" s="4"/>
      <c r="H991" s="113"/>
      <c r="I991" s="113"/>
      <c r="J991" s="113"/>
    </row>
    <row r="992" ht="14.25" customHeight="1">
      <c r="A992" s="4"/>
      <c r="B992" s="4"/>
      <c r="C992" s="4"/>
      <c r="H992" s="113"/>
      <c r="I992" s="113"/>
      <c r="J992" s="113"/>
    </row>
    <row r="993" ht="14.25" customHeight="1">
      <c r="A993" s="4"/>
      <c r="B993" s="4"/>
      <c r="C993" s="4"/>
      <c r="H993" s="113"/>
      <c r="I993" s="113"/>
      <c r="J993" s="113"/>
    </row>
    <row r="994" ht="14.25" customHeight="1">
      <c r="A994" s="4"/>
      <c r="B994" s="4"/>
      <c r="C994" s="4"/>
      <c r="H994" s="113"/>
      <c r="I994" s="113"/>
      <c r="J994" s="113"/>
    </row>
    <row r="995" ht="14.25" customHeight="1">
      <c r="A995" s="4"/>
      <c r="B995" s="4"/>
      <c r="C995" s="4"/>
      <c r="H995" s="113"/>
      <c r="I995" s="113"/>
      <c r="J995" s="113"/>
    </row>
    <row r="996" ht="14.25" customHeight="1">
      <c r="A996" s="4"/>
      <c r="B996" s="4"/>
      <c r="C996" s="4"/>
      <c r="H996" s="113"/>
      <c r="I996" s="113"/>
      <c r="J996" s="113"/>
    </row>
    <row r="997" ht="14.25" customHeight="1">
      <c r="A997" s="4"/>
      <c r="B997" s="4"/>
      <c r="C997" s="4"/>
      <c r="H997" s="113"/>
      <c r="I997" s="113"/>
      <c r="J997" s="113"/>
    </row>
    <row r="998" ht="14.25" customHeight="1">
      <c r="A998" s="4"/>
      <c r="B998" s="4"/>
      <c r="C998" s="4"/>
      <c r="H998" s="113"/>
      <c r="I998" s="113"/>
      <c r="J998" s="113"/>
    </row>
    <row r="999" ht="14.25" customHeight="1">
      <c r="A999" s="4"/>
      <c r="B999" s="4"/>
      <c r="C999" s="4"/>
      <c r="H999" s="113"/>
      <c r="I999" s="113"/>
      <c r="J999" s="113"/>
    </row>
    <row r="1000" ht="14.25" customHeight="1">
      <c r="A1000" s="4"/>
      <c r="B1000" s="4"/>
      <c r="C1000" s="4"/>
      <c r="H1000" s="113"/>
      <c r="I1000" s="113"/>
      <c r="J1000" s="113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2023-08-01T07:26:23Z</dcterms:created>
  <dc:creator>lena</dc:creator>
</cp:coreProperties>
</file>