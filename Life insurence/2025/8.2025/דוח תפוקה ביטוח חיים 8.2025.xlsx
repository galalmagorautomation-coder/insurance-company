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y Drive\מאגר מידע של גל אלמגור\דוחות תפוקה\דוחות תפוקה ביטוח חיים\2025\8.2025\"/>
    </mc:Choice>
  </mc:AlternateContent>
  <bookViews>
    <workbookView xWindow="-120" yWindow="-120" windowWidth="29040" windowHeight="15720" tabRatio="956"/>
  </bookViews>
  <sheets>
    <sheet name="דוח הנהלה" sheetId="11" r:id="rId1"/>
    <sheet name="תפוקה מצטברת מול אשתקד" sheetId="12" r:id="rId2"/>
    <sheet name="תפוקה חודשית מול אשתקד" sheetId="19" r:id="rId3"/>
    <sheet name="תפוקה מצטברת מול יעד מצטבר" sheetId="13" r:id="rId4"/>
    <sheet name="תפוקה מול יעד חודשי" sheetId="14" r:id="rId5"/>
    <sheet name="עולים יורדים" sheetId="10" r:id="rId6"/>
    <sheet name="הכשרה" sheetId="1" r:id="rId7"/>
    <sheet name="מגדל" sheetId="3" r:id="rId8"/>
    <sheet name="מנורה" sheetId="2" r:id="rId9"/>
    <sheet name="איילון" sheetId="4" r:id="rId10"/>
    <sheet name="הראל" sheetId="5" r:id="rId11"/>
    <sheet name="הפניקס" sheetId="6" r:id="rId12"/>
    <sheet name="כלל" sheetId="7" r:id="rId13"/>
    <sheet name="מור" sheetId="8" r:id="rId14"/>
    <sheet name="אלטשולר שחם" sheetId="9" r:id="rId15"/>
    <sheet name="מדיהו " sheetId="17" r:id="rId16"/>
    <sheet name="אנליסט " sheetId="15" r:id="rId17"/>
    <sheet name="מיטב דש" sheetId="16" r:id="rId18"/>
    <sheet name="אינפניטי" sheetId="18" r:id="rId19"/>
  </sheets>
  <definedNames>
    <definedName name="_xlnm._FilterDatabase" localSheetId="9" hidden="1">איילון!$A$2:$N$76</definedName>
    <definedName name="_xlnm._FilterDatabase" localSheetId="18" hidden="1">אינפניטי!$A$2:$K$76</definedName>
    <definedName name="_xlnm._FilterDatabase" localSheetId="14" hidden="1">'אלטשולר שחם'!$A$2:$K$76</definedName>
    <definedName name="_xlnm._FilterDatabase" localSheetId="16" hidden="1">'אנליסט '!$A$2:$K$76</definedName>
    <definedName name="_xlnm._FilterDatabase" localSheetId="6" hidden="1">הכשרה!$A$2:$K$76</definedName>
    <definedName name="_xlnm._FilterDatabase" localSheetId="11" hidden="1">הפניקס!$A$2:$K$76</definedName>
    <definedName name="_xlnm._FilterDatabase" localSheetId="10" hidden="1">הראל!$A$2:$P$76</definedName>
    <definedName name="_xlnm._FilterDatabase" localSheetId="12" hidden="1">כלל!$A$2:$L$76</definedName>
    <definedName name="_xlnm._FilterDatabase" localSheetId="7" hidden="1">מגדל!$A$2:$L$76</definedName>
    <definedName name="_xlnm._FilterDatabase" localSheetId="15" hidden="1">'מדיהו '!$A$2:$K$76</definedName>
    <definedName name="_xlnm._FilterDatabase" localSheetId="13" hidden="1">מור!$A$2:$O$76</definedName>
    <definedName name="_xlnm._FilterDatabase" localSheetId="17" hidden="1">'מיטב דש'!$A$2:$K$76</definedName>
    <definedName name="_xlnm._FilterDatabase" localSheetId="8" hidden="1">מנורה!$A$2:$K$76</definedName>
    <definedName name="_xlnm._FilterDatabase" localSheetId="5" hidden="1">'עולים יורדים'!$A$1:$F$69</definedName>
    <definedName name="_xlnm._FilterDatabase" localSheetId="4" hidden="1">'תפוקה מול יעד חודשי'!$A$2:$O$76</definedName>
    <definedName name="_xlnm._FilterDatabase" localSheetId="1" hidden="1">'תפוקה מצטברת מול אשתקד'!$A$2:$R$76</definedName>
    <definedName name="_xlnm._FilterDatabase" localSheetId="3" hidden="1">'תפוקה מצטברת מול יעד מצטבר'!$A$2:$P$76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F67" i="3"/>
  <c r="E3" i="3"/>
  <c r="E67" i="3"/>
  <c r="D3" i="3"/>
  <c r="D69" i="3"/>
  <c r="D67" i="3"/>
  <c r="F3" i="2"/>
  <c r="E3" i="2"/>
  <c r="D3" i="2"/>
  <c r="G3" i="2"/>
  <c r="G72" i="2"/>
  <c r="G18" i="2"/>
  <c r="E3" i="4"/>
  <c r="E8" i="4" s="1"/>
  <c r="E67" i="4"/>
  <c r="G3" i="6"/>
  <c r="F3" i="6"/>
  <c r="F67" i="6"/>
  <c r="E3" i="6"/>
  <c r="D3" i="6"/>
  <c r="G3" i="5"/>
  <c r="F3" i="5"/>
  <c r="D3" i="5"/>
  <c r="E3" i="5"/>
  <c r="G3" i="7"/>
  <c r="G67" i="7"/>
  <c r="G18" i="7"/>
  <c r="F3" i="7"/>
  <c r="F4" i="7"/>
  <c r="E3" i="7"/>
  <c r="D3" i="7"/>
  <c r="F3" i="8"/>
  <c r="J3" i="15"/>
  <c r="F3" i="15"/>
  <c r="F67" i="15"/>
  <c r="H22" i="7" l="1"/>
  <c r="I22" i="7"/>
  <c r="J22" i="7"/>
  <c r="K22" i="7"/>
  <c r="O74" i="14"/>
  <c r="O73" i="14"/>
  <c r="O72" i="14"/>
  <c r="O71" i="14"/>
  <c r="O70" i="14"/>
  <c r="O69" i="14"/>
  <c r="O68" i="14"/>
  <c r="O67" i="14"/>
  <c r="O65" i="14"/>
  <c r="O64" i="14"/>
  <c r="O63" i="14"/>
  <c r="O62" i="14"/>
  <c r="O61" i="14"/>
  <c r="O60" i="14"/>
  <c r="O59" i="14"/>
  <c r="O58" i="14"/>
  <c r="O57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4" i="14"/>
  <c r="O5" i="14"/>
  <c r="O6" i="14"/>
  <c r="O7" i="14"/>
  <c r="O3" i="14"/>
  <c r="N74" i="14"/>
  <c r="N73" i="14"/>
  <c r="N72" i="14"/>
  <c r="N71" i="14"/>
  <c r="N70" i="14"/>
  <c r="N69" i="14"/>
  <c r="N68" i="14"/>
  <c r="N67" i="14"/>
  <c r="N65" i="14"/>
  <c r="N64" i="14"/>
  <c r="N63" i="14"/>
  <c r="N62" i="14"/>
  <c r="N61" i="14"/>
  <c r="N60" i="14"/>
  <c r="N59" i="14"/>
  <c r="N58" i="14"/>
  <c r="N57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4" i="14"/>
  <c r="N5" i="14"/>
  <c r="N6" i="14"/>
  <c r="N7" i="14"/>
  <c r="N3" i="14"/>
  <c r="M74" i="14"/>
  <c r="M73" i="14"/>
  <c r="M72" i="14"/>
  <c r="M71" i="14"/>
  <c r="M70" i="14"/>
  <c r="M69" i="14"/>
  <c r="M68" i="14"/>
  <c r="M67" i="14"/>
  <c r="M65" i="14"/>
  <c r="M64" i="14"/>
  <c r="M63" i="14"/>
  <c r="M62" i="14"/>
  <c r="M61" i="14"/>
  <c r="M60" i="14"/>
  <c r="M59" i="14"/>
  <c r="M58" i="14"/>
  <c r="M57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4" i="14"/>
  <c r="M5" i="14"/>
  <c r="M6" i="14"/>
  <c r="M7" i="14"/>
  <c r="M3" i="14"/>
  <c r="L74" i="14"/>
  <c r="L73" i="14"/>
  <c r="L72" i="14"/>
  <c r="L71" i="14"/>
  <c r="L70" i="14"/>
  <c r="L69" i="14"/>
  <c r="L68" i="14"/>
  <c r="L67" i="14"/>
  <c r="L65" i="14"/>
  <c r="L64" i="14"/>
  <c r="L63" i="14"/>
  <c r="L62" i="14"/>
  <c r="L61" i="14"/>
  <c r="L60" i="14"/>
  <c r="L59" i="14"/>
  <c r="L58" i="14"/>
  <c r="L57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7" i="14"/>
  <c r="L4" i="14"/>
  <c r="L5" i="14"/>
  <c r="L6" i="14"/>
  <c r="L3" i="14"/>
  <c r="G64" i="14" l="1"/>
  <c r="F64" i="14"/>
  <c r="E64" i="14"/>
  <c r="D64" i="14"/>
  <c r="G64" i="19"/>
  <c r="F64" i="19"/>
  <c r="E64" i="19"/>
  <c r="D64" i="19"/>
  <c r="O64" i="12"/>
  <c r="N64" i="12"/>
  <c r="M64" i="12"/>
  <c r="E27" i="10" s="1"/>
  <c r="L64" i="12"/>
  <c r="K64" i="12"/>
  <c r="J64" i="12"/>
  <c r="I64" i="12"/>
  <c r="D27" i="10" s="1"/>
  <c r="H64" i="12"/>
  <c r="G20" i="14"/>
  <c r="F20" i="14"/>
  <c r="E20" i="14"/>
  <c r="D20" i="14"/>
  <c r="G20" i="19"/>
  <c r="F20" i="19"/>
  <c r="E20" i="19"/>
  <c r="D20" i="19"/>
  <c r="O20" i="12"/>
  <c r="N20" i="12"/>
  <c r="M20" i="12"/>
  <c r="E22" i="10" s="1"/>
  <c r="L20" i="12"/>
  <c r="K20" i="12"/>
  <c r="J20" i="12"/>
  <c r="I20" i="12"/>
  <c r="D22" i="10" s="1"/>
  <c r="H20" i="12"/>
  <c r="C22" i="10" l="1"/>
  <c r="B22" i="10"/>
  <c r="C27" i="10"/>
  <c r="B27" i="10"/>
  <c r="F20" i="12"/>
  <c r="E20" i="12"/>
  <c r="F64" i="12"/>
  <c r="D64" i="12"/>
  <c r="G64" i="12"/>
  <c r="E64" i="12"/>
  <c r="N64" i="13"/>
  <c r="F64" i="13" s="1"/>
  <c r="O64" i="13"/>
  <c r="G64" i="13" s="1"/>
  <c r="L64" i="13"/>
  <c r="D64" i="13" s="1"/>
  <c r="M64" i="13"/>
  <c r="E64" i="13" s="1"/>
  <c r="D20" i="12"/>
  <c r="N20" i="13"/>
  <c r="F20" i="13" s="1"/>
  <c r="O20" i="13"/>
  <c r="G20" i="13" s="1"/>
  <c r="L20" i="13"/>
  <c r="D20" i="13" s="1"/>
  <c r="M20" i="13"/>
  <c r="E20" i="13" s="1"/>
  <c r="G54" i="14"/>
  <c r="F54" i="14"/>
  <c r="E54" i="14"/>
  <c r="D54" i="14"/>
  <c r="E54" i="19"/>
  <c r="D54" i="19"/>
  <c r="G54" i="19"/>
  <c r="F54" i="19"/>
  <c r="O54" i="12"/>
  <c r="N54" i="12"/>
  <c r="M54" i="12"/>
  <c r="E32" i="10" s="1"/>
  <c r="L54" i="12"/>
  <c r="K54" i="12"/>
  <c r="J54" i="12"/>
  <c r="F54" i="12" s="1"/>
  <c r="I54" i="12"/>
  <c r="D32" i="10" s="1"/>
  <c r="H54" i="12"/>
  <c r="D54" i="12" s="1"/>
  <c r="B32" i="10" l="1"/>
  <c r="C32" i="10"/>
  <c r="E54" i="12"/>
  <c r="G54" i="12"/>
  <c r="M54" i="13"/>
  <c r="E54" i="13" s="1"/>
  <c r="N54" i="13"/>
  <c r="F54" i="13" s="1"/>
  <c r="L54" i="13"/>
  <c r="D54" i="13" s="1"/>
  <c r="O54" i="13"/>
  <c r="G54" i="13" s="1"/>
  <c r="G74" i="19" l="1"/>
  <c r="F74" i="19"/>
  <c r="E74" i="19"/>
  <c r="D74" i="19"/>
  <c r="G73" i="19"/>
  <c r="F73" i="19"/>
  <c r="E73" i="19"/>
  <c r="D73" i="19"/>
  <c r="G72" i="19"/>
  <c r="F72" i="19"/>
  <c r="E72" i="19"/>
  <c r="D72" i="19"/>
  <c r="G71" i="19"/>
  <c r="F71" i="19"/>
  <c r="E71" i="19"/>
  <c r="D71" i="19"/>
  <c r="G70" i="19"/>
  <c r="F70" i="19"/>
  <c r="E70" i="19"/>
  <c r="D70" i="19"/>
  <c r="G69" i="19"/>
  <c r="F69" i="19"/>
  <c r="E69" i="19"/>
  <c r="D69" i="19"/>
  <c r="G68" i="19"/>
  <c r="F68" i="19"/>
  <c r="E68" i="19"/>
  <c r="D68" i="19"/>
  <c r="O75" i="19"/>
  <c r="N75" i="19"/>
  <c r="M75" i="19"/>
  <c r="L75" i="19"/>
  <c r="G65" i="19"/>
  <c r="F65" i="19"/>
  <c r="E65" i="19"/>
  <c r="D65" i="19"/>
  <c r="G63" i="19"/>
  <c r="F63" i="19"/>
  <c r="E63" i="19"/>
  <c r="D63" i="19"/>
  <c r="G62" i="19"/>
  <c r="F62" i="19"/>
  <c r="E62" i="19"/>
  <c r="D62" i="19"/>
  <c r="G61" i="19"/>
  <c r="F61" i="19"/>
  <c r="E61" i="19"/>
  <c r="D61" i="19"/>
  <c r="G60" i="19"/>
  <c r="F60" i="19"/>
  <c r="E60" i="19"/>
  <c r="D60" i="19"/>
  <c r="G59" i="19"/>
  <c r="F59" i="19"/>
  <c r="E59" i="19"/>
  <c r="D59" i="19"/>
  <c r="G58" i="19"/>
  <c r="F58" i="19"/>
  <c r="E58" i="19"/>
  <c r="D58" i="19"/>
  <c r="O66" i="19"/>
  <c r="N66" i="19"/>
  <c r="M66" i="19"/>
  <c r="L66" i="19"/>
  <c r="F57" i="19"/>
  <c r="E57" i="19"/>
  <c r="D57" i="19"/>
  <c r="G55" i="19"/>
  <c r="F55" i="19"/>
  <c r="E55" i="19"/>
  <c r="D55" i="19"/>
  <c r="G53" i="19"/>
  <c r="F53" i="19"/>
  <c r="E53" i="19"/>
  <c r="D53" i="19"/>
  <c r="G52" i="19"/>
  <c r="F52" i="19"/>
  <c r="E52" i="19"/>
  <c r="D52" i="19"/>
  <c r="G51" i="19"/>
  <c r="F51" i="19"/>
  <c r="E51" i="19"/>
  <c r="D51" i="19"/>
  <c r="G50" i="19"/>
  <c r="F50" i="19"/>
  <c r="E50" i="19"/>
  <c r="D50" i="19"/>
  <c r="F49" i="19"/>
  <c r="E49" i="19"/>
  <c r="D49" i="19"/>
  <c r="G48" i="19"/>
  <c r="F48" i="19"/>
  <c r="E48" i="19"/>
  <c r="D48" i="19"/>
  <c r="G47" i="19"/>
  <c r="F47" i="19"/>
  <c r="E47" i="19"/>
  <c r="D47" i="19"/>
  <c r="F46" i="19"/>
  <c r="E46" i="19"/>
  <c r="D46" i="19"/>
  <c r="G45" i="19"/>
  <c r="F45" i="19"/>
  <c r="E45" i="19"/>
  <c r="D45" i="19"/>
  <c r="G44" i="19"/>
  <c r="F44" i="19"/>
  <c r="E44" i="19"/>
  <c r="D44" i="19"/>
  <c r="G43" i="19"/>
  <c r="F43" i="19"/>
  <c r="E43" i="19"/>
  <c r="D43" i="19"/>
  <c r="F42" i="19"/>
  <c r="E42" i="19"/>
  <c r="D42" i="19"/>
  <c r="G41" i="19"/>
  <c r="F41" i="19"/>
  <c r="E41" i="19"/>
  <c r="D41" i="19"/>
  <c r="F40" i="19"/>
  <c r="E40" i="19"/>
  <c r="D40" i="19"/>
  <c r="G39" i="19"/>
  <c r="F39" i="19"/>
  <c r="E39" i="19"/>
  <c r="D39" i="19"/>
  <c r="G38" i="19"/>
  <c r="F38" i="19"/>
  <c r="E38" i="19"/>
  <c r="D38" i="19"/>
  <c r="G37" i="19"/>
  <c r="F37" i="19"/>
  <c r="E37" i="19"/>
  <c r="D37" i="19"/>
  <c r="G36" i="19"/>
  <c r="F36" i="19"/>
  <c r="E36" i="19"/>
  <c r="D36" i="19"/>
  <c r="F35" i="19"/>
  <c r="E35" i="19"/>
  <c r="D35" i="19"/>
  <c r="G34" i="19"/>
  <c r="F34" i="19"/>
  <c r="E34" i="19"/>
  <c r="D34" i="19"/>
  <c r="G33" i="19"/>
  <c r="F33" i="19"/>
  <c r="E33" i="19"/>
  <c r="D33" i="19"/>
  <c r="F32" i="19"/>
  <c r="E32" i="19"/>
  <c r="D32" i="19"/>
  <c r="G31" i="19"/>
  <c r="F31" i="19"/>
  <c r="E31" i="19"/>
  <c r="D31" i="19"/>
  <c r="G30" i="19"/>
  <c r="F30" i="19"/>
  <c r="E30" i="19"/>
  <c r="D30" i="19"/>
  <c r="F29" i="19"/>
  <c r="E29" i="19"/>
  <c r="D29" i="19"/>
  <c r="F28" i="19"/>
  <c r="E28" i="19"/>
  <c r="D28" i="19"/>
  <c r="G27" i="19"/>
  <c r="F27" i="19"/>
  <c r="E27" i="19"/>
  <c r="D27" i="19"/>
  <c r="F26" i="19"/>
  <c r="E26" i="19"/>
  <c r="D26" i="19"/>
  <c r="G25" i="19"/>
  <c r="F25" i="19"/>
  <c r="E25" i="19"/>
  <c r="D25" i="19"/>
  <c r="F24" i="19"/>
  <c r="E24" i="19"/>
  <c r="D24" i="19"/>
  <c r="O56" i="19"/>
  <c r="N56" i="19"/>
  <c r="M56" i="19"/>
  <c r="L56" i="19"/>
  <c r="F23" i="19"/>
  <c r="E23" i="19"/>
  <c r="D23" i="19"/>
  <c r="G21" i="19"/>
  <c r="F21" i="19"/>
  <c r="E21" i="19"/>
  <c r="D21" i="19"/>
  <c r="F19" i="19"/>
  <c r="E19" i="19"/>
  <c r="D19" i="19"/>
  <c r="F18" i="19"/>
  <c r="E18" i="19"/>
  <c r="D18" i="19"/>
  <c r="F17" i="19"/>
  <c r="E17" i="19"/>
  <c r="D17" i="19"/>
  <c r="F16" i="19"/>
  <c r="E16" i="19"/>
  <c r="D16" i="19"/>
  <c r="F15" i="19"/>
  <c r="E15" i="19"/>
  <c r="D15" i="19"/>
  <c r="F14" i="19"/>
  <c r="E14" i="19"/>
  <c r="D14" i="19"/>
  <c r="G13" i="19"/>
  <c r="F13" i="19"/>
  <c r="E13" i="19"/>
  <c r="D13" i="19"/>
  <c r="F12" i="19"/>
  <c r="E12" i="19"/>
  <c r="D12" i="19"/>
  <c r="F11" i="19"/>
  <c r="E11" i="19"/>
  <c r="D11" i="19"/>
  <c r="G10" i="19"/>
  <c r="F10" i="19"/>
  <c r="E10" i="19"/>
  <c r="D10" i="19"/>
  <c r="O22" i="19"/>
  <c r="N22" i="19"/>
  <c r="M22" i="19"/>
  <c r="L22" i="19"/>
  <c r="G9" i="19"/>
  <c r="F9" i="19"/>
  <c r="E9" i="19"/>
  <c r="D9" i="19"/>
  <c r="G7" i="19"/>
  <c r="F7" i="19"/>
  <c r="E7" i="19"/>
  <c r="D7" i="19"/>
  <c r="F6" i="19"/>
  <c r="E6" i="19"/>
  <c r="D6" i="19"/>
  <c r="G5" i="19"/>
  <c r="F5" i="19"/>
  <c r="E5" i="19"/>
  <c r="D5" i="19"/>
  <c r="N8" i="19"/>
  <c r="M8" i="19"/>
  <c r="L8" i="19"/>
  <c r="F4" i="19"/>
  <c r="E4" i="19"/>
  <c r="D4" i="19"/>
  <c r="O8" i="19"/>
  <c r="G19" i="19" l="1"/>
  <c r="G28" i="19"/>
  <c r="G35" i="19"/>
  <c r="G42" i="19"/>
  <c r="G24" i="19"/>
  <c r="G26" i="19"/>
  <c r="G16" i="19"/>
  <c r="G29" i="19"/>
  <c r="F3" i="19" s="1"/>
  <c r="G4" i="19"/>
  <c r="G18" i="19"/>
  <c r="G14" i="19"/>
  <c r="G3" i="19"/>
  <c r="G11" i="19"/>
  <c r="G17" i="19"/>
  <c r="J75" i="19"/>
  <c r="F75" i="19" s="1"/>
  <c r="K56" i="19"/>
  <c r="G56" i="19" s="1"/>
  <c r="K75" i="19"/>
  <c r="G75" i="19" s="1"/>
  <c r="K66" i="19"/>
  <c r="G66" i="19" s="1"/>
  <c r="H75" i="19"/>
  <c r="I8" i="19"/>
  <c r="E8" i="19" s="1"/>
  <c r="I75" i="19"/>
  <c r="E75" i="19" s="1"/>
  <c r="J8" i="19"/>
  <c r="F8" i="19" s="1"/>
  <c r="K22" i="19"/>
  <c r="G22" i="19" s="1"/>
  <c r="D67" i="19"/>
  <c r="E67" i="19"/>
  <c r="F67" i="19"/>
  <c r="H56" i="19"/>
  <c r="H8" i="19"/>
  <c r="D8" i="19" s="1"/>
  <c r="I56" i="19"/>
  <c r="E56" i="19" s="1"/>
  <c r="G57" i="19"/>
  <c r="J56" i="19"/>
  <c r="F56" i="19" s="1"/>
  <c r="M76" i="19"/>
  <c r="N76" i="19"/>
  <c r="O76" i="19"/>
  <c r="L76" i="19"/>
  <c r="K8" i="19"/>
  <c r="H66" i="19"/>
  <c r="D66" i="19" s="1"/>
  <c r="I66" i="19"/>
  <c r="E66" i="19" s="1"/>
  <c r="J66" i="19"/>
  <c r="F66" i="19" s="1"/>
  <c r="J22" i="19"/>
  <c r="F22" i="19" s="1"/>
  <c r="G23" i="19"/>
  <c r="G67" i="19"/>
  <c r="H22" i="19"/>
  <c r="D22" i="19" s="1"/>
  <c r="D3" i="19"/>
  <c r="E3" i="19"/>
  <c r="I22" i="19"/>
  <c r="E22" i="19" s="1"/>
  <c r="D75" i="19" l="1"/>
  <c r="G49" i="19"/>
  <c r="D56" i="19"/>
  <c r="G32" i="19"/>
  <c r="G40" i="19"/>
  <c r="G8" i="19"/>
  <c r="J76" i="19"/>
  <c r="F76" i="19" s="1"/>
  <c r="I76" i="19"/>
  <c r="E76" i="19" s="1"/>
  <c r="H76" i="19"/>
  <c r="D76" i="19" s="1"/>
  <c r="K76" i="19"/>
  <c r="G76" i="19" s="1"/>
  <c r="G62" i="14" l="1"/>
  <c r="F62" i="14"/>
  <c r="E62" i="14"/>
  <c r="D62" i="14"/>
  <c r="O63" i="12"/>
  <c r="N63" i="12"/>
  <c r="M63" i="12"/>
  <c r="E55" i="10" s="1"/>
  <c r="L63" i="12"/>
  <c r="K63" i="12"/>
  <c r="G63" i="12" s="1"/>
  <c r="J63" i="12"/>
  <c r="F63" i="12" s="1"/>
  <c r="I63" i="12"/>
  <c r="D55" i="10" s="1"/>
  <c r="H63" i="12"/>
  <c r="D63" i="12" s="1"/>
  <c r="K75" i="13"/>
  <c r="K66" i="13"/>
  <c r="K56" i="13"/>
  <c r="K22" i="13"/>
  <c r="K8" i="13"/>
  <c r="J8" i="13"/>
  <c r="J56" i="13"/>
  <c r="J66" i="13"/>
  <c r="J75" i="13"/>
  <c r="S20" i="11"/>
  <c r="U18" i="11"/>
  <c r="T20" i="11"/>
  <c r="T18" i="11"/>
  <c r="S18" i="11"/>
  <c r="R20" i="11"/>
  <c r="R18" i="11"/>
  <c r="U20" i="11"/>
  <c r="B55" i="10" l="1"/>
  <c r="C55" i="10"/>
  <c r="K76" i="13"/>
  <c r="E63" i="12"/>
  <c r="L63" i="13"/>
  <c r="D63" i="13" s="1"/>
  <c r="M63" i="13"/>
  <c r="E63" i="13" s="1"/>
  <c r="N63" i="13"/>
  <c r="F63" i="13" s="1"/>
  <c r="O63" i="13"/>
  <c r="G63" i="13" s="1"/>
  <c r="U17" i="11"/>
  <c r="U19" i="11"/>
  <c r="T17" i="11"/>
  <c r="T19" i="11"/>
  <c r="S17" i="11"/>
  <c r="S19" i="11"/>
  <c r="R17" i="11"/>
  <c r="R19" i="11"/>
  <c r="L66" i="14"/>
  <c r="M66" i="14"/>
  <c r="N66" i="14"/>
  <c r="O66" i="14"/>
  <c r="L56" i="14"/>
  <c r="M56" i="14"/>
  <c r="N56" i="14"/>
  <c r="O56" i="14"/>
  <c r="L22" i="14"/>
  <c r="M22" i="14"/>
  <c r="N22" i="14"/>
  <c r="O22" i="14"/>
  <c r="L8" i="14"/>
  <c r="M8" i="14"/>
  <c r="N8" i="14"/>
  <c r="O8" i="14"/>
  <c r="R21" i="11" l="1"/>
  <c r="S21" i="11"/>
  <c r="U21" i="11"/>
  <c r="T21" i="11"/>
  <c r="N75" i="14"/>
  <c r="O75" i="14"/>
  <c r="M75" i="14"/>
  <c r="L75" i="14"/>
  <c r="H75" i="13" l="1"/>
  <c r="I75" i="13"/>
  <c r="H66" i="13"/>
  <c r="I66" i="13"/>
  <c r="I56" i="13"/>
  <c r="H56" i="13"/>
  <c r="J22" i="13"/>
  <c r="I22" i="13"/>
  <c r="H22" i="13"/>
  <c r="I8" i="13"/>
  <c r="H8" i="13"/>
  <c r="H76" i="13" l="1"/>
  <c r="O53" i="12" l="1"/>
  <c r="J75" i="9"/>
  <c r="J66" i="9"/>
  <c r="J56" i="9"/>
  <c r="J22" i="9"/>
  <c r="J66" i="8"/>
  <c r="J56" i="8"/>
  <c r="J22" i="8"/>
  <c r="K66" i="7"/>
  <c r="K56" i="7"/>
  <c r="J66" i="7"/>
  <c r="J56" i="7"/>
  <c r="J8" i="7"/>
  <c r="I66" i="7"/>
  <c r="I56" i="7"/>
  <c r="H66" i="7"/>
  <c r="H56" i="7"/>
  <c r="K75" i="6"/>
  <c r="K66" i="6"/>
  <c r="K56" i="6"/>
  <c r="K22" i="6"/>
  <c r="K8" i="6"/>
  <c r="J75" i="6"/>
  <c r="J66" i="6"/>
  <c r="J56" i="6"/>
  <c r="J22" i="6"/>
  <c r="I75" i="6"/>
  <c r="I66" i="6"/>
  <c r="I56" i="6"/>
  <c r="I22" i="6"/>
  <c r="H75" i="6"/>
  <c r="H66" i="6"/>
  <c r="H56" i="6"/>
  <c r="H22" i="6"/>
  <c r="K75" i="5"/>
  <c r="K66" i="5"/>
  <c r="O55" i="12"/>
  <c r="K22" i="5"/>
  <c r="K8" i="5"/>
  <c r="J75" i="5"/>
  <c r="J66" i="5"/>
  <c r="J22" i="5"/>
  <c r="I75" i="5"/>
  <c r="I66" i="5"/>
  <c r="I22" i="5"/>
  <c r="H75" i="5"/>
  <c r="H66" i="5"/>
  <c r="H22" i="5"/>
  <c r="I66" i="4"/>
  <c r="I56" i="4"/>
  <c r="I22" i="4"/>
  <c r="H66" i="4"/>
  <c r="H56" i="4"/>
  <c r="H22" i="4"/>
  <c r="K66" i="2"/>
  <c r="K56" i="2"/>
  <c r="K22" i="2"/>
  <c r="J66" i="2"/>
  <c r="J56" i="2"/>
  <c r="J22" i="2"/>
  <c r="I66" i="2"/>
  <c r="I56" i="2"/>
  <c r="I22" i="2"/>
  <c r="H66" i="2"/>
  <c r="H56" i="2"/>
  <c r="H22" i="2"/>
  <c r="K75" i="18"/>
  <c r="J75" i="18"/>
  <c r="I75" i="18"/>
  <c r="H75" i="18"/>
  <c r="G75" i="18"/>
  <c r="F75" i="18"/>
  <c r="E75" i="18"/>
  <c r="D75" i="18"/>
  <c r="K66" i="18"/>
  <c r="J66" i="18"/>
  <c r="I66" i="18"/>
  <c r="H66" i="18"/>
  <c r="G66" i="18"/>
  <c r="F66" i="18"/>
  <c r="E66" i="18"/>
  <c r="D66" i="18"/>
  <c r="K56" i="18"/>
  <c r="J56" i="18"/>
  <c r="I56" i="18"/>
  <c r="H56" i="18"/>
  <c r="G56" i="18"/>
  <c r="F56" i="18"/>
  <c r="E56" i="18"/>
  <c r="D56" i="18"/>
  <c r="K22" i="18"/>
  <c r="J22" i="18"/>
  <c r="I22" i="18"/>
  <c r="H22" i="18"/>
  <c r="G22" i="18"/>
  <c r="F22" i="18"/>
  <c r="E22" i="18"/>
  <c r="D22" i="18"/>
  <c r="K8" i="18"/>
  <c r="J8" i="18"/>
  <c r="I8" i="18"/>
  <c r="H8" i="18"/>
  <c r="G8" i="18"/>
  <c r="F8" i="18"/>
  <c r="E8" i="18"/>
  <c r="D8" i="18"/>
  <c r="K75" i="16"/>
  <c r="J75" i="16"/>
  <c r="I75" i="16"/>
  <c r="H75" i="16"/>
  <c r="G75" i="16"/>
  <c r="F75" i="16"/>
  <c r="E75" i="16"/>
  <c r="D75" i="16"/>
  <c r="K66" i="16"/>
  <c r="J66" i="16"/>
  <c r="I66" i="16"/>
  <c r="H66" i="16"/>
  <c r="G66" i="16"/>
  <c r="F66" i="16"/>
  <c r="E66" i="16"/>
  <c r="D66" i="16"/>
  <c r="K56" i="16"/>
  <c r="J56" i="16"/>
  <c r="I56" i="16"/>
  <c r="H56" i="16"/>
  <c r="G56" i="16"/>
  <c r="F56" i="16"/>
  <c r="E56" i="16"/>
  <c r="D56" i="16"/>
  <c r="K22" i="16"/>
  <c r="J22" i="16"/>
  <c r="I22" i="16"/>
  <c r="H22" i="16"/>
  <c r="G22" i="16"/>
  <c r="F22" i="16"/>
  <c r="E22" i="16"/>
  <c r="D22" i="16"/>
  <c r="K8" i="16"/>
  <c r="J8" i="16"/>
  <c r="I8" i="16"/>
  <c r="H8" i="16"/>
  <c r="G8" i="16"/>
  <c r="F8" i="16"/>
  <c r="E8" i="16"/>
  <c r="D8" i="16"/>
  <c r="K75" i="15"/>
  <c r="J75" i="15"/>
  <c r="I75" i="15"/>
  <c r="H75" i="15"/>
  <c r="G75" i="15"/>
  <c r="F75" i="15"/>
  <c r="E75" i="15"/>
  <c r="D75" i="15"/>
  <c r="K66" i="15"/>
  <c r="J66" i="15"/>
  <c r="I66" i="15"/>
  <c r="H66" i="15"/>
  <c r="G66" i="15"/>
  <c r="F66" i="15"/>
  <c r="E66" i="15"/>
  <c r="D66" i="15"/>
  <c r="K56" i="15"/>
  <c r="J56" i="15"/>
  <c r="I56" i="15"/>
  <c r="H56" i="15"/>
  <c r="G56" i="15"/>
  <c r="F56" i="15"/>
  <c r="E56" i="15"/>
  <c r="D56" i="15"/>
  <c r="K22" i="15"/>
  <c r="J22" i="15"/>
  <c r="I22" i="15"/>
  <c r="H22" i="15"/>
  <c r="G22" i="15"/>
  <c r="F22" i="15"/>
  <c r="E22" i="15"/>
  <c r="D22" i="15"/>
  <c r="K8" i="15"/>
  <c r="J8" i="15"/>
  <c r="I8" i="15"/>
  <c r="H8" i="15"/>
  <c r="G8" i="15"/>
  <c r="F8" i="15"/>
  <c r="E8" i="15"/>
  <c r="D8" i="15"/>
  <c r="K75" i="17"/>
  <c r="J75" i="17"/>
  <c r="I75" i="17"/>
  <c r="H75" i="17"/>
  <c r="G75" i="17"/>
  <c r="F75" i="17"/>
  <c r="E75" i="17"/>
  <c r="D75" i="17"/>
  <c r="K66" i="17"/>
  <c r="J66" i="17"/>
  <c r="I66" i="17"/>
  <c r="H66" i="17"/>
  <c r="G66" i="17"/>
  <c r="F66" i="17"/>
  <c r="E66" i="17"/>
  <c r="D66" i="17"/>
  <c r="K56" i="17"/>
  <c r="J56" i="17"/>
  <c r="I56" i="17"/>
  <c r="H56" i="17"/>
  <c r="G56" i="17"/>
  <c r="F56" i="17"/>
  <c r="E56" i="17"/>
  <c r="D56" i="17"/>
  <c r="K22" i="17"/>
  <c r="J22" i="17"/>
  <c r="I22" i="17"/>
  <c r="H22" i="17"/>
  <c r="G22" i="17"/>
  <c r="F22" i="17"/>
  <c r="E22" i="17"/>
  <c r="D22" i="17"/>
  <c r="K8" i="17"/>
  <c r="J8" i="17"/>
  <c r="I8" i="17"/>
  <c r="H8" i="17"/>
  <c r="G8" i="17"/>
  <c r="F8" i="17"/>
  <c r="E8" i="17"/>
  <c r="D8" i="17"/>
  <c r="K75" i="9"/>
  <c r="I75" i="9"/>
  <c r="H75" i="9"/>
  <c r="G75" i="9"/>
  <c r="F75" i="9"/>
  <c r="E75" i="9"/>
  <c r="D75" i="9"/>
  <c r="K66" i="9"/>
  <c r="I66" i="9"/>
  <c r="H66" i="9"/>
  <c r="G66" i="9"/>
  <c r="F66" i="9"/>
  <c r="E66" i="9"/>
  <c r="D66" i="9"/>
  <c r="K56" i="9"/>
  <c r="I56" i="9"/>
  <c r="H56" i="9"/>
  <c r="G56" i="9"/>
  <c r="F56" i="9"/>
  <c r="E56" i="9"/>
  <c r="D56" i="9"/>
  <c r="K22" i="9"/>
  <c r="I22" i="9"/>
  <c r="H22" i="9"/>
  <c r="G22" i="9"/>
  <c r="F22" i="9"/>
  <c r="E22" i="9"/>
  <c r="D22" i="9"/>
  <c r="K8" i="9"/>
  <c r="I8" i="9"/>
  <c r="H8" i="9"/>
  <c r="G8" i="9"/>
  <c r="F8" i="9"/>
  <c r="E8" i="9"/>
  <c r="D8" i="9"/>
  <c r="K75" i="8"/>
  <c r="I75" i="8"/>
  <c r="H75" i="8"/>
  <c r="G75" i="8"/>
  <c r="F75" i="8"/>
  <c r="E75" i="8"/>
  <c r="D75" i="8"/>
  <c r="K66" i="8"/>
  <c r="I66" i="8"/>
  <c r="H66" i="8"/>
  <c r="G66" i="8"/>
  <c r="F66" i="8"/>
  <c r="E66" i="8"/>
  <c r="D66" i="8"/>
  <c r="K56" i="8"/>
  <c r="I56" i="8"/>
  <c r="H56" i="8"/>
  <c r="G56" i="8"/>
  <c r="F56" i="8"/>
  <c r="E56" i="8"/>
  <c r="D56" i="8"/>
  <c r="K22" i="8"/>
  <c r="I22" i="8"/>
  <c r="H22" i="8"/>
  <c r="G22" i="8"/>
  <c r="F22" i="8"/>
  <c r="E22" i="8"/>
  <c r="D22" i="8"/>
  <c r="K8" i="8"/>
  <c r="I8" i="8"/>
  <c r="H8" i="8"/>
  <c r="G8" i="8"/>
  <c r="F8" i="8"/>
  <c r="E8" i="8"/>
  <c r="D8" i="8"/>
  <c r="G75" i="7"/>
  <c r="F75" i="7"/>
  <c r="E75" i="7"/>
  <c r="D75" i="7"/>
  <c r="G66" i="7"/>
  <c r="F66" i="7"/>
  <c r="E66" i="7"/>
  <c r="D66" i="7"/>
  <c r="G56" i="7"/>
  <c r="F56" i="7"/>
  <c r="E56" i="7"/>
  <c r="D56" i="7"/>
  <c r="G22" i="7"/>
  <c r="F22" i="7"/>
  <c r="E22" i="7"/>
  <c r="D22" i="7"/>
  <c r="G8" i="7"/>
  <c r="F8" i="7"/>
  <c r="E8" i="7"/>
  <c r="D8" i="7"/>
  <c r="G75" i="6"/>
  <c r="F75" i="6"/>
  <c r="E75" i="6"/>
  <c r="D75" i="6"/>
  <c r="G66" i="6"/>
  <c r="F66" i="6"/>
  <c r="E66" i="6"/>
  <c r="D66" i="6"/>
  <c r="G56" i="6"/>
  <c r="F56" i="6"/>
  <c r="E56" i="6"/>
  <c r="D56" i="6"/>
  <c r="G22" i="6"/>
  <c r="F22" i="6"/>
  <c r="E22" i="6"/>
  <c r="D22" i="6"/>
  <c r="G8" i="6"/>
  <c r="F8" i="6"/>
  <c r="E8" i="6"/>
  <c r="D8" i="6"/>
  <c r="G75" i="5"/>
  <c r="F75" i="5"/>
  <c r="E75" i="5"/>
  <c r="D75" i="5"/>
  <c r="G66" i="5"/>
  <c r="F66" i="5"/>
  <c r="E66" i="5"/>
  <c r="D66" i="5"/>
  <c r="G56" i="5"/>
  <c r="F56" i="5"/>
  <c r="E56" i="5"/>
  <c r="D56" i="5"/>
  <c r="G22" i="5"/>
  <c r="F22" i="5"/>
  <c r="E22" i="5"/>
  <c r="D22" i="5"/>
  <c r="G8" i="5"/>
  <c r="F8" i="5"/>
  <c r="E8" i="5"/>
  <c r="D8" i="5"/>
  <c r="K75" i="4"/>
  <c r="J75" i="4"/>
  <c r="G75" i="4"/>
  <c r="F75" i="4"/>
  <c r="E75" i="4"/>
  <c r="D75" i="4"/>
  <c r="K66" i="4"/>
  <c r="J66" i="4"/>
  <c r="G66" i="4"/>
  <c r="F66" i="4"/>
  <c r="E66" i="4"/>
  <c r="D66" i="4"/>
  <c r="K56" i="4"/>
  <c r="J56" i="4"/>
  <c r="G56" i="4"/>
  <c r="F56" i="4"/>
  <c r="E56" i="4"/>
  <c r="D56" i="4"/>
  <c r="K22" i="4"/>
  <c r="J22" i="4"/>
  <c r="G22" i="4"/>
  <c r="F22" i="4"/>
  <c r="E22" i="4"/>
  <c r="D22" i="4"/>
  <c r="K8" i="4"/>
  <c r="J8" i="4"/>
  <c r="G8" i="4"/>
  <c r="F8" i="4"/>
  <c r="D8" i="4"/>
  <c r="G75" i="2"/>
  <c r="F75" i="2"/>
  <c r="E75" i="2"/>
  <c r="D75" i="2"/>
  <c r="G66" i="2"/>
  <c r="F66" i="2"/>
  <c r="E66" i="2"/>
  <c r="D66" i="2"/>
  <c r="G56" i="2"/>
  <c r="F56" i="2"/>
  <c r="E56" i="2"/>
  <c r="D56" i="2"/>
  <c r="G22" i="2"/>
  <c r="F22" i="2"/>
  <c r="E22" i="2"/>
  <c r="D22" i="2"/>
  <c r="G8" i="2"/>
  <c r="F8" i="2"/>
  <c r="E8" i="2"/>
  <c r="D8" i="2"/>
  <c r="D76" i="18" l="1"/>
  <c r="D76" i="16"/>
  <c r="G76" i="9"/>
  <c r="I76" i="8"/>
  <c r="E76" i="18"/>
  <c r="C40" i="11" s="1"/>
  <c r="G76" i="18"/>
  <c r="H76" i="18"/>
  <c r="I76" i="18"/>
  <c r="J76" i="18"/>
  <c r="K76" i="18"/>
  <c r="F76" i="18"/>
  <c r="D40" i="11" s="1"/>
  <c r="E76" i="16"/>
  <c r="C39" i="11" s="1"/>
  <c r="F76" i="16"/>
  <c r="D39" i="11" s="1"/>
  <c r="G76" i="16"/>
  <c r="I76" i="16"/>
  <c r="H76" i="16"/>
  <c r="J76" i="16"/>
  <c r="K76" i="16"/>
  <c r="E76" i="15"/>
  <c r="C38" i="11" s="1"/>
  <c r="G76" i="15"/>
  <c r="H76" i="15"/>
  <c r="I76" i="15"/>
  <c r="K76" i="15"/>
  <c r="D76" i="15"/>
  <c r="G76" i="17"/>
  <c r="J76" i="17"/>
  <c r="H76" i="17"/>
  <c r="K76" i="17"/>
  <c r="D76" i="17"/>
  <c r="F76" i="17"/>
  <c r="D37" i="11" s="1"/>
  <c r="H76" i="9"/>
  <c r="I76" i="9"/>
  <c r="K76" i="9"/>
  <c r="D76" i="9"/>
  <c r="E76" i="9"/>
  <c r="C31" i="11" s="1"/>
  <c r="K76" i="8"/>
  <c r="D76" i="8"/>
  <c r="E76" i="8"/>
  <c r="C32" i="11" s="1"/>
  <c r="G76" i="8"/>
  <c r="H76" i="8"/>
  <c r="G76" i="4"/>
  <c r="F76" i="4"/>
  <c r="D35" i="11" s="1"/>
  <c r="F76" i="8"/>
  <c r="D32" i="11" s="1"/>
  <c r="J76" i="15"/>
  <c r="F76" i="15"/>
  <c r="G76" i="7"/>
  <c r="F76" i="7"/>
  <c r="D76" i="7"/>
  <c r="E76" i="7"/>
  <c r="F76" i="9"/>
  <c r="D31" i="11" s="1"/>
  <c r="G76" i="2"/>
  <c r="E76" i="5"/>
  <c r="C33" i="11" s="1"/>
  <c r="G76" i="5"/>
  <c r="D76" i="5"/>
  <c r="F76" i="5"/>
  <c r="D33" i="11" s="1"/>
  <c r="E76" i="17"/>
  <c r="C37" i="11" s="1"/>
  <c r="I76" i="17"/>
  <c r="G76" i="6"/>
  <c r="F76" i="6"/>
  <c r="D34" i="11" s="1"/>
  <c r="E76" i="6"/>
  <c r="C34" i="11" s="1"/>
  <c r="D76" i="6"/>
  <c r="E76" i="4"/>
  <c r="D76" i="4"/>
  <c r="E76" i="2"/>
  <c r="C28" i="11" s="1"/>
  <c r="F76" i="2"/>
  <c r="D28" i="11" s="1"/>
  <c r="D76" i="2"/>
  <c r="K56" i="5"/>
  <c r="K76" i="5" s="1"/>
  <c r="H56" i="5"/>
  <c r="J56" i="5"/>
  <c r="I56" i="5"/>
  <c r="J8" i="9"/>
  <c r="J76" i="9" s="1"/>
  <c r="J75" i="8"/>
  <c r="J8" i="8"/>
  <c r="K75" i="7"/>
  <c r="J75" i="7"/>
  <c r="J76" i="7" s="1"/>
  <c r="I75" i="7"/>
  <c r="H75" i="7"/>
  <c r="K8" i="7"/>
  <c r="I8" i="7"/>
  <c r="H8" i="7"/>
  <c r="K76" i="6"/>
  <c r="J8" i="6"/>
  <c r="J76" i="6" s="1"/>
  <c r="I8" i="6"/>
  <c r="I76" i="6" s="1"/>
  <c r="H8" i="6"/>
  <c r="H76" i="6" s="1"/>
  <c r="J8" i="5"/>
  <c r="I8" i="5"/>
  <c r="H8" i="5"/>
  <c r="J76" i="4"/>
  <c r="K76" i="4"/>
  <c r="H75" i="4"/>
  <c r="I75" i="4"/>
  <c r="I8" i="4"/>
  <c r="H8" i="4"/>
  <c r="K75" i="2"/>
  <c r="I75" i="2"/>
  <c r="J75" i="2"/>
  <c r="H75" i="2"/>
  <c r="K8" i="2"/>
  <c r="J8" i="2"/>
  <c r="I8" i="2"/>
  <c r="H8" i="2"/>
  <c r="J75" i="3"/>
  <c r="K75" i="3"/>
  <c r="I75" i="3"/>
  <c r="H75" i="3"/>
  <c r="K66" i="3"/>
  <c r="I66" i="3"/>
  <c r="J66" i="3"/>
  <c r="H66" i="3"/>
  <c r="H56" i="3"/>
  <c r="J56" i="3"/>
  <c r="K56" i="3"/>
  <c r="I56" i="3"/>
  <c r="I22" i="3"/>
  <c r="J22" i="3"/>
  <c r="K22" i="3"/>
  <c r="K8" i="3"/>
  <c r="H22" i="3"/>
  <c r="J8" i="3"/>
  <c r="I8" i="3"/>
  <c r="H8" i="3"/>
  <c r="C35" i="11" l="1"/>
  <c r="C30" i="11"/>
  <c r="D30" i="11"/>
  <c r="I76" i="5"/>
  <c r="H38" i="11"/>
  <c r="D38" i="11"/>
  <c r="H76" i="5"/>
  <c r="J76" i="5"/>
  <c r="J76" i="8"/>
  <c r="I76" i="7"/>
  <c r="K76" i="7"/>
  <c r="I30" i="11" s="1"/>
  <c r="H76" i="7"/>
  <c r="I76" i="4"/>
  <c r="H76" i="4"/>
  <c r="H76" i="2"/>
  <c r="I76" i="2"/>
  <c r="J76" i="2"/>
  <c r="K76" i="2"/>
  <c r="J76" i="3" l="1"/>
  <c r="K76" i="3"/>
  <c r="I76" i="3"/>
  <c r="H76" i="3"/>
  <c r="E75" i="3" l="1"/>
  <c r="F75" i="3"/>
  <c r="G75" i="3"/>
  <c r="D75" i="3"/>
  <c r="E66" i="3"/>
  <c r="F66" i="3"/>
  <c r="G66" i="3"/>
  <c r="D66" i="3"/>
  <c r="E56" i="3"/>
  <c r="F56" i="3"/>
  <c r="G56" i="3"/>
  <c r="D56" i="3"/>
  <c r="E22" i="3"/>
  <c r="F22" i="3"/>
  <c r="G22" i="3"/>
  <c r="D22" i="3"/>
  <c r="E8" i="3"/>
  <c r="F8" i="3"/>
  <c r="G8" i="3"/>
  <c r="D8" i="3"/>
  <c r="G76" i="3" l="1"/>
  <c r="D76" i="3"/>
  <c r="F76" i="3"/>
  <c r="D29" i="11" s="1"/>
  <c r="E76" i="3"/>
  <c r="B40" i="11"/>
  <c r="E39" i="11"/>
  <c r="B38" i="11"/>
  <c r="I8" i="14"/>
  <c r="J8" i="14"/>
  <c r="K8" i="14"/>
  <c r="H8" i="14"/>
  <c r="C29" i="11" l="1"/>
  <c r="I22" i="14"/>
  <c r="I75" i="14"/>
  <c r="H66" i="14"/>
  <c r="J22" i="14"/>
  <c r="K56" i="14"/>
  <c r="K66" i="14"/>
  <c r="J56" i="14"/>
  <c r="J66" i="14"/>
  <c r="I66" i="14"/>
  <c r="J75" i="14"/>
  <c r="H22" i="14"/>
  <c r="H56" i="14" s="1"/>
  <c r="K22" i="14"/>
  <c r="H75" i="14"/>
  <c r="I56" i="14"/>
  <c r="K75" i="14"/>
  <c r="E35" i="11"/>
  <c r="K4" i="12"/>
  <c r="O4" i="13" s="1"/>
  <c r="K5" i="12"/>
  <c r="O5" i="13" s="1"/>
  <c r="K6" i="12"/>
  <c r="O6" i="13" s="1"/>
  <c r="K7" i="12"/>
  <c r="O7" i="13" s="1"/>
  <c r="K9" i="12"/>
  <c r="O9" i="13" s="1"/>
  <c r="K10" i="12"/>
  <c r="O10" i="13" s="1"/>
  <c r="K11" i="12"/>
  <c r="O11" i="13" s="1"/>
  <c r="K12" i="12"/>
  <c r="O12" i="13" s="1"/>
  <c r="K13" i="12"/>
  <c r="O13" i="13" s="1"/>
  <c r="K14" i="12"/>
  <c r="O14" i="13" s="1"/>
  <c r="K15" i="12"/>
  <c r="K16" i="12"/>
  <c r="O16" i="13" s="1"/>
  <c r="K17" i="12"/>
  <c r="O17" i="13" s="1"/>
  <c r="K18" i="12"/>
  <c r="O18" i="13" s="1"/>
  <c r="K19" i="12"/>
  <c r="O19" i="13" s="1"/>
  <c r="K21" i="12"/>
  <c r="K23" i="12"/>
  <c r="O23" i="13" s="1"/>
  <c r="K24" i="12"/>
  <c r="O24" i="13" s="1"/>
  <c r="K25" i="12"/>
  <c r="K26" i="12"/>
  <c r="O27" i="13" s="1"/>
  <c r="K27" i="12"/>
  <c r="O28" i="13" s="1"/>
  <c r="K28" i="12"/>
  <c r="O29" i="13" s="1"/>
  <c r="K29" i="12"/>
  <c r="O30" i="13" s="1"/>
  <c r="K30" i="12"/>
  <c r="O31" i="13" s="1"/>
  <c r="K31" i="12"/>
  <c r="K32" i="12"/>
  <c r="K33" i="12"/>
  <c r="K34" i="12"/>
  <c r="K35" i="12"/>
  <c r="O36" i="13" s="1"/>
  <c r="K36" i="12"/>
  <c r="K37" i="12"/>
  <c r="O38" i="13" s="1"/>
  <c r="K38" i="12"/>
  <c r="K39" i="12"/>
  <c r="O40" i="13" s="1"/>
  <c r="K40" i="12"/>
  <c r="O43" i="13" s="1"/>
  <c r="K41" i="12"/>
  <c r="K42" i="12"/>
  <c r="O45" i="13" s="1"/>
  <c r="K43" i="12"/>
  <c r="K44" i="12"/>
  <c r="O49" i="13" s="1"/>
  <c r="K45" i="12"/>
  <c r="K46" i="12"/>
  <c r="O51" i="13" s="1"/>
  <c r="K47" i="12"/>
  <c r="O52" i="13" s="1"/>
  <c r="K48" i="12"/>
  <c r="K49" i="12"/>
  <c r="O55" i="13" s="1"/>
  <c r="K50" i="12"/>
  <c r="K51" i="12"/>
  <c r="K52" i="12"/>
  <c r="K53" i="12"/>
  <c r="K55" i="12"/>
  <c r="K57" i="12"/>
  <c r="K58" i="12"/>
  <c r="O60" i="13" s="1"/>
  <c r="K59" i="12"/>
  <c r="O57" i="13" s="1"/>
  <c r="K60" i="12"/>
  <c r="K61" i="12"/>
  <c r="O61" i="13" s="1"/>
  <c r="K62" i="12"/>
  <c r="O62" i="13" s="1"/>
  <c r="K65" i="12"/>
  <c r="K67" i="12"/>
  <c r="O67" i="13" s="1"/>
  <c r="K68" i="12"/>
  <c r="O68" i="13" s="1"/>
  <c r="K69" i="12"/>
  <c r="K70" i="12"/>
  <c r="O70" i="13" s="1"/>
  <c r="K71" i="12"/>
  <c r="K72" i="12"/>
  <c r="O72" i="13" s="1"/>
  <c r="K73" i="12"/>
  <c r="O73" i="13" s="1"/>
  <c r="K74" i="12"/>
  <c r="K3" i="12"/>
  <c r="O3" i="13" s="1"/>
  <c r="I46" i="12"/>
  <c r="D14" i="10" s="1"/>
  <c r="J4" i="12"/>
  <c r="N4" i="13" s="1"/>
  <c r="J5" i="12"/>
  <c r="N5" i="13" s="1"/>
  <c r="J6" i="12"/>
  <c r="N6" i="13" s="1"/>
  <c r="J7" i="12"/>
  <c r="N7" i="13" s="1"/>
  <c r="J9" i="12"/>
  <c r="N9" i="13" s="1"/>
  <c r="J10" i="12"/>
  <c r="N10" i="13" s="1"/>
  <c r="J11" i="12"/>
  <c r="N11" i="13" s="1"/>
  <c r="J12" i="12"/>
  <c r="N12" i="13" s="1"/>
  <c r="J13" i="12"/>
  <c r="N13" i="13" s="1"/>
  <c r="J14" i="12"/>
  <c r="N14" i="13" s="1"/>
  <c r="J15" i="12"/>
  <c r="N15" i="13" s="1"/>
  <c r="J16" i="12"/>
  <c r="N16" i="13" s="1"/>
  <c r="J17" i="12"/>
  <c r="N17" i="13" s="1"/>
  <c r="J18" i="12"/>
  <c r="N18" i="13" s="1"/>
  <c r="J19" i="12"/>
  <c r="N19" i="13" s="1"/>
  <c r="J21" i="12"/>
  <c r="N21" i="13" s="1"/>
  <c r="J24" i="12"/>
  <c r="N24" i="13" s="1"/>
  <c r="J25" i="12"/>
  <c r="N25" i="13" s="1"/>
  <c r="J26" i="12"/>
  <c r="N27" i="13" s="1"/>
  <c r="J27" i="12"/>
  <c r="N28" i="13" s="1"/>
  <c r="J28" i="12"/>
  <c r="N29" i="13" s="1"/>
  <c r="J29" i="12"/>
  <c r="N30" i="13" s="1"/>
  <c r="J30" i="12"/>
  <c r="N31" i="13" s="1"/>
  <c r="J31" i="12"/>
  <c r="N32" i="13" s="1"/>
  <c r="J32" i="12"/>
  <c r="N33" i="13" s="1"/>
  <c r="J33" i="12"/>
  <c r="N34" i="13" s="1"/>
  <c r="J34" i="12"/>
  <c r="N35" i="13" s="1"/>
  <c r="J35" i="12"/>
  <c r="N36" i="13" s="1"/>
  <c r="J36" i="12"/>
  <c r="N37" i="13" s="1"/>
  <c r="J37" i="12"/>
  <c r="N38" i="13" s="1"/>
  <c r="J38" i="12"/>
  <c r="N39" i="13" s="1"/>
  <c r="J39" i="12"/>
  <c r="N40" i="13" s="1"/>
  <c r="J40" i="12"/>
  <c r="N43" i="13" s="1"/>
  <c r="J41" i="12"/>
  <c r="N44" i="13" s="1"/>
  <c r="J42" i="12"/>
  <c r="N45" i="13" s="1"/>
  <c r="J43" i="12"/>
  <c r="N48" i="13" s="1"/>
  <c r="J44" i="12"/>
  <c r="N49" i="13" s="1"/>
  <c r="J45" i="12"/>
  <c r="N50" i="13" s="1"/>
  <c r="J46" i="12"/>
  <c r="N51" i="13" s="1"/>
  <c r="J47" i="12"/>
  <c r="N52" i="13" s="1"/>
  <c r="J48" i="12"/>
  <c r="N53" i="13" s="1"/>
  <c r="J49" i="12"/>
  <c r="N55" i="13" s="1"/>
  <c r="J50" i="12"/>
  <c r="J51" i="12"/>
  <c r="N46" i="13" s="1"/>
  <c r="J52" i="12"/>
  <c r="N47" i="13" s="1"/>
  <c r="J53" i="12"/>
  <c r="N41" i="13" s="1"/>
  <c r="J55" i="12"/>
  <c r="N42" i="13" s="1"/>
  <c r="J57" i="12"/>
  <c r="N59" i="13" s="1"/>
  <c r="J58" i="12"/>
  <c r="N60" i="13" s="1"/>
  <c r="J59" i="12"/>
  <c r="N57" i="13" s="1"/>
  <c r="J60" i="12"/>
  <c r="N58" i="13" s="1"/>
  <c r="J61" i="12"/>
  <c r="N61" i="13" s="1"/>
  <c r="J62" i="12"/>
  <c r="N62" i="13" s="1"/>
  <c r="J65" i="12"/>
  <c r="N65" i="13" s="1"/>
  <c r="J67" i="12"/>
  <c r="N67" i="13" s="1"/>
  <c r="J68" i="12"/>
  <c r="N68" i="13" s="1"/>
  <c r="J69" i="12"/>
  <c r="N69" i="13" s="1"/>
  <c r="J70" i="12"/>
  <c r="N70" i="13" s="1"/>
  <c r="J71" i="12"/>
  <c r="N71" i="13" s="1"/>
  <c r="J72" i="12"/>
  <c r="N72" i="13" s="1"/>
  <c r="J73" i="12"/>
  <c r="N73" i="13" s="1"/>
  <c r="J74" i="12"/>
  <c r="N74" i="13" s="1"/>
  <c r="J3" i="12"/>
  <c r="N3" i="13" s="1"/>
  <c r="I4" i="12"/>
  <c r="D64" i="10" s="1"/>
  <c r="I5" i="12"/>
  <c r="D39" i="10" s="1"/>
  <c r="I6" i="12"/>
  <c r="D8" i="10" s="1"/>
  <c r="I7" i="12"/>
  <c r="D34" i="10" s="1"/>
  <c r="I9" i="12"/>
  <c r="D38" i="10" s="1"/>
  <c r="I10" i="12"/>
  <c r="D44" i="10" s="1"/>
  <c r="I11" i="12"/>
  <c r="D59" i="10" s="1"/>
  <c r="I12" i="12"/>
  <c r="D57" i="10" s="1"/>
  <c r="I13" i="12"/>
  <c r="D61" i="10" s="1"/>
  <c r="I14" i="12"/>
  <c r="D45" i="10" s="1"/>
  <c r="I15" i="12"/>
  <c r="D46" i="10" s="1"/>
  <c r="B46" i="10" s="1"/>
  <c r="I16" i="12"/>
  <c r="D53" i="10" s="1"/>
  <c r="I17" i="12"/>
  <c r="D10" i="10" s="1"/>
  <c r="I18" i="12"/>
  <c r="D24" i="10" s="1"/>
  <c r="I19" i="12"/>
  <c r="D54" i="10" s="1"/>
  <c r="I21" i="12"/>
  <c r="D13" i="10" s="1"/>
  <c r="I23" i="12"/>
  <c r="D52" i="10" s="1"/>
  <c r="I24" i="12"/>
  <c r="D41" i="10" s="1"/>
  <c r="I25" i="12"/>
  <c r="D62" i="10" s="1"/>
  <c r="I26" i="12"/>
  <c r="D65" i="10" s="1"/>
  <c r="I27" i="12"/>
  <c r="D66" i="10" s="1"/>
  <c r="I28" i="12"/>
  <c r="I29" i="12"/>
  <c r="D5" i="10" s="1"/>
  <c r="I30" i="12"/>
  <c r="D18" i="10" s="1"/>
  <c r="I31" i="12"/>
  <c r="D63" i="10" s="1"/>
  <c r="I32" i="12"/>
  <c r="D69" i="10" s="1"/>
  <c r="I33" i="12"/>
  <c r="D11" i="10" s="1"/>
  <c r="I34" i="12"/>
  <c r="D51" i="10" s="1"/>
  <c r="I35" i="12"/>
  <c r="D9" i="10" s="1"/>
  <c r="I36" i="12"/>
  <c r="D3" i="10" s="1"/>
  <c r="I37" i="12"/>
  <c r="D58" i="10" s="1"/>
  <c r="I38" i="12"/>
  <c r="D25" i="10" s="1"/>
  <c r="I39" i="12"/>
  <c r="D36" i="10" s="1"/>
  <c r="I40" i="12"/>
  <c r="D23" i="10" s="1"/>
  <c r="I41" i="12"/>
  <c r="D48" i="10" s="1"/>
  <c r="I42" i="12"/>
  <c r="D68" i="10" s="1"/>
  <c r="I43" i="12"/>
  <c r="D12" i="10" s="1"/>
  <c r="I44" i="12"/>
  <c r="D6" i="10" s="1"/>
  <c r="I45" i="12"/>
  <c r="D17" i="10" s="1"/>
  <c r="I47" i="12"/>
  <c r="D60" i="10" s="1"/>
  <c r="I48" i="12"/>
  <c r="D21" i="10" s="1"/>
  <c r="I49" i="12"/>
  <c r="D20" i="10" s="1"/>
  <c r="I50" i="12"/>
  <c r="D7" i="10" s="1"/>
  <c r="I51" i="12"/>
  <c r="D67" i="10" s="1"/>
  <c r="I52" i="12"/>
  <c r="D56" i="10" s="1"/>
  <c r="I53" i="12"/>
  <c r="D43" i="10" s="1"/>
  <c r="I55" i="12"/>
  <c r="D4" i="10" s="1"/>
  <c r="I57" i="12"/>
  <c r="D16" i="10" s="1"/>
  <c r="I58" i="12"/>
  <c r="D42" i="10" s="1"/>
  <c r="I59" i="12"/>
  <c r="D50" i="10" s="1"/>
  <c r="I60" i="12"/>
  <c r="D47" i="10" s="1"/>
  <c r="I61" i="12"/>
  <c r="D19" i="10" s="1"/>
  <c r="I62" i="12"/>
  <c r="D33" i="10" s="1"/>
  <c r="I65" i="12"/>
  <c r="D29" i="10" s="1"/>
  <c r="I67" i="12"/>
  <c r="D15" i="10" s="1"/>
  <c r="I68" i="12"/>
  <c r="D26" i="10" s="1"/>
  <c r="I69" i="12"/>
  <c r="D35" i="10" s="1"/>
  <c r="I70" i="12"/>
  <c r="D40" i="10" s="1"/>
  <c r="I71" i="12"/>
  <c r="D28" i="10" s="1"/>
  <c r="I72" i="12"/>
  <c r="D37" i="10" s="1"/>
  <c r="I73" i="12"/>
  <c r="D49" i="10" s="1"/>
  <c r="I74" i="12"/>
  <c r="D31" i="10" s="1"/>
  <c r="I3" i="12"/>
  <c r="D30" i="10" s="1"/>
  <c r="H4" i="12"/>
  <c r="L4" i="13" s="1"/>
  <c r="H5" i="12"/>
  <c r="L5" i="13" s="1"/>
  <c r="H6" i="12"/>
  <c r="L6" i="13" s="1"/>
  <c r="H7" i="12"/>
  <c r="L7" i="13" s="1"/>
  <c r="H9" i="12"/>
  <c r="L9" i="13" s="1"/>
  <c r="H10" i="12"/>
  <c r="L10" i="13" s="1"/>
  <c r="H11" i="12"/>
  <c r="L11" i="13" s="1"/>
  <c r="H12" i="12"/>
  <c r="L12" i="13" s="1"/>
  <c r="H13" i="12"/>
  <c r="L13" i="13" s="1"/>
  <c r="H14" i="12"/>
  <c r="L14" i="13" s="1"/>
  <c r="H15" i="12"/>
  <c r="L15" i="13" s="1"/>
  <c r="H16" i="12"/>
  <c r="L16" i="13" s="1"/>
  <c r="H17" i="12"/>
  <c r="L17" i="13" s="1"/>
  <c r="H18" i="12"/>
  <c r="L18" i="13" s="1"/>
  <c r="H19" i="12"/>
  <c r="L19" i="13" s="1"/>
  <c r="H21" i="12"/>
  <c r="L21" i="13" s="1"/>
  <c r="H23" i="12"/>
  <c r="L23" i="13" s="1"/>
  <c r="H24" i="12"/>
  <c r="L24" i="13" s="1"/>
  <c r="H25" i="12"/>
  <c r="L25" i="13" s="1"/>
  <c r="H26" i="12"/>
  <c r="L27" i="13" s="1"/>
  <c r="H27" i="12"/>
  <c r="L28" i="13" s="1"/>
  <c r="H28" i="12"/>
  <c r="L29" i="13" s="1"/>
  <c r="H29" i="12"/>
  <c r="L30" i="13" s="1"/>
  <c r="H30" i="12"/>
  <c r="L31" i="13" s="1"/>
  <c r="H31" i="12"/>
  <c r="L32" i="13" s="1"/>
  <c r="H32" i="12"/>
  <c r="L33" i="13" s="1"/>
  <c r="H33" i="12"/>
  <c r="L34" i="13" s="1"/>
  <c r="H34" i="12"/>
  <c r="L35" i="13" s="1"/>
  <c r="H35" i="12"/>
  <c r="L36" i="13" s="1"/>
  <c r="H36" i="12"/>
  <c r="L37" i="13" s="1"/>
  <c r="H37" i="12"/>
  <c r="L38" i="13" s="1"/>
  <c r="H38" i="12"/>
  <c r="L39" i="13" s="1"/>
  <c r="H39" i="12"/>
  <c r="L40" i="13" s="1"/>
  <c r="H40" i="12"/>
  <c r="L43" i="13" s="1"/>
  <c r="H41" i="12"/>
  <c r="L44" i="13" s="1"/>
  <c r="H42" i="12"/>
  <c r="L45" i="13" s="1"/>
  <c r="H43" i="12"/>
  <c r="L48" i="13" s="1"/>
  <c r="H44" i="12"/>
  <c r="H45" i="12"/>
  <c r="L50" i="13" s="1"/>
  <c r="H46" i="12"/>
  <c r="L51" i="13" s="1"/>
  <c r="H47" i="12"/>
  <c r="L52" i="13" s="1"/>
  <c r="H48" i="12"/>
  <c r="L53" i="13" s="1"/>
  <c r="H49" i="12"/>
  <c r="L55" i="13" s="1"/>
  <c r="H50" i="12"/>
  <c r="H51" i="12"/>
  <c r="L46" i="13" s="1"/>
  <c r="H52" i="12"/>
  <c r="L47" i="13" s="1"/>
  <c r="H53" i="12"/>
  <c r="L41" i="13" s="1"/>
  <c r="H55" i="12"/>
  <c r="L42" i="13" s="1"/>
  <c r="H57" i="12"/>
  <c r="L59" i="13" s="1"/>
  <c r="H58" i="12"/>
  <c r="L60" i="13" s="1"/>
  <c r="H59" i="12"/>
  <c r="L57" i="13" s="1"/>
  <c r="H60" i="12"/>
  <c r="L58" i="13" s="1"/>
  <c r="H61" i="12"/>
  <c r="L61" i="13" s="1"/>
  <c r="H62" i="12"/>
  <c r="L62" i="13" s="1"/>
  <c r="H65" i="12"/>
  <c r="L65" i="13" s="1"/>
  <c r="H67" i="12"/>
  <c r="L67" i="13" s="1"/>
  <c r="H68" i="12"/>
  <c r="L68" i="13" s="1"/>
  <c r="H69" i="12"/>
  <c r="L69" i="13" s="1"/>
  <c r="H70" i="12"/>
  <c r="L70" i="13" s="1"/>
  <c r="H71" i="12"/>
  <c r="L71" i="13" s="1"/>
  <c r="H72" i="12"/>
  <c r="L72" i="13" s="1"/>
  <c r="H73" i="12"/>
  <c r="L73" i="13" s="1"/>
  <c r="H74" i="12"/>
  <c r="L74" i="13" s="1"/>
  <c r="H3" i="12"/>
  <c r="L3" i="13" s="1"/>
  <c r="B4" i="10" l="1"/>
  <c r="B29" i="10"/>
  <c r="B3" i="10"/>
  <c r="B67" i="10"/>
  <c r="B7" i="10"/>
  <c r="B11" i="10"/>
  <c r="B16" i="10"/>
  <c r="B25" i="10"/>
  <c r="B13" i="10"/>
  <c r="L49" i="13"/>
  <c r="G20" i="12"/>
  <c r="M3" i="13"/>
  <c r="M67" i="13"/>
  <c r="M42" i="13"/>
  <c r="M50" i="13"/>
  <c r="M38" i="13"/>
  <c r="M30" i="13"/>
  <c r="M19" i="13"/>
  <c r="M11" i="13"/>
  <c r="M74" i="13"/>
  <c r="M65" i="13"/>
  <c r="M41" i="13"/>
  <c r="M49" i="13"/>
  <c r="M37" i="13"/>
  <c r="M29" i="13"/>
  <c r="D2" i="10"/>
  <c r="M18" i="13"/>
  <c r="M10" i="13"/>
  <c r="M73" i="13"/>
  <c r="M62" i="13"/>
  <c r="M47" i="13"/>
  <c r="M48" i="13"/>
  <c r="M36" i="13"/>
  <c r="M28" i="13"/>
  <c r="M17" i="13"/>
  <c r="M9" i="13"/>
  <c r="M72" i="13"/>
  <c r="M61" i="13"/>
  <c r="M46" i="13"/>
  <c r="M45" i="13"/>
  <c r="M35" i="13"/>
  <c r="M27" i="13"/>
  <c r="M16" i="13"/>
  <c r="M7" i="13"/>
  <c r="M71" i="13"/>
  <c r="M58" i="13"/>
  <c r="M44" i="13"/>
  <c r="M34" i="13"/>
  <c r="M25" i="13"/>
  <c r="M15" i="13"/>
  <c r="M6" i="13"/>
  <c r="M70" i="13"/>
  <c r="M57" i="13"/>
  <c r="M55" i="13"/>
  <c r="M43" i="13"/>
  <c r="M33" i="13"/>
  <c r="M24" i="13"/>
  <c r="M14" i="13"/>
  <c r="M5" i="13"/>
  <c r="M69" i="13"/>
  <c r="M60" i="13"/>
  <c r="M53" i="13"/>
  <c r="M40" i="13"/>
  <c r="M32" i="13"/>
  <c r="M23" i="13"/>
  <c r="M13" i="13"/>
  <c r="M4" i="13"/>
  <c r="M51" i="13"/>
  <c r="M68" i="13"/>
  <c r="M59" i="13"/>
  <c r="M52" i="13"/>
  <c r="M39" i="13"/>
  <c r="M31" i="13"/>
  <c r="M21" i="13"/>
  <c r="M12" i="13"/>
  <c r="O8" i="13"/>
  <c r="N8" i="13"/>
  <c r="N75" i="13"/>
  <c r="G55" i="12"/>
  <c r="O42" i="13"/>
  <c r="G38" i="12"/>
  <c r="O39" i="13"/>
  <c r="G21" i="12"/>
  <c r="O21" i="13"/>
  <c r="G74" i="12"/>
  <c r="O74" i="13"/>
  <c r="G65" i="12"/>
  <c r="O65" i="13"/>
  <c r="G53" i="12"/>
  <c r="O41" i="13"/>
  <c r="O50" i="13"/>
  <c r="N22" i="13"/>
  <c r="O47" i="13"/>
  <c r="G52" i="12"/>
  <c r="O37" i="13"/>
  <c r="G36" i="12"/>
  <c r="L75" i="13"/>
  <c r="G51" i="12"/>
  <c r="O46" i="13"/>
  <c r="G43" i="12"/>
  <c r="O48" i="13"/>
  <c r="L22" i="13"/>
  <c r="D18" i="11"/>
  <c r="L18" i="11" s="1"/>
  <c r="N26" i="13"/>
  <c r="O71" i="13"/>
  <c r="G71" i="12"/>
  <c r="O58" i="13"/>
  <c r="E18" i="11"/>
  <c r="O26" i="13"/>
  <c r="G50" i="12"/>
  <c r="O35" i="13"/>
  <c r="G34" i="12"/>
  <c r="B18" i="11"/>
  <c r="L26" i="13"/>
  <c r="L56" i="13" s="1"/>
  <c r="C18" i="11"/>
  <c r="M26" i="13"/>
  <c r="N66" i="13"/>
  <c r="O44" i="13"/>
  <c r="G41" i="12"/>
  <c r="O34" i="13"/>
  <c r="G33" i="12"/>
  <c r="O25" i="13"/>
  <c r="O15" i="13"/>
  <c r="L8" i="13"/>
  <c r="L66" i="13"/>
  <c r="O69" i="13"/>
  <c r="G69" i="12"/>
  <c r="G48" i="12"/>
  <c r="O53" i="13"/>
  <c r="O33" i="13"/>
  <c r="O59" i="13"/>
  <c r="G31" i="12"/>
  <c r="O32" i="13"/>
  <c r="H22" i="12"/>
  <c r="I56" i="12"/>
  <c r="C17" i="11"/>
  <c r="K17" i="11" s="1"/>
  <c r="J66" i="12"/>
  <c r="D20" i="11"/>
  <c r="K66" i="12"/>
  <c r="E20" i="11"/>
  <c r="E17" i="11"/>
  <c r="M17" i="11" s="1"/>
  <c r="K56" i="12"/>
  <c r="H66" i="12"/>
  <c r="B20" i="11"/>
  <c r="J20" i="11" s="1"/>
  <c r="H56" i="12"/>
  <c r="B17" i="11"/>
  <c r="J17" i="11" s="1"/>
  <c r="I66" i="12"/>
  <c r="C20" i="11"/>
  <c r="J8" i="12"/>
  <c r="D19" i="11"/>
  <c r="L19" i="11" s="1"/>
  <c r="J75" i="12"/>
  <c r="K8" i="12"/>
  <c r="E19" i="11"/>
  <c r="M19" i="11" s="1"/>
  <c r="K75" i="12"/>
  <c r="H8" i="12"/>
  <c r="B6" i="11" s="1"/>
  <c r="B19" i="11"/>
  <c r="J19" i="11" s="1"/>
  <c r="H75" i="12"/>
  <c r="C19" i="11"/>
  <c r="K19" i="11" s="1"/>
  <c r="I8" i="12"/>
  <c r="I75" i="12"/>
  <c r="J22" i="12"/>
  <c r="I22" i="12"/>
  <c r="K22" i="12"/>
  <c r="J76" i="14"/>
  <c r="I76" i="14"/>
  <c r="B37" i="11"/>
  <c r="E37" i="11"/>
  <c r="K76" i="14"/>
  <c r="H76" i="14"/>
  <c r="E57" i="12"/>
  <c r="M56" i="13" l="1"/>
  <c r="M75" i="13"/>
  <c r="M8" i="13"/>
  <c r="M22" i="13"/>
  <c r="M66" i="13"/>
  <c r="O22" i="13"/>
  <c r="O75" i="13"/>
  <c r="O66" i="13"/>
  <c r="O56" i="13"/>
  <c r="M18" i="11"/>
  <c r="K18" i="11"/>
  <c r="L76" i="13"/>
  <c r="J18" i="11"/>
  <c r="O76" i="14"/>
  <c r="K76" i="12"/>
  <c r="M76" i="14"/>
  <c r="L76" i="14"/>
  <c r="I76" i="12"/>
  <c r="B21" i="11"/>
  <c r="C21" i="11"/>
  <c r="D22" i="1" l="1"/>
  <c r="E8" i="1"/>
  <c r="F8" i="1"/>
  <c r="G8" i="1"/>
  <c r="H8" i="1"/>
  <c r="I8" i="1"/>
  <c r="J8" i="1"/>
  <c r="K8" i="1"/>
  <c r="D8" i="1"/>
  <c r="B30" i="11" l="1"/>
  <c r="E30" i="11"/>
  <c r="E21" i="11" l="1"/>
  <c r="B29" i="11"/>
  <c r="E29" i="11" l="1"/>
  <c r="E32" i="11"/>
  <c r="L43" i="12" l="1"/>
  <c r="L70" i="12"/>
  <c r="L71" i="12"/>
  <c r="L73" i="12"/>
  <c r="L74" i="12"/>
  <c r="C8" i="11"/>
  <c r="D8" i="11"/>
  <c r="E34" i="11" l="1"/>
  <c r="J23" i="12"/>
  <c r="N23" i="13" s="1"/>
  <c r="N56" i="13" s="1"/>
  <c r="E33" i="11"/>
  <c r="L53" i="12"/>
  <c r="L18" i="12"/>
  <c r="L9" i="12"/>
  <c r="L3" i="12"/>
  <c r="O62" i="12"/>
  <c r="G62" i="12" s="1"/>
  <c r="O57" i="12"/>
  <c r="G57" i="12" s="1"/>
  <c r="O60" i="12"/>
  <c r="G60" i="12" s="1"/>
  <c r="O47" i="12"/>
  <c r="G47" i="12" s="1"/>
  <c r="O44" i="12"/>
  <c r="O51" i="12"/>
  <c r="O40" i="12"/>
  <c r="G40" i="12" s="1"/>
  <c r="O39" i="12"/>
  <c r="G39" i="12" s="1"/>
  <c r="O36" i="12"/>
  <c r="O33" i="12"/>
  <c r="O30" i="12"/>
  <c r="G30" i="12" s="1"/>
  <c r="O27" i="12"/>
  <c r="G27" i="12" s="1"/>
  <c r="O25" i="12"/>
  <c r="G25" i="12" s="1"/>
  <c r="O21" i="12"/>
  <c r="O17" i="12"/>
  <c r="G17" i="12" s="1"/>
  <c r="O14" i="12"/>
  <c r="O11" i="12"/>
  <c r="O7" i="12"/>
  <c r="O4" i="12"/>
  <c r="L59" i="12"/>
  <c r="M61" i="12"/>
  <c r="E19" i="10" s="1"/>
  <c r="M53" i="12"/>
  <c r="E43" i="10" s="1"/>
  <c r="M50" i="12"/>
  <c r="E7" i="10" s="1"/>
  <c r="C7" i="10" s="1"/>
  <c r="L58" i="12"/>
  <c r="L37" i="12"/>
  <c r="L15" i="12"/>
  <c r="L5" i="12"/>
  <c r="O69" i="12"/>
  <c r="N72" i="12"/>
  <c r="N62" i="12"/>
  <c r="N60" i="12"/>
  <c r="N44" i="12"/>
  <c r="N40" i="12"/>
  <c r="N39" i="12"/>
  <c r="N36" i="12"/>
  <c r="N33" i="12"/>
  <c r="N30" i="12"/>
  <c r="N27" i="12"/>
  <c r="N25" i="12"/>
  <c r="N21" i="12"/>
  <c r="N17" i="12"/>
  <c r="N14" i="12"/>
  <c r="N11" i="12"/>
  <c r="N7" i="12"/>
  <c r="N4" i="12"/>
  <c r="L46" i="12"/>
  <c r="M70" i="12"/>
  <c r="E40" i="10" s="1"/>
  <c r="M45" i="12"/>
  <c r="E17" i="10" s="1"/>
  <c r="M34" i="12"/>
  <c r="E51" i="10" s="1"/>
  <c r="M18" i="12"/>
  <c r="E24" i="10" s="1"/>
  <c r="L61" i="12"/>
  <c r="L34" i="12"/>
  <c r="L12" i="12"/>
  <c r="O72" i="12"/>
  <c r="G72" i="12" s="1"/>
  <c r="M3" i="12"/>
  <c r="E30" i="10" s="1"/>
  <c r="N69" i="12"/>
  <c r="N57" i="12"/>
  <c r="F57" i="12" s="1"/>
  <c r="N47" i="12"/>
  <c r="N51" i="12"/>
  <c r="N3" i="12"/>
  <c r="M72" i="12"/>
  <c r="E37" i="10" s="1"/>
  <c r="M69" i="12"/>
  <c r="E35" i="10" s="1"/>
  <c r="M62" i="12"/>
  <c r="E33" i="10" s="1"/>
  <c r="M57" i="12"/>
  <c r="E16" i="10" s="1"/>
  <c r="C16" i="10" s="1"/>
  <c r="M60" i="12"/>
  <c r="E47" i="10" s="1"/>
  <c r="M47" i="12"/>
  <c r="E60" i="10" s="1"/>
  <c r="M44" i="12"/>
  <c r="E6" i="10" s="1"/>
  <c r="M51" i="12"/>
  <c r="E67" i="10" s="1"/>
  <c r="C67" i="10" s="1"/>
  <c r="M40" i="12"/>
  <c r="E23" i="10" s="1"/>
  <c r="M39" i="12"/>
  <c r="E36" i="10" s="1"/>
  <c r="M36" i="12"/>
  <c r="E3" i="10" s="1"/>
  <c r="C3" i="10" s="1"/>
  <c r="M33" i="12"/>
  <c r="E11" i="10" s="1"/>
  <c r="C11" i="10" s="1"/>
  <c r="M30" i="12"/>
  <c r="E18" i="10" s="1"/>
  <c r="M27" i="12"/>
  <c r="E66" i="10" s="1"/>
  <c r="M25" i="12"/>
  <c r="E62" i="10" s="1"/>
  <c r="M21" i="12"/>
  <c r="E13" i="10" s="1"/>
  <c r="C13" i="10" s="1"/>
  <c r="M17" i="12"/>
  <c r="E10" i="10" s="1"/>
  <c r="M14" i="12"/>
  <c r="E45" i="10" s="1"/>
  <c r="M11" i="12"/>
  <c r="E59" i="10" s="1"/>
  <c r="M7" i="12"/>
  <c r="E34" i="10" s="1"/>
  <c r="M4" i="12"/>
  <c r="E64" i="10" s="1"/>
  <c r="L65" i="12"/>
  <c r="M58" i="12"/>
  <c r="E42" i="10" s="1"/>
  <c r="M41" i="12"/>
  <c r="E48" i="10" s="1"/>
  <c r="M28" i="12"/>
  <c r="E2" i="10" s="1"/>
  <c r="M15" i="12"/>
  <c r="E46" i="10" s="1"/>
  <c r="C46" i="10" s="1"/>
  <c r="M5" i="12"/>
  <c r="E39" i="10" s="1"/>
  <c r="L45" i="12"/>
  <c r="L28" i="12"/>
  <c r="L72" i="12"/>
  <c r="L69" i="12"/>
  <c r="L62" i="12"/>
  <c r="L57" i="12"/>
  <c r="L60" i="12"/>
  <c r="L47" i="12"/>
  <c r="L44" i="12"/>
  <c r="L51" i="12"/>
  <c r="L40" i="12"/>
  <c r="L39" i="12"/>
  <c r="L36" i="12"/>
  <c r="L33" i="12"/>
  <c r="L30" i="12"/>
  <c r="L27" i="12"/>
  <c r="L25" i="12"/>
  <c r="L21" i="12"/>
  <c r="L17" i="12"/>
  <c r="L14" i="12"/>
  <c r="L11" i="12"/>
  <c r="L7" i="12"/>
  <c r="L4" i="12"/>
  <c r="L52" i="12"/>
  <c r="L23" i="12"/>
  <c r="O74" i="12"/>
  <c r="O65" i="12"/>
  <c r="O59" i="12"/>
  <c r="G59" i="12" s="1"/>
  <c r="O49" i="12"/>
  <c r="G49" i="12" s="1"/>
  <c r="O46" i="12"/>
  <c r="O43" i="12"/>
  <c r="O42" i="12"/>
  <c r="G42" i="12" s="1"/>
  <c r="O38" i="12"/>
  <c r="O35" i="12"/>
  <c r="G35" i="12" s="1"/>
  <c r="O32" i="12"/>
  <c r="G32" i="12" s="1"/>
  <c r="O29" i="12"/>
  <c r="G29" i="12" s="1"/>
  <c r="O26" i="12"/>
  <c r="G26" i="12" s="1"/>
  <c r="O24" i="12"/>
  <c r="G24" i="12" s="1"/>
  <c r="O19" i="12"/>
  <c r="G19" i="12" s="1"/>
  <c r="O16" i="12"/>
  <c r="G16" i="12" s="1"/>
  <c r="O13" i="12"/>
  <c r="O10" i="12"/>
  <c r="O6" i="12"/>
  <c r="M67" i="12"/>
  <c r="E15" i="10" s="1"/>
  <c r="M52" i="12"/>
  <c r="E56" i="10" s="1"/>
  <c r="M31" i="12"/>
  <c r="E63" i="10" s="1"/>
  <c r="M12" i="12"/>
  <c r="E57" i="10" s="1"/>
  <c r="L67" i="12"/>
  <c r="L41" i="12"/>
  <c r="L50" i="12"/>
  <c r="O3" i="12"/>
  <c r="O71" i="12"/>
  <c r="N74" i="12"/>
  <c r="N68" i="12"/>
  <c r="N65" i="12"/>
  <c r="N49" i="12"/>
  <c r="N43" i="12"/>
  <c r="N42" i="12"/>
  <c r="N55" i="12"/>
  <c r="N38" i="12"/>
  <c r="N35" i="12"/>
  <c r="N32" i="12"/>
  <c r="N29" i="12"/>
  <c r="N26" i="12"/>
  <c r="N24" i="12"/>
  <c r="N19" i="12"/>
  <c r="N16" i="12"/>
  <c r="N13" i="12"/>
  <c r="N10" i="12"/>
  <c r="N6" i="12"/>
  <c r="L68" i="12"/>
  <c r="M73" i="12"/>
  <c r="E49" i="10" s="1"/>
  <c r="M48" i="12"/>
  <c r="E21" i="10" s="1"/>
  <c r="M37" i="12"/>
  <c r="E58" i="10" s="1"/>
  <c r="M23" i="12"/>
  <c r="E52" i="10" s="1"/>
  <c r="M9" i="12"/>
  <c r="E38" i="10" s="1"/>
  <c r="L48" i="12"/>
  <c r="L31" i="12"/>
  <c r="O68" i="12"/>
  <c r="G68" i="12" s="1"/>
  <c r="N71" i="12"/>
  <c r="N59" i="12"/>
  <c r="N46" i="12"/>
  <c r="M74" i="12"/>
  <c r="E31" i="10" s="1"/>
  <c r="M71" i="12"/>
  <c r="E28" i="10" s="1"/>
  <c r="M68" i="12"/>
  <c r="E26" i="10" s="1"/>
  <c r="M65" i="12"/>
  <c r="E29" i="10" s="1"/>
  <c r="C29" i="10" s="1"/>
  <c r="M59" i="12"/>
  <c r="E50" i="10" s="1"/>
  <c r="M49" i="12"/>
  <c r="E20" i="10" s="1"/>
  <c r="M46" i="12"/>
  <c r="E14" i="10" s="1"/>
  <c r="M43" i="12"/>
  <c r="E12" i="10" s="1"/>
  <c r="M42" i="12"/>
  <c r="E68" i="10" s="1"/>
  <c r="M55" i="12"/>
  <c r="E4" i="10" s="1"/>
  <c r="C4" i="10" s="1"/>
  <c r="M38" i="12"/>
  <c r="E25" i="10" s="1"/>
  <c r="C25" i="10" s="1"/>
  <c r="M35" i="12"/>
  <c r="E9" i="10" s="1"/>
  <c r="M32" i="12"/>
  <c r="E69" i="10" s="1"/>
  <c r="M29" i="12"/>
  <c r="E5" i="10" s="1"/>
  <c r="M26" i="12"/>
  <c r="E65" i="10" s="1"/>
  <c r="M24" i="12"/>
  <c r="E41" i="10" s="1"/>
  <c r="M19" i="12"/>
  <c r="E54" i="10" s="1"/>
  <c r="M16" i="12"/>
  <c r="E53" i="10" s="1"/>
  <c r="M13" i="12"/>
  <c r="E61" i="10" s="1"/>
  <c r="M10" i="12"/>
  <c r="E44" i="10" s="1"/>
  <c r="M6" i="12"/>
  <c r="E8" i="10" s="1"/>
  <c r="L42" i="12"/>
  <c r="L55" i="12"/>
  <c r="L38" i="12"/>
  <c r="L35" i="12"/>
  <c r="L32" i="12"/>
  <c r="L29" i="12"/>
  <c r="L26" i="12"/>
  <c r="L24" i="12"/>
  <c r="L19" i="12"/>
  <c r="L16" i="12"/>
  <c r="L13" i="12"/>
  <c r="L10" i="12"/>
  <c r="L6" i="12"/>
  <c r="O73" i="12"/>
  <c r="G73" i="12" s="1"/>
  <c r="O70" i="12"/>
  <c r="G70" i="12" s="1"/>
  <c r="O67" i="12"/>
  <c r="G67" i="12" s="1"/>
  <c r="O58" i="12"/>
  <c r="G58" i="12" s="1"/>
  <c r="O61" i="12"/>
  <c r="G61" i="12" s="1"/>
  <c r="O48" i="12"/>
  <c r="O45" i="12"/>
  <c r="G45" i="12" s="1"/>
  <c r="O52" i="12"/>
  <c r="O41" i="12"/>
  <c r="O37" i="12"/>
  <c r="G37" i="12" s="1"/>
  <c r="O34" i="12"/>
  <c r="O31" i="12"/>
  <c r="O28" i="12"/>
  <c r="G28" i="12" s="1"/>
  <c r="O50" i="12"/>
  <c r="O23" i="12"/>
  <c r="G23" i="12" s="1"/>
  <c r="O18" i="12"/>
  <c r="G18" i="12" s="1"/>
  <c r="O15" i="12"/>
  <c r="G15" i="12" s="1"/>
  <c r="O12" i="12"/>
  <c r="O9" i="12"/>
  <c r="O5" i="12"/>
  <c r="L49" i="12"/>
  <c r="N73" i="12"/>
  <c r="N70" i="12"/>
  <c r="N67" i="12"/>
  <c r="N58" i="12"/>
  <c r="N61" i="12"/>
  <c r="N48" i="12"/>
  <c r="N45" i="12"/>
  <c r="N52" i="12"/>
  <c r="N41" i="12"/>
  <c r="N53" i="12"/>
  <c r="N37" i="12"/>
  <c r="N34" i="12"/>
  <c r="N31" i="12"/>
  <c r="N28" i="12"/>
  <c r="N50" i="12"/>
  <c r="N23" i="12"/>
  <c r="N18" i="12"/>
  <c r="N15" i="12"/>
  <c r="N12" i="12"/>
  <c r="N9" i="12"/>
  <c r="N5" i="12"/>
  <c r="B41" i="10" l="1"/>
  <c r="C41" i="10"/>
  <c r="B12" i="10"/>
  <c r="C12" i="10"/>
  <c r="C58" i="10"/>
  <c r="B58" i="10"/>
  <c r="B64" i="10"/>
  <c r="C64" i="10"/>
  <c r="C18" i="10"/>
  <c r="B18" i="10"/>
  <c r="B47" i="10"/>
  <c r="C47" i="10"/>
  <c r="B51" i="10"/>
  <c r="C51" i="10"/>
  <c r="C65" i="10"/>
  <c r="B65" i="10"/>
  <c r="C14" i="10"/>
  <c r="B14" i="10"/>
  <c r="B21" i="10"/>
  <c r="C21" i="10"/>
  <c r="C34" i="10"/>
  <c r="B34" i="10"/>
  <c r="C17" i="10"/>
  <c r="B17" i="10"/>
  <c r="B5" i="10"/>
  <c r="C5" i="10"/>
  <c r="B20" i="10"/>
  <c r="C20" i="10"/>
  <c r="C49" i="10"/>
  <c r="B49" i="10"/>
  <c r="B39" i="10"/>
  <c r="C39" i="10"/>
  <c r="B59" i="10"/>
  <c r="C59" i="10"/>
  <c r="C33" i="10"/>
  <c r="B33" i="10"/>
  <c r="C30" i="10"/>
  <c r="B30" i="10"/>
  <c r="B40" i="10"/>
  <c r="C40" i="10"/>
  <c r="B8" i="10"/>
  <c r="C8" i="10"/>
  <c r="B69" i="10"/>
  <c r="C69" i="10"/>
  <c r="B50" i="10"/>
  <c r="C50" i="10"/>
  <c r="B57" i="10"/>
  <c r="C57" i="10"/>
  <c r="B45" i="10"/>
  <c r="C45" i="10"/>
  <c r="B36" i="10"/>
  <c r="C36" i="10"/>
  <c r="B35" i="10"/>
  <c r="C35" i="10"/>
  <c r="B43" i="10"/>
  <c r="C43" i="10"/>
  <c r="C44" i="10"/>
  <c r="B44" i="10"/>
  <c r="B9" i="10"/>
  <c r="C9" i="10"/>
  <c r="B63" i="10"/>
  <c r="C63" i="10"/>
  <c r="B10" i="10"/>
  <c r="C10" i="10"/>
  <c r="B23" i="10"/>
  <c r="C23" i="10"/>
  <c r="B37" i="10"/>
  <c r="C37" i="10"/>
  <c r="C19" i="10"/>
  <c r="B19" i="10"/>
  <c r="B61" i="10"/>
  <c r="C61" i="10"/>
  <c r="B26" i="10"/>
  <c r="C26" i="10"/>
  <c r="C56" i="10"/>
  <c r="B56" i="10"/>
  <c r="B48" i="10"/>
  <c r="C48" i="10"/>
  <c r="B53" i="10"/>
  <c r="C53" i="10"/>
  <c r="B28" i="10"/>
  <c r="C28" i="10"/>
  <c r="C38" i="10"/>
  <c r="B38" i="10"/>
  <c r="B15" i="10"/>
  <c r="C15" i="10"/>
  <c r="B42" i="10"/>
  <c r="C42" i="10"/>
  <c r="C62" i="10"/>
  <c r="B62" i="10"/>
  <c r="C6" i="10"/>
  <c r="B6" i="10"/>
  <c r="C54" i="10"/>
  <c r="B54" i="10"/>
  <c r="C68" i="10"/>
  <c r="B68" i="10"/>
  <c r="B31" i="10"/>
  <c r="C31" i="10"/>
  <c r="C52" i="10"/>
  <c r="B52" i="10"/>
  <c r="B66" i="10"/>
  <c r="C66" i="10"/>
  <c r="B60" i="10"/>
  <c r="C60" i="10"/>
  <c r="C24" i="10"/>
  <c r="B24" i="10"/>
  <c r="Q18" i="11"/>
  <c r="I18" i="11" s="1"/>
  <c r="P18" i="11"/>
  <c r="N18" i="11"/>
  <c r="F18" i="11" s="1"/>
  <c r="O18" i="11"/>
  <c r="G18" i="11" s="1"/>
  <c r="C2" i="10"/>
  <c r="B2" i="10"/>
  <c r="J56" i="12"/>
  <c r="J76" i="12" s="1"/>
  <c r="D17" i="11"/>
  <c r="O22" i="12"/>
  <c r="G22" i="12" s="1"/>
  <c r="L75" i="12"/>
  <c r="N66" i="12"/>
  <c r="P20" i="11"/>
  <c r="H20" i="11" s="1"/>
  <c r="Q19" i="11"/>
  <c r="O8" i="12"/>
  <c r="N8" i="12"/>
  <c r="P19" i="11"/>
  <c r="M66" i="12"/>
  <c r="O20" i="11"/>
  <c r="M75" i="12"/>
  <c r="L22" i="12"/>
  <c r="N22" i="12"/>
  <c r="O75" i="12"/>
  <c r="G75" i="12" s="1"/>
  <c r="L66" i="12"/>
  <c r="N20" i="11"/>
  <c r="F20" i="11" s="1"/>
  <c r="N75" i="12"/>
  <c r="M22" i="12"/>
  <c r="M8" i="12"/>
  <c r="O19" i="11"/>
  <c r="L8" i="12"/>
  <c r="N19" i="11"/>
  <c r="N56" i="12"/>
  <c r="P17" i="11"/>
  <c r="N17" i="11"/>
  <c r="F17" i="11" s="1"/>
  <c r="L56" i="12"/>
  <c r="Q20" i="11"/>
  <c r="I20" i="11" s="1"/>
  <c r="O66" i="12"/>
  <c r="G66" i="12" s="1"/>
  <c r="O56" i="12"/>
  <c r="G56" i="12" s="1"/>
  <c r="Q17" i="11"/>
  <c r="O17" i="11"/>
  <c r="M56" i="12"/>
  <c r="N76" i="14"/>
  <c r="D57" i="12"/>
  <c r="B34" i="11"/>
  <c r="B33" i="11"/>
  <c r="B35" i="11"/>
  <c r="D10" i="11"/>
  <c r="C10" i="11"/>
  <c r="B10" i="11"/>
  <c r="D7" i="11"/>
  <c r="C7" i="11"/>
  <c r="D6" i="11"/>
  <c r="C6" i="11"/>
  <c r="E28" i="11"/>
  <c r="B28" i="11"/>
  <c r="K20" i="11"/>
  <c r="L20" i="11"/>
  <c r="M20" i="11"/>
  <c r="F10" i="11"/>
  <c r="G10" i="11"/>
  <c r="H10" i="11"/>
  <c r="D21" i="11" l="1"/>
  <c r="L17" i="11"/>
  <c r="E38" i="11"/>
  <c r="L76" i="12"/>
  <c r="M76" i="12"/>
  <c r="P21" i="11"/>
  <c r="O21" i="11"/>
  <c r="N76" i="12"/>
  <c r="Q21" i="11"/>
  <c r="O76" i="12"/>
  <c r="G76" i="12" s="1"/>
  <c r="N21" i="11"/>
  <c r="E31" i="11"/>
  <c r="B31" i="11"/>
  <c r="H76" i="12"/>
  <c r="B39" i="11"/>
  <c r="B32" i="11"/>
  <c r="I76" i="13" l="1"/>
  <c r="J76" i="13" l="1"/>
  <c r="E40" i="11" l="1"/>
  <c r="G37" i="11" l="1"/>
  <c r="J75" i="1" l="1"/>
  <c r="H75" i="1"/>
  <c r="F75" i="1"/>
  <c r="D75" i="1"/>
  <c r="E75" i="1"/>
  <c r="G75" i="1"/>
  <c r="I75" i="1"/>
  <c r="K75" i="1"/>
  <c r="E66" i="1"/>
  <c r="F66" i="1"/>
  <c r="G66" i="1"/>
  <c r="H66" i="1"/>
  <c r="I66" i="1"/>
  <c r="J66" i="1"/>
  <c r="K66" i="1"/>
  <c r="D66" i="1"/>
  <c r="G22" i="1"/>
  <c r="E22" i="1"/>
  <c r="F22" i="1"/>
  <c r="H22" i="1"/>
  <c r="I22" i="1"/>
  <c r="J22" i="1"/>
  <c r="K22" i="1"/>
  <c r="G5" i="14"/>
  <c r="G9" i="14"/>
  <c r="G10" i="14"/>
  <c r="G11" i="14"/>
  <c r="G12" i="14"/>
  <c r="G13" i="14"/>
  <c r="G14" i="14"/>
  <c r="G15" i="14"/>
  <c r="G16" i="14"/>
  <c r="G17" i="14"/>
  <c r="G18" i="14"/>
  <c r="G19" i="14"/>
  <c r="G21" i="14"/>
  <c r="G23" i="14"/>
  <c r="G24" i="14"/>
  <c r="G25" i="14"/>
  <c r="G26" i="14"/>
  <c r="G27" i="14"/>
  <c r="G65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7" i="14"/>
  <c r="G59" i="14"/>
  <c r="G60" i="14"/>
  <c r="G44" i="14"/>
  <c r="G45" i="14"/>
  <c r="G63" i="14"/>
  <c r="G46" i="14"/>
  <c r="G47" i="14"/>
  <c r="G58" i="14"/>
  <c r="G48" i="14"/>
  <c r="G49" i="14"/>
  <c r="G50" i="14"/>
  <c r="G51" i="14"/>
  <c r="G52" i="14"/>
  <c r="G53" i="14"/>
  <c r="G61" i="14"/>
  <c r="G55" i="14"/>
  <c r="G67" i="14"/>
  <c r="G68" i="14"/>
  <c r="G69" i="14"/>
  <c r="G70" i="14"/>
  <c r="G71" i="14"/>
  <c r="G72" i="14"/>
  <c r="G73" i="14"/>
  <c r="G57" i="14"/>
  <c r="G74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1" i="14"/>
  <c r="F23" i="14"/>
  <c r="F24" i="14"/>
  <c r="F25" i="14"/>
  <c r="F26" i="14"/>
  <c r="F27" i="14"/>
  <c r="F65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7" i="14"/>
  <c r="F59" i="14"/>
  <c r="F60" i="14"/>
  <c r="F44" i="14"/>
  <c r="F45" i="14"/>
  <c r="F63" i="14"/>
  <c r="F46" i="14"/>
  <c r="F47" i="14"/>
  <c r="F58" i="14"/>
  <c r="F48" i="14"/>
  <c r="F49" i="14"/>
  <c r="F50" i="14"/>
  <c r="F51" i="14"/>
  <c r="F52" i="14"/>
  <c r="F53" i="14"/>
  <c r="F61" i="14"/>
  <c r="F55" i="14"/>
  <c r="F67" i="14"/>
  <c r="F68" i="14"/>
  <c r="F69" i="14"/>
  <c r="F70" i="14"/>
  <c r="F71" i="14"/>
  <c r="F72" i="14"/>
  <c r="F73" i="14"/>
  <c r="F57" i="14"/>
  <c r="F74" i="14"/>
  <c r="E9" i="14"/>
  <c r="E10" i="14"/>
  <c r="E11" i="14"/>
  <c r="E12" i="14"/>
  <c r="E13" i="14"/>
  <c r="E14" i="14"/>
  <c r="E15" i="14"/>
  <c r="E16" i="14"/>
  <c r="E17" i="14"/>
  <c r="E18" i="14"/>
  <c r="E19" i="14"/>
  <c r="E21" i="14"/>
  <c r="E23" i="14"/>
  <c r="E24" i="14"/>
  <c r="E25" i="14"/>
  <c r="E26" i="14"/>
  <c r="E27" i="14"/>
  <c r="E65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7" i="14"/>
  <c r="E59" i="14"/>
  <c r="E60" i="14"/>
  <c r="E44" i="14"/>
  <c r="E45" i="14"/>
  <c r="E63" i="14"/>
  <c r="E46" i="14"/>
  <c r="E47" i="14"/>
  <c r="E58" i="14"/>
  <c r="E48" i="14"/>
  <c r="E49" i="14"/>
  <c r="E50" i="14"/>
  <c r="E51" i="14"/>
  <c r="E52" i="14"/>
  <c r="E53" i="14"/>
  <c r="E61" i="14"/>
  <c r="E55" i="14"/>
  <c r="E67" i="14"/>
  <c r="E68" i="14"/>
  <c r="E69" i="14"/>
  <c r="E70" i="14"/>
  <c r="E71" i="14"/>
  <c r="E72" i="14"/>
  <c r="E73" i="14"/>
  <c r="E57" i="14"/>
  <c r="E74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1" i="14"/>
  <c r="D23" i="14"/>
  <c r="D24" i="14"/>
  <c r="D25" i="14"/>
  <c r="D26" i="14"/>
  <c r="D27" i="14"/>
  <c r="D65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7" i="14"/>
  <c r="D59" i="14"/>
  <c r="D60" i="14"/>
  <c r="D44" i="14"/>
  <c r="D45" i="14"/>
  <c r="D63" i="14"/>
  <c r="D46" i="14"/>
  <c r="D47" i="14"/>
  <c r="D58" i="14"/>
  <c r="D48" i="14"/>
  <c r="D49" i="14"/>
  <c r="D50" i="14"/>
  <c r="D51" i="14"/>
  <c r="D52" i="14"/>
  <c r="D53" i="14"/>
  <c r="D61" i="14"/>
  <c r="D55" i="14"/>
  <c r="D67" i="14"/>
  <c r="D68" i="14"/>
  <c r="D69" i="14"/>
  <c r="D70" i="14"/>
  <c r="D71" i="14"/>
  <c r="D72" i="14"/>
  <c r="D73" i="14"/>
  <c r="D57" i="14"/>
  <c r="D74" i="14"/>
  <c r="E37" i="13"/>
  <c r="E38" i="13"/>
  <c r="E39" i="13"/>
  <c r="E40" i="13"/>
  <c r="E41" i="13"/>
  <c r="E42" i="13"/>
  <c r="E43" i="13"/>
  <c r="E44" i="13"/>
  <c r="E45" i="13"/>
  <c r="E48" i="13"/>
  <c r="E49" i="13"/>
  <c r="E16" i="13"/>
  <c r="E17" i="13"/>
  <c r="E19" i="13"/>
  <c r="E21" i="13"/>
  <c r="E6" i="13"/>
  <c r="F68" i="12"/>
  <c r="F69" i="12"/>
  <c r="F70" i="12"/>
  <c r="F71" i="12"/>
  <c r="F72" i="12"/>
  <c r="F73" i="12"/>
  <c r="F60" i="12"/>
  <c r="F24" i="12"/>
  <c r="D24" i="13" s="1"/>
  <c r="F25" i="12"/>
  <c r="D25" i="13" s="1"/>
  <c r="F50" i="12"/>
  <c r="D26" i="13" s="1"/>
  <c r="F26" i="12"/>
  <c r="D27" i="13" s="1"/>
  <c r="F65" i="12"/>
  <c r="D65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39" i="12"/>
  <c r="D40" i="13" s="1"/>
  <c r="F53" i="12"/>
  <c r="D41" i="13" s="1"/>
  <c r="F55" i="12"/>
  <c r="D42" i="13" s="1"/>
  <c r="F40" i="12"/>
  <c r="D43" i="13" s="1"/>
  <c r="F7" i="12"/>
  <c r="D7" i="13" s="1"/>
  <c r="D59" i="13"/>
  <c r="F58" i="12"/>
  <c r="D60" i="13" s="1"/>
  <c r="F41" i="12"/>
  <c r="D44" i="13" s="1"/>
  <c r="F42" i="12"/>
  <c r="D45" i="13" s="1"/>
  <c r="F62" i="12"/>
  <c r="D62" i="13" s="1"/>
  <c r="F51" i="12"/>
  <c r="D46" i="13" s="1"/>
  <c r="F52" i="12"/>
  <c r="D47" i="13" s="1"/>
  <c r="F59" i="12"/>
  <c r="D57" i="13" s="1"/>
  <c r="F43" i="12"/>
  <c r="D48" i="13" s="1"/>
  <c r="F44" i="12"/>
  <c r="D49" i="13" s="1"/>
  <c r="F45" i="12"/>
  <c r="D50" i="13" s="1"/>
  <c r="F46" i="12"/>
  <c r="D51" i="13" s="1"/>
  <c r="F47" i="12"/>
  <c r="D52" i="13" s="1"/>
  <c r="F48" i="12"/>
  <c r="D53" i="13" s="1"/>
  <c r="F61" i="12"/>
  <c r="D61" i="13" s="1"/>
  <c r="F49" i="12"/>
  <c r="D55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1" i="12"/>
  <c r="D21" i="13" s="1"/>
  <c r="F4" i="12"/>
  <c r="D4" i="13" s="1"/>
  <c r="F5" i="12"/>
  <c r="D5" i="13" s="1"/>
  <c r="F6" i="12"/>
  <c r="D6" i="13" s="1"/>
  <c r="E68" i="12"/>
  <c r="E69" i="12"/>
  <c r="E70" i="12"/>
  <c r="E71" i="12"/>
  <c r="E72" i="12"/>
  <c r="E73" i="12"/>
  <c r="E38" i="12"/>
  <c r="E58" i="12"/>
  <c r="E18" i="12"/>
  <c r="E19" i="12"/>
  <c r="D68" i="12"/>
  <c r="D69" i="12"/>
  <c r="D70" i="12"/>
  <c r="D71" i="12"/>
  <c r="D72" i="12"/>
  <c r="D73" i="12"/>
  <c r="D60" i="12"/>
  <c r="F24" i="13"/>
  <c r="F26" i="13"/>
  <c r="F27" i="13"/>
  <c r="F65" i="13"/>
  <c r="F29" i="13"/>
  <c r="F30" i="13"/>
  <c r="D31" i="12"/>
  <c r="F33" i="13"/>
  <c r="F34" i="13"/>
  <c r="F36" i="13"/>
  <c r="F37" i="13"/>
  <c r="F40" i="13"/>
  <c r="F41" i="13"/>
  <c r="F7" i="13"/>
  <c r="F59" i="13"/>
  <c r="D41" i="12"/>
  <c r="F45" i="13"/>
  <c r="F62" i="13"/>
  <c r="F50" i="13"/>
  <c r="F51" i="13"/>
  <c r="F11" i="13"/>
  <c r="F13" i="13"/>
  <c r="D19" i="12"/>
  <c r="F67" i="12"/>
  <c r="F23" i="12"/>
  <c r="F9" i="12"/>
  <c r="E67" i="12"/>
  <c r="E23" i="12"/>
  <c r="E9" i="12"/>
  <c r="D67" i="12"/>
  <c r="D23" i="12"/>
  <c r="D9" i="12"/>
  <c r="E8" i="11" l="1"/>
  <c r="G76" i="1"/>
  <c r="E36" i="11" s="1"/>
  <c r="E41" i="11" s="1"/>
  <c r="D66" i="14"/>
  <c r="I76" i="1"/>
  <c r="H76" i="1"/>
  <c r="J76" i="1"/>
  <c r="D76" i="1"/>
  <c r="B36" i="11" s="1"/>
  <c r="B41" i="11" s="1"/>
  <c r="K76" i="1"/>
  <c r="F75" i="14"/>
  <c r="E66" i="14"/>
  <c r="F66" i="14"/>
  <c r="E75" i="14"/>
  <c r="D22" i="14"/>
  <c r="G22" i="14"/>
  <c r="F22" i="14"/>
  <c r="F76" i="1"/>
  <c r="D36" i="11" s="1"/>
  <c r="D41" i="11" s="1"/>
  <c r="E76" i="1"/>
  <c r="C36" i="11" s="1"/>
  <c r="C41" i="11" s="1"/>
  <c r="G66" i="14"/>
  <c r="G75" i="14"/>
  <c r="E22" i="14"/>
  <c r="F8" i="14"/>
  <c r="E8" i="14"/>
  <c r="D8" i="14"/>
  <c r="D75" i="14"/>
  <c r="E4" i="12"/>
  <c r="E6" i="12"/>
  <c r="E36" i="13"/>
  <c r="B8" i="11"/>
  <c r="E53" i="12"/>
  <c r="E46" i="12"/>
  <c r="E32" i="12"/>
  <c r="D39" i="12"/>
  <c r="D11" i="12"/>
  <c r="E42" i="12"/>
  <c r="E44" i="12"/>
  <c r="D33" i="12"/>
  <c r="E50" i="12"/>
  <c r="E45" i="12"/>
  <c r="E11" i="12"/>
  <c r="D26" i="12"/>
  <c r="E41" i="12"/>
  <c r="D50" i="12"/>
  <c r="E10" i="12"/>
  <c r="E25" i="12"/>
  <c r="D62" i="12"/>
  <c r="D13" i="12"/>
  <c r="E7" i="12"/>
  <c r="D32" i="12"/>
  <c r="D36" i="12"/>
  <c r="E12" i="12"/>
  <c r="E33" i="12"/>
  <c r="D45" i="12"/>
  <c r="D53" i="12"/>
  <c r="D46" i="12"/>
  <c r="D65" i="12"/>
  <c r="D42" i="12"/>
  <c r="E31" i="12"/>
  <c r="E14" i="12"/>
  <c r="D35" i="12"/>
  <c r="E59" i="12"/>
  <c r="D28" i="12"/>
  <c r="D29" i="12"/>
  <c r="E35" i="12"/>
  <c r="D4" i="12"/>
  <c r="F4" i="13"/>
  <c r="D17" i="12"/>
  <c r="F17" i="13"/>
  <c r="E61" i="12"/>
  <c r="D6" i="12"/>
  <c r="F6" i="13"/>
  <c r="D52" i="12"/>
  <c r="F47" i="13"/>
  <c r="E48" i="12"/>
  <c r="D5" i="12"/>
  <c r="F5" i="13"/>
  <c r="D51" i="12"/>
  <c r="F46" i="13"/>
  <c r="D34" i="12"/>
  <c r="F35" i="13"/>
  <c r="E55" i="12"/>
  <c r="E27" i="12"/>
  <c r="D21" i="12"/>
  <c r="F21" i="13"/>
  <c r="E39" i="12"/>
  <c r="D16" i="12"/>
  <c r="F16" i="13"/>
  <c r="D61" i="12"/>
  <c r="F61" i="13"/>
  <c r="D59" i="12"/>
  <c r="F57" i="13"/>
  <c r="E16" i="12"/>
  <c r="D15" i="12"/>
  <c r="F15" i="13"/>
  <c r="D48" i="12"/>
  <c r="F53" i="13"/>
  <c r="D40" i="12"/>
  <c r="F43" i="13"/>
  <c r="D74" i="12"/>
  <c r="F74" i="13"/>
  <c r="E15" i="12"/>
  <c r="E52" i="12"/>
  <c r="E40" i="12"/>
  <c r="E28" i="12"/>
  <c r="D14" i="12"/>
  <c r="F14" i="13"/>
  <c r="D47" i="12"/>
  <c r="F52" i="13"/>
  <c r="D55" i="12"/>
  <c r="F42" i="13"/>
  <c r="D27" i="12"/>
  <c r="F28" i="13"/>
  <c r="E51" i="12"/>
  <c r="E34" i="12"/>
  <c r="D7" i="12"/>
  <c r="E36" i="12"/>
  <c r="D12" i="12"/>
  <c r="F12" i="13"/>
  <c r="E21" i="12"/>
  <c r="E26" i="12"/>
  <c r="E47" i="12"/>
  <c r="D24" i="12"/>
  <c r="D18" i="12"/>
  <c r="F18" i="13"/>
  <c r="D10" i="12"/>
  <c r="F10" i="13"/>
  <c r="F49" i="13"/>
  <c r="D44" i="12"/>
  <c r="D58" i="12"/>
  <c r="F60" i="13"/>
  <c r="D38" i="12"/>
  <c r="F39" i="13"/>
  <c r="D43" i="12"/>
  <c r="F48" i="13"/>
  <c r="D37" i="12"/>
  <c r="F38" i="13"/>
  <c r="D30" i="12"/>
  <c r="F31" i="13"/>
  <c r="D25" i="12"/>
  <c r="F25" i="13"/>
  <c r="E17" i="12"/>
  <c r="E49" i="12"/>
  <c r="E43" i="12"/>
  <c r="E37" i="12"/>
  <c r="E30" i="12"/>
  <c r="D49" i="12"/>
  <c r="F55" i="13"/>
  <c r="E29" i="12"/>
  <c r="E24" i="12"/>
  <c r="F44" i="13"/>
  <c r="F19" i="13"/>
  <c r="F32" i="13"/>
  <c r="G45" i="13" l="1"/>
  <c r="G62" i="13"/>
  <c r="E62" i="13"/>
  <c r="G47" i="13"/>
  <c r="E47" i="13"/>
  <c r="G50" i="13"/>
  <c r="E50" i="13"/>
  <c r="G53" i="13"/>
  <c r="E53" i="13"/>
  <c r="G26" i="13"/>
  <c r="E26" i="13"/>
  <c r="G65" i="13"/>
  <c r="E65" i="13"/>
  <c r="G42" i="13"/>
  <c r="G24" i="13"/>
  <c r="E24" i="13"/>
  <c r="G39" i="13"/>
  <c r="G55" i="13"/>
  <c r="E55" i="13"/>
  <c r="G37" i="13"/>
  <c r="G5" i="12"/>
  <c r="E5" i="13" s="1"/>
  <c r="G29" i="13"/>
  <c r="E29" i="13"/>
  <c r="G12" i="13"/>
  <c r="G12" i="12"/>
  <c r="E12" i="13" s="1"/>
  <c r="G35" i="13"/>
  <c r="E35" i="13"/>
  <c r="G38" i="13"/>
  <c r="G15" i="13"/>
  <c r="E15" i="13"/>
  <c r="G49" i="13"/>
  <c r="G33" i="13"/>
  <c r="E33" i="13"/>
  <c r="G34" i="13"/>
  <c r="E34" i="13"/>
  <c r="G48" i="13"/>
  <c r="G21" i="13"/>
  <c r="G41" i="13"/>
  <c r="G7" i="13"/>
  <c r="G7" i="12"/>
  <c r="E7" i="13" s="1"/>
  <c r="G16" i="13"/>
  <c r="B7" i="11"/>
  <c r="G14" i="13"/>
  <c r="G14" i="12"/>
  <c r="E14" i="13" s="1"/>
  <c r="H31" i="11"/>
  <c r="F76" i="14"/>
  <c r="H32" i="11"/>
  <c r="F34" i="11"/>
  <c r="G34" i="11"/>
  <c r="H34" i="11"/>
  <c r="I34" i="11"/>
  <c r="F33" i="11"/>
  <c r="I33" i="11"/>
  <c r="H33" i="11"/>
  <c r="G33" i="11"/>
  <c r="G35" i="11"/>
  <c r="G29" i="11"/>
  <c r="H29" i="11"/>
  <c r="I29" i="11"/>
  <c r="F29" i="11"/>
  <c r="G36" i="11"/>
  <c r="D76" i="14"/>
  <c r="E76" i="14"/>
  <c r="G30" i="11"/>
  <c r="F30" i="11"/>
  <c r="H30" i="11"/>
  <c r="I28" i="11"/>
  <c r="E5" i="12" l="1"/>
  <c r="G5" i="13"/>
  <c r="G58" i="13" l="1"/>
  <c r="F70" i="13"/>
  <c r="D70" i="13"/>
  <c r="E58" i="13"/>
  <c r="E70" i="13"/>
  <c r="E9" i="13" l="1"/>
  <c r="F9" i="13"/>
  <c r="F68" i="13"/>
  <c r="F72" i="13"/>
  <c r="F69" i="13"/>
  <c r="E68" i="13"/>
  <c r="E72" i="13"/>
  <c r="E69" i="13"/>
  <c r="G69" i="13"/>
  <c r="F71" i="13"/>
  <c r="E73" i="13"/>
  <c r="G71" i="13"/>
  <c r="E71" i="13"/>
  <c r="D71" i="13"/>
  <c r="F73" i="13"/>
  <c r="D72" i="13"/>
  <c r="F58" i="13"/>
  <c r="D73" i="13"/>
  <c r="D58" i="13"/>
  <c r="D69" i="13"/>
  <c r="D68" i="13"/>
  <c r="F74" i="12"/>
  <c r="D74" i="13" s="1"/>
  <c r="F22" i="13" l="1"/>
  <c r="L7" i="11" s="1"/>
  <c r="E23" i="13"/>
  <c r="E66" i="13"/>
  <c r="K8" i="11" s="1"/>
  <c r="F67" i="13"/>
  <c r="D67" i="13"/>
  <c r="D23" i="13"/>
  <c r="D66" i="13"/>
  <c r="J8" i="11" s="1"/>
  <c r="D9" i="13"/>
  <c r="F13" i="12"/>
  <c r="D13" i="13" s="1"/>
  <c r="G67" i="13"/>
  <c r="F23" i="13"/>
  <c r="F66" i="13"/>
  <c r="L8" i="11" s="1"/>
  <c r="E67" i="13"/>
  <c r="F66" i="12"/>
  <c r="D66" i="12"/>
  <c r="F75" i="13" l="1"/>
  <c r="L9" i="11" s="1"/>
  <c r="D75" i="13"/>
  <c r="J9" i="11" s="1"/>
  <c r="D22" i="13" l="1"/>
  <c r="J7" i="11" s="1"/>
  <c r="D75" i="12" l="1"/>
  <c r="I9" i="11"/>
  <c r="E74" i="12"/>
  <c r="I17" i="11" l="1"/>
  <c r="E74" i="13"/>
  <c r="F8" i="11"/>
  <c r="E75" i="13" l="1"/>
  <c r="K9" i="11" s="1"/>
  <c r="F22" i="12" l="1"/>
  <c r="H7" i="11" s="1"/>
  <c r="F75" i="12"/>
  <c r="H8" i="11" s="1"/>
  <c r="H17" i="11" l="1"/>
  <c r="E75" i="12"/>
  <c r="G8" i="11" s="1"/>
  <c r="G13" i="12"/>
  <c r="E13" i="12"/>
  <c r="D22" i="12" l="1"/>
  <c r="E13" i="13"/>
  <c r="G13" i="13"/>
  <c r="E22" i="12"/>
  <c r="G7" i="11" s="1"/>
  <c r="F7" i="11" l="1"/>
  <c r="E22" i="13"/>
  <c r="K7" i="11" s="1"/>
  <c r="I11" i="11" l="1"/>
  <c r="E18" i="13"/>
  <c r="I19" i="11" l="1"/>
  <c r="M21" i="11"/>
  <c r="E60" i="13" l="1"/>
  <c r="F28" i="11" l="1"/>
  <c r="E8" i="12"/>
  <c r="H28" i="11"/>
  <c r="D3" i="12"/>
  <c r="E3" i="12"/>
  <c r="G28" i="11"/>
  <c r="G6" i="11" l="1"/>
  <c r="D8" i="12"/>
  <c r="G8" i="12" s="1"/>
  <c r="M76" i="13"/>
  <c r="N76" i="13"/>
  <c r="F3" i="13"/>
  <c r="D3" i="13"/>
  <c r="F8" i="12"/>
  <c r="E3" i="13"/>
  <c r="H19" i="11"/>
  <c r="G19" i="11"/>
  <c r="F19" i="11"/>
  <c r="H6" i="11" l="1"/>
  <c r="F6" i="11"/>
  <c r="L21" i="11"/>
  <c r="E8" i="13"/>
  <c r="K6" i="11" s="1"/>
  <c r="E76" i="13"/>
  <c r="F21" i="11"/>
  <c r="I21" i="11"/>
  <c r="J21" i="11"/>
  <c r="K21" i="11"/>
  <c r="D76" i="13"/>
  <c r="D8" i="13"/>
  <c r="J6" i="11" s="1"/>
  <c r="F76" i="13"/>
  <c r="F8" i="13"/>
  <c r="L6" i="11" s="1"/>
  <c r="G20" i="11" l="1"/>
  <c r="L11" i="11"/>
  <c r="L10" i="11"/>
  <c r="K11" i="11"/>
  <c r="K10" i="11"/>
  <c r="J11" i="11"/>
  <c r="J10" i="11"/>
  <c r="G17" i="11"/>
  <c r="G21" i="11"/>
  <c r="H21" i="11" l="1"/>
  <c r="E56" i="13"/>
  <c r="F56" i="13"/>
  <c r="D56" i="13"/>
  <c r="E30" i="13"/>
  <c r="E11" i="13"/>
  <c r="E27" i="13"/>
  <c r="E46" i="13"/>
  <c r="E4" i="13"/>
  <c r="E28" i="13"/>
  <c r="E57" i="13"/>
  <c r="E61" i="13"/>
  <c r="E31" i="13"/>
  <c r="E10" i="13"/>
  <c r="E32" i="13"/>
  <c r="E51" i="13"/>
  <c r="E25" i="13"/>
  <c r="E59" i="13"/>
  <c r="E52" i="13"/>
  <c r="G4" i="12"/>
  <c r="G4" i="13"/>
  <c r="I7" i="11"/>
  <c r="G23" i="13"/>
  <c r="G11" i="13"/>
  <c r="G18" i="13"/>
  <c r="G25" i="13"/>
  <c r="E7" i="11"/>
  <c r="E6" i="11"/>
  <c r="G10" i="13"/>
  <c r="G9" i="13"/>
  <c r="G17" i="13"/>
  <c r="G32" i="13"/>
  <c r="G31" i="13"/>
  <c r="G9" i="12"/>
  <c r="G28" i="13"/>
  <c r="G30" i="13"/>
  <c r="G27" i="13"/>
  <c r="G19" i="13"/>
  <c r="G3" i="13"/>
  <c r="G10" i="12"/>
  <c r="G6" i="13"/>
  <c r="F3" i="12"/>
  <c r="G11" i="12"/>
  <c r="G8" i="13" l="1"/>
  <c r="M6" i="11" s="1"/>
  <c r="G22" i="13"/>
  <c r="M7" i="11" s="1"/>
  <c r="G72" i="13"/>
  <c r="G61" i="13"/>
  <c r="G44" i="13"/>
  <c r="G46" i="13"/>
  <c r="G73" i="13"/>
  <c r="G70" i="13"/>
  <c r="E10" i="11"/>
  <c r="G74" i="13"/>
  <c r="E65" i="12"/>
  <c r="E60" i="12"/>
  <c r="I8" i="11"/>
  <c r="G60" i="13"/>
  <c r="G36" i="13"/>
  <c r="G40" i="13"/>
  <c r="G59" i="13"/>
  <c r="G51" i="13"/>
  <c r="G43" i="13"/>
  <c r="G52" i="13"/>
  <c r="G57" i="13"/>
  <c r="G66" i="13" l="1"/>
  <c r="M8" i="11" s="1"/>
  <c r="G56" i="13"/>
  <c r="G68" i="13"/>
  <c r="G75" i="13" l="1"/>
  <c r="M9" i="11" s="1"/>
  <c r="O76" i="13"/>
  <c r="G76" i="13" s="1"/>
  <c r="M10" i="11" l="1"/>
  <c r="M11" i="11"/>
  <c r="I6" i="11"/>
  <c r="G3" i="12"/>
  <c r="E62" i="12"/>
  <c r="E66" i="12"/>
  <c r="F3" i="14"/>
  <c r="D3" i="14"/>
  <c r="G76" i="14"/>
  <c r="G3" i="14"/>
  <c r="G8" i="14"/>
  <c r="D4" i="14"/>
  <c r="E4" i="14"/>
  <c r="F6" i="14"/>
  <c r="F4" i="14"/>
  <c r="G6" i="14"/>
  <c r="G4" i="14"/>
  <c r="E3" i="14"/>
  <c r="D6" i="14"/>
  <c r="E6" i="14"/>
  <c r="E5" i="14"/>
  <c r="F56" i="14"/>
  <c r="D56" i="14"/>
  <c r="G56" i="14"/>
  <c r="E56" i="14"/>
  <c r="B9" i="11"/>
  <c r="B11" i="11" s="1"/>
  <c r="C9" i="11"/>
  <c r="C11" i="11" s="1"/>
  <c r="E56" i="12"/>
  <c r="F41" i="11"/>
  <c r="D56" i="12"/>
  <c r="E9" i="11"/>
  <c r="E11" i="11" s="1"/>
  <c r="F56" i="12"/>
  <c r="I10" i="11"/>
  <c r="G41" i="11"/>
  <c r="D9" i="11"/>
  <c r="D11" i="11" s="1"/>
  <c r="H41" i="11" l="1"/>
  <c r="E76" i="12"/>
  <c r="G9" i="11" s="1"/>
  <c r="F76" i="12"/>
  <c r="H9" i="11" s="1"/>
  <c r="D76" i="12"/>
  <c r="F9" i="11" s="1"/>
  <c r="I41" i="11"/>
  <c r="F11" i="11" l="1"/>
  <c r="H11" i="11"/>
  <c r="G11" i="11"/>
  <c r="I56" i="1"/>
  <c r="F56" i="1"/>
  <c r="G56" i="1"/>
  <c r="H56" i="1"/>
  <c r="J56" i="1"/>
  <c r="D56" i="1"/>
  <c r="K56" i="1"/>
  <c r="E56" i="1"/>
</calcChain>
</file>

<file path=xl/comments1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7.xml><?xml version="1.0" encoding="utf-8"?>
<comments xmlns="http://schemas.openxmlformats.org/spreadsheetml/2006/main">
  <authors>
    <author>אלונה טוקיילו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<sst xmlns="http://schemas.openxmlformats.org/spreadsheetml/2006/main" count="3959" uniqueCount="140">
  <si>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</si>
  <si>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</si>
  <si>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</si>
  <si>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</si>
  <si>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</si>
  <si>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</si>
  <si>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</si>
  <si>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</si>
  <si>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</si>
  <si>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</si>
  <si>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</si>
  <si>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</si>
  <si>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</si>
  <si>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</si>
  <si>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</si>
  <si>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</si>
  <si>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</si>
  <si>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</si>
  <si>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</si>
  <si>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</si>
  <si>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</si>
  <si>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</si>
  <si>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</si>
  <si>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</si>
  <si>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</si>
  <si>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</si>
  <si>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</si>
  <si>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</si>
  <si>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</si>
  <si>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</si>
  <si>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</si>
  <si>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</si>
  <si>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</si>
  <si>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</si>
  <si>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</si>
  <si>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</si>
  <si>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</si>
  <si>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</si>
  <si>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</si>
  <si>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</si>
  <si>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</si>
  <si>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</si>
  <si>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</si>
  <si>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</si>
  <si>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</si>
  <si>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</si>
  <si>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</si>
  <si>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</si>
  <si>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</si>
  <si>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</si>
  <si>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</si>
  <si>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</si>
  <si>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</si>
  <si>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</si>
  <si>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</si>
  <si>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</si>
  <si>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</si>
  <si>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</si>
  <si>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</si>
  <si>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</si>
  <si>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</si>
  <si>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</si>
  <si>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</si>
  <si>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</si>
  <si>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</si>
  <si>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</si>
  <si>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</si>
  <si>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</si>
  <si>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</si>
  <si>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</si>
  <si>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</si>
  <si>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</si>
  <si>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</si>
  <si>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</si>
  <si>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</si>
  <si>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</si>
  <si>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</si>
  <si>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</si>
  <si>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</si>
  <si>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</si>
  <si>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</si>
  <si>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</si>
  <si>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</si>
  <si>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</si>
  <si>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</si>
  <si>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</si>
  <si>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</si>
  <si>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</si>
  <si>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</si>
  <si>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</si>
  <si>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</si>
  <si>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</si>
  <si>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</si>
  <si>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</si>
  <si>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</si>
  <si>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</si>
  <si>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</si>
  <si>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</si>
  <si>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</si>
  <si>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</si>
  <si>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</si>
  <si>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</si>
  <si>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</si>
  <si>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</si>
  <si>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</si>
  <si>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</si>
  <si>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</si>
  <si>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</si>
  <si>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</si>
  <si>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</si>
  <si>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</si>
  <si>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</si>
  <si>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</si>
  <si>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</si>
  <si>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</si>
  <si>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</si>
  <si>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</si>
  <si>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</si>
  <si>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</si>
  <si>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</si>
  <si>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בס"ד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</si>
  <si>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</si>
  <si>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</si>
  <si>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</si>
  <si>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</si>
  <si>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</si>
  <si>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</si>
  <si>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תפוקה מצטברת - 2024</t>
  </si>
  <si>
    <t>גל אלמגור קפיטל</t>
  </si>
  <si>
    <t>סטו וסרמן</t>
  </si>
  <si>
    <t>מרדכי חג'ג'</t>
  </si>
  <si>
    <t>שלומי אחלופי</t>
  </si>
  <si>
    <t>תפוקה מצטברת  07/2025</t>
  </si>
  <si>
    <t>תפוקה מצטברת 07/2024</t>
  </si>
  <si>
    <t>תפוקה מצטברת 07/2025</t>
  </si>
  <si>
    <t>תפוקה חודשית  07/2025</t>
  </si>
  <si>
    <t>תפוקה חודשית 07/2024</t>
  </si>
  <si>
    <t>יעד מצטבר 07/2025</t>
  </si>
  <si>
    <t>יעד חודשי 07/2025</t>
  </si>
  <si>
    <t>תפוקה חודשית 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</si>
</sst>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31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  <charset val="177"/>
    </font>
    <font>
      <b/>
      <sz val="12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9"/>
      <color rgb="FF333333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C6C3C6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164" fontId="2" fillId="0" borderId="0" applyFont="0" applyFill="0" applyBorder="0" applyAlignment="0" applyProtection="0"/>
    <xf numFmtId="164" fontId="26" fillId="0" borderId="1">
      <alignment horizontal="right"/>
    </xf>
  </cellStyleXfs>
  <cellXfs count="2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165" fontId="0" fillId="0" borderId="0" xfId="1" applyNumberFormat="1" applyFont="1" applyAlignment="1">
      <alignment readingOrder="1"/>
    </xf>
    <xf numFmtId="165" fontId="1" fillId="0" borderId="0" xfId="1" applyNumberFormat="1" applyFont="1" applyAlignment="1">
      <alignment readingOrder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2"/>
    </xf>
    <xf numFmtId="165" fontId="5" fillId="6" borderId="1" xfId="1" applyNumberFormat="1" applyFont="1" applyFill="1" applyBorder="1" applyAlignment="1">
      <alignment horizontal="center" vertical="center"/>
    </xf>
    <xf numFmtId="165" fontId="7" fillId="15" borderId="1" xfId="1" applyNumberFormat="1" applyFont="1" applyFill="1" applyBorder="1" applyAlignment="1">
      <alignment horizontal="center" vertical="center" wrapText="1" readingOrder="2"/>
    </xf>
    <xf numFmtId="165" fontId="5" fillId="12" borderId="1" xfId="1" applyNumberFormat="1" applyFont="1" applyFill="1" applyBorder="1" applyAlignment="1">
      <alignment horizontal="center"/>
    </xf>
    <xf numFmtId="165" fontId="5" fillId="12" borderId="2" xfId="1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 wrapText="1" readingOrder="2"/>
    </xf>
    <xf numFmtId="0" fontId="6" fillId="15" borderId="12" xfId="0" applyFont="1" applyFill="1" applyBorder="1" applyAlignment="1">
      <alignment horizontal="center" vertical="center" wrapText="1" readingOrder="2"/>
    </xf>
    <xf numFmtId="165" fontId="5" fillId="12" borderId="10" xfId="1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165" fontId="5" fillId="6" borderId="1" xfId="1" applyNumberFormat="1" applyFont="1" applyFill="1" applyBorder="1" applyAlignment="1">
      <alignment readingOrder="1"/>
    </xf>
    <xf numFmtId="165" fontId="5" fillId="10" borderId="1" xfId="1" applyNumberFormat="1" applyFont="1" applyFill="1" applyBorder="1" applyAlignment="1">
      <alignment readingOrder="1"/>
    </xf>
    <xf numFmtId="165" fontId="5" fillId="9" borderId="1" xfId="1" applyNumberFormat="1" applyFont="1" applyFill="1" applyBorder="1" applyAlignment="1">
      <alignment readingOrder="1"/>
    </xf>
    <xf numFmtId="0" fontId="8" fillId="2" borderId="1" xfId="0" applyFont="1" applyFill="1" applyBorder="1" applyAlignment="1">
      <alignment horizontal="center" vertical="center" wrapText="1" readingOrder="2"/>
    </xf>
    <xf numFmtId="165" fontId="10" fillId="7" borderId="1" xfId="1" applyNumberFormat="1" applyFont="1" applyFill="1" applyBorder="1" applyAlignment="1">
      <alignment horizontal="center" vertical="center"/>
    </xf>
    <xf numFmtId="165" fontId="8" fillId="14" borderId="1" xfId="1" applyNumberFormat="1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5" fontId="8" fillId="5" borderId="1" xfId="1" applyNumberFormat="1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/>
    <xf numFmtId="0" fontId="5" fillId="0" borderId="0" xfId="0" applyFont="1"/>
    <xf numFmtId="9" fontId="12" fillId="12" borderId="0" xfId="2" applyFont="1" applyFill="1" applyBorder="1" applyAlignment="1">
      <alignment horizontal="center" vertical="center" wrapText="1" readingOrder="2"/>
    </xf>
    <xf numFmtId="165" fontId="12" fillId="12" borderId="0" xfId="1" applyNumberFormat="1" applyFont="1" applyFill="1" applyBorder="1" applyAlignment="1">
      <alignment horizontal="center" vertical="center" wrapText="1" readingOrder="2"/>
    </xf>
    <xf numFmtId="165" fontId="3" fillId="0" borderId="0" xfId="1" applyNumberFormat="1" applyFont="1" applyAlignment="1">
      <alignment horizontal="center" vertical="center"/>
    </xf>
    <xf numFmtId="165" fontId="8" fillId="18" borderId="10" xfId="1" applyNumberFormat="1" applyFont="1" applyFill="1" applyBorder="1" applyAlignment="1">
      <alignment horizontal="center" vertical="center" wrapText="1" readingOrder="2"/>
    </xf>
    <xf numFmtId="165" fontId="8" fillId="9" borderId="10" xfId="1" applyNumberFormat="1" applyFont="1" applyFill="1" applyBorder="1" applyAlignment="1">
      <alignment horizontal="center" vertical="center" wrapText="1" readingOrder="2"/>
    </xf>
    <xf numFmtId="9" fontId="12" fillId="11" borderId="13" xfId="2" applyFont="1" applyFill="1" applyBorder="1" applyAlignment="1">
      <alignment horizontal="center" vertical="center" wrapText="1" readingOrder="1"/>
    </xf>
    <xf numFmtId="9" fontId="12" fillId="11" borderId="14" xfId="2" applyFont="1" applyFill="1" applyBorder="1" applyAlignment="1">
      <alignment horizontal="center" vertical="center" wrapText="1" readingOrder="1"/>
    </xf>
    <xf numFmtId="9" fontId="5" fillId="0" borderId="2" xfId="2" applyFont="1" applyBorder="1" applyAlignment="1">
      <alignment horizontal="center" vertical="center" readingOrder="1"/>
    </xf>
    <xf numFmtId="9" fontId="5" fillId="0" borderId="10" xfId="2" applyFont="1" applyBorder="1" applyAlignment="1">
      <alignment horizontal="center" vertical="center" readingOrder="1"/>
    </xf>
    <xf numFmtId="9" fontId="5" fillId="0" borderId="1" xfId="2" applyFont="1" applyBorder="1" applyAlignment="1">
      <alignment horizontal="center" vertical="center" readingOrder="1"/>
    </xf>
    <xf numFmtId="165" fontId="5" fillId="0" borderId="1" xfId="1" applyNumberFormat="1" applyFont="1" applyBorder="1" applyAlignment="1">
      <alignment horizontal="center" vertical="center" readingOrder="1"/>
    </xf>
    <xf numFmtId="9" fontId="5" fillId="0" borderId="6" xfId="2" applyFont="1" applyBorder="1" applyAlignment="1">
      <alignment horizontal="center" vertical="center" readingOrder="1"/>
    </xf>
    <xf numFmtId="165" fontId="5" fillId="0" borderId="0" xfId="1" applyNumberFormat="1" applyFont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 readingOrder="1"/>
    </xf>
    <xf numFmtId="165" fontId="5" fillId="0" borderId="5" xfId="1" applyNumberFormat="1" applyFont="1" applyBorder="1" applyAlignment="1">
      <alignment horizontal="center" vertical="center" readingOrder="1"/>
    </xf>
    <xf numFmtId="0" fontId="1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5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8" fillId="0" borderId="0" xfId="0" applyFont="1" applyAlignment="1">
      <alignment readingOrder="1"/>
    </xf>
    <xf numFmtId="0" fontId="5" fillId="12" borderId="0" xfId="0" applyFont="1" applyFill="1" applyAlignment="1">
      <alignment readingOrder="1"/>
    </xf>
    <xf numFmtId="0" fontId="8" fillId="0" borderId="0" xfId="0" applyFont="1" applyAlignment="1">
      <alignment horizontal="center" vertical="center" readingOrder="1"/>
    </xf>
    <xf numFmtId="165" fontId="10" fillId="0" borderId="24" xfId="1" applyNumberFormat="1" applyFont="1" applyBorder="1" applyAlignment="1">
      <alignment horizontal="center" vertical="center"/>
    </xf>
    <xf numFmtId="165" fontId="10" fillId="0" borderId="25" xfId="1" applyNumberFormat="1" applyFont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 wrapText="1" readingOrder="2"/>
    </xf>
    <xf numFmtId="165" fontId="5" fillId="10" borderId="1" xfId="1" applyNumberFormat="1" applyFont="1" applyFill="1" applyBorder="1" applyAlignment="1">
      <alignment horizontal="center" vertical="center"/>
    </xf>
    <xf numFmtId="165" fontId="5" fillId="10" borderId="2" xfId="1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10" borderId="1" xfId="1" applyNumberFormat="1" applyFont="1" applyFill="1" applyBorder="1" applyAlignment="1">
      <alignment horizontal="center" vertical="center"/>
    </xf>
    <xf numFmtId="165" fontId="7" fillId="15" borderId="12" xfId="1" applyNumberFormat="1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readingOrder="1"/>
    </xf>
    <xf numFmtId="165" fontId="18" fillId="0" borderId="5" xfId="1" applyNumberFormat="1" applyFont="1" applyBorder="1"/>
    <xf numFmtId="165" fontId="18" fillId="0" borderId="0" xfId="1" applyNumberFormat="1" applyFont="1"/>
    <xf numFmtId="9" fontId="19" fillId="22" borderId="4" xfId="2" applyFont="1" applyFill="1" applyBorder="1" applyAlignment="1">
      <alignment horizontal="center" vertical="center"/>
    </xf>
    <xf numFmtId="165" fontId="6" fillId="11" borderId="15" xfId="1" applyNumberFormat="1" applyFont="1" applyFill="1" applyBorder="1" applyAlignment="1">
      <alignment horizontal="center" vertical="center" wrapText="1" readingOrder="2"/>
    </xf>
    <xf numFmtId="165" fontId="8" fillId="18" borderId="9" xfId="1" applyNumberFormat="1" applyFont="1" applyFill="1" applyBorder="1" applyAlignment="1">
      <alignment horizontal="center" vertical="center" wrapText="1" readingOrder="2"/>
    </xf>
    <xf numFmtId="165" fontId="8" fillId="9" borderId="11" xfId="1" applyNumberFormat="1" applyFont="1" applyFill="1" applyBorder="1" applyAlignment="1">
      <alignment horizontal="center" vertical="center" wrapText="1" readingOrder="2"/>
    </xf>
    <xf numFmtId="165" fontId="12" fillId="11" borderId="12" xfId="1" applyNumberFormat="1" applyFont="1" applyFill="1" applyBorder="1" applyAlignment="1">
      <alignment horizontal="center" vertical="center" wrapText="1" readingOrder="1"/>
    </xf>
    <xf numFmtId="9" fontId="5" fillId="0" borderId="8" xfId="2" applyFont="1" applyBorder="1" applyAlignment="1">
      <alignment horizontal="center" vertical="center" readingOrder="1"/>
    </xf>
    <xf numFmtId="165" fontId="8" fillId="9" borderId="3" xfId="1" applyNumberFormat="1" applyFont="1" applyFill="1" applyBorder="1" applyAlignment="1">
      <alignment horizontal="center" vertical="center" wrapText="1" readingOrder="2"/>
    </xf>
    <xf numFmtId="165" fontId="0" fillId="0" borderId="0" xfId="1" applyNumberFormat="1" applyFont="1" applyBorder="1" applyAlignment="1">
      <alignment horizontal="center" vertical="center"/>
    </xf>
    <xf numFmtId="165" fontId="8" fillId="9" borderId="36" xfId="1" applyNumberFormat="1" applyFont="1" applyFill="1" applyBorder="1" applyAlignment="1">
      <alignment horizontal="center" vertical="center" wrapText="1" readingOrder="2"/>
    </xf>
    <xf numFmtId="9" fontId="5" fillId="0" borderId="5" xfId="2" applyFont="1" applyBorder="1" applyAlignment="1">
      <alignment horizontal="center" vertical="center" readingOrder="1"/>
    </xf>
    <xf numFmtId="9" fontId="5" fillId="0" borderId="7" xfId="2" applyFont="1" applyBorder="1" applyAlignment="1">
      <alignment horizontal="center" vertical="center" readingOrder="1"/>
    </xf>
    <xf numFmtId="165" fontId="8" fillId="18" borderId="32" xfId="1" applyNumberFormat="1" applyFont="1" applyFill="1" applyBorder="1" applyAlignment="1">
      <alignment horizontal="center" vertical="center" wrapText="1" readingOrder="2"/>
    </xf>
    <xf numFmtId="165" fontId="8" fillId="9" borderId="9" xfId="1" applyNumberFormat="1" applyFont="1" applyFill="1" applyBorder="1" applyAlignment="1">
      <alignment horizontal="center" vertical="center" wrapText="1" readingOrder="2"/>
    </xf>
    <xf numFmtId="9" fontId="12" fillId="11" borderId="12" xfId="2" applyFont="1" applyFill="1" applyBorder="1" applyAlignment="1">
      <alignment horizontal="center" vertical="center" wrapText="1" readingOrder="1"/>
    </xf>
    <xf numFmtId="10" fontId="6" fillId="11" borderId="26" xfId="1" applyNumberFormat="1" applyFont="1" applyFill="1" applyBorder="1" applyAlignment="1">
      <alignment horizontal="center" vertical="center" wrapText="1" readingOrder="1"/>
    </xf>
    <xf numFmtId="10" fontId="12" fillId="11" borderId="27" xfId="1" applyNumberFormat="1" applyFont="1" applyFill="1" applyBorder="1" applyAlignment="1">
      <alignment horizontal="center" vertical="center" wrapText="1" readingOrder="1"/>
    </xf>
    <xf numFmtId="10" fontId="12" fillId="11" borderId="28" xfId="1" applyNumberFormat="1" applyFont="1" applyFill="1" applyBorder="1" applyAlignment="1">
      <alignment horizontal="center" vertical="center" wrapText="1" readingOrder="1"/>
    </xf>
    <xf numFmtId="165" fontId="8" fillId="16" borderId="33" xfId="1" applyNumberFormat="1" applyFont="1" applyFill="1" applyBorder="1" applyAlignment="1">
      <alignment horizontal="center" vertical="center"/>
    </xf>
    <xf numFmtId="165" fontId="8" fillId="16" borderId="34" xfId="1" applyNumberFormat="1" applyFont="1" applyFill="1" applyBorder="1" applyAlignment="1">
      <alignment horizontal="center" vertical="center"/>
    </xf>
    <xf numFmtId="165" fontId="8" fillId="16" borderId="35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7" fillId="15" borderId="12" xfId="1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9" fontId="7" fillId="8" borderId="2" xfId="2" applyFont="1" applyFill="1" applyBorder="1" applyAlignment="1">
      <alignment vertical="center" wrapText="1"/>
    </xf>
    <xf numFmtId="9" fontId="7" fillId="14" borderId="2" xfId="2" applyFont="1" applyFill="1" applyBorder="1" applyAlignment="1">
      <alignment vertical="center" wrapText="1"/>
    </xf>
    <xf numFmtId="9" fontId="7" fillId="5" borderId="2" xfId="2" applyFont="1" applyFill="1" applyBorder="1" applyAlignment="1">
      <alignment vertical="center"/>
    </xf>
    <xf numFmtId="9" fontId="6" fillId="7" borderId="2" xfId="2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 wrapText="1" readingOrder="1"/>
    </xf>
    <xf numFmtId="165" fontId="5" fillId="6" borderId="1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22" fillId="0" borderId="0" xfId="0" applyFont="1"/>
    <xf numFmtId="0" fontId="8" fillId="15" borderId="19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 readingOrder="2"/>
    </xf>
    <xf numFmtId="9" fontId="5" fillId="0" borderId="10" xfId="2" applyFont="1" applyBorder="1" applyAlignment="1">
      <alignment horizontal="center" vertical="center"/>
    </xf>
    <xf numFmtId="0" fontId="6" fillId="15" borderId="40" xfId="0" applyFont="1" applyFill="1" applyBorder="1" applyAlignment="1">
      <alignment horizontal="center" vertical="center" wrapText="1" readingOrder="2"/>
    </xf>
    <xf numFmtId="0" fontId="8" fillId="15" borderId="41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165" fontId="6" fillId="15" borderId="26" xfId="1" applyNumberFormat="1" applyFont="1" applyFill="1" applyBorder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165" fontId="6" fillId="0" borderId="0" xfId="1" applyNumberFormat="1" applyFont="1" applyFill="1" applyBorder="1" applyAlignment="1">
      <alignment vertical="center"/>
    </xf>
    <xf numFmtId="165" fontId="8" fillId="16" borderId="42" xfId="1" applyNumberFormat="1" applyFont="1" applyFill="1" applyBorder="1" applyAlignment="1">
      <alignment horizontal="center" vertical="center"/>
    </xf>
    <xf numFmtId="165" fontId="8" fillId="16" borderId="43" xfId="1" applyNumberFormat="1" applyFont="1" applyFill="1" applyBorder="1" applyAlignment="1">
      <alignment horizontal="center" vertical="center"/>
    </xf>
    <xf numFmtId="9" fontId="12" fillId="11" borderId="27" xfId="2" applyFont="1" applyFill="1" applyBorder="1" applyAlignment="1">
      <alignment horizontal="center" vertical="center" wrapText="1" readingOrder="1"/>
    </xf>
    <xf numFmtId="9" fontId="12" fillId="11" borderId="45" xfId="2" applyFont="1" applyFill="1" applyBorder="1" applyAlignment="1">
      <alignment horizontal="center" vertical="center" wrapText="1" readingOrder="1"/>
    </xf>
    <xf numFmtId="165" fontId="5" fillId="0" borderId="0" xfId="1" applyNumberFormat="1" applyFont="1" applyFill="1" applyAlignment="1">
      <alignment horizontal="center" vertical="center"/>
    </xf>
    <xf numFmtId="165" fontId="5" fillId="6" borderId="2" xfId="1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2"/>
    </xf>
    <xf numFmtId="0" fontId="22" fillId="0" borderId="1" xfId="0" applyFont="1" applyBorder="1"/>
    <xf numFmtId="165" fontId="5" fillId="6" borderId="10" xfId="1" applyNumberFormat="1" applyFont="1" applyFill="1" applyBorder="1" applyAlignment="1">
      <alignment horizontal="center" vertical="center" readingOrder="1"/>
    </xf>
    <xf numFmtId="165" fontId="5" fillId="15" borderId="3" xfId="1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 readingOrder="2"/>
    </xf>
    <xf numFmtId="0" fontId="6" fillId="15" borderId="3" xfId="0" applyFont="1" applyFill="1" applyBorder="1" applyAlignment="1">
      <alignment horizontal="center" vertical="center" wrapText="1" readingOrder="2"/>
    </xf>
    <xf numFmtId="165" fontId="6" fillId="15" borderId="3" xfId="1" applyNumberFormat="1" applyFont="1" applyFill="1" applyBorder="1" applyAlignment="1">
      <alignment horizontal="center" vertical="center"/>
    </xf>
    <xf numFmtId="165" fontId="6" fillId="15" borderId="3" xfId="1" applyNumberFormat="1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1"/>
    </xf>
    <xf numFmtId="9" fontId="5" fillId="15" borderId="3" xfId="2" applyFont="1" applyFill="1" applyBorder="1" applyAlignment="1">
      <alignment horizontal="center" vertical="center"/>
    </xf>
    <xf numFmtId="9" fontId="0" fillId="15" borderId="1" xfId="2" applyFont="1" applyFill="1" applyBorder="1" applyAlignment="1">
      <alignment horizontal="center" vertical="center"/>
    </xf>
    <xf numFmtId="165" fontId="8" fillId="15" borderId="28" xfId="0" applyNumberFormat="1" applyFont="1" applyFill="1" applyBorder="1" applyAlignment="1">
      <alignment horizontal="center" vertical="center" wrapText="1" readingOrder="2"/>
    </xf>
    <xf numFmtId="165" fontId="8" fillId="15" borderId="14" xfId="0" applyNumberFormat="1" applyFont="1" applyFill="1" applyBorder="1" applyAlignment="1">
      <alignment horizontal="center" vertical="center" wrapText="1" readingOrder="2"/>
    </xf>
    <xf numFmtId="165" fontId="8" fillId="15" borderId="41" xfId="0" applyNumberFormat="1" applyFont="1" applyFill="1" applyBorder="1" applyAlignment="1">
      <alignment horizontal="center" vertical="center" wrapText="1" readingOrder="2"/>
    </xf>
    <xf numFmtId="165" fontId="6" fillId="15" borderId="3" xfId="1" applyNumberFormat="1" applyFont="1" applyFill="1" applyBorder="1" applyAlignment="1">
      <alignment horizontal="center" vertical="center" wrapText="1" readingOrder="1"/>
    </xf>
    <xf numFmtId="165" fontId="0" fillId="15" borderId="3" xfId="0" applyNumberFormat="1" applyFill="1" applyBorder="1"/>
    <xf numFmtId="3" fontId="0" fillId="0" borderId="0" xfId="0" applyNumberFormat="1"/>
    <xf numFmtId="9" fontId="19" fillId="22" borderId="38" xfId="2" applyFont="1" applyFill="1" applyBorder="1" applyAlignment="1">
      <alignment horizontal="center" vertical="center"/>
    </xf>
    <xf numFmtId="9" fontId="19" fillId="22" borderId="21" xfId="2" applyFont="1" applyFill="1" applyBorder="1" applyAlignment="1">
      <alignment horizontal="center" vertical="center"/>
    </xf>
    <xf numFmtId="9" fontId="12" fillId="11" borderId="28" xfId="2" applyFont="1" applyFill="1" applyBorder="1" applyAlignment="1">
      <alignment horizontal="center" vertical="center" wrapText="1" readingOrder="1"/>
    </xf>
    <xf numFmtId="0" fontId="0" fillId="12" borderId="0" xfId="0" applyFill="1"/>
    <xf numFmtId="164" fontId="0" fillId="0" borderId="0" xfId="1" applyFont="1"/>
    <xf numFmtId="165" fontId="6" fillId="11" borderId="44" xfId="1" applyNumberFormat="1" applyFont="1" applyFill="1" applyBorder="1" applyAlignment="1">
      <alignment horizontal="center" vertical="center" wrapText="1" readingOrder="2"/>
    </xf>
    <xf numFmtId="165" fontId="12" fillId="11" borderId="26" xfId="1" applyNumberFormat="1" applyFont="1" applyFill="1" applyBorder="1" applyAlignment="1">
      <alignment horizontal="center" vertical="center" wrapText="1" readingOrder="1"/>
    </xf>
    <xf numFmtId="165" fontId="12" fillId="11" borderId="27" xfId="1" applyNumberFormat="1" applyFont="1" applyFill="1" applyBorder="1" applyAlignment="1">
      <alignment horizontal="center" vertical="center" wrapText="1" readingOrder="1"/>
    </xf>
    <xf numFmtId="165" fontId="12" fillId="11" borderId="45" xfId="1" applyNumberFormat="1" applyFont="1" applyFill="1" applyBorder="1" applyAlignment="1">
      <alignment horizontal="center" vertical="center" wrapText="1" readingOrder="1"/>
    </xf>
    <xf numFmtId="9" fontId="12" fillId="11" borderId="46" xfId="2" applyFont="1" applyFill="1" applyBorder="1" applyAlignment="1">
      <alignment horizontal="center" vertical="center" wrapText="1" readingOrder="1"/>
    </xf>
    <xf numFmtId="165" fontId="10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5" fontId="8" fillId="15" borderId="31" xfId="0" applyNumberFormat="1" applyFont="1" applyFill="1" applyBorder="1" applyAlignment="1">
      <alignment horizontal="center" vertical="center" wrapText="1" readingOrder="2"/>
    </xf>
    <xf numFmtId="165" fontId="6" fillId="15" borderId="12" xfId="1" applyNumberFormat="1" applyFont="1" applyFill="1" applyBorder="1" applyAlignment="1">
      <alignment horizontal="center" vertical="center"/>
    </xf>
    <xf numFmtId="9" fontId="0" fillId="15" borderId="13" xfId="2" applyFont="1" applyFill="1" applyBorder="1" applyAlignment="1">
      <alignment horizontal="center" vertical="center"/>
    </xf>
    <xf numFmtId="165" fontId="0" fillId="12" borderId="0" xfId="1" applyNumberFormat="1" applyFont="1" applyFill="1" applyBorder="1"/>
    <xf numFmtId="165" fontId="0" fillId="12" borderId="0" xfId="0" applyNumberFormat="1" applyFill="1"/>
    <xf numFmtId="165" fontId="5" fillId="0" borderId="47" xfId="1" applyNumberFormat="1" applyFont="1" applyBorder="1" applyAlignment="1">
      <alignment horizontal="center" vertical="center" readingOrder="1"/>
    </xf>
    <xf numFmtId="165" fontId="5" fillId="0" borderId="40" xfId="1" applyNumberFormat="1" applyFont="1" applyBorder="1" applyAlignment="1">
      <alignment horizontal="center" vertical="center" readingOrder="1"/>
    </xf>
    <xf numFmtId="9" fontId="12" fillId="11" borderId="26" xfId="2" applyFont="1" applyFill="1" applyBorder="1" applyAlignment="1">
      <alignment horizontal="center" vertical="center" wrapText="1" readingOrder="1"/>
    </xf>
    <xf numFmtId="165" fontId="21" fillId="3" borderId="46" xfId="1" applyNumberFormat="1" applyFont="1" applyFill="1" applyBorder="1" applyAlignment="1">
      <alignment horizontal="center" vertical="center" wrapText="1" readingOrder="2"/>
    </xf>
    <xf numFmtId="165" fontId="10" fillId="0" borderId="29" xfId="1" applyNumberFormat="1" applyFont="1" applyBorder="1" applyAlignment="1">
      <alignment horizontal="center" vertical="center"/>
    </xf>
    <xf numFmtId="165" fontId="8" fillId="18" borderId="48" xfId="1" applyNumberFormat="1" applyFont="1" applyFill="1" applyBorder="1" applyAlignment="1">
      <alignment horizontal="center" vertical="center" wrapText="1" readingOrder="2"/>
    </xf>
    <xf numFmtId="165" fontId="5" fillId="0" borderId="6" xfId="1" applyNumberFormat="1" applyFont="1" applyBorder="1" applyAlignment="1">
      <alignment horizontal="center" vertical="center" readingOrder="1"/>
    </xf>
    <xf numFmtId="165" fontId="5" fillId="0" borderId="41" xfId="1" applyNumberFormat="1" applyFont="1" applyBorder="1" applyAlignment="1">
      <alignment horizontal="center" vertical="center" readingOrder="1"/>
    </xf>
    <xf numFmtId="10" fontId="6" fillId="11" borderId="46" xfId="1" applyNumberFormat="1" applyFont="1" applyFill="1" applyBorder="1" applyAlignment="1">
      <alignment horizontal="center" vertical="center" wrapText="1" readingOrder="1"/>
    </xf>
    <xf numFmtId="165" fontId="10" fillId="0" borderId="37" xfId="1" applyNumberFormat="1" applyFont="1" applyBorder="1" applyAlignment="1">
      <alignment horizontal="center" vertical="center"/>
    </xf>
    <xf numFmtId="10" fontId="6" fillId="11" borderId="3" xfId="1" applyNumberFormat="1" applyFont="1" applyFill="1" applyBorder="1" applyAlignment="1">
      <alignment horizontal="center" vertical="center" wrapText="1" readingOrder="1"/>
    </xf>
    <xf numFmtId="10" fontId="6" fillId="11" borderId="12" xfId="1" applyNumberFormat="1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vertical="center" wrapText="1" readingOrder="2"/>
    </xf>
    <xf numFmtId="165" fontId="6" fillId="11" borderId="46" xfId="1" applyNumberFormat="1" applyFont="1" applyFill="1" applyBorder="1" applyAlignment="1">
      <alignment horizontal="center" vertical="center" wrapText="1" readingOrder="2"/>
    </xf>
    <xf numFmtId="165" fontId="21" fillId="3" borderId="12" xfId="1" applyNumberFormat="1" applyFont="1" applyFill="1" applyBorder="1" applyAlignment="1">
      <alignment horizontal="center" vertical="center" wrapText="1" readingOrder="2"/>
    </xf>
    <xf numFmtId="9" fontId="19" fillId="20" borderId="9" xfId="2" applyFont="1" applyFill="1" applyBorder="1" applyAlignment="1">
      <alignment horizontal="center" vertical="center"/>
    </xf>
    <xf numFmtId="9" fontId="19" fillId="20" borderId="10" xfId="2" applyFont="1" applyFill="1" applyBorder="1" applyAlignment="1">
      <alignment horizontal="center" vertical="center"/>
    </xf>
    <xf numFmtId="9" fontId="19" fillId="20" borderId="11" xfId="2" applyFont="1" applyFill="1" applyBorder="1" applyAlignment="1">
      <alignment horizontal="center" vertical="center"/>
    </xf>
    <xf numFmtId="165" fontId="8" fillId="15" borderId="28" xfId="1" applyNumberFormat="1" applyFont="1" applyFill="1" applyBorder="1" applyAlignment="1">
      <alignment horizontal="center" vertical="center" wrapText="1" readingOrder="2"/>
    </xf>
    <xf numFmtId="165" fontId="6" fillId="15" borderId="3" xfId="1" applyNumberFormat="1" applyFont="1" applyFill="1" applyBorder="1" applyAlignment="1">
      <alignment horizontal="center"/>
    </xf>
    <xf numFmtId="165" fontId="25" fillId="15" borderId="3" xfId="0" applyNumberFormat="1" applyFont="1" applyFill="1" applyBorder="1"/>
    <xf numFmtId="165" fontId="12" fillId="15" borderId="3" xfId="1" applyNumberFormat="1" applyFont="1" applyFill="1" applyBorder="1" applyAlignment="1">
      <alignment horizontal="center"/>
    </xf>
    <xf numFmtId="0" fontId="6" fillId="15" borderId="46" xfId="0" applyFont="1" applyFill="1" applyBorder="1" applyAlignment="1">
      <alignment horizontal="center" vertical="center" wrapText="1" readingOrder="2"/>
    </xf>
    <xf numFmtId="0" fontId="8" fillId="15" borderId="46" xfId="0" applyFont="1" applyFill="1" applyBorder="1" applyAlignment="1">
      <alignment horizontal="center" vertical="center" wrapText="1" readingOrder="2"/>
    </xf>
    <xf numFmtId="165" fontId="6" fillId="15" borderId="46" xfId="1" applyNumberFormat="1" applyFont="1" applyFill="1" applyBorder="1" applyAlignment="1">
      <alignment horizontal="center" vertical="center" wrapText="1" readingOrder="1"/>
    </xf>
    <xf numFmtId="165" fontId="8" fillId="16" borderId="49" xfId="1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5" fillId="0" borderId="1" xfId="2" applyNumberFormat="1" applyFont="1" applyBorder="1" applyAlignment="1">
      <alignment horizontal="center" vertical="center" readingOrder="1"/>
    </xf>
    <xf numFmtId="0" fontId="15" fillId="6" borderId="4" xfId="0" applyFont="1" applyFill="1" applyBorder="1" applyAlignment="1">
      <alignment horizontal="center" vertical="center" wrapText="1" readingOrder="1"/>
    </xf>
    <xf numFmtId="9" fontId="27" fillId="11" borderId="4" xfId="2" applyFont="1" applyFill="1" applyBorder="1" applyAlignment="1">
      <alignment horizontal="center" vertical="center"/>
    </xf>
    <xf numFmtId="9" fontId="27" fillId="11" borderId="4" xfId="2" applyFont="1" applyFill="1" applyBorder="1" applyAlignment="1">
      <alignment horizontal="center" vertical="center" wrapText="1"/>
    </xf>
    <xf numFmtId="0" fontId="0" fillId="0" borderId="1" xfId="0" applyBorder="1"/>
    <xf numFmtId="165" fontId="28" fillId="0" borderId="1" xfId="1" applyNumberFormat="1" applyFont="1" applyBorder="1" applyAlignment="1">
      <alignment horizontal="center" vertical="center" wrapText="1" readingOrder="1"/>
    </xf>
    <xf numFmtId="165" fontId="5" fillId="0" borderId="1" xfId="1" applyNumberFormat="1" applyFont="1" applyBorder="1" applyAlignment="1">
      <alignment horizontal="center" vertical="center" wrapText="1" readingOrder="1"/>
    </xf>
    <xf numFmtId="0" fontId="15" fillId="23" borderId="4" xfId="0" applyFont="1" applyFill="1" applyBorder="1" applyAlignment="1">
      <alignment horizontal="center" vertical="center" wrapText="1" readingOrder="1"/>
    </xf>
    <xf numFmtId="9" fontId="27" fillId="16" borderId="3" xfId="2" applyFont="1" applyFill="1" applyBorder="1" applyAlignment="1">
      <alignment horizontal="center" vertical="center"/>
    </xf>
    <xf numFmtId="9" fontId="27" fillId="16" borderId="3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2"/>
    </xf>
    <xf numFmtId="165" fontId="0" fillId="0" borderId="0" xfId="1" applyNumberFormat="1" applyFont="1" applyAlignment="1">
      <alignment horizontal="center"/>
    </xf>
    <xf numFmtId="0" fontId="29" fillId="0" borderId="5" xfId="0" applyFont="1" applyBorder="1" applyAlignment="1">
      <alignment horizontal="center" vertical="center" wrapText="1" readingOrder="2"/>
    </xf>
    <xf numFmtId="165" fontId="5" fillId="0" borderId="1" xfId="1" applyNumberFormat="1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/>
    </xf>
    <xf numFmtId="165" fontId="5" fillId="0" borderId="10" xfId="1" applyNumberFormat="1" applyFont="1" applyFill="1" applyBorder="1" applyAlignment="1">
      <alignment horizontal="center"/>
    </xf>
    <xf numFmtId="165" fontId="10" fillId="12" borderId="1" xfId="1" applyNumberFormat="1" applyFont="1" applyFill="1" applyBorder="1" applyAlignment="1">
      <alignment horizontal="center"/>
    </xf>
    <xf numFmtId="0" fontId="29" fillId="0" borderId="20" xfId="0" applyFont="1" applyBorder="1" applyAlignment="1">
      <alignment horizontal="center" vertical="center" wrapText="1" readingOrder="2"/>
    </xf>
    <xf numFmtId="165" fontId="0" fillId="0" borderId="1" xfId="0" applyNumberFormat="1" applyBorder="1"/>
    <xf numFmtId="3" fontId="30" fillId="24" borderId="50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/>
    </xf>
    <xf numFmtId="165" fontId="0" fillId="0" borderId="0" xfId="1" applyNumberFormat="1" applyFont="1" applyFill="1"/>
    <xf numFmtId="1" fontId="30" fillId="25" borderId="51" xfId="0" applyNumberFormat="1" applyFont="1" applyFill="1" applyBorder="1" applyAlignment="1">
      <alignment horizontal="right" vertical="center"/>
    </xf>
    <xf numFmtId="3" fontId="0" fillId="0" borderId="1" xfId="0" applyNumberFormat="1" applyBorder="1"/>
    <xf numFmtId="165" fontId="6" fillId="17" borderId="18" xfId="1" applyNumberFormat="1" applyFont="1" applyFill="1" applyBorder="1" applyAlignment="1">
      <alignment horizontal="center" vertical="center" wrapText="1" readingOrder="2"/>
    </xf>
    <xf numFmtId="165" fontId="6" fillId="17" borderId="30" xfId="1" applyNumberFormat="1" applyFont="1" applyFill="1" applyBorder="1" applyAlignment="1">
      <alignment horizontal="center" vertical="center" wrapText="1" readingOrder="2"/>
    </xf>
    <xf numFmtId="165" fontId="6" fillId="4" borderId="15" xfId="1" applyNumberFormat="1" applyFont="1" applyFill="1" applyBorder="1" applyAlignment="1">
      <alignment horizontal="center" vertical="center" wrapText="1" readingOrder="2"/>
    </xf>
    <xf numFmtId="165" fontId="6" fillId="4" borderId="16" xfId="1" applyNumberFormat="1" applyFont="1" applyFill="1" applyBorder="1" applyAlignment="1">
      <alignment horizontal="center" vertical="center" wrapText="1" readingOrder="2"/>
    </xf>
    <xf numFmtId="165" fontId="6" fillId="4" borderId="17" xfId="1" applyNumberFormat="1" applyFont="1" applyFill="1" applyBorder="1" applyAlignment="1">
      <alignment horizontal="center" vertical="center" wrapText="1" readingOrder="2"/>
    </xf>
    <xf numFmtId="165" fontId="6" fillId="17" borderId="21" xfId="1" applyNumberFormat="1" applyFont="1" applyFill="1" applyBorder="1" applyAlignment="1">
      <alignment horizontal="center" vertical="center" wrapText="1" readingOrder="2"/>
    </xf>
    <xf numFmtId="165" fontId="6" fillId="17" borderId="22" xfId="1" applyNumberFormat="1" applyFont="1" applyFill="1" applyBorder="1" applyAlignment="1">
      <alignment horizontal="center" vertical="center" wrapText="1" readingOrder="2"/>
    </xf>
    <xf numFmtId="165" fontId="6" fillId="13" borderId="15" xfId="1" applyNumberFormat="1" applyFont="1" applyFill="1" applyBorder="1" applyAlignment="1">
      <alignment horizontal="center" vertical="center" wrapText="1" readingOrder="2"/>
    </xf>
    <xf numFmtId="165" fontId="6" fillId="13" borderId="16" xfId="1" applyNumberFormat="1" applyFont="1" applyFill="1" applyBorder="1" applyAlignment="1">
      <alignment horizontal="center" vertical="center" wrapText="1" readingOrder="2"/>
    </xf>
    <xf numFmtId="165" fontId="6" fillId="13" borderId="17" xfId="1" applyNumberFormat="1" applyFont="1" applyFill="1" applyBorder="1" applyAlignment="1">
      <alignment horizontal="center" vertical="center" wrapText="1" readingOrder="2"/>
    </xf>
    <xf numFmtId="0" fontId="21" fillId="21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1" fillId="21" borderId="17" xfId="0" applyFont="1" applyFill="1" applyBorder="1" applyAlignment="1">
      <alignment horizontal="center" vertical="center"/>
    </xf>
    <xf numFmtId="165" fontId="6" fillId="7" borderId="15" xfId="1" applyNumberFormat="1" applyFont="1" applyFill="1" applyBorder="1" applyAlignment="1">
      <alignment horizontal="center" vertical="center"/>
    </xf>
    <xf numFmtId="165" fontId="6" fillId="7" borderId="16" xfId="1" applyNumberFormat="1" applyFont="1" applyFill="1" applyBorder="1" applyAlignment="1">
      <alignment horizontal="center" vertical="center"/>
    </xf>
    <xf numFmtId="165" fontId="6" fillId="7" borderId="17" xfId="1" applyNumberFormat="1" applyFont="1" applyFill="1" applyBorder="1" applyAlignment="1">
      <alignment horizontal="center" vertical="center"/>
    </xf>
    <xf numFmtId="0" fontId="20" fillId="19" borderId="15" xfId="1" applyNumberFormat="1" applyFont="1" applyFill="1" applyBorder="1" applyAlignment="1">
      <alignment horizontal="center" vertical="center"/>
    </xf>
    <xf numFmtId="0" fontId="20" fillId="19" borderId="16" xfId="1" applyNumberFormat="1" applyFont="1" applyFill="1" applyBorder="1" applyAlignment="1">
      <alignment horizontal="center" vertical="center"/>
    </xf>
    <xf numFmtId="0" fontId="20" fillId="19" borderId="17" xfId="1" applyNumberFormat="1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 vertical="center" wrapText="1" readingOrder="2"/>
    </xf>
    <xf numFmtId="0" fontId="6" fillId="14" borderId="23" xfId="0" applyFont="1" applyFill="1" applyBorder="1" applyAlignment="1">
      <alignment horizontal="center" vertical="center" wrapText="1" readingOrder="2"/>
    </xf>
    <xf numFmtId="0" fontId="6" fillId="14" borderId="20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 readingOrder="2"/>
    </xf>
    <xf numFmtId="0" fontId="6" fillId="5" borderId="32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1"/>
    </xf>
    <xf numFmtId="0" fontId="7" fillId="15" borderId="29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6" fillId="5" borderId="29" xfId="0" applyFont="1" applyFill="1" applyBorder="1" applyAlignment="1">
      <alignment horizontal="center" vertical="center" wrapText="1" readingOrder="1"/>
    </xf>
    <xf numFmtId="0" fontId="6" fillId="5" borderId="23" xfId="0" applyFont="1" applyFill="1" applyBorder="1" applyAlignment="1">
      <alignment horizontal="center" vertical="center" wrapText="1" readingOrder="1"/>
    </xf>
    <xf numFmtId="0" fontId="6" fillId="5" borderId="20" xfId="0" applyFont="1" applyFill="1" applyBorder="1" applyAlignment="1">
      <alignment horizontal="center" vertical="center" wrapText="1" readingOrder="1"/>
    </xf>
  </cellXfs>
  <cellStyles count="6">
    <cellStyle name="Comma" xfId="1" builtinId="3"/>
    <cellStyle name="Comma 2" xfId="4"/>
    <cellStyle name="I5_מכירות רמת מוצר" xfId="5"/>
    <cellStyle name="Normal" xfId="0" builtinId="0"/>
    <cellStyle name="Normal 2" xfId="3"/>
    <cellStyle name="Percent" xfId="2" builtinId="5"/>
  </cellStyles>
  <dxfs count="3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U42"/>
  <sheetViews>
    <sheetView showGridLines="0" rightToLeft="1" tabSelected="1" workbookViewId="0">
      <selection sqref="A1:XFD1048576"/>
    </sheetView>
  </sheetViews>
  <sheetFormatPr defaultColWidth="8.5546875" defaultRowHeight="14.4" x14ac:dyDescent="0.3"/>
  <cols>
    <col min="1" max="1" width="16.6640625" style="45" bestFit="1" customWidth="1"/>
    <col min="2" max="2" width="15.44140625" style="45" bestFit="1" customWidth="1"/>
    <col min="3" max="3" width="14" style="45" bestFit="1" customWidth="1"/>
    <col min="4" max="5" width="16.88671875" style="45" bestFit="1" customWidth="1"/>
    <col min="6" max="6" width="7.5546875" style="45" bestFit="1" customWidth="1"/>
    <col min="7" max="7" width="7.88671875" style="45" bestFit="1" customWidth="1"/>
    <col min="8" max="8" width="8.33203125" style="45" bestFit="1" customWidth="1"/>
    <col min="9" max="12" width="11.44140625" style="45" bestFit="1" customWidth="1"/>
    <col min="13" max="13" width="11.5546875" style="45" bestFit="1" customWidth="1"/>
    <col min="14" max="14" width="16.88671875" style="31" bestFit="1" customWidth="1"/>
    <col min="15" max="15" width="15.33203125" style="31" bestFit="1" customWidth="1"/>
    <col min="16" max="17" width="18.5546875" style="31" bestFit="1" customWidth="1"/>
    <col min="18" max="18" width="16.88671875" style="31" bestFit="1" customWidth="1"/>
    <col min="19" max="19" width="31.88671875" style="31" bestFit="1" customWidth="1"/>
    <col min="20" max="20" width="29.33203125" style="31" bestFit="1" customWidth="1"/>
    <col min="21" max="21" width="21.44140625" style="31" bestFit="1" customWidth="1"/>
    <col min="22" max="25" width="8.5546875" customWidth="1"/>
  </cols>
  <sheetData>
    <row r="1" spans="1:21" x14ac:dyDescent="0.3">
      <c r="A1" s="45" t="s">
        <v>120</v>
      </c>
    </row>
    <row r="2" spans="1:21" ht="15" thickBot="1" x14ac:dyDescent="0.35">
      <c r="J2" s="115"/>
      <c r="R2" s="32"/>
    </row>
    <row r="3" spans="1:21" ht="30.6" thickBot="1" x14ac:dyDescent="0.35">
      <c r="A3" s="51" t="s">
        <v>78</v>
      </c>
      <c r="K3" s="109"/>
      <c r="L3" s="110"/>
      <c r="M3" s="109"/>
    </row>
    <row r="4" spans="1:21" ht="31.95" customHeight="1" thickBot="1" x14ac:dyDescent="0.35">
      <c r="A4" s="207" t="s">
        <v>57</v>
      </c>
      <c r="B4" s="209" t="s">
        <v>132</v>
      </c>
      <c r="C4" s="210"/>
      <c r="D4" s="210"/>
      <c r="E4" s="211"/>
      <c r="F4" s="214" t="s">
        <v>52</v>
      </c>
      <c r="G4" s="215"/>
      <c r="H4" s="215"/>
      <c r="I4" s="216"/>
      <c r="J4" s="220" t="s">
        <v>73</v>
      </c>
      <c r="K4" s="221"/>
      <c r="L4" s="221"/>
      <c r="M4" s="222"/>
    </row>
    <row r="5" spans="1:21" ht="16.2" thickBot="1" x14ac:dyDescent="0.35">
      <c r="A5" s="208"/>
      <c r="B5" s="69" t="s">
        <v>46</v>
      </c>
      <c r="C5" s="36" t="s">
        <v>47</v>
      </c>
      <c r="D5" s="36" t="s">
        <v>48</v>
      </c>
      <c r="E5" s="159" t="s">
        <v>49</v>
      </c>
      <c r="F5" s="79" t="s">
        <v>46</v>
      </c>
      <c r="G5" s="37" t="s">
        <v>50</v>
      </c>
      <c r="H5" s="75" t="s">
        <v>51</v>
      </c>
      <c r="I5" s="70" t="s">
        <v>89</v>
      </c>
      <c r="J5" s="84" t="s">
        <v>46</v>
      </c>
      <c r="K5" s="85" t="s">
        <v>50</v>
      </c>
      <c r="L5" s="85" t="s">
        <v>51</v>
      </c>
      <c r="M5" s="86" t="s">
        <v>49</v>
      </c>
    </row>
    <row r="6" spans="1:21" x14ac:dyDescent="0.3">
      <c r="A6" s="55" t="s">
        <v>58</v>
      </c>
      <c r="B6" s="47">
        <f>'תפוקה מצטברת מול אשתקד'!H8</f>
        <v>8487571.2974770367</v>
      </c>
      <c r="C6" s="43">
        <f>'תפוקה מצטברת מול אשתקד'!I8</f>
        <v>383882.77932679735</v>
      </c>
      <c r="D6" s="43">
        <f>'תפוקה מצטברת מול אשתקד'!J8</f>
        <v>23309821.801176578</v>
      </c>
      <c r="E6" s="160">
        <f>'תפוקה מצטברת מול אשתקד'!K8</f>
        <v>52786736.659999996</v>
      </c>
      <c r="F6" s="76">
        <f>'תפוקה מצטברת מול אשתקד'!D8</f>
        <v>0.59070724436977873</v>
      </c>
      <c r="G6" s="42">
        <f>'תפוקה מצטברת מול אשתקד'!E8</f>
        <v>-0.5493965931542385</v>
      </c>
      <c r="H6" s="42">
        <f>'תפוקה מצטברת מול אשתקד'!F8</f>
        <v>7.3276769508285433E-2</v>
      </c>
      <c r="I6" s="44">
        <f>'תפוקה מצטברת מול אשתקד'!G8</f>
        <v>0.62668405382203352</v>
      </c>
      <c r="J6" s="76">
        <f>'תפוקה מצטברת מול יעד מצטבר'!D8</f>
        <v>-0.26578102963001415</v>
      </c>
      <c r="K6" s="42">
        <f>'תפוקה מצטברת מול יעד מצטבר'!E8</f>
        <v>-0.65588025697925034</v>
      </c>
      <c r="L6" s="42">
        <f>'תפוקה מצטברת מול יעד מצטבר'!F8</f>
        <v>-0.46443751031209046</v>
      </c>
      <c r="M6" s="44">
        <f>'תפוקה מצטברת מול יעד מצטבר'!G8</f>
        <v>-0.22140011121436054</v>
      </c>
    </row>
    <row r="7" spans="1:21" x14ac:dyDescent="0.3">
      <c r="A7" s="56" t="s">
        <v>59</v>
      </c>
      <c r="B7" s="47">
        <f>'תפוקה מצטברת מול אשתקד'!H22</f>
        <v>3089301.6140683074</v>
      </c>
      <c r="C7" s="43">
        <f>'תפוקה מצטברת מול אשתקד'!I22</f>
        <v>1714930.9063896895</v>
      </c>
      <c r="D7" s="43">
        <f>'תפוקה מצטברת מול אשתקד'!J22</f>
        <v>16341208.021094762</v>
      </c>
      <c r="E7" s="160">
        <f>'תפוקה מצטברת מול אשתקד'!K22</f>
        <v>7184904.9199999999</v>
      </c>
      <c r="F7" s="76">
        <f>'תפוקה מצטברת מול אשתקד'!D22</f>
        <v>5.2868308561068833E-2</v>
      </c>
      <c r="G7" s="42">
        <f>'תפוקה מצטברת מול אשתקד'!E22</f>
        <v>0.43560698289709898</v>
      </c>
      <c r="H7" s="42">
        <f>'תפוקה מצטברת מול אשתקד'!F22</f>
        <v>-0.30303798477844845</v>
      </c>
      <c r="I7" s="44">
        <f>'תפוקה מצטברת מול אשתקד'!G22</f>
        <v>-0.54452761257400129</v>
      </c>
      <c r="J7" s="76">
        <f>'תפוקה מצטברת מול יעד מצטבר'!D22</f>
        <v>-0.31476763062986701</v>
      </c>
      <c r="K7" s="42">
        <f>'תפוקה מצטברת מול יעד מצטבר'!E22</f>
        <v>-1.9310970212335188E-2</v>
      </c>
      <c r="L7" s="42">
        <f>'תפוקה מצטברת מול יעד מצטבר'!F22</f>
        <v>-0.43682078780346145</v>
      </c>
      <c r="M7" s="44">
        <f>'תפוקה מצטברת מול יעד מצטבר'!G22</f>
        <v>-0.57783037076208954</v>
      </c>
    </row>
    <row r="8" spans="1:21" x14ac:dyDescent="0.3">
      <c r="A8" s="56" t="s">
        <v>60</v>
      </c>
      <c r="B8" s="47">
        <f>'תפוקה מצטברת מול אשתקד'!H75</f>
        <v>5800114.0618192572</v>
      </c>
      <c r="C8" s="43">
        <f>'תפוקה מצטברת מול אשתקד'!I75</f>
        <v>884736.40272011713</v>
      </c>
      <c r="D8" s="43">
        <f>'תפוקה מצטברת מול אשתקד'!J75</f>
        <v>38774756.711089849</v>
      </c>
      <c r="E8" s="160">
        <f>'תפוקה מצטברת מול אשתקד'!K75</f>
        <v>41648434.140000001</v>
      </c>
      <c r="F8" s="76">
        <f>'תפוקה מצטברת מול אשתקד'!D75</f>
        <v>0.32860630199007979</v>
      </c>
      <c r="G8" s="42">
        <f>'תפוקה מצטברת מול אשתקד'!E75</f>
        <v>0.18281577465599663</v>
      </c>
      <c r="H8" s="42">
        <f>'תפוקה מצטברת מול אשתקד'!F75</f>
        <v>0.35344689960379649</v>
      </c>
      <c r="I8" s="44">
        <f>'תפוקה מצטברת מול אשתקד'!G66</f>
        <v>0.14856736112142688</v>
      </c>
      <c r="J8" s="76">
        <f>'תפוקה מצטברת מול יעד מצטבר'!D66</f>
        <v>-0.32752331658082956</v>
      </c>
      <c r="K8" s="42">
        <f>'תפוקה מצטברת מול יעד מצטבר'!E66</f>
        <v>-0.68784932987262082</v>
      </c>
      <c r="L8" s="42">
        <f>'תפוקה מצטברת מול יעד מצטבר'!F66</f>
        <v>-0.20535075972262451</v>
      </c>
      <c r="M8" s="44">
        <f>'תפוקה מצטברת מול יעד מצטבר'!G66</f>
        <v>-0.39056250716845897</v>
      </c>
    </row>
    <row r="9" spans="1:21" x14ac:dyDescent="0.3">
      <c r="A9" s="158" t="s">
        <v>115</v>
      </c>
      <c r="B9" s="47">
        <f>'תפוקה מצטברת מול אשתקד'!H56</f>
        <v>6403097.8676089859</v>
      </c>
      <c r="C9" s="43">
        <f>'תפוקה מצטברת מול אשתקד'!I56</f>
        <v>964929.17630643805</v>
      </c>
      <c r="D9" s="43">
        <f>'תפוקה מצטברת מול אשתקד'!J56</f>
        <v>12361360.77342953</v>
      </c>
      <c r="E9" s="160">
        <f>'תפוקה מצטברת מול אשתקד'!K56</f>
        <v>12234242.34</v>
      </c>
      <c r="F9" s="76">
        <f>'תפוקה מצטברת מול אשתקד'!D76</f>
        <v>0.15385389257795445</v>
      </c>
      <c r="G9" s="42">
        <f>'תפוקה מצטברת מול אשתקד'!E76</f>
        <v>-7.7115527819514584E-3</v>
      </c>
      <c r="H9" s="42">
        <f>'תפוקה מצטברת מול אשתקד'!F76</f>
        <v>7.1855716613877796E-3</v>
      </c>
      <c r="I9" s="44">
        <f>'תפוקה מצטברת מול אשתקד'!G75</f>
        <v>0.54440991209580125</v>
      </c>
      <c r="J9" s="76">
        <f>'תפוקה מצטברת מול יעד מצטבר'!D75</f>
        <v>0.1534252201048516</v>
      </c>
      <c r="K9" s="42">
        <f>'תפוקה מצטברת מול יעד מצטבר'!E75</f>
        <v>4.8017534612789792E-2</v>
      </c>
      <c r="L9" s="42">
        <f>'תפוקה מצטברת מול יעד מצטבר'!F75</f>
        <v>0.40381436990296682</v>
      </c>
      <c r="M9" s="44">
        <f>'תפוקה מצטברת מול יעד מצטבר'!G75</f>
        <v>1.9155769867271504</v>
      </c>
    </row>
    <row r="10" spans="1:21" ht="15" thickBot="1" x14ac:dyDescent="0.35">
      <c r="A10" s="163" t="s">
        <v>116</v>
      </c>
      <c r="B10" s="155">
        <f>'תפוקה מצטברת מול אשתקד'!H66</f>
        <v>2954055.5749237319</v>
      </c>
      <c r="C10" s="154">
        <f>'תפוקה מצטברת מול אשתקד'!I66</f>
        <v>210814.07657722681</v>
      </c>
      <c r="D10" s="154">
        <f>'תפוקה מצטברת מול אשתקד'!J66</f>
        <v>10198528.349719837</v>
      </c>
      <c r="E10" s="161">
        <f>'תפוקה מצטברת מול אשתקד'!K66</f>
        <v>6801322.419999999</v>
      </c>
      <c r="F10" s="77">
        <f>'תפוקה מצטברת מול אשתקד'!D77</f>
        <v>0</v>
      </c>
      <c r="G10" s="40">
        <f>'תפוקה מצטברת מול אשתקד'!E77</f>
        <v>0</v>
      </c>
      <c r="H10" s="40">
        <f>'תפוקה מצטברת מול אשתקד'!F77</f>
        <v>0</v>
      </c>
      <c r="I10" s="72">
        <f>'תפוקה מצטברת מול אשתקד'!G76</f>
        <v>4.3252870567076496E-3</v>
      </c>
      <c r="J10" s="77">
        <f>'תפוקה מצטברת מול יעד מצטבר'!D76</f>
        <v>-0.15980312280131248</v>
      </c>
      <c r="K10" s="40">
        <f>'תפוקה מצטברת מול יעד מצטבר'!E76</f>
        <v>-0.25671689302762968</v>
      </c>
      <c r="L10" s="40">
        <f>'תפוקה מצטברת מול יעד מצטבר'!F76</f>
        <v>-0.20274046976686277</v>
      </c>
      <c r="M10" s="72">
        <f>'תפוקה מצטברת מול יעד מצטבר'!G76</f>
        <v>-2.1146462743647287E-2</v>
      </c>
    </row>
    <row r="11" spans="1:21" ht="42.6" thickBot="1" x14ac:dyDescent="0.35">
      <c r="A11" s="68" t="s">
        <v>61</v>
      </c>
      <c r="B11" s="71">
        <f>SUM(B6:B10)</f>
        <v>26734140.415897317</v>
      </c>
      <c r="C11" s="71">
        <f t="shared" ref="C11:E11" si="0">SUM(C6:C10)</f>
        <v>4159293.3413202688</v>
      </c>
      <c r="D11" s="71">
        <f t="shared" si="0"/>
        <v>100985675.65651056</v>
      </c>
      <c r="E11" s="71">
        <f t="shared" si="0"/>
        <v>120655640.48</v>
      </c>
      <c r="F11" s="80">
        <f>'תפוקה מצטברת מול אשתקד'!D76</f>
        <v>0.15385389257795445</v>
      </c>
      <c r="G11" s="38">
        <f>'תפוקה מצטברת מול אשתקד'!E76</f>
        <v>-7.7115527819514584E-3</v>
      </c>
      <c r="H11" s="39">
        <f>'תפוקה מצטברת מול אשתקד'!F76</f>
        <v>7.1855716613877796E-3</v>
      </c>
      <c r="I11" s="164">
        <f>'תפוקה מצטברת מול יעד מצטבר'!D75</f>
        <v>0.1534252201048516</v>
      </c>
      <c r="J11" s="165">
        <f>'תפוקה מצטברת מול יעד מצטבר'!D76</f>
        <v>-0.15980312280131248</v>
      </c>
      <c r="K11" s="165">
        <f>'תפוקה מצטברת מול יעד מצטבר'!E76</f>
        <v>-0.25671689302762968</v>
      </c>
      <c r="L11" s="165">
        <f>'תפוקה מצטברת מול יעד מצטבר'!F76</f>
        <v>-0.20274046976686277</v>
      </c>
      <c r="M11" s="164">
        <f>'תפוקה מצטברת מול יעד מצטבר'!G76</f>
        <v>-2.1146462743647287E-2</v>
      </c>
    </row>
    <row r="12" spans="1:21" ht="18" x14ac:dyDescent="0.3">
      <c r="A12" s="34"/>
      <c r="B12" s="34"/>
      <c r="C12" s="34"/>
      <c r="D12" s="34"/>
      <c r="E12" s="34"/>
      <c r="F12" s="33"/>
      <c r="G12" s="33"/>
      <c r="H12" s="33"/>
      <c r="I12" s="33"/>
      <c r="J12" s="33"/>
      <c r="K12" s="33"/>
      <c r="L12" s="33"/>
      <c r="M12" s="33"/>
    </row>
    <row r="13" spans="1:21" ht="18.600000000000001" thickBot="1" x14ac:dyDescent="0.35">
      <c r="A13" s="34"/>
      <c r="B13" s="34"/>
      <c r="C13" s="34"/>
      <c r="D13" s="34"/>
      <c r="E13" s="34"/>
      <c r="F13" s="33"/>
      <c r="G13" s="33"/>
      <c r="H13" s="33"/>
      <c r="I13" s="33"/>
      <c r="J13" s="33"/>
      <c r="K13" s="33"/>
      <c r="L13" s="33"/>
      <c r="M13" s="33"/>
    </row>
    <row r="14" spans="1:21" ht="31.8" thickBot="1" x14ac:dyDescent="0.35">
      <c r="A14" s="50" t="s">
        <v>79</v>
      </c>
      <c r="B14" s="52"/>
      <c r="C14" s="52"/>
      <c r="D14"/>
      <c r="E14"/>
      <c r="F14"/>
      <c r="G14"/>
      <c r="H14" s="53"/>
      <c r="I14" s="53"/>
      <c r="J14" s="53"/>
      <c r="K14" s="54"/>
      <c r="L14" s="54"/>
      <c r="M14" s="48"/>
      <c r="N14" s="64"/>
      <c r="O14" s="52"/>
      <c r="P14"/>
      <c r="Q14"/>
      <c r="R14"/>
      <c r="S14"/>
      <c r="T14"/>
      <c r="U14"/>
    </row>
    <row r="15" spans="1:21" ht="24" customHeight="1" thickBot="1" x14ac:dyDescent="0.35">
      <c r="A15" s="212" t="s">
        <v>54</v>
      </c>
      <c r="B15" s="209" t="s">
        <v>132</v>
      </c>
      <c r="C15" s="210"/>
      <c r="D15" s="210"/>
      <c r="E15" s="211"/>
      <c r="F15" s="214" t="s">
        <v>52</v>
      </c>
      <c r="G15" s="215"/>
      <c r="H15" s="215"/>
      <c r="I15" s="216"/>
      <c r="J15" s="220" t="s">
        <v>73</v>
      </c>
      <c r="K15" s="221"/>
      <c r="L15" s="221"/>
      <c r="M15" s="222"/>
      <c r="N15" s="223" t="s">
        <v>133</v>
      </c>
      <c r="O15" s="224"/>
      <c r="P15" s="224"/>
      <c r="Q15" s="225"/>
      <c r="R15" s="217" t="s">
        <v>76</v>
      </c>
      <c r="S15" s="218"/>
      <c r="T15" s="218"/>
      <c r="U15" s="219"/>
    </row>
    <row r="16" spans="1:21" ht="16.5" customHeight="1" thickBot="1" x14ac:dyDescent="0.35">
      <c r="A16" s="213"/>
      <c r="B16" s="69" t="s">
        <v>46</v>
      </c>
      <c r="C16" s="36" t="s">
        <v>47</v>
      </c>
      <c r="D16" s="36" t="s">
        <v>48</v>
      </c>
      <c r="E16" s="159" t="s">
        <v>49</v>
      </c>
      <c r="F16" s="79" t="s">
        <v>46</v>
      </c>
      <c r="G16" s="37" t="s">
        <v>50</v>
      </c>
      <c r="H16" s="75" t="s">
        <v>51</v>
      </c>
      <c r="I16" s="70" t="s">
        <v>89</v>
      </c>
      <c r="J16" s="111" t="s">
        <v>46</v>
      </c>
      <c r="K16" s="112" t="s">
        <v>50</v>
      </c>
      <c r="L16" s="112" t="s">
        <v>51</v>
      </c>
      <c r="M16" s="180" t="s">
        <v>49</v>
      </c>
      <c r="N16" s="170" t="s">
        <v>46</v>
      </c>
      <c r="O16" s="171" t="s">
        <v>50</v>
      </c>
      <c r="P16" s="171" t="s">
        <v>48</v>
      </c>
      <c r="Q16" s="172" t="s">
        <v>89</v>
      </c>
      <c r="R16" s="67" t="s">
        <v>46</v>
      </c>
      <c r="S16" s="67" t="s">
        <v>50</v>
      </c>
      <c r="T16" s="134" t="s">
        <v>48</v>
      </c>
      <c r="U16" s="135" t="s">
        <v>89</v>
      </c>
    </row>
    <row r="17" spans="1:21" ht="21.75" customHeight="1" x14ac:dyDescent="0.3">
      <c r="A17" s="167" t="s">
        <v>56</v>
      </c>
      <c r="B17" s="47">
        <f>SUMIF('תפוקה מצטברת מול אשתקד'!B:B,'דוח הנהלה'!A17,'תפוקה מצטברת מול אשתקד'!H:H)</f>
        <v>11670381.909441553</v>
      </c>
      <c r="C17" s="47">
        <f>SUMIF('תפוקה מצטברת מול אשתקד'!B:B,'דוח הנהלה'!A17,'תפוקה מצטברת מול אשתקד'!I:I)</f>
        <v>1788699.3043070578</v>
      </c>
      <c r="D17" s="47">
        <f>SUMIF('תפוקה מצטברת מול אשתקד'!B:B,'דוח הנהלה'!A17,'תפוקה מצטברת מול אשתקד'!J:J)</f>
        <v>46005125.035795204</v>
      </c>
      <c r="E17" s="47">
        <f>SUMIF('תפוקה מצטברת מול אשתקד'!B:B,'דוח הנהלה'!A17,'תפוקה מצטברת מול אשתקד'!K:K)</f>
        <v>49170586.210000001</v>
      </c>
      <c r="F17" s="76">
        <f>(B17-N17)/N17</f>
        <v>-7.8422918671377777E-3</v>
      </c>
      <c r="G17" s="42">
        <f>(C17-O17)/O17</f>
        <v>-8.6832740592790031E-3</v>
      </c>
      <c r="H17" s="42">
        <f>(D17-P17)/P17</f>
        <v>0.26641405814448232</v>
      </c>
      <c r="I17" s="44">
        <f>(E17-Q17)/Q17</f>
        <v>-0.23975585132220484</v>
      </c>
      <c r="J17" s="76">
        <f>(B17-R17)/R17</f>
        <v>0.10635463899526502</v>
      </c>
      <c r="K17" s="42">
        <f>(C17-S17)/S17</f>
        <v>-6.1286760130225583E-2</v>
      </c>
      <c r="L17" s="42">
        <f>(D17-T17)/T17</f>
        <v>0.30867397837501265</v>
      </c>
      <c r="M17" s="44">
        <f>(E17-U17)/U17</f>
        <v>1.0540636392878329</v>
      </c>
      <c r="N17" s="65">
        <f>SUMIF('תפוקה מצטברת מול אשתקד'!B:B,'דוח הנהלה'!A17,'תפוקה מצטברת מול אשתקד'!L:L)</f>
        <v>11762627.870325172</v>
      </c>
      <c r="O17" s="65">
        <f>SUMIF('תפוקה מצטברת מול אשתקד'!B:B,'דוח הנהלה'!A17,'תפוקה מצטברת מול אשתקד'!M:M)</f>
        <v>1804367.1185005496</v>
      </c>
      <c r="P17" s="65">
        <f>SUMIF('תפוקה מצטברת מול אשתקד'!B:B,'דוח הנהלה'!A17,'תפוקה מצטברת מול אשתקד'!N:N)</f>
        <v>36327080.183554456</v>
      </c>
      <c r="Q17" s="65">
        <f>SUMIF('תפוקה מצטברת מול אשתקד'!B:B,'דוח הנהלה'!A17,'תפוקה מצטברת מול אשתקד'!O:O)</f>
        <v>64677362.25989601</v>
      </c>
      <c r="R17" s="65">
        <f>SUMIF('תפוקה מצטברת מול יעד מצטבר'!B:B,'דוח הנהלה'!A17,'תפוקה מצטברת מול יעד מצטבר'!H:K)</f>
        <v>10548500</v>
      </c>
      <c r="S17" s="65">
        <f>SUMIF('תפוקה מצטברת מול יעד מצטבר'!B:B,'דוח הנהלה'!A17,'תפוקה מצטברת מול יעד מצטבר'!I:I)</f>
        <v>1905480</v>
      </c>
      <c r="T17" s="65">
        <f>SUMIF('תפוקה מצטברת מול יעד מצטבר'!B:B,'דוח הנהלה'!A17,'תפוקה מצטברת מול יעד מצטבר'!J:J)</f>
        <v>35154000.000000007</v>
      </c>
      <c r="U17" s="65">
        <f>SUMIF('תפוקה מצטברת מול יעד מצטבר'!B:B,'דוח הנהלה'!A17,'תפוקה מצטברת מול יעד מצטבר'!K:K)</f>
        <v>23938200</v>
      </c>
    </row>
    <row r="18" spans="1:21" ht="15.6" x14ac:dyDescent="0.3">
      <c r="A18" s="167" t="s">
        <v>55</v>
      </c>
      <c r="B18" s="47">
        <f>SUMIF('תפוקה מצטברת מול אשתקד'!B:B,'דוח הנהלה'!A18,'תפוקה מצטברת מול אשתקד'!H:H)</f>
        <v>30045.09</v>
      </c>
      <c r="C18" s="47">
        <f>SUMIF('תפוקה מצטברת מול אשתקד'!B:B,'דוח הנהלה'!A18,'תפוקה מצטברת מול אשתקד'!I:I)</f>
        <v>13183.4</v>
      </c>
      <c r="D18" s="47">
        <f>SUMIF('תפוקה מצטברת מול אשתקד'!B:B,'דוח הנהלה'!A18,'תפוקה מצטברת מול אשתקד'!J:J)</f>
        <v>0</v>
      </c>
      <c r="E18" s="47">
        <f>SUMIF('תפוקה מצטברת מול אשתקד'!B:B,'דוח הנהלה'!A18,'תפוקה מצטברת מול אשתקד'!K:K)</f>
        <v>0</v>
      </c>
      <c r="F18" s="76">
        <f t="shared" ref="F18:F19" si="1">(B18-N18)/N18</f>
        <v>1.8965969162401961</v>
      </c>
      <c r="G18" s="42">
        <f>(C18-O18)/O18</f>
        <v>2.9984405677826369</v>
      </c>
      <c r="H18" s="182">
        <v>0</v>
      </c>
      <c r="I18" s="44">
        <f>(E18-Q18)/Q18</f>
        <v>-1</v>
      </c>
      <c r="J18" s="76">
        <f t="shared" ref="J18:M21" si="2">(B18-R18)/R18</f>
        <v>-0.87004718858131491</v>
      </c>
      <c r="K18" s="42">
        <f t="shared" si="2"/>
        <v>-0.78136981757877277</v>
      </c>
      <c r="L18" s="42">
        <f t="shared" si="2"/>
        <v>-1</v>
      </c>
      <c r="M18" s="44">
        <f t="shared" si="2"/>
        <v>-1</v>
      </c>
      <c r="N18" s="65">
        <f>SUMIF('תפוקה מצטברת מול אשתקד'!B:B,'דוח הנהלה'!A18,'תפוקה מצטברת מול אשתקד'!L:L)</f>
        <v>10372.54781</v>
      </c>
      <c r="O18" s="65">
        <f>SUMIF('תפוקה מצטברת מול אשתקד'!B:B,'דוח הנהלה'!A18,'תפוקה מצטברת מול אשתקד'!M:M)</f>
        <v>3297.1354147977108</v>
      </c>
      <c r="P18" s="65">
        <f>SUMIF('תפוקה מצטברת מול אשתקד'!B:B,'דוח הנהלה'!A18,'תפוקה מצטברת מול אשתקד'!N:N)</f>
        <v>0</v>
      </c>
      <c r="Q18" s="65">
        <f>SUMIF('תפוקה מצטברת מול אשתקד'!B:B,'דוח הנהלה'!A18,'תפוקה מצטברת מול אשתקד'!O:O)</f>
        <v>-168129.66</v>
      </c>
      <c r="R18" s="65">
        <f>SUMIF('תפוקה מצטברת מול יעד מצטבר'!B:B,'דוח הנהלה'!A18,'תפוקה מצטברת מול יעד מצטבר'!H:H)</f>
        <v>231199.99999999997</v>
      </c>
      <c r="S18" s="65">
        <f>SUMIF('תפוקה מצטברת מול יעד מצטבר'!B:B,'דוח הנהלה'!A18,'תפוקה מצטברת מול יעד מצטבר'!I:I)</f>
        <v>60300</v>
      </c>
      <c r="T18" s="65">
        <f>SUMIF('תפוקה מצטברת מול יעד מצטבר'!B:B,'דוח הנהלה'!A18,'תפוקה מצטברת מול יעד מצטבר'!J:J)</f>
        <v>558000</v>
      </c>
      <c r="U18" s="65">
        <f>SUMIF('תפוקה מצטברת מול יעד מצטבר'!B:B,'דוח הנהלה'!A18,'תפוקה מצטברת מול יעד מצטבר'!K:K)</f>
        <v>558000</v>
      </c>
    </row>
    <row r="19" spans="1:21" ht="15.6" x14ac:dyDescent="0.3">
      <c r="A19" s="167" t="s">
        <v>108</v>
      </c>
      <c r="B19" s="47">
        <f>SUMIF('תפוקה מצטברת מול אשתקד'!B:B,'דוח הנהלה'!A19,'תפוקה מצטברת מול אשתקד'!H:H)</f>
        <v>12079657.841532031</v>
      </c>
      <c r="C19" s="47">
        <f>SUMIF('תפוקה מצטברת מול אשתקד'!B:B,'דוח הנהלה'!A19,'תפוקה מצטברת מול אשתקד'!I:I)</f>
        <v>2146596.5604359847</v>
      </c>
      <c r="D19" s="47">
        <f>SUMIF('תפוקה מצטברת מול אשתקד'!B:B,'דוח הנהלה'!A19,'תפוקה מצטברת מול אשתקד'!J:J)</f>
        <v>44782022.270995513</v>
      </c>
      <c r="E19" s="47">
        <f>SUMIF('תפוקה מצטברת מול אשתקד'!B:B,'דוח הנהלה'!A19,'תפוקה מצטברת מול אשתקד'!K:K)</f>
        <v>64683731.850000009</v>
      </c>
      <c r="F19" s="76">
        <f t="shared" si="1"/>
        <v>0.41384309237983846</v>
      </c>
      <c r="G19" s="42">
        <f>(C19-O19)/O19</f>
        <v>2.7892180822563218E-2</v>
      </c>
      <c r="H19" s="42">
        <f>(D19-P19)/P19</f>
        <v>-0.12348100526601918</v>
      </c>
      <c r="I19" s="44">
        <f>(E19-Q19)/Q19</f>
        <v>0.30134699428210121</v>
      </c>
      <c r="J19" s="76">
        <f t="shared" si="2"/>
        <v>-0.27433812466767404</v>
      </c>
      <c r="K19" s="42">
        <f t="shared" si="2"/>
        <v>-0.27349762736115857</v>
      </c>
      <c r="L19" s="42">
        <f t="shared" si="2"/>
        <v>-0.42675342715059505</v>
      </c>
      <c r="M19" s="44">
        <f t="shared" si="2"/>
        <v>-0.26165180638312435</v>
      </c>
      <c r="N19" s="65">
        <f>SUMIF('תפוקה מצטברת מול אשתקד'!B:B,'דוח הנהלה'!A19,'תפוקה מצטברת מול אשתקד'!L:L)</f>
        <v>8543846.1358530652</v>
      </c>
      <c r="O19" s="65">
        <f>SUMIF('תפוקה מצטברת מול אשתקד'!B:B,'דוח הנהלה'!A19,'תפוקה מצטברת מול אשתקד'!M:M)</f>
        <v>2088347.980931411</v>
      </c>
      <c r="P19" s="65">
        <f>SUMIF('תפוקה מצטברת מול אשתקד'!B:B,'דוח הנהלה'!A19,'תפוקה מצטברת מול אשתקד'!N:N)</f>
        <v>51090760.770776719</v>
      </c>
      <c r="Q19" s="65">
        <f>SUMIF('תפוקה מצטברת מול אשתקד'!B:B,'דוח הנהלה'!A19,'תפוקה מצטברת מול אשתקד'!O:O)</f>
        <v>49705214.776849985</v>
      </c>
      <c r="R19" s="65">
        <f>SUMIF('תפוקה מצטברת מול יעד מצטבר'!B:B,'דוח הנהלה'!A19,'תפוקה מצטברת מול יעד מצטבר'!H:H)</f>
        <v>16646400</v>
      </c>
      <c r="S19" s="65">
        <f>SUMIF('תפוקה מצטברת מול יעד מצטבר'!B:B,'דוח הנהלה'!A19,'תפוקה מצטברת מול יעד מצטבר'!I:I)</f>
        <v>2954700</v>
      </c>
      <c r="T19" s="65">
        <f>SUMIF('תפוקה מצטברת מול יעד מצטבר'!B:B,'דוח הנהלה'!A19,'תפוקה מצטברת מול יעד מצטבר'!J:J)</f>
        <v>78120000</v>
      </c>
      <c r="U19" s="65">
        <f>SUMIF('תפוקה מצטברת מול יעד מצטבר'!B:B,'דוח הנהלה'!A19,'תפוקה מצטברת מול יעד מצטבר'!K:K)</f>
        <v>87606000</v>
      </c>
    </row>
    <row r="20" spans="1:21" ht="16.2" thickBot="1" x14ac:dyDescent="0.35">
      <c r="A20" s="167" t="s">
        <v>114</v>
      </c>
      <c r="B20" s="47">
        <f>SUMIF('תפוקה מצטברת מול אשתקד'!B:B,'דוח הנהלה'!A20,'תפוקה מצטברת מול אשתקד'!H:H)</f>
        <v>2954055.5749237319</v>
      </c>
      <c r="C20" s="47">
        <f>SUMIF('תפוקה מצטברת מול אשתקד'!B:B,'דוח הנהלה'!A20,'תפוקה מצטברת מול אשתקד'!I:I)</f>
        <v>210814.07657722681</v>
      </c>
      <c r="D20" s="47">
        <f>SUMIF('תפוקה מצטברת מול אשתקד'!B:B,'דוח הנהלה'!A20,'תפוקה מצטברת מול אשתקד'!J:J)</f>
        <v>10198528.349719837</v>
      </c>
      <c r="E20" s="47">
        <f>SUMIF('תפוקה מצטברת מול אשתקד'!B:B,'דוח הנהלה'!A20,'תפוקה מצטברת מול אשתקד'!K:K)</f>
        <v>6801322.419999999</v>
      </c>
      <c r="F20" s="76">
        <f t="shared" ref="F20" si="3">(B20-N20)/N20</f>
        <v>3.5570934206940713E-2</v>
      </c>
      <c r="G20" s="42">
        <f>(C20-O20)/O20</f>
        <v>-0.28683855800530428</v>
      </c>
      <c r="H20" s="42">
        <f>(D20-P20)/P20</f>
        <v>-0.20617784833989677</v>
      </c>
      <c r="I20" s="44">
        <f>(E20-Q20)/Q20</f>
        <v>0.14856736112142688</v>
      </c>
      <c r="J20" s="76">
        <f t="shared" si="2"/>
        <v>-0.32752331658082956</v>
      </c>
      <c r="K20" s="42">
        <f t="shared" si="2"/>
        <v>-0.68784932987262082</v>
      </c>
      <c r="L20" s="42">
        <f t="shared" si="2"/>
        <v>-0.20535075972262448</v>
      </c>
      <c r="M20" s="44">
        <f t="shared" si="2"/>
        <v>-0.39056250716845897</v>
      </c>
      <c r="N20" s="65">
        <f>SUMIF('תפוקה מצטברת מול אשתקד'!B:B,'דוח הנהלה'!A20,'תפוקה מצטברת מול אשתקד'!L:L)</f>
        <v>2852586.4113654387</v>
      </c>
      <c r="O20" s="65">
        <f>SUMIF('תפוקה מצטברת מול אשתקד'!B:B,'דוח הנהלה'!A20,'תפוקה מצטברת מול אשתקד'!M:M)</f>
        <v>295604.9838975938</v>
      </c>
      <c r="P20" s="65">
        <f>SUMIF('תפוקה מצטברת מול אשתקד'!B:B,'דוח הנהלה'!A20,'תפוקה מצטברת מול אשתקד'!N:N)</f>
        <v>12847371.830569195</v>
      </c>
      <c r="Q20" s="65">
        <f>SUMIF('תפוקה מצטברת מול אשתקד'!B:B,'דוח הנהלה'!A20,'תפוקה מצטברת מול אשתקד'!O:O)</f>
        <v>5921570.3407760002</v>
      </c>
      <c r="R20" s="65">
        <f>SUMIF('תפוקה מצטברת מול יעד מצטבר'!B:B,'דוח הנהלה'!A20,'תפוקה מצטברת מול יעד מצטבר'!H:H)</f>
        <v>4392800</v>
      </c>
      <c r="S20" s="65">
        <f>SUMIF('תפוקה מצטברת מול יעד מצטבר'!B:B,'דוח הנהלה'!A20,'תפוקה מצטברת מול יעד מצטבר'!I:I)</f>
        <v>675360</v>
      </c>
      <c r="T20" s="65">
        <f>SUMIF('תפוקה מצטברת מול יעד מצטבר'!B:B,'דוח הנהלה'!A20,'תפוקה מצטברת מול יעד מצטבר'!J:J)</f>
        <v>12834000</v>
      </c>
      <c r="U20" s="65">
        <f>SUMIF('תפוקה מצטברת מול יעד מצטבר'!B:B,'דוח הנהלה'!A20,'תפוקה מצטברת מול יעד מצטבר'!K:K)</f>
        <v>11160000.000000002</v>
      </c>
    </row>
    <row r="21" spans="1:21" ht="21.6" thickBot="1" x14ac:dyDescent="0.35">
      <c r="A21" s="168"/>
      <c r="B21" s="71">
        <f>SUM(B17:B20)</f>
        <v>26734140.415897317</v>
      </c>
      <c r="C21" s="71">
        <f>SUM(C17:C20)</f>
        <v>4159293.3413202688</v>
      </c>
      <c r="D21" s="71">
        <f>SUM(D17:D20)</f>
        <v>100985675.65651055</v>
      </c>
      <c r="E21" s="71">
        <f>SUM(E17:E20)</f>
        <v>120655640.48</v>
      </c>
      <c r="F21" s="156">
        <f>(B21-N21)/N21</f>
        <v>0.15385389257795451</v>
      </c>
      <c r="G21" s="113">
        <f>(C21-O21)/O21</f>
        <v>-7.7115527819514593E-3</v>
      </c>
      <c r="H21" s="114">
        <f>(D21-P21)/P21</f>
        <v>7.1855716613876174E-3</v>
      </c>
      <c r="I21" s="162">
        <f>(B21-R21)/R21</f>
        <v>-0.15980312280131251</v>
      </c>
      <c r="J21" s="81">
        <f t="shared" si="2"/>
        <v>-0.15980312280131251</v>
      </c>
      <c r="K21" s="82">
        <f t="shared" si="2"/>
        <v>-0.25671689302762968</v>
      </c>
      <c r="L21" s="83">
        <f t="shared" si="2"/>
        <v>-0.20274046976686289</v>
      </c>
      <c r="M21" s="136">
        <f t="shared" si="2"/>
        <v>-2.1146462743647249E-2</v>
      </c>
      <c r="N21" s="169">
        <f>SUM(N17:N20)</f>
        <v>23169432.965353675</v>
      </c>
      <c r="O21" s="169">
        <f>SUM(O17:O20)</f>
        <v>4191617.2187443525</v>
      </c>
      <c r="P21" s="169">
        <f>SUM(P17:P20)</f>
        <v>100265212.78490037</v>
      </c>
      <c r="Q21" s="169">
        <f>SUM(Q17:Q20)</f>
        <v>120136017.717522</v>
      </c>
      <c r="R21" s="157">
        <f t="shared" ref="R21:T21" si="4">SUM(R17:R20)</f>
        <v>31818900</v>
      </c>
      <c r="S21" s="157">
        <f t="shared" si="4"/>
        <v>5595840</v>
      </c>
      <c r="T21" s="157">
        <f t="shared" si="4"/>
        <v>126666000</v>
      </c>
      <c r="U21" s="157">
        <f>SUM(U17:U20)</f>
        <v>123262200</v>
      </c>
    </row>
    <row r="22" spans="1:21" x14ac:dyDescent="0.3">
      <c r="N22" s="66"/>
      <c r="O22" s="66"/>
      <c r="P22" s="66"/>
      <c r="Q22" s="66"/>
      <c r="R22" s="66"/>
      <c r="S22" s="66"/>
      <c r="T22" s="66"/>
      <c r="U22" s="66"/>
    </row>
    <row r="23" spans="1:21" x14ac:dyDescent="0.3">
      <c r="N23" s="66"/>
      <c r="O23" s="66"/>
      <c r="P23" s="66"/>
      <c r="Q23" s="66"/>
      <c r="R23" s="66"/>
      <c r="S23" s="66"/>
      <c r="T23" s="66"/>
      <c r="U23" s="66"/>
    </row>
    <row r="24" spans="1:21" ht="15" thickBot="1" x14ac:dyDescent="0.35">
      <c r="N24" s="66"/>
      <c r="O24" s="66"/>
      <c r="P24" s="66"/>
      <c r="Q24" s="66"/>
      <c r="R24" s="66"/>
      <c r="S24" s="66"/>
      <c r="T24" s="66"/>
      <c r="U24" s="66"/>
    </row>
    <row r="25" spans="1:21" ht="31.8" thickBot="1" x14ac:dyDescent="0.35">
      <c r="A25" s="125" t="s">
        <v>80</v>
      </c>
      <c r="B25" s="52"/>
      <c r="C25" s="52"/>
      <c r="D25"/>
      <c r="E25"/>
      <c r="F25"/>
      <c r="G25"/>
      <c r="H25" s="53"/>
      <c r="I25" s="53"/>
      <c r="J25" s="53"/>
      <c r="K25" s="54"/>
      <c r="L25" s="54"/>
      <c r="M25" s="48"/>
      <c r="N25" s="48"/>
      <c r="O25" s="49"/>
      <c r="P25"/>
      <c r="Q25"/>
      <c r="R25" s="183" t="s">
        <v>121</v>
      </c>
      <c r="S25" s="48"/>
      <c r="T25" s="48"/>
      <c r="U25" s="49"/>
    </row>
    <row r="26" spans="1:21" ht="21.6" customHeight="1" thickBot="1" x14ac:dyDescent="0.35">
      <c r="A26" s="207" t="s">
        <v>57</v>
      </c>
      <c r="B26" s="209" t="s">
        <v>132</v>
      </c>
      <c r="C26" s="210"/>
      <c r="D26" s="210"/>
      <c r="E26" s="211"/>
      <c r="F26" s="214" t="s">
        <v>52</v>
      </c>
      <c r="G26" s="215"/>
      <c r="H26" s="215"/>
      <c r="I26" s="216"/>
      <c r="R26" s="184" t="s">
        <v>122</v>
      </c>
      <c r="S26" s="185" t="s">
        <v>123</v>
      </c>
      <c r="T26" s="185" t="s">
        <v>124</v>
      </c>
      <c r="U26" s="185" t="s">
        <v>127</v>
      </c>
    </row>
    <row r="27" spans="1:21" ht="16.2" thickBot="1" x14ac:dyDescent="0.35">
      <c r="A27" s="208"/>
      <c r="B27" s="69" t="s">
        <v>46</v>
      </c>
      <c r="C27" s="36" t="s">
        <v>47</v>
      </c>
      <c r="D27" s="36" t="s">
        <v>48</v>
      </c>
      <c r="E27" s="78" t="s">
        <v>49</v>
      </c>
      <c r="F27" s="73" t="s">
        <v>46</v>
      </c>
      <c r="G27" s="73" t="s">
        <v>50</v>
      </c>
      <c r="H27" s="73" t="s">
        <v>51</v>
      </c>
      <c r="I27" s="73" t="s">
        <v>49</v>
      </c>
      <c r="R27" s="186" t="s">
        <v>105</v>
      </c>
      <c r="S27" s="19">
        <v>1</v>
      </c>
      <c r="T27" s="20">
        <v>40998.678491696315</v>
      </c>
      <c r="U27" s="21">
        <v>40998.678491696315</v>
      </c>
    </row>
    <row r="28" spans="1:21" x14ac:dyDescent="0.3">
      <c r="A28" s="55" t="s">
        <v>63</v>
      </c>
      <c r="B28" s="46">
        <f>מנורה!D76</f>
        <v>3817815.1903973171</v>
      </c>
      <c r="C28" s="46">
        <f>מנורה!E76</f>
        <v>978318.39682026894</v>
      </c>
      <c r="D28" s="46">
        <f>מנורה!F76</f>
        <v>4831046.6111105606</v>
      </c>
      <c r="E28" s="46">
        <f>מנורה!G76</f>
        <v>-5904683.8250000002</v>
      </c>
      <c r="F28" s="41">
        <f>מנורה!D76/מנורה!H76-1</f>
        <v>4.0584582250077883E-2</v>
      </c>
      <c r="G28" s="41">
        <f>מנורה!E76/מנורה!I76-1</f>
        <v>-9.4170616972736099E-2</v>
      </c>
      <c r="H28" s="41">
        <f>מנורה!F76/מנורה!J76-1</f>
        <v>-0.4371335386195635</v>
      </c>
      <c r="I28" s="41">
        <f>מנורה!G76/מנורה!K76-1</f>
        <v>-1.2798132199299046</v>
      </c>
      <c r="R28" s="187" t="s">
        <v>42</v>
      </c>
      <c r="S28" s="19">
        <v>0.44627074889682494</v>
      </c>
      <c r="T28" s="20">
        <v>73714.772987262433</v>
      </c>
      <c r="U28" s="21">
        <v>238894.25913885163</v>
      </c>
    </row>
    <row r="29" spans="1:21" x14ac:dyDescent="0.3">
      <c r="A29" s="56" t="s">
        <v>64</v>
      </c>
      <c r="B29" s="47">
        <f>מגדל!D76</f>
        <v>15056563.499999998</v>
      </c>
      <c r="C29" s="47">
        <f>מגדל!E76</f>
        <v>688899.05999999994</v>
      </c>
      <c r="D29" s="47">
        <f>מגדל!F76</f>
        <v>39420920.129999995</v>
      </c>
      <c r="E29" s="47">
        <f>מגדל!G76</f>
        <v>112628612</v>
      </c>
      <c r="F29" s="42">
        <f>מגדל!D76/מגדל!H76-1</f>
        <v>0.59194363003240991</v>
      </c>
      <c r="G29" s="42">
        <f>מגדל!E76/מגדל!I76-1</f>
        <v>0.27679550098834538</v>
      </c>
      <c r="H29" s="42">
        <f>מגדל!F76/מגדל!J76-1</f>
        <v>0.54036397880112719</v>
      </c>
      <c r="I29" s="41">
        <f>מגדל!G76/מגדל!K76-1</f>
        <v>1.2409538904063431</v>
      </c>
      <c r="R29" s="188" t="s">
        <v>104</v>
      </c>
      <c r="S29" s="19">
        <v>1</v>
      </c>
      <c r="T29" s="20">
        <v>53005.696160464096</v>
      </c>
      <c r="U29" s="21">
        <v>53005.696160464096</v>
      </c>
    </row>
    <row r="30" spans="1:21" ht="28.8" x14ac:dyDescent="0.3">
      <c r="A30" s="56" t="s">
        <v>65</v>
      </c>
      <c r="B30" s="47">
        <f>כלל!D76</f>
        <v>4154444.4</v>
      </c>
      <c r="C30" s="47">
        <f>כלל!E76</f>
        <v>1455428.0040000002</v>
      </c>
      <c r="D30" s="47">
        <f>כלל!F76</f>
        <v>16745933.290000001</v>
      </c>
      <c r="E30" s="47">
        <f>כלל!G76</f>
        <v>8305186.3049999997</v>
      </c>
      <c r="F30" s="42">
        <f>כלל!D76/כלל!H76-1</f>
        <v>-0.24980506949966019</v>
      </c>
      <c r="G30" s="42">
        <f>כלל!E76/כלל!I76-1</f>
        <v>0.4586966339129126</v>
      </c>
      <c r="H30" s="42">
        <f>כלל!F76/כלל!J76-1</f>
        <v>0.14027440664059609</v>
      </c>
      <c r="I30" s="41">
        <f>כלל!G76/כלל!K76-1</f>
        <v>-0.78081409022523685</v>
      </c>
      <c r="R30" s="187" t="s">
        <v>5</v>
      </c>
      <c r="S30" s="19">
        <v>1.0052489992973506</v>
      </c>
      <c r="T30" s="20">
        <v>512958.44478179049</v>
      </c>
      <c r="U30" s="21">
        <v>1023238.4302782579</v>
      </c>
    </row>
    <row r="31" spans="1:21" ht="43.2" x14ac:dyDescent="0.3">
      <c r="A31" s="56" t="s">
        <v>66</v>
      </c>
      <c r="B31" s="47">
        <f>'אלטשולר שחם'!D76</f>
        <v>12000</v>
      </c>
      <c r="C31" s="47">
        <f>'אלטשולר שחם'!E76</f>
        <v>0</v>
      </c>
      <c r="D31" s="47">
        <f>'אלטשולר שחם'!F76</f>
        <v>219926</v>
      </c>
      <c r="E31" s="47">
        <f>'אלטשולר שחם'!G76</f>
        <v>0</v>
      </c>
      <c r="F31" s="42">
        <v>1</v>
      </c>
      <c r="G31" s="42">
        <v>0</v>
      </c>
      <c r="H31" s="42">
        <f>'אלטשולר שחם'!F76/'אלטשולר שחם'!J76-1</f>
        <v>1.192681954137587</v>
      </c>
      <c r="I31" s="41">
        <v>0</v>
      </c>
      <c r="R31" s="188" t="s">
        <v>101</v>
      </c>
      <c r="S31" s="19">
        <v>0.29042855620203367</v>
      </c>
      <c r="T31" s="20">
        <v>48621.218119603669</v>
      </c>
      <c r="U31" s="21">
        <v>216033.19287659286</v>
      </c>
    </row>
    <row r="32" spans="1:21" x14ac:dyDescent="0.3">
      <c r="A32" s="56" t="s">
        <v>67</v>
      </c>
      <c r="B32" s="47">
        <f>מור!D76</f>
        <v>0</v>
      </c>
      <c r="C32" s="47">
        <f>מור!E76</f>
        <v>0</v>
      </c>
      <c r="D32" s="47">
        <f>מור!F76</f>
        <v>1750542.67</v>
      </c>
      <c r="E32" s="47">
        <f>מור!G76</f>
        <v>0</v>
      </c>
      <c r="F32" s="42">
        <v>0</v>
      </c>
      <c r="G32" s="42">
        <v>0</v>
      </c>
      <c r="H32" s="42">
        <f>מור!F76/מור!J76-1</f>
        <v>-0.56733342910507911</v>
      </c>
      <c r="I32" s="41">
        <v>0</v>
      </c>
      <c r="R32"/>
      <c r="S32"/>
      <c r="T32"/>
      <c r="U32"/>
    </row>
    <row r="33" spans="1:21" x14ac:dyDescent="0.3">
      <c r="A33" s="56" t="s">
        <v>68</v>
      </c>
      <c r="B33" s="47">
        <f>הראל!D76</f>
        <v>1319106</v>
      </c>
      <c r="C33" s="47">
        <f>הראל!E76</f>
        <v>473764</v>
      </c>
      <c r="D33" s="47">
        <f>הראל!F76</f>
        <v>2672288</v>
      </c>
      <c r="E33" s="47">
        <f>הראל!G76</f>
        <v>-2842186</v>
      </c>
      <c r="F33" s="42">
        <f>הראל!D76/הראל!H76-1</f>
        <v>-0.52306478491619313</v>
      </c>
      <c r="G33" s="42">
        <f>הראל!E76/הראל!I76-1</f>
        <v>-0.44285340432296849</v>
      </c>
      <c r="H33" s="42">
        <f>הראל!F76/הראל!J76-1</f>
        <v>-0.66370675528290346</v>
      </c>
      <c r="I33" s="41">
        <f>הראל!G76/הראל!K76-1</f>
        <v>-1.5212025965443874</v>
      </c>
      <c r="U33" s="32"/>
    </row>
    <row r="34" spans="1:21" x14ac:dyDescent="0.3">
      <c r="A34" s="56" t="s">
        <v>69</v>
      </c>
      <c r="B34" s="47">
        <f>הפניקס!D76</f>
        <v>2372966.3255000003</v>
      </c>
      <c r="C34" s="47">
        <f>הפניקס!E76</f>
        <v>174409.88049999997</v>
      </c>
      <c r="D34" s="47">
        <f>הפניקס!F76</f>
        <v>17228480.785399999</v>
      </c>
      <c r="E34" s="47">
        <f>הפניקס!G76</f>
        <v>8468712</v>
      </c>
      <c r="F34" s="42">
        <f>הפניקס!D76/הפניקס!H76-1</f>
        <v>0.36550894807093637</v>
      </c>
      <c r="G34" s="42">
        <f>הפניקס!E76/הפניקס!I76-1</f>
        <v>-0.36152813192995803</v>
      </c>
      <c r="H34" s="42">
        <f>הפניקס!F76/הפניקס!J76-1</f>
        <v>1.0587482362529275</v>
      </c>
      <c r="I34" s="41">
        <f>הפניקס!G76/הפניקס!K76-1</f>
        <v>0.55951021055890737</v>
      </c>
      <c r="U34" s="32"/>
    </row>
    <row r="35" spans="1:21" ht="15" thickBot="1" x14ac:dyDescent="0.35">
      <c r="A35" s="56" t="s">
        <v>70</v>
      </c>
      <c r="B35" s="47">
        <f>איילון!D76</f>
        <v>1245</v>
      </c>
      <c r="C35" s="47">
        <f>איילון!E76</f>
        <v>364969</v>
      </c>
      <c r="D35" s="47">
        <f>איילון!F76</f>
        <v>0</v>
      </c>
      <c r="E35" s="47">
        <f>איילון!G76</f>
        <v>0</v>
      </c>
      <c r="F35" s="42">
        <v>1</v>
      </c>
      <c r="G35" s="42">
        <f>איילון!E76/איילון!I76-1</f>
        <v>-0.15002356847153342</v>
      </c>
      <c r="H35" s="42">
        <v>0</v>
      </c>
      <c r="I35" s="41">
        <v>0</v>
      </c>
      <c r="U35" s="32"/>
    </row>
    <row r="36" spans="1:21" ht="16.2" thickBot="1" x14ac:dyDescent="0.35">
      <c r="A36" s="144" t="s">
        <v>71</v>
      </c>
      <c r="B36" s="43">
        <f>הכשרה!D76</f>
        <v>0</v>
      </c>
      <c r="C36" s="43">
        <f>הכשרה!E76</f>
        <v>3622</v>
      </c>
      <c r="D36" s="43">
        <f>הכשרה!F76</f>
        <v>0</v>
      </c>
      <c r="E36" s="43">
        <f>הכשרה!G76</f>
        <v>0</v>
      </c>
      <c r="F36" s="42">
        <v>0</v>
      </c>
      <c r="G36" s="42">
        <f>הכשרה!E76/הכשרה!I76-1</f>
        <v>-0.79777790184802633</v>
      </c>
      <c r="H36" s="42">
        <v>1</v>
      </c>
      <c r="I36" s="42">
        <v>0</v>
      </c>
      <c r="R36" s="189" t="s">
        <v>125</v>
      </c>
      <c r="S36" s="48"/>
      <c r="T36" s="48"/>
      <c r="U36" s="49"/>
    </row>
    <row r="37" spans="1:21" ht="16.2" thickBot="1" x14ac:dyDescent="0.35">
      <c r="A37" s="144" t="s">
        <v>110</v>
      </c>
      <c r="B37" s="43">
        <f>'מדיהו '!D76</f>
        <v>0</v>
      </c>
      <c r="C37" s="43">
        <f>'מדיהו '!E76</f>
        <v>19883</v>
      </c>
      <c r="D37" s="43">
        <f>'מדיהו '!F76</f>
        <v>0</v>
      </c>
      <c r="E37" s="45">
        <f>'מדיהו '!G76</f>
        <v>0</v>
      </c>
      <c r="F37" s="42">
        <v>0</v>
      </c>
      <c r="G37" s="42">
        <f>'מדיהו '!E76/'מדיהו '!I76-1</f>
        <v>4.7233736327000573</v>
      </c>
      <c r="H37" s="42">
        <v>0</v>
      </c>
      <c r="I37" s="42">
        <v>0</v>
      </c>
      <c r="R37" s="190" t="s">
        <v>122</v>
      </c>
      <c r="S37" s="191" t="s">
        <v>123</v>
      </c>
      <c r="T37" s="191" t="s">
        <v>126</v>
      </c>
      <c r="U37" s="191" t="s">
        <v>127</v>
      </c>
    </row>
    <row r="38" spans="1:21" ht="15.6" x14ac:dyDescent="0.3">
      <c r="A38" s="144" t="s">
        <v>111</v>
      </c>
      <c r="B38" s="43">
        <f>'אנליסט '!D76</f>
        <v>0</v>
      </c>
      <c r="C38" s="43">
        <f>'אנליסט '!E76</f>
        <v>0</v>
      </c>
      <c r="D38" s="43">
        <f>'אנליסט '!F76</f>
        <v>18116538.169999998</v>
      </c>
      <c r="E38" s="43">
        <f>'אנליסט '!G76</f>
        <v>0</v>
      </c>
      <c r="F38" s="42">
        <v>0</v>
      </c>
      <c r="G38" s="42">
        <v>0</v>
      </c>
      <c r="H38" s="42">
        <f>'אנליסט '!F76/'אנליסט '!J76-1</f>
        <v>-0.41071930330578865</v>
      </c>
      <c r="I38" s="42">
        <v>0</v>
      </c>
      <c r="R38" s="26" t="s">
        <v>25</v>
      </c>
      <c r="S38" s="19">
        <v>-0.35564596342480159</v>
      </c>
      <c r="T38" s="20">
        <v>-149050.81271087303</v>
      </c>
      <c r="U38" s="21">
        <v>270048.03288136324</v>
      </c>
    </row>
    <row r="39" spans="1:21" ht="15.6" x14ac:dyDescent="0.3">
      <c r="A39" s="144" t="s">
        <v>112</v>
      </c>
      <c r="B39" s="43">
        <f>'מיטב דש'!D76</f>
        <v>0</v>
      </c>
      <c r="C39" s="43">
        <f>'מיטב דש'!E76</f>
        <v>0</v>
      </c>
      <c r="D39" s="43">
        <f>'מיטב דש'!F76</f>
        <v>0</v>
      </c>
      <c r="E39" s="43">
        <f>'מיטב דש'!G76</f>
        <v>0</v>
      </c>
      <c r="F39" s="42">
        <v>0</v>
      </c>
      <c r="G39" s="42">
        <v>0</v>
      </c>
      <c r="H39" s="42">
        <v>0</v>
      </c>
      <c r="I39" s="42">
        <v>0</v>
      </c>
      <c r="R39" s="30" t="s">
        <v>1</v>
      </c>
      <c r="S39" s="19">
        <v>-0.66207675744603545</v>
      </c>
      <c r="T39" s="20">
        <v>-556719.11448016868</v>
      </c>
      <c r="U39" s="21">
        <v>284148.81845817459</v>
      </c>
    </row>
    <row r="40" spans="1:21" ht="15.6" x14ac:dyDescent="0.3">
      <c r="A40" s="144" t="s">
        <v>113</v>
      </c>
      <c r="B40" s="43">
        <f>אינפניטי!D76</f>
        <v>0</v>
      </c>
      <c r="C40" s="43">
        <f>אינפניטי!E76</f>
        <v>0</v>
      </c>
      <c r="D40" s="43">
        <f>אינפניטי!F76</f>
        <v>0</v>
      </c>
      <c r="E40" s="43">
        <f>אינפניטי!G76</f>
        <v>0</v>
      </c>
      <c r="F40" s="42">
        <v>0</v>
      </c>
      <c r="G40" s="42">
        <v>0</v>
      </c>
      <c r="H40" s="42">
        <v>0</v>
      </c>
      <c r="I40" s="42">
        <v>0</v>
      </c>
      <c r="R40" s="26" t="s">
        <v>86</v>
      </c>
      <c r="S40" s="19">
        <v>-0.76025906677222355</v>
      </c>
      <c r="T40" s="20">
        <v>-92662.864610589197</v>
      </c>
      <c r="U40" s="21">
        <v>29220.41</v>
      </c>
    </row>
    <row r="41" spans="1:21" ht="31.8" thickBot="1" x14ac:dyDescent="0.35">
      <c r="A41" s="139" t="s">
        <v>72</v>
      </c>
      <c r="B41" s="140">
        <f>SUM(B28:B40)</f>
        <v>26734140.415897314</v>
      </c>
      <c r="C41" s="141">
        <f>SUM(C28:C40)</f>
        <v>4159293.3413202688</v>
      </c>
      <c r="D41" s="141">
        <f>SUM(D28:D40)</f>
        <v>100985675.65651056</v>
      </c>
      <c r="E41" s="142">
        <f>SUM(E28:E40)</f>
        <v>120655640.47999999</v>
      </c>
      <c r="F41" s="143">
        <f>('תפוקה מצטברת מול אשתקד'!H76-'תפוקה מצטברת מול אשתקד'!L76)/'תפוקה מצטברת מול אשתקד'!L76</f>
        <v>0.15385389257795451</v>
      </c>
      <c r="G41" s="143">
        <f>('תפוקה מצטברת מול אשתקד'!I76-'תפוקה מצטברת מול אשתקד'!M76)/'תפוקה מצטברת מול אשתקד'!M76</f>
        <v>-7.7115527819514593E-3</v>
      </c>
      <c r="H41" s="143">
        <f>('תפוקה מצטברת מול אשתקד'!J76-'תפוקה מצטברת מול אשתקד'!N76)/'תפוקה מצטברת מול אשתקד'!N76</f>
        <v>7.1855716613877666E-3</v>
      </c>
      <c r="I41" s="143">
        <f>('תפוקה מצטברת מול אשתקד'!K76-'תפוקה מצטברת מול אשתקד'!O76)/'תפוקה מצטברת מול אשתקד'!O76</f>
        <v>4.3252870567076088E-3</v>
      </c>
      <c r="R41" s="30" t="s">
        <v>6</v>
      </c>
      <c r="S41" s="19">
        <v>-0.50106264085208929</v>
      </c>
      <c r="T41" s="20">
        <v>-40769.357382477298</v>
      </c>
      <c r="U41" s="21">
        <v>40596.432158619551</v>
      </c>
    </row>
    <row r="42" spans="1:21" ht="31.2" x14ac:dyDescent="0.3">
      <c r="R42" s="30" t="s">
        <v>8</v>
      </c>
      <c r="S42" s="19">
        <v>-0.32909280803565644</v>
      </c>
      <c r="T42" s="20">
        <v>-70133.942243028345</v>
      </c>
      <c r="U42" s="21">
        <v>142979.01717305681</v>
      </c>
    </row>
  </sheetData>
  <mergeCells count="13">
    <mergeCell ref="A4:A5"/>
    <mergeCell ref="B4:E4"/>
    <mergeCell ref="R15:U15"/>
    <mergeCell ref="J4:M4"/>
    <mergeCell ref="F4:I4"/>
    <mergeCell ref="J15:M15"/>
    <mergeCell ref="N15:Q15"/>
    <mergeCell ref="A26:A27"/>
    <mergeCell ref="B26:E26"/>
    <mergeCell ref="A15:A16"/>
    <mergeCell ref="B15:E15"/>
    <mergeCell ref="F15:I15"/>
    <mergeCell ref="F26:I26"/>
  </mergeCells>
  <conditionalFormatting sqref="F28:I40">
    <cfRule type="cellIs" dxfId="369" priority="19" operator="lessThan">
      <formula>-0.0001</formula>
    </cfRule>
    <cfRule type="cellIs" dxfId="368" priority="20" operator="greaterThan">
      <formula>0.1</formula>
    </cfRule>
  </conditionalFormatting>
  <conditionalFormatting sqref="F6:M10">
    <cfRule type="cellIs" dxfId="367" priority="45" operator="lessThan">
      <formula>-0.0001</formula>
    </cfRule>
    <cfRule type="cellIs" dxfId="366" priority="46" operator="greaterThan">
      <formula>0.1</formula>
    </cfRule>
  </conditionalFormatting>
  <conditionalFormatting sqref="F17:M20">
    <cfRule type="cellIs" dxfId="365" priority="17" operator="lessThan">
      <formula>-0.0001</formula>
    </cfRule>
    <cfRule type="cellIs" dxfId="364" priority="18" operator="greaterThan">
      <formula>0.1</formula>
    </cfRule>
  </conditionalFormatting>
  <conditionalFormatting sqref="P5:P10">
    <cfRule type="cellIs" dxfId="363" priority="29" operator="lessThan">
      <formula>-0.0001</formula>
    </cfRule>
    <cfRule type="cellIs" dxfId="362" priority="30" operator="greaterThan">
      <formula>0.1</formula>
    </cfRule>
  </conditionalFormatting>
  <conditionalFormatting sqref="R38">
    <cfRule type="duplicateValues" dxfId="361" priority="7"/>
    <cfRule type="duplicateValues" dxfId="360" priority="8"/>
  </conditionalFormatting>
  <conditionalFormatting sqref="R39:R40">
    <cfRule type="duplicateValues" dxfId="359" priority="3"/>
    <cfRule type="duplicateValues" dxfId="358" priority="4"/>
  </conditionalFormatting>
  <conditionalFormatting sqref="R41:R42">
    <cfRule type="duplicateValues" dxfId="357" priority="1"/>
    <cfRule type="duplicateValues" dxfId="356" priority="2"/>
  </conditionalFormatting>
  <conditionalFormatting sqref="S27:S31">
    <cfRule type="cellIs" dxfId="355" priority="9" operator="lessThan">
      <formula>-0.0001</formula>
    </cfRule>
    <cfRule type="cellIs" dxfId="354" priority="10" operator="greaterThan">
      <formula>0.1</formula>
    </cfRule>
  </conditionalFormatting>
  <conditionalFormatting sqref="S38:S42">
    <cfRule type="cellIs" dxfId="353" priority="5" operator="lessThan">
      <formula>-0.0001</formula>
    </cfRule>
    <cfRule type="cellIs" dxfId="352" priority="6" operator="greaterThan">
      <formula>0.1</formula>
    </cfRule>
  </conditionalFormatting>
  <conditionalFormatting sqref="U8:U13">
    <cfRule type="cellIs" dxfId="351" priority="21" operator="lessThan">
      <formula>-0.0001</formula>
    </cfRule>
    <cfRule type="cellIs" dxfId="350" priority="2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R82"/>
  <sheetViews>
    <sheetView rightToLeft="1" workbookViewId="0">
      <selection activeCell="L14" sqref="L14"/>
    </sheetView>
  </sheetViews>
  <sheetFormatPr defaultColWidth="27.6640625" defaultRowHeight="15.75" customHeight="1" x14ac:dyDescent="0.3"/>
  <cols>
    <col min="1" max="1" width="27.5546875" style="94" bestFit="1" customWidth="1"/>
    <col min="2" max="2" width="10.109375" style="4" bestFit="1" customWidth="1"/>
    <col min="3" max="3" width="10.44140625" style="4" bestFit="1" customWidth="1"/>
    <col min="4" max="4" width="10.6640625" style="3" bestFit="1" customWidth="1"/>
    <col min="5" max="5" width="11" style="3" bestFit="1" customWidth="1"/>
    <col min="6" max="6" width="11.6640625" style="3" bestFit="1" customWidth="1"/>
    <col min="7" max="7" width="13.5546875" style="3" bestFit="1" customWidth="1"/>
    <col min="8" max="8" width="14.6640625" style="3" bestFit="1" customWidth="1"/>
    <col min="9" max="9" width="13.5546875" style="3" bestFit="1" customWidth="1"/>
    <col min="10" max="10" width="15" style="3" bestFit="1" customWidth="1"/>
    <col min="11" max="11" width="16.109375" style="3" bestFit="1" customWidth="1"/>
    <col min="12" max="12" width="15" style="3" bestFit="1" customWidth="1"/>
    <col min="13" max="13" width="13.5546875" style="3" bestFit="1" customWidth="1"/>
    <col min="14" max="15" width="16.44140625" style="3" bestFit="1" customWidth="1"/>
    <col min="16" max="16384" width="27.6640625" style="3"/>
  </cols>
  <sheetData>
    <row r="1" spans="1:16" ht="15.75" customHeight="1" x14ac:dyDescent="0.3">
      <c r="A1" s="26"/>
      <c r="B1" s="26"/>
      <c r="C1" s="26"/>
      <c r="D1" s="229" t="s">
        <v>52</v>
      </c>
      <c r="E1" s="229"/>
      <c r="F1" s="229"/>
      <c r="G1" s="100"/>
      <c r="H1" s="226" t="s">
        <v>134</v>
      </c>
      <c r="I1" s="227"/>
      <c r="J1" s="227"/>
      <c r="K1" s="228"/>
      <c r="L1" s="230" t="s">
        <v>133</v>
      </c>
      <c r="M1" s="231"/>
      <c r="N1" s="231"/>
      <c r="O1" s="231"/>
    </row>
    <row r="2" spans="1:16" ht="15.75" customHeight="1" x14ac:dyDescent="0.3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3">
      <c r="A3" s="26" t="s">
        <v>1</v>
      </c>
      <c r="B3" s="26" t="s">
        <v>108</v>
      </c>
      <c r="C3" s="26" t="s">
        <v>58</v>
      </c>
      <c r="D3" s="19">
        <f>IF(H3=0,0%,IF(L3=0,100%,H3/L3-1))</f>
        <v>0.75387384485857289</v>
      </c>
      <c r="E3" s="19">
        <f>IF(I3=0,0%,IF(M3=0,100%,I3/M3-1))</f>
        <v>-0.66207675744603545</v>
      </c>
      <c r="F3" s="19">
        <f>IF(J3=0,0%,IF(N3=G29,100%,J3/N3-1))</f>
        <v>0.21062612050610352</v>
      </c>
      <c r="G3" s="19">
        <f>IF(K3=0,0%,IF(O3=H29,100%,K3/O3-1))</f>
        <v>0.95230791134197124</v>
      </c>
      <c r="H3" s="5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7943583.205020383</v>
      </c>
      <c r="I3" s="5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284148.81845817459</v>
      </c>
      <c r="J3" s="5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19291897.509813704</v>
      </c>
      <c r="K3" s="5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50754485.549999997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4529164.5281710271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840867.93293834326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15935471.061659157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25997172.502933998</v>
      </c>
      <c r="P3" s="89"/>
    </row>
    <row r="4" spans="1:16" ht="15.75" customHeight="1" x14ac:dyDescent="0.3">
      <c r="A4" s="26" t="s">
        <v>2</v>
      </c>
      <c r="B4" s="26" t="s">
        <v>108</v>
      </c>
      <c r="C4" s="26" t="s">
        <v>58</v>
      </c>
      <c r="D4" s="19">
        <f t="shared" ref="D4:F69" si="0">IF(H4=0,0%,IF(L4=0,100%,H4/L4-1))</f>
        <v>-0.43877468043320711</v>
      </c>
      <c r="E4" s="19">
        <f t="shared" ref="E4:E26" si="1">IF(I4=0,0%,IF(M4=0,100%,I4/M4-1))</f>
        <v>-0.42272162205271535</v>
      </c>
      <c r="F4" s="19">
        <f t="shared" ref="F4:F26" si="2">IF(J4=0,0%,IF(N4=0,100%,J4/N4-1))</f>
        <v>-0.49415328003262637</v>
      </c>
      <c r="G4" s="19">
        <f>IF(K4=0,0%,IF(O4=H30,100%,K4/O4-1))</f>
        <v>-0.83586763321799418</v>
      </c>
      <c r="H4" s="5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430369.65191617189</v>
      </c>
      <c r="I4" s="5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3951.306216462347</v>
      </c>
      <c r="J4" s="5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2919924.9766628724</v>
      </c>
      <c r="K4" s="5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1041834.1800000004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766839.33691440034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6844.7154222415174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5772351.3100000005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6347524.2600000016</v>
      </c>
      <c r="P4" s="89"/>
    </row>
    <row r="5" spans="1:16" ht="15.75" customHeight="1" x14ac:dyDescent="0.3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1</v>
      </c>
      <c r="F5" s="19">
        <f t="shared" si="2"/>
        <v>1</v>
      </c>
      <c r="G5" s="19">
        <f>IF(K5=0,0%,IF(O5=H31,100%,K5/O5-1))</f>
        <v>0</v>
      </c>
      <c r="H5" s="5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5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53005.696160464096</v>
      </c>
      <c r="J5" s="5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300000</v>
      </c>
      <c r="K5" s="5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0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89"/>
    </row>
    <row r="6" spans="1:16" ht="15.75" customHeight="1" x14ac:dyDescent="0.3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1"/>
        <v>1</v>
      </c>
      <c r="F6" s="101">
        <f t="shared" si="2"/>
        <v>1</v>
      </c>
      <c r="G6" s="19">
        <v>1</v>
      </c>
      <c r="H6" s="5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94229.890540480919</v>
      </c>
      <c r="I6" s="5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40998.678491696315</v>
      </c>
      <c r="J6" s="5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785770.34470000002</v>
      </c>
      <c r="K6" s="5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937262.65999999992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0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0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89"/>
    </row>
    <row r="7" spans="1:16" ht="15.75" customHeight="1" thickBot="1" x14ac:dyDescent="0.35">
      <c r="A7" s="26" t="s">
        <v>34</v>
      </c>
      <c r="B7" s="26" t="s">
        <v>108</v>
      </c>
      <c r="C7" s="27" t="s">
        <v>58</v>
      </c>
      <c r="D7" s="19">
        <f>IF(H7=0,0%,IF(L7=0,100%,H7/L7-1))</f>
        <v>-0.51184377228213362</v>
      </c>
      <c r="E7" s="19">
        <f>IF(I7=0,0%,IF(M7=0,100%,I7/M7-1))</f>
        <v>-0.5783905857226711</v>
      </c>
      <c r="F7" s="19">
        <f>IF(J7=0,0%,IF(N7=0,100%,J7/N7-1))</f>
        <v>0.15942431582989247</v>
      </c>
      <c r="G7" s="19">
        <f>IF(K7=0,0%,IF(O7=H74,100%,K7/O7-1))</f>
        <v>-0.49768727908048349</v>
      </c>
      <c r="H7" s="5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19388.55</v>
      </c>
      <c r="I7" s="5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1778.28</v>
      </c>
      <c r="J7" s="5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12228.97</v>
      </c>
      <c r="K7" s="5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53154.27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39717.919999999998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4217.8375049999995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10547.45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105819.08</v>
      </c>
    </row>
    <row r="8" spans="1:16" ht="26.4" customHeight="1" thickBot="1" x14ac:dyDescent="0.35">
      <c r="A8" s="122" t="s">
        <v>3</v>
      </c>
      <c r="B8" s="121"/>
      <c r="C8" s="121"/>
      <c r="D8" s="126">
        <f t="shared" si="0"/>
        <v>0.59070724436977873</v>
      </c>
      <c r="E8" s="126">
        <f t="shared" si="1"/>
        <v>-0.5493965931542385</v>
      </c>
      <c r="F8" s="126">
        <f t="shared" si="2"/>
        <v>7.3276769508285433E-2</v>
      </c>
      <c r="G8" s="19">
        <f>IF(K8=0,0%,IF(O8=H75,100%,K8/O8-1))</f>
        <v>0.62668405382203352</v>
      </c>
      <c r="H8" s="124">
        <f>SUM(H3:H7)</f>
        <v>8487571.2974770367</v>
      </c>
      <c r="I8" s="124">
        <f t="shared" ref="I8:O8" si="3">SUM(I3:I7)</f>
        <v>383882.77932679735</v>
      </c>
      <c r="J8" s="124">
        <f t="shared" si="3"/>
        <v>23309821.801176578</v>
      </c>
      <c r="K8" s="124">
        <f t="shared" si="3"/>
        <v>52786736.659999996</v>
      </c>
      <c r="L8" s="124">
        <f t="shared" si="3"/>
        <v>5335721.7850854276</v>
      </c>
      <c r="M8" s="124">
        <f t="shared" si="3"/>
        <v>851930.48586558469</v>
      </c>
      <c r="N8" s="124">
        <f t="shared" si="3"/>
        <v>21718369.821659159</v>
      </c>
      <c r="O8" s="124">
        <f t="shared" si="3"/>
        <v>32450515.842933998</v>
      </c>
    </row>
    <row r="9" spans="1:16" ht="15.75" customHeight="1" x14ac:dyDescent="0.3">
      <c r="A9" s="27" t="s">
        <v>4</v>
      </c>
      <c r="B9" s="26" t="s">
        <v>108</v>
      </c>
      <c r="C9" s="27" t="s">
        <v>106</v>
      </c>
      <c r="D9" s="103">
        <f t="shared" si="0"/>
        <v>13.008986778083219</v>
      </c>
      <c r="E9" s="103">
        <f t="shared" si="1"/>
        <v>0.67705477200014874</v>
      </c>
      <c r="F9" s="103">
        <f t="shared" si="2"/>
        <v>0</v>
      </c>
      <c r="G9" s="103">
        <f t="shared" ref="G9:G20" si="4">IF(K9=0,0%,IF(O9=H33,100%,K9/O9-1))</f>
        <v>-0.59458264777787018</v>
      </c>
      <c r="H9" s="5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37973.944991582706</v>
      </c>
      <c r="I9" s="5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1173.1300000000001</v>
      </c>
      <c r="J9" s="5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5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-321158.48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2710.6846193182355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699.51800000000003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-792167.57309400011</v>
      </c>
    </row>
    <row r="10" spans="1:16" ht="15.75" customHeight="1" x14ac:dyDescent="0.3">
      <c r="A10" s="26" t="s">
        <v>5</v>
      </c>
      <c r="B10" s="26" t="s">
        <v>108</v>
      </c>
      <c r="C10" s="26" t="s">
        <v>106</v>
      </c>
      <c r="D10" s="19">
        <f t="shared" si="0"/>
        <v>2.1415244025969171E-2</v>
      </c>
      <c r="E10" s="19">
        <f t="shared" si="1"/>
        <v>1.0052489992973506</v>
      </c>
      <c r="F10" s="19">
        <f t="shared" si="2"/>
        <v>0.26763775290741254</v>
      </c>
      <c r="G10" s="19">
        <f t="shared" si="4"/>
        <v>0.6030440573768947</v>
      </c>
      <c r="H10" s="5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802630.51415215083</v>
      </c>
      <c r="I10" s="5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1023238.4302782579</v>
      </c>
      <c r="J10" s="5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336893.64022136602</v>
      </c>
      <c r="K10" s="5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1488051.84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785802.36475474434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510279.98549646745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265764.91544897412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928266.34000000008</v>
      </c>
    </row>
    <row r="11" spans="1:16" ht="15.75" customHeight="1" x14ac:dyDescent="0.3">
      <c r="A11" s="26" t="s">
        <v>6</v>
      </c>
      <c r="B11" s="26" t="s">
        <v>108</v>
      </c>
      <c r="C11" s="26" t="s">
        <v>106</v>
      </c>
      <c r="D11" s="19">
        <f t="shared" si="0"/>
        <v>-0.39273435796228817</v>
      </c>
      <c r="E11" s="19">
        <f t="shared" si="1"/>
        <v>-0.50106264085208929</v>
      </c>
      <c r="F11" s="19">
        <f t="shared" si="2"/>
        <v>2.3072486290834791</v>
      </c>
      <c r="G11" s="19">
        <f t="shared" si="4"/>
        <v>-1.215930962522777</v>
      </c>
      <c r="H11" s="5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139802.97380681953</v>
      </c>
      <c r="I11" s="5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40596.432158619551</v>
      </c>
      <c r="J11" s="5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899639.48266723426</v>
      </c>
      <c r="K11" s="5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81331.63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230217.16383904626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81365.789541096849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272020.51722266397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-376655.71000000014</v>
      </c>
    </row>
    <row r="12" spans="1:16" ht="15.75" customHeight="1" x14ac:dyDescent="0.3">
      <c r="A12" s="26" t="s">
        <v>7</v>
      </c>
      <c r="B12" s="26" t="s">
        <v>108</v>
      </c>
      <c r="C12" s="26" t="s">
        <v>106</v>
      </c>
      <c r="D12" s="19">
        <f t="shared" si="0"/>
        <v>1627.8209968932292</v>
      </c>
      <c r="E12" s="19">
        <f t="shared" si="1"/>
        <v>39.421965536925804</v>
      </c>
      <c r="F12" s="19">
        <f t="shared" si="2"/>
        <v>1</v>
      </c>
      <c r="G12" s="19">
        <f t="shared" si="4"/>
        <v>-3.3197652778007818</v>
      </c>
      <c r="H12" s="5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225510.26701986758</v>
      </c>
      <c r="I12" s="5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16003.136999999999</v>
      </c>
      <c r="J12" s="5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1814271.11</v>
      </c>
      <c r="K12" s="5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542020.65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138.44999999999999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395.90199999999999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-233653.23</v>
      </c>
    </row>
    <row r="13" spans="1:16" ht="15.75" customHeight="1" x14ac:dyDescent="0.3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-0.32909280803565644</v>
      </c>
      <c r="F13" s="19">
        <f t="shared" si="2"/>
        <v>-0.99760107744120941</v>
      </c>
      <c r="G13" s="19">
        <f t="shared" si="4"/>
        <v>-1.0274995167840322</v>
      </c>
      <c r="H13" s="5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66506.982499999998</v>
      </c>
      <c r="I13" s="5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142979.01717305681</v>
      </c>
      <c r="J13" s="5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2349.83</v>
      </c>
      <c r="K13" s="5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-4433.24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213112.95941608516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979535.58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161211.56</v>
      </c>
    </row>
    <row r="14" spans="1:16" ht="15.75" customHeight="1" x14ac:dyDescent="0.3">
      <c r="A14" s="26" t="s">
        <v>9</v>
      </c>
      <c r="B14" s="26" t="s">
        <v>108</v>
      </c>
      <c r="C14" s="26" t="s">
        <v>106</v>
      </c>
      <c r="D14" s="19">
        <f t="shared" si="0"/>
        <v>-0.72535434560258816</v>
      </c>
      <c r="E14" s="19">
        <f t="shared" si="1"/>
        <v>0.19349143753077147</v>
      </c>
      <c r="F14" s="19">
        <f t="shared" si="2"/>
        <v>-0.38790579093140876</v>
      </c>
      <c r="G14" s="19">
        <f t="shared" si="4"/>
        <v>-0.94799339681451344</v>
      </c>
      <c r="H14" s="5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175246.45684748152</v>
      </c>
      <c r="I14" s="5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44291.821000000004</v>
      </c>
      <c r="J14" s="5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982065.14999999991</v>
      </c>
      <c r="K14" s="5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287720.32999999996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638082.03057857312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37111.134279803358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1604434.6367765581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5532380.7435340006</v>
      </c>
    </row>
    <row r="15" spans="1:16" ht="15.75" customHeight="1" x14ac:dyDescent="0.3">
      <c r="A15" s="26" t="s">
        <v>31</v>
      </c>
      <c r="B15" s="26" t="s">
        <v>108</v>
      </c>
      <c r="C15" s="26" t="s">
        <v>106</v>
      </c>
      <c r="D15" s="19">
        <f t="shared" si="0"/>
        <v>4.1741043048554687</v>
      </c>
      <c r="E15" s="19">
        <f t="shared" si="1"/>
        <v>0</v>
      </c>
      <c r="F15" s="19">
        <f t="shared" si="2"/>
        <v>1</v>
      </c>
      <c r="G15" s="19" t="e">
        <f t="shared" si="4"/>
        <v>#DIV/0!</v>
      </c>
      <c r="H15" s="5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122818.49</v>
      </c>
      <c r="I15" s="5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5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266565.67</v>
      </c>
      <c r="K15" s="5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113981.56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23737.15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552.08504929275614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0</v>
      </c>
    </row>
    <row r="16" spans="1:16" ht="15.75" customHeight="1" x14ac:dyDescent="0.3">
      <c r="A16" s="26" t="s">
        <v>96</v>
      </c>
      <c r="B16" s="26" t="s">
        <v>108</v>
      </c>
      <c r="C16" s="26" t="s">
        <v>106</v>
      </c>
      <c r="D16" s="19">
        <f t="shared" si="0"/>
        <v>2.7444330246686244E-2</v>
      </c>
      <c r="E16" s="19">
        <f t="shared" si="1"/>
        <v>1.0383482624116871</v>
      </c>
      <c r="F16" s="19">
        <f t="shared" si="2"/>
        <v>9.8320779305951511E-2</v>
      </c>
      <c r="G16" s="19">
        <f t="shared" si="4"/>
        <v>16.722149463790359</v>
      </c>
      <c r="H16" s="5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130488.1085</v>
      </c>
      <c r="I16" s="5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39357.477999999996</v>
      </c>
      <c r="J16" s="5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25369.24</v>
      </c>
      <c r="K16" s="5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118506.56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127002.607011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19308.514999999999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23098.206351000001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6686.9179859999995</v>
      </c>
    </row>
    <row r="17" spans="1:18" ht="15.75" customHeight="1" x14ac:dyDescent="0.3">
      <c r="A17" s="26" t="s">
        <v>42</v>
      </c>
      <c r="B17" s="26" t="s">
        <v>108</v>
      </c>
      <c r="C17" s="26" t="s">
        <v>106</v>
      </c>
      <c r="D17" s="19">
        <f t="shared" si="0"/>
        <v>1.331613098777007E-2</v>
      </c>
      <c r="E17" s="19">
        <f t="shared" si="1"/>
        <v>0.44627074889682494</v>
      </c>
      <c r="F17" s="19">
        <f t="shared" si="2"/>
        <v>-0.46558920149148486</v>
      </c>
      <c r="G17" s="19">
        <f t="shared" si="4"/>
        <v>-0.63232355854783107</v>
      </c>
      <c r="H17" s="5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489009.40553934476</v>
      </c>
      <c r="I17" s="5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238894.25913885163</v>
      </c>
      <c r="J17" s="5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3435204.0999525418</v>
      </c>
      <c r="K17" s="5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839902.76000000024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482583.2635888895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165179.4861515892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6428021.4949620003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2284352.9400000004</v>
      </c>
    </row>
    <row r="18" spans="1:18" ht="15.75" customHeight="1" x14ac:dyDescent="0.3">
      <c r="A18" s="26" t="s">
        <v>43</v>
      </c>
      <c r="B18" s="26" t="s">
        <v>108</v>
      </c>
      <c r="C18" s="26" t="s">
        <v>106</v>
      </c>
      <c r="D18" s="19">
        <f t="shared" si="0"/>
        <v>0.28346877320725228</v>
      </c>
      <c r="E18" s="19">
        <f t="shared" si="1"/>
        <v>-2.4399876833119283E-2</v>
      </c>
      <c r="F18" s="19">
        <f t="shared" si="2"/>
        <v>-0.37846513725465136</v>
      </c>
      <c r="G18" s="19">
        <f t="shared" si="4"/>
        <v>-0.49178728289309137</v>
      </c>
      <c r="H18" s="5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824787.12935919873</v>
      </c>
      <c r="I18" s="5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150515.79807578854</v>
      </c>
      <c r="J18" s="5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8468202.71825362</v>
      </c>
      <c r="K18" s="5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4199971.74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642623.44871713803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154280.21635257846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13624662.470016841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8264200.3999999985</v>
      </c>
    </row>
    <row r="19" spans="1:18" ht="15.75" customHeight="1" x14ac:dyDescent="0.3">
      <c r="A19" s="26" t="s">
        <v>30</v>
      </c>
      <c r="B19" s="26" t="s">
        <v>108</v>
      </c>
      <c r="C19" s="26" t="s">
        <v>106</v>
      </c>
      <c r="D19" s="19">
        <f t="shared" si="0"/>
        <v>5.7923437660248558</v>
      </c>
      <c r="E19" s="19">
        <f t="shared" si="1"/>
        <v>0.15799204559067137</v>
      </c>
      <c r="F19" s="19">
        <f t="shared" si="2"/>
        <v>0</v>
      </c>
      <c r="G19" s="19">
        <f t="shared" si="4"/>
        <v>1</v>
      </c>
      <c r="H19" s="5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8690.7636035026262</v>
      </c>
      <c r="I19" s="5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9451.8135651150988</v>
      </c>
      <c r="J19" s="5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5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-204933.06999999998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1279.4940749279538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8162.2439472750393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101702.641062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0</v>
      </c>
    </row>
    <row r="20" spans="1:18" ht="15.75" customHeight="1" x14ac:dyDescent="0.3">
      <c r="A20" s="28" t="s">
        <v>130</v>
      </c>
      <c r="B20" s="26" t="s">
        <v>108</v>
      </c>
      <c r="C20" s="26" t="s">
        <v>106</v>
      </c>
      <c r="D20" s="19">
        <f t="shared" si="0"/>
        <v>1</v>
      </c>
      <c r="E20" s="19">
        <f t="shared" si="1"/>
        <v>1</v>
      </c>
      <c r="F20" s="19">
        <f t="shared" si="2"/>
        <v>1</v>
      </c>
      <c r="G20" s="19" t="e">
        <f t="shared" si="4"/>
        <v>#DIV/0!</v>
      </c>
      <c r="H20" s="5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65836.577748359094</v>
      </c>
      <c r="I20" s="5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8429.59</v>
      </c>
      <c r="J20" s="5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110647.08</v>
      </c>
      <c r="K20" s="5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43942.64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0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5.75" customHeight="1" thickBot="1" x14ac:dyDescent="0.35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01">
        <f t="shared" si="1"/>
        <v>0</v>
      </c>
      <c r="F21" s="101">
        <f t="shared" si="2"/>
        <v>0</v>
      </c>
      <c r="G21" s="19">
        <f t="shared" ref="G21:G76" si="5">IF(K21=0,0%,IF(O21=H44,100%,K21/O21-1))</f>
        <v>0</v>
      </c>
      <c r="H21" s="58">
        <f>VLOOKUP(A21,הכשרה!A:G,4,0)+VLOOKUP('תפוקה מצטברת מול אשתקד'!A21,מגדל!A:G,4,0)+VLOOKUP('תפוקה מצטברת מול אשתקד'!A21,מנורה!A:G,4,0)+VLOOKUP('תפוקה מצטברת מול אשתקד'!A21,איילון!A:G,4,0)+VLOOKUP('תפוקה מצטברת מול אשתקד'!A21,הראל!A:G,4,0)+VLOOKUP('תפוקה מצטברת מול אשתקד'!A21,הפניקס!A:G,4,0)+VLOOKUP('תפוקה מצטברת מול אשתקד'!A21,כלל!A:G,4,0)+VLOOKUP('תפוקה מצטברת מול אשתקד'!A21,מור!A:G,4,0)+VLOOKUP('תפוקה מצטברת מול אשתקד'!A21,'אלטשולר שחם'!A:G,4,0)+VLOOKUP('תפוקה מצטברת מול אשתקד'!A21,'מדיהו '!A:G,4,0)+VLOOKUP('תפוקה מצטברת מול אשתקד'!A21,'אנליסט '!A:G,4,0)+VLOOKUP('תפוקה מצטברת מול אשתקד'!A21,'מיטב דש'!A:G,4,0)+VLOOKUP('תפוקה מצטברת מול אשתקד'!A21,אינפניטי!A:G,4,0)</f>
        <v>0</v>
      </c>
      <c r="I21" s="58">
        <f>VLOOKUP(A21,הכשרה!A:G,5,0)+VLOOKUP('תפוקה מצטברת מול אשתקד'!A21,מגדל!A:G,5,0)+VLOOKUP('תפוקה מצטברת מול אשתקד'!A21,מנורה!A:G,5,0)+VLOOKUP('תפוקה מצטברת מול אשתקד'!A21,איילון!A:G,5,0)+VLOOKUP('תפוקה מצטברת מול אשתקד'!A21,הראל!A:G,5,0)+VLOOKUP('תפוקה מצטברת מול אשתקד'!A21,הפניקס!A:G,5,0)+VLOOKUP('תפוקה מצטברת מול אשתקד'!A21,כלל!A:G,5,0)+VLOOKUP('תפוקה מצטברת מול אשתקד'!A21,מור!A:G,5,0)+VLOOKUP('תפוקה מצטברת מול אשתקד'!A21,'אלטשולר שחם'!A:G,5,0)+VLOOKUP('תפוקה מצטברת מול אשתקד'!A21,'מדיהו '!A:G,5,0)+VLOOKUP('תפוקה מצטברת מול אשתקד'!A21,'אנליסט '!A:G,5,0)+VLOOKUP('תפוקה מצטברת מול אשתקד'!A21,'מיטב דש'!A:G,5,0)+VLOOKUP('תפוקה מצטברת מול אשתקד'!A21,אינפניטי!A:G,5,0)</f>
        <v>0</v>
      </c>
      <c r="J21" s="58">
        <f>VLOOKUP(A21,הכשרה!A:G,6,0)+VLOOKUP('תפוקה מצטברת מול אשתקד'!A21,מגדל!A:G,6,0)+VLOOKUP('תפוקה מצטברת מול אשתקד'!A21,מנורה!A:G,6,0)+VLOOKUP('תפוקה מצטברת מול אשתקד'!A21,איילון!A:G,6,0)+VLOOKUP(A21,הראל!A:G,6,0)+VLOOKUP('תפוקה מצטברת מול אשתקד'!A21,הפניקס!A:G,6,0)+VLOOKUP('תפוקה מצטברת מול אשתקד'!A21,כלל!A:G,6,0)+VLOOKUP('תפוקה מצטברת מול אשתקד'!A21,מור!A:G,6,0)+VLOOKUP('תפוקה מצטברת מול אשתקד'!A21,'אלטשולר שחם'!A:G,6,0)+VLOOKUP('תפוקה מצטברת מול אשתקד'!A21,'מדיהו '!A:G,6,0)+VLOOKUP('תפוקה מצטברת מול אשתקד'!A21,'אנליסט '!A:G,6,0)+VLOOKUP('תפוקה מצטברת מול אשתקד'!A21,'מיטב דש'!A:G,6,0)+VLOOKUP('תפוקה מצטברת מול אשתקד'!A21,אינפניטי!A:G,6,0)</f>
        <v>0</v>
      </c>
      <c r="K21" s="58">
        <f>VLOOKUP(A21,הכשרה!A:G,7,0)+VLOOKUP('תפוקה מצטברת מול אשתקד'!A21,מגדל!A:G,7,0)+VLOOKUP('תפוקה מצטברת מול אשתקד'!A21,מנורה!A:G,7,0)+VLOOKUP('תפוקה מצטברת מול אשתקד'!A21,איילון!A:G,7,0)+VLOOKUP('תפוקה מצטברת מול אשתקד'!A21,הראל!A:G,7,0)+VLOOKUP('תפוקה מצטברת מול אשתקד'!A21,הפניקס!A:G,7,0)+VLOOKUP('תפוקה מצטברת מול אשתקד'!A21,כלל!A:G,7,0)+VLOOKUP('תפוקה מצטברת מול אשתקד'!A21,מור!A:G,7,0)+VLOOKUP('תפוקה מצטברת מול אשתקד'!A21,'אלטשולר שחם'!A:G,7,0)+VLOOKUP('תפוקה מצטברת מול אשתקד'!A21,'מדיהו '!A:K,7,0)+VLOOKUP(A21,'אנליסט '!A:G,7,0)+VLOOKUP('תפוקה מצטברת מול אשתקד'!A21,'מיטב דש'!A:G,7,0)+VLOOKUP('תפוקה מצטברת מול אשתקד'!A21,אינפניטי!A:G,7,0)</f>
        <v>0</v>
      </c>
      <c r="L21" s="12">
        <f>VLOOKUP(A21,הכשרה!A:K,8,0)+VLOOKUP('תפוקה מצטברת מול אשתקד'!A21,מגדל!A:K,8,0)+VLOOKUP('תפוקה מצטברת מול אשתקד'!A21,מנורה!A:K,8,0)+VLOOKUP('תפוקה מצטברת מול אשתקד'!A21,איילון!A:K,8,0)+VLOOKUP('תפוקה מצטברת מול אשתקד'!A21,הראל!A:K,8,0)+VLOOKUP('תפוקה מצטברת מול אשתקד'!A21,הפניקס!A:K,8,0)+VLOOKUP('תפוקה מצטברת מול אשתקד'!A21,כלל!A:K,8,0)+VLOOKUP('תפוקה מצטברת מול אשתקד'!A21,מור!A:K,8,0)+VLOOKUP('תפוקה מצטברת מול אשתקד'!A21,'אלטשולר שחם'!A:K,8,0)+VLOOKUP('תפוקה מצטברת מול אשתקד'!A21,'מדיהו '!A:K,8,0)+VLOOKUP('תפוקה מצטברת מול אשתקד'!A21,'אנליסט '!A:K,8,0)+VLOOKUP('תפוקה מצטברת מול אשתקד'!A21,'מיטב דש'!A:K,8,0)+VLOOKUP('תפוקה מצטברת מול אשתקד'!A21,אינפניטי!A:K,8,0)</f>
        <v>0</v>
      </c>
      <c r="M21" s="12">
        <f>VLOOKUP(A21,הכשרה!A:K,9,0)+VLOOKUP('תפוקה מצטברת מול אשתקד'!A21,מגדל!A:K,9,0)+VLOOKUP('תפוקה מצטברת מול אשתקד'!A21,מנורה!A:K,9,0)+VLOOKUP('תפוקה מצטברת מול אשתקד'!A21,איילון!A:K,9,0)+VLOOKUP('תפוקה מצטברת מול אשתקד'!A21,הראל!A:K,9,0)+VLOOKUP('תפוקה מצטברת מול אשתקד'!A21,הפניקס!A:K,9,0)+VLOOKUP('תפוקה מצטברת מול אשתקד'!A21,כלל!A:K,9,0)+VLOOKUP('תפוקה מצטברת מול אשתקד'!A21,מור!A:K,9,0)+VLOOKUP('תפוקה מצטברת מול אשתקד'!A21,'אלטשולר שחם'!A:K,9,0)+VLOOKUP('תפוקה מצטברת מול אשתקד'!A21,'מדיהו '!A:K,9,0)+VLOOKUP('תפוקה מצטברת מול אשתקד'!A21,'אנליסט '!A:K,9,0)+VLOOKUP('תפוקה מצטברת מול אשתקד'!A21,'מיטב דש'!A:K,9,0)+VLOOKUP('תפוקה מצטברת מול אשתקד'!A21,אינפניטי!A:K,9,0)</f>
        <v>4120.6830443355484</v>
      </c>
      <c r="N21" s="12">
        <f>VLOOKUP(A21,הכשרה!A:K,10,0)+VLOOKUP('תפוקה מצטברת מול אשתקד'!A21,מגדל!A:K,10,0)+VLOOKUP('תפוקה מצטברת מול אשתקד'!A21,מנורה!A:K,10,0)+VLOOKUP('תפוקה מצטברת מול אשתקד'!A21,איילון!A:K,10,0)+VLOOKUP('תפוקה מצטברת מול אשתקד'!A21,הראל!A:K,10,0)+VLOOKUP('תפוקה מצטברת מול אשתקד'!A21,הפניקס!A:K,10,0)+VLOOKUP('תפוקה מצטברת מול אשתקד'!A21,כלל!A:K,10,0)+VLOOKUP('תפוקה מצטברת מול אשתקד'!A21,מור!A:K,10,0)+VLOOKUP('תפוקה מצטברת מול אשתקד'!A21,'אלטשולר שחם'!A:K,10,0)+VLOOKUP('תפוקה מצטברת מול אשתקד'!A21,'מדיהו '!A:K,10,0)+VLOOKUP('תפוקה מצטברת מול אשתקד'!A21,'אנליסט '!A:K,10,0)+VLOOKUP('תפוקה מצטברת מול אשתקד'!A21,'מיטב דש'!A:K,10,0)+VLOOKUP('תפוקה מצטברת מול אשתקד'!A21,אינפניטי!A:K,10,0)</f>
        <v>147099.02898600002</v>
      </c>
      <c r="O21" s="12">
        <f>VLOOKUP(A21,הכשרה!A:K,11,0)+VLOOKUP('תפוקה מצטברת מול אשתקד'!A21,מגדל!A:K,11,0)+VLOOKUP('תפוקה מצטברת מול אשתקד'!A21,מנורה!A:K,11,0)+VLOOKUP('תפוקה מצטברת מול אשתקד'!A21,איילון!A:K,11,0)+VLOOKUP('תפוקה מצטברת מול אשתקד'!A21,הראל!A:K,11,0)+VLOOKUP('תפוקה מצטברת מול אשתקד'!A21,הפניקס!A:K,11,0)+VLOOKUP('תפוקה מצטברת מול אשתקד'!A21,כלל!A:K,11,0)+VLOOKUP('תפוקה מצטברת מול אשתקד'!A21,מור!A:K,11,0)+VLOOKUP('תפוקה מצטברת מול אשתקד'!A21,'אלטשולר שחם'!A:K,11,0)+VLOOKUP('תפוקה מצטברת מול אשתקד'!A21,'מדיהו '!A:K,11,0)+VLOOKUP('תפוקה מצטברת מול אשתקד'!A21,'אנליסט '!A:K,11,0)+VLOOKUP('תפוקה מצטברת מול אשתקד'!A21,'מיטב דש'!A:K,11,0)+VLOOKUP('תפוקה מצטברת מול אשתקד'!A21,אינפניטי!A:K,11,0)</f>
        <v>0</v>
      </c>
    </row>
    <row r="22" spans="1:18" ht="18" customHeight="1" thickBot="1" x14ac:dyDescent="0.35">
      <c r="A22" s="122" t="s">
        <v>10</v>
      </c>
      <c r="B22" s="121"/>
      <c r="C22" s="121"/>
      <c r="D22" s="126">
        <f t="shared" si="0"/>
        <v>5.2868308561068833E-2</v>
      </c>
      <c r="E22" s="126">
        <f t="shared" si="1"/>
        <v>0.43560698289709898</v>
      </c>
      <c r="F22" s="126">
        <f t="shared" si="2"/>
        <v>-0.30303798477844845</v>
      </c>
      <c r="G22" s="19">
        <f t="shared" si="5"/>
        <v>-0.54452761257400129</v>
      </c>
      <c r="H22" s="124">
        <f>SUM(H9:H21)</f>
        <v>3089301.6140683074</v>
      </c>
      <c r="I22" s="124">
        <f t="shared" ref="I22:O22" si="6">SUM(I9:I21)</f>
        <v>1714930.9063896895</v>
      </c>
      <c r="J22" s="124">
        <f t="shared" si="6"/>
        <v>16341208.021094762</v>
      </c>
      <c r="K22" s="124">
        <f t="shared" si="6"/>
        <v>7184904.9199999999</v>
      </c>
      <c r="L22" s="124">
        <f t="shared" si="6"/>
        <v>2934176.6571836374</v>
      </c>
      <c r="M22" s="124">
        <f t="shared" si="6"/>
        <v>1194568.5182785238</v>
      </c>
      <c r="N22" s="124">
        <f t="shared" si="6"/>
        <v>23446339.490826037</v>
      </c>
      <c r="O22" s="124">
        <f t="shared" si="6"/>
        <v>15774622.388425998</v>
      </c>
      <c r="P22" s="35"/>
      <c r="Q22" s="35"/>
      <c r="R22" s="35"/>
    </row>
    <row r="23" spans="1:18" ht="15.75" customHeight="1" x14ac:dyDescent="0.3">
      <c r="A23" s="27" t="s">
        <v>11</v>
      </c>
      <c r="B23" s="27" t="s">
        <v>56</v>
      </c>
      <c r="C23" s="27" t="s">
        <v>107</v>
      </c>
      <c r="D23" s="103">
        <f t="shared" si="0"/>
        <v>-0.17421310774229082</v>
      </c>
      <c r="E23" s="103">
        <f t="shared" si="1"/>
        <v>-1.5509179025282815E-2</v>
      </c>
      <c r="F23" s="103">
        <f t="shared" si="2"/>
        <v>-0.76230029851038184</v>
      </c>
      <c r="G23" s="19">
        <f t="shared" si="5"/>
        <v>-0.26417253083423264</v>
      </c>
      <c r="H23" s="5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809886.01149999991</v>
      </c>
      <c r="I23" s="5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125595.537</v>
      </c>
      <c r="J23" s="5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330864.83999999997</v>
      </c>
      <c r="K23" s="5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2854242.49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980744.57113961189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127574.10665916755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1391944.7013460002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3878956.1542679998</v>
      </c>
    </row>
    <row r="24" spans="1:18" customFormat="1" ht="15.75" customHeight="1" x14ac:dyDescent="0.3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-0.78272640861191789</v>
      </c>
      <c r="F24" s="19">
        <f t="shared" si="2"/>
        <v>0</v>
      </c>
      <c r="G24" s="19">
        <f t="shared" si="5"/>
        <v>-0.97401376600620704</v>
      </c>
      <c r="H24" s="5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0</v>
      </c>
      <c r="I24" s="5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3083.8083490234649</v>
      </c>
      <c r="J24" s="5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5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-11711.17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92069.841651598326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14193.203735999998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238023.90755900004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-450668.22698499996</v>
      </c>
    </row>
    <row r="25" spans="1:18" ht="15.75" customHeight="1" x14ac:dyDescent="0.3">
      <c r="A25" s="30" t="s">
        <v>13</v>
      </c>
      <c r="B25" s="26" t="s">
        <v>56</v>
      </c>
      <c r="C25" s="27" t="s">
        <v>107</v>
      </c>
      <c r="D25" s="19">
        <f t="shared" si="0"/>
        <v>0.99657241176878997</v>
      </c>
      <c r="E25" s="19">
        <f t="shared" si="1"/>
        <v>-0.43261875149208051</v>
      </c>
      <c r="F25" s="19">
        <f t="shared" si="2"/>
        <v>-0.90714788196362606</v>
      </c>
      <c r="G25" s="19">
        <f t="shared" si="5"/>
        <v>1.3895142897079333</v>
      </c>
      <c r="H25" s="5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28190.67325139153</v>
      </c>
      <c r="I25" s="5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12804.424034031957</v>
      </c>
      <c r="J25" s="5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3976.649296051708</v>
      </c>
      <c r="K25" s="5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-14017.99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14119.534601010058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22567.58408513607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42827.771516142377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-5866.4599999999991</v>
      </c>
    </row>
    <row r="26" spans="1:18" ht="15.75" customHeight="1" x14ac:dyDescent="0.3">
      <c r="A26" s="30" t="s">
        <v>15</v>
      </c>
      <c r="B26" s="26" t="s">
        <v>56</v>
      </c>
      <c r="C26" s="27" t="s">
        <v>107</v>
      </c>
      <c r="D26" s="19">
        <f t="shared" si="0"/>
        <v>-9.4617114542874137E-2</v>
      </c>
      <c r="E26" s="19">
        <f t="shared" si="1"/>
        <v>2.1979059026958847E-2</v>
      </c>
      <c r="F26" s="19">
        <f t="shared" si="2"/>
        <v>0.22808776995720059</v>
      </c>
      <c r="G26" s="19">
        <f t="shared" si="5"/>
        <v>2.1691149891058012</v>
      </c>
      <c r="H26" s="5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1004008.8313400404</v>
      </c>
      <c r="I26" s="5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105776.9615</v>
      </c>
      <c r="J26" s="5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843545.73439999996</v>
      </c>
      <c r="K26" s="5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2127579.39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1108932.8586470005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103502.08310600002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686877.39999999991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671348.12</v>
      </c>
    </row>
    <row r="27" spans="1:18" ht="15.75" customHeight="1" x14ac:dyDescent="0.3">
      <c r="A27" s="30" t="s">
        <v>17</v>
      </c>
      <c r="B27" s="26" t="s">
        <v>56</v>
      </c>
      <c r="C27" s="27" t="s">
        <v>107</v>
      </c>
      <c r="D27" s="19">
        <f t="shared" si="0"/>
        <v>-0.60242404080410905</v>
      </c>
      <c r="E27" s="19">
        <f t="shared" si="0"/>
        <v>2.5808200207602994E-2</v>
      </c>
      <c r="F27" s="19">
        <f t="shared" si="0"/>
        <v>6.7924340687120717</v>
      </c>
      <c r="G27" s="19">
        <f t="shared" si="5"/>
        <v>0.29022655845850021</v>
      </c>
      <c r="H27" s="5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102321.92694652559</v>
      </c>
      <c r="I27" s="5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58156.03452856106</v>
      </c>
      <c r="J27" s="5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200592.29237319095</v>
      </c>
      <c r="K27" s="5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190904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257364.47232240779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56692.892995777816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25741.930006004492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147961.610888</v>
      </c>
    </row>
    <row r="28" spans="1:18" ht="15.75" customHeight="1" x14ac:dyDescent="0.3">
      <c r="A28" s="30" t="s">
        <v>18</v>
      </c>
      <c r="B28" s="26" t="s">
        <v>56</v>
      </c>
      <c r="C28" s="27" t="s">
        <v>107</v>
      </c>
      <c r="D28" s="19">
        <f t="shared" si="0"/>
        <v>-0.74296052614332697</v>
      </c>
      <c r="E28" s="19">
        <f t="shared" si="0"/>
        <v>3.8502620209603933E-3</v>
      </c>
      <c r="F28" s="19">
        <f t="shared" si="0"/>
        <v>0.76678160259702999</v>
      </c>
      <c r="G28" s="19">
        <f t="shared" si="5"/>
        <v>-0.77634375326145433</v>
      </c>
      <c r="H28" s="5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27454.89</v>
      </c>
      <c r="I28" s="5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49894.046999999999</v>
      </c>
      <c r="J28" s="5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225184.05</v>
      </c>
      <c r="K28" s="5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59103.61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106811.95999999999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49702.678664000006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127454.37787500002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264260.94</v>
      </c>
    </row>
    <row r="29" spans="1:18" ht="15.75" customHeight="1" x14ac:dyDescent="0.3">
      <c r="A29" s="26" t="s">
        <v>19</v>
      </c>
      <c r="B29" s="26" t="s">
        <v>56</v>
      </c>
      <c r="C29" s="27" t="s">
        <v>107</v>
      </c>
      <c r="D29" s="19">
        <f t="shared" si="0"/>
        <v>-0.64033552493122659</v>
      </c>
      <c r="E29" s="19">
        <f t="shared" si="0"/>
        <v>-0.1787686736659746</v>
      </c>
      <c r="F29" s="19">
        <f t="shared" si="0"/>
        <v>0.32588051694877906</v>
      </c>
      <c r="G29" s="19">
        <f t="shared" si="5"/>
        <v>-0.77875017838676808</v>
      </c>
      <c r="H29" s="5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481769.02697970619</v>
      </c>
      <c r="I29" s="5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72345.61</v>
      </c>
      <c r="J29" s="5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1115202.1599999999</v>
      </c>
      <c r="K29" s="5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911002.32000000007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1339495.7255302586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88094.070062999934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841103.05999999994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4117527.9299999992</v>
      </c>
    </row>
    <row r="30" spans="1:18" ht="15.75" customHeight="1" x14ac:dyDescent="0.3">
      <c r="A30" s="26" t="s">
        <v>20</v>
      </c>
      <c r="B30" s="26" t="s">
        <v>56</v>
      </c>
      <c r="C30" s="27" t="s">
        <v>107</v>
      </c>
      <c r="D30" s="19">
        <f t="shared" si="0"/>
        <v>8.612260144348971E-2</v>
      </c>
      <c r="E30" s="19">
        <f t="shared" si="0"/>
        <v>-5.0821243745244105E-2</v>
      </c>
      <c r="F30" s="19">
        <f t="shared" si="0"/>
        <v>6.3666888992308657E-3</v>
      </c>
      <c r="G30" s="19">
        <f t="shared" si="5"/>
        <v>-1.0993661216705388</v>
      </c>
      <c r="H30" s="5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882473.34513177013</v>
      </c>
      <c r="I30" s="5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97901.515810199897</v>
      </c>
      <c r="J30" s="5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2402710.0300000003</v>
      </c>
      <c r="K30" s="5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-380692.29999999981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812498.83204615791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103143.39123696476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2387509.4997709999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3831208.1985269999</v>
      </c>
    </row>
    <row r="31" spans="1:18" ht="15.75" customHeight="1" x14ac:dyDescent="0.3">
      <c r="A31" s="26" t="s">
        <v>21</v>
      </c>
      <c r="B31" s="26" t="s">
        <v>56</v>
      </c>
      <c r="C31" s="27" t="s">
        <v>107</v>
      </c>
      <c r="D31" s="19">
        <f t="shared" si="0"/>
        <v>0</v>
      </c>
      <c r="E31" s="19">
        <f t="shared" si="0"/>
        <v>-0.9944126026977349</v>
      </c>
      <c r="F31" s="19">
        <f t="shared" si="0"/>
        <v>0</v>
      </c>
      <c r="G31" s="19">
        <f t="shared" ref="G31:G38" si="7">IF(K31=0,0%,IF(O31=H55,100%,K31/O31-1))</f>
        <v>0</v>
      </c>
      <c r="H31" s="5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0</v>
      </c>
      <c r="I31" s="5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9.77</v>
      </c>
      <c r="J31" s="5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0</v>
      </c>
      <c r="K31" s="5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0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1748.578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0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</row>
    <row r="32" spans="1:18" ht="15.75" customHeight="1" x14ac:dyDescent="0.3">
      <c r="A32" s="26" t="s">
        <v>22</v>
      </c>
      <c r="B32" s="26" t="s">
        <v>56</v>
      </c>
      <c r="C32" s="27" t="s">
        <v>107</v>
      </c>
      <c r="D32" s="19">
        <f t="shared" si="0"/>
        <v>-2.2817243439913759</v>
      </c>
      <c r="E32" s="19">
        <f t="shared" si="0"/>
        <v>2.2419332407461745E-3</v>
      </c>
      <c r="F32" s="19">
        <f t="shared" si="0"/>
        <v>-0.31094233687912898</v>
      </c>
      <c r="G32" s="19" t="e">
        <f t="shared" si="7"/>
        <v>#DIV/0!</v>
      </c>
      <c r="H32" s="5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41053.826915774822</v>
      </c>
      <c r="I32" s="5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4875.2298668525636</v>
      </c>
      <c r="J32" s="5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45585.683609235886</v>
      </c>
      <c r="K32" s="5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14254.46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-32030.153057661712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4864.3243763394767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66156.55851321615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  <c r="P32" s="10"/>
      <c r="Q32" s="106"/>
    </row>
    <row r="33" spans="1:15" ht="15.75" customHeight="1" x14ac:dyDescent="0.3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0</v>
      </c>
      <c r="F33" s="19">
        <f t="shared" si="0"/>
        <v>0</v>
      </c>
      <c r="G33" s="19">
        <f t="shared" si="7"/>
        <v>0</v>
      </c>
      <c r="H33" s="5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5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0</v>
      </c>
      <c r="J33" s="5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5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7.46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3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0"/>
        <v>9.2167420772668613</v>
      </c>
      <c r="F34" s="19">
        <f t="shared" si="0"/>
        <v>0</v>
      </c>
      <c r="G34" s="19">
        <f t="shared" si="7"/>
        <v>0</v>
      </c>
      <c r="H34" s="5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0</v>
      </c>
      <c r="I34" s="5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6634.0779999999995</v>
      </c>
      <c r="J34" s="5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0</v>
      </c>
      <c r="K34" s="5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0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649.33399999999995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0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0</v>
      </c>
    </row>
    <row r="35" spans="1:15" ht="15.75" customHeight="1" x14ac:dyDescent="0.3">
      <c r="A35" s="30" t="s">
        <v>25</v>
      </c>
      <c r="B35" s="26" t="s">
        <v>56</v>
      </c>
      <c r="C35" s="27" t="s">
        <v>107</v>
      </c>
      <c r="D35" s="19">
        <f t="shared" si="0"/>
        <v>1.4829765164193542E-2</v>
      </c>
      <c r="E35" s="19">
        <f t="shared" si="0"/>
        <v>-0.35564596342480159</v>
      </c>
      <c r="F35" s="19">
        <f t="shared" si="0"/>
        <v>-0.51791779808822047</v>
      </c>
      <c r="G35" s="19">
        <f t="shared" si="7"/>
        <v>-0.81447797839054437</v>
      </c>
      <c r="H35" s="5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1954208.5290769357</v>
      </c>
      <c r="I35" s="5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270048.03288136324</v>
      </c>
      <c r="J35" s="5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2768253.3764824551</v>
      </c>
      <c r="K35" s="5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2849610.87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1925651.5685276105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419098.84559223626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5742284.9578442685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15359960.210000006</v>
      </c>
    </row>
    <row r="36" spans="1:15" ht="15.75" customHeight="1" x14ac:dyDescent="0.3">
      <c r="A36" s="26" t="s">
        <v>26</v>
      </c>
      <c r="B36" s="26" t="s">
        <v>56</v>
      </c>
      <c r="C36" s="27" t="s">
        <v>107</v>
      </c>
      <c r="D36" s="19">
        <f t="shared" si="0"/>
        <v>-0.55419875010100494</v>
      </c>
      <c r="E36" s="19">
        <f t="shared" si="0"/>
        <v>0</v>
      </c>
      <c r="F36" s="19">
        <f t="shared" si="0"/>
        <v>0</v>
      </c>
      <c r="G36" s="19">
        <f t="shared" si="7"/>
        <v>0</v>
      </c>
      <c r="H36" s="5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2262</v>
      </c>
      <c r="I36" s="5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0</v>
      </c>
      <c r="J36" s="5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0</v>
      </c>
      <c r="K36" s="5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0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5074.01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2399.63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0</v>
      </c>
    </row>
    <row r="37" spans="1:15" ht="15.75" customHeight="1" x14ac:dyDescent="0.3">
      <c r="A37" s="26" t="s">
        <v>27</v>
      </c>
      <c r="B37" s="26" t="s">
        <v>56</v>
      </c>
      <c r="C37" s="27" t="s">
        <v>107</v>
      </c>
      <c r="D37" s="19">
        <f t="shared" si="0"/>
        <v>0.23282558673642018</v>
      </c>
      <c r="E37" s="19">
        <f t="shared" si="0"/>
        <v>0.20753376966773551</v>
      </c>
      <c r="F37" s="19">
        <f t="shared" si="0"/>
        <v>0.35334281138893919</v>
      </c>
      <c r="G37" s="19">
        <f t="shared" si="7"/>
        <v>2.055875437126319</v>
      </c>
      <c r="H37" s="5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44755.199999999997</v>
      </c>
      <c r="I37" s="5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-3451</v>
      </c>
      <c r="J37" s="5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24102.44</v>
      </c>
      <c r="K37" s="5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-580576.23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36302.94543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-2857.8910890000002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17809.560000000001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-189986.87673800005</v>
      </c>
    </row>
    <row r="38" spans="1:15" ht="15.75" customHeight="1" x14ac:dyDescent="0.3">
      <c r="A38" s="26" t="s">
        <v>28</v>
      </c>
      <c r="B38" s="26" t="s">
        <v>56</v>
      </c>
      <c r="C38" s="27" t="s">
        <v>107</v>
      </c>
      <c r="D38" s="19">
        <f t="shared" si="0"/>
        <v>-4.1266574063991435</v>
      </c>
      <c r="E38" s="19">
        <f t="shared" si="0"/>
        <v>0</v>
      </c>
      <c r="F38" s="19">
        <f t="shared" si="0"/>
        <v>0</v>
      </c>
      <c r="G38" s="19">
        <f t="shared" si="7"/>
        <v>0</v>
      </c>
      <c r="H38" s="5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63754.879654273449</v>
      </c>
      <c r="I38" s="5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0</v>
      </c>
      <c r="J38" s="5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0</v>
      </c>
      <c r="K38" s="5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0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-20390.746847988568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623322.27</v>
      </c>
    </row>
    <row r="39" spans="1:15" ht="15.75" customHeight="1" x14ac:dyDescent="0.3">
      <c r="A39" s="26" t="s">
        <v>29</v>
      </c>
      <c r="B39" s="26" t="s">
        <v>56</v>
      </c>
      <c r="C39" s="27" t="s">
        <v>107</v>
      </c>
      <c r="D39" s="19">
        <f t="shared" si="0"/>
        <v>2.3479463747030582</v>
      </c>
      <c r="E39" s="19">
        <f t="shared" si="0"/>
        <v>2.4360828130134737</v>
      </c>
      <c r="F39" s="19">
        <f t="shared" si="0"/>
        <v>1</v>
      </c>
      <c r="G39" s="19">
        <f t="shared" ref="G39:G54" si="8">IF(K39=0,0%,IF(O39=H65,100%,K39/O39-1))</f>
        <v>1</v>
      </c>
      <c r="H39" s="5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23585.8</v>
      </c>
      <c r="I39" s="5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2614</v>
      </c>
      <c r="J39" s="5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246259.19</v>
      </c>
      <c r="K39" s="5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230013.85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7044.855968486625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760.75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0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0</v>
      </c>
    </row>
    <row r="40" spans="1:15" ht="15.75" customHeight="1" x14ac:dyDescent="0.3">
      <c r="A40" s="30" t="s">
        <v>95</v>
      </c>
      <c r="B40" s="26" t="s">
        <v>56</v>
      </c>
      <c r="C40" s="27" t="s">
        <v>107</v>
      </c>
      <c r="D40" s="19">
        <f t="shared" si="0"/>
        <v>2.4888071994876082E-2</v>
      </c>
      <c r="E40" s="19">
        <f t="shared" si="0"/>
        <v>-3.1906896336573065E-2</v>
      </c>
      <c r="F40" s="19">
        <f t="shared" si="0"/>
        <v>7.8907324783922705E-2</v>
      </c>
      <c r="G40" s="19">
        <f t="shared" si="8"/>
        <v>-0.5731540846457408</v>
      </c>
      <c r="H40" s="5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414338.30679207749</v>
      </c>
      <c r="I40" s="5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43595.543740730893</v>
      </c>
      <c r="J40" s="5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834959.46726859419</v>
      </c>
      <c r="K40" s="5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1595065.21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404276.64065364294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45032.387459179321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773893.59409142495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3736864.1765639987</v>
      </c>
    </row>
    <row r="41" spans="1:15" ht="15.75" customHeight="1" x14ac:dyDescent="0.3">
      <c r="A41" s="26" t="s">
        <v>83</v>
      </c>
      <c r="B41" s="26" t="s">
        <v>56</v>
      </c>
      <c r="C41" s="27" t="s">
        <v>107</v>
      </c>
      <c r="D41" s="19">
        <f t="shared" si="0"/>
        <v>-0.9590626721611677</v>
      </c>
      <c r="E41" s="19">
        <f t="shared" si="0"/>
        <v>-0.41619999045602707</v>
      </c>
      <c r="F41" s="19">
        <f t="shared" si="0"/>
        <v>-0.77248592233009705</v>
      </c>
      <c r="G41" s="19">
        <f t="shared" si="8"/>
        <v>0</v>
      </c>
      <c r="H41" s="5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9990</v>
      </c>
      <c r="I41" s="5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22432.74973032199</v>
      </c>
      <c r="J41" s="5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9373.58</v>
      </c>
      <c r="K41" s="5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0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244031.56061699998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38425.401444999996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41200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130943.81152000002</v>
      </c>
    </row>
    <row r="42" spans="1:15" ht="15.75" customHeight="1" x14ac:dyDescent="0.3">
      <c r="A42" s="26" t="s">
        <v>82</v>
      </c>
      <c r="B42" s="26" t="s">
        <v>56</v>
      </c>
      <c r="C42" s="27" t="s">
        <v>107</v>
      </c>
      <c r="D42" s="19">
        <f t="shared" si="0"/>
        <v>1</v>
      </c>
      <c r="E42" s="19">
        <f t="shared" si="0"/>
        <v>2.1113937235280402</v>
      </c>
      <c r="F42" s="19">
        <f t="shared" si="0"/>
        <v>3.7553464352876444</v>
      </c>
      <c r="G42" s="19">
        <f t="shared" si="8"/>
        <v>-0.94348030946369499</v>
      </c>
      <c r="H42" s="5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7074.392520490368</v>
      </c>
      <c r="I42" s="5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31558.838535201401</v>
      </c>
      <c r="J42" s="5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604514</v>
      </c>
      <c r="K42" s="5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178619.22999999998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10142.991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127123.02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3160300.9200000004</v>
      </c>
    </row>
    <row r="43" spans="1:15" ht="15.75" customHeight="1" x14ac:dyDescent="0.3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0"/>
        <v>1</v>
      </c>
      <c r="F43" s="19">
        <f t="shared" si="0"/>
        <v>0</v>
      </c>
      <c r="G43" s="19">
        <f t="shared" si="8"/>
        <v>0</v>
      </c>
      <c r="H43" s="5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0</v>
      </c>
      <c r="I43" s="5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5611.4780000000001</v>
      </c>
      <c r="J43" s="5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0</v>
      </c>
      <c r="K43" s="5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0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0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0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3">
      <c r="A44" s="28" t="s">
        <v>87</v>
      </c>
      <c r="B44" s="26" t="s">
        <v>56</v>
      </c>
      <c r="C44" s="27" t="s">
        <v>107</v>
      </c>
      <c r="D44" s="19">
        <f t="shared" si="0"/>
        <v>-0.25824526696811911</v>
      </c>
      <c r="E44" s="19">
        <f t="shared" si="0"/>
        <v>-1.8862517607832228</v>
      </c>
      <c r="F44" s="19">
        <f t="shared" si="0"/>
        <v>0.94616533263573555</v>
      </c>
      <c r="G44" s="19">
        <v>1</v>
      </c>
      <c r="H44" s="5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10393.585999999999</v>
      </c>
      <c r="I44" s="5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-4045.5</v>
      </c>
      <c r="J44" s="5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1059086.69</v>
      </c>
      <c r="K44" s="5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955923.42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14012.16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4564.7299999999996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544191.53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3">
      <c r="A45" s="26" t="s">
        <v>97</v>
      </c>
      <c r="B45" s="26" t="s">
        <v>56</v>
      </c>
      <c r="C45" s="26" t="s">
        <v>107</v>
      </c>
      <c r="D45" s="19">
        <f t="shared" si="0"/>
        <v>0.31852164531700344</v>
      </c>
      <c r="E45" s="19">
        <f t="shared" si="0"/>
        <v>0.92990822343013124</v>
      </c>
      <c r="F45" s="19">
        <f t="shared" si="0"/>
        <v>7.0580985113473869</v>
      </c>
      <c r="G45" s="19">
        <f t="shared" si="8"/>
        <v>-0.72122589846411345</v>
      </c>
      <c r="H45" s="5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119634.28049999999</v>
      </c>
      <c r="I45" s="5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4022.72</v>
      </c>
      <c r="J45" s="5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1496891.3800000001</v>
      </c>
      <c r="K45" s="5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400297.28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90733.649254000004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2084.41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185762.35794239581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1435919.9</v>
      </c>
    </row>
    <row r="46" spans="1:15" ht="15.75" customHeight="1" x14ac:dyDescent="0.3">
      <c r="A46" s="26" t="s">
        <v>39</v>
      </c>
      <c r="B46" s="26" t="s">
        <v>56</v>
      </c>
      <c r="C46" s="26" t="s">
        <v>107</v>
      </c>
      <c r="D46" s="19">
        <f t="shared" si="0"/>
        <v>-0.76072392490883667</v>
      </c>
      <c r="E46" s="19">
        <f t="shared" si="0"/>
        <v>10.783506275630669</v>
      </c>
      <c r="F46" s="19">
        <f t="shared" si="0"/>
        <v>0</v>
      </c>
      <c r="G46" s="19">
        <v>1</v>
      </c>
      <c r="H46" s="5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23762.05</v>
      </c>
      <c r="I46" s="5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22757.25</v>
      </c>
      <c r="J46" s="5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0</v>
      </c>
      <c r="K46" s="5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140806.85999999999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99308.09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1931.28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18377.04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0</v>
      </c>
    </row>
    <row r="47" spans="1:15" ht="15.75" customHeight="1" x14ac:dyDescent="0.3">
      <c r="A47" s="26" t="s">
        <v>91</v>
      </c>
      <c r="B47" s="26" t="s">
        <v>56</v>
      </c>
      <c r="C47" s="26" t="s">
        <v>107</v>
      </c>
      <c r="D47" s="19">
        <f t="shared" si="0"/>
        <v>0.29760502868889493</v>
      </c>
      <c r="E47" s="19">
        <f t="shared" si="0"/>
        <v>-0.14425624563212214</v>
      </c>
      <c r="F47" s="19">
        <f t="shared" si="0"/>
        <v>-0.57818441298189671</v>
      </c>
      <c r="G47" s="19">
        <f t="shared" si="8"/>
        <v>-0.60576425401055167</v>
      </c>
      <c r="H47" s="5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180157.22100000002</v>
      </c>
      <c r="I47" s="5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14237.655999999999</v>
      </c>
      <c r="J47" s="5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145758.21000000002</v>
      </c>
      <c r="K47" s="5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616583.69999999995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138838.25741799996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16637.756252766452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345549.60623999999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1563997.4463819999</v>
      </c>
    </row>
    <row r="48" spans="1:15" ht="15.75" customHeight="1" x14ac:dyDescent="0.3">
      <c r="A48" s="26" t="s">
        <v>41</v>
      </c>
      <c r="B48" s="26" t="s">
        <v>56</v>
      </c>
      <c r="C48" s="26" t="s">
        <v>107</v>
      </c>
      <c r="D48" s="19">
        <f t="shared" si="0"/>
        <v>-0.79020072122424057</v>
      </c>
      <c r="E48" s="19">
        <f t="shared" si="0"/>
        <v>-1.0712138012925259</v>
      </c>
      <c r="F48" s="19">
        <f t="shared" si="0"/>
        <v>0</v>
      </c>
      <c r="G48" s="19">
        <f t="shared" si="8"/>
        <v>0</v>
      </c>
      <c r="H48" s="5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6018</v>
      </c>
      <c r="I48" s="5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870</v>
      </c>
      <c r="J48" s="5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5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28684.560000000001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-12216.733051874169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909374.59000000008</v>
      </c>
    </row>
    <row r="49" spans="1:15" ht="15.75" customHeight="1" x14ac:dyDescent="0.3">
      <c r="A49" s="28" t="s">
        <v>88</v>
      </c>
      <c r="B49" s="28" t="s">
        <v>56</v>
      </c>
      <c r="C49" s="26" t="s">
        <v>107</v>
      </c>
      <c r="D49" s="101">
        <f t="shared" si="0"/>
        <v>6.7968953492173005</v>
      </c>
      <c r="E49" s="101">
        <f t="shared" si="0"/>
        <v>-7.3075426702797346</v>
      </c>
      <c r="F49" s="101">
        <f t="shared" si="0"/>
        <v>10.064233845918075</v>
      </c>
      <c r="G49" s="19">
        <f t="shared" si="8"/>
        <v>31.630521142203818</v>
      </c>
      <c r="H49" s="5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135960</v>
      </c>
      <c r="I49" s="5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3272.9</v>
      </c>
      <c r="J49" s="5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4501</v>
      </c>
      <c r="K49" s="5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156597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17437.71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-518.88669979538156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406.80629699999997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4799.0958929999997</v>
      </c>
    </row>
    <row r="50" spans="1:15" ht="15.75" customHeight="1" x14ac:dyDescent="0.3">
      <c r="A50" s="26" t="s">
        <v>14</v>
      </c>
      <c r="B50" s="26" t="s">
        <v>55</v>
      </c>
      <c r="C50" s="26" t="s">
        <v>107</v>
      </c>
      <c r="D50" s="19">
        <f t="shared" ref="D50:F55" si="9">IF(H50=0,0%,IF(L50=0,100%,H50/L50-1))</f>
        <v>0</v>
      </c>
      <c r="E50" s="19">
        <f t="shared" si="9"/>
        <v>0</v>
      </c>
      <c r="F50" s="19">
        <f t="shared" si="9"/>
        <v>0</v>
      </c>
      <c r="G50" s="19">
        <f t="shared" si="8"/>
        <v>0</v>
      </c>
      <c r="H50" s="5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5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5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5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3">
      <c r="A51" s="26" t="s">
        <v>36</v>
      </c>
      <c r="B51" s="26" t="s">
        <v>55</v>
      </c>
      <c r="C51" s="26" t="s">
        <v>107</v>
      </c>
      <c r="D51" s="19">
        <f t="shared" si="9"/>
        <v>0</v>
      </c>
      <c r="E51" s="19">
        <f t="shared" si="9"/>
        <v>0</v>
      </c>
      <c r="F51" s="19">
        <f t="shared" si="9"/>
        <v>0</v>
      </c>
      <c r="G51" s="19">
        <f t="shared" si="8"/>
        <v>0</v>
      </c>
      <c r="H51" s="5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5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5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5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10129.702791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1133.4596760000002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3">
      <c r="A52" s="26" t="s">
        <v>94</v>
      </c>
      <c r="B52" s="26" t="s">
        <v>55</v>
      </c>
      <c r="C52" s="26" t="s">
        <v>107</v>
      </c>
      <c r="D52" s="19">
        <f t="shared" si="9"/>
        <v>0</v>
      </c>
      <c r="E52" s="19">
        <f t="shared" si="9"/>
        <v>6.5547835407673949E-2</v>
      </c>
      <c r="F52" s="19">
        <f t="shared" si="9"/>
        <v>0</v>
      </c>
      <c r="G52" s="19">
        <f t="shared" si="8"/>
        <v>0</v>
      </c>
      <c r="H52" s="5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0</v>
      </c>
      <c r="I52" s="5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2305.5</v>
      </c>
      <c r="J52" s="5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5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116.52501900000001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2163.6757387977104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-115261.94</v>
      </c>
    </row>
    <row r="53" spans="1:15" ht="15.75" customHeight="1" x14ac:dyDescent="0.3">
      <c r="A53" s="26" t="s">
        <v>98</v>
      </c>
      <c r="B53" s="26" t="s">
        <v>55</v>
      </c>
      <c r="C53" s="27" t="s">
        <v>107</v>
      </c>
      <c r="D53" s="19">
        <f t="shared" si="9"/>
        <v>1</v>
      </c>
      <c r="E53" s="19">
        <f t="shared" si="9"/>
        <v>1</v>
      </c>
      <c r="F53" s="19">
        <f t="shared" si="9"/>
        <v>0</v>
      </c>
      <c r="G53" s="19">
        <f t="shared" si="8"/>
        <v>0</v>
      </c>
      <c r="H53" s="5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30045.09</v>
      </c>
      <c r="I53" s="5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10877.9</v>
      </c>
      <c r="J53" s="5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5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0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-52867.72</v>
      </c>
    </row>
    <row r="54" spans="1:15" ht="15.75" customHeight="1" x14ac:dyDescent="0.3">
      <c r="A54" s="26" t="s">
        <v>129</v>
      </c>
      <c r="B54" s="26" t="s">
        <v>108</v>
      </c>
      <c r="C54" s="27" t="s">
        <v>107</v>
      </c>
      <c r="D54" s="19">
        <f t="shared" si="9"/>
        <v>0</v>
      </c>
      <c r="E54" s="19">
        <f t="shared" si="9"/>
        <v>1</v>
      </c>
      <c r="F54" s="19">
        <f t="shared" si="9"/>
        <v>0</v>
      </c>
      <c r="G54" s="19">
        <f t="shared" si="8"/>
        <v>1</v>
      </c>
      <c r="H54" s="58">
        <f>VLOOKUP(A54,הכשרה!A:G,4,0)+VLOOKUP('תפוקה מצטברת מול אשתקד'!A54,מגדל!A:G,4,0)+VLOOKUP('תפוקה מצטברת מול אשתקד'!A54,מנורה!A:G,4,0)+VLOOKUP('תפוקה מצטברת מול אשתקד'!A54,איילון!A:G,4,0)+VLOOKUP('תפוקה מצטברת מול אשתקד'!A54,הראל!A:G,4,0)+VLOOKUP('תפוקה מצטברת מול אשתקד'!A54,הפניקס!A:G,4,0)+VLOOKUP('תפוקה מצטברת מול אשתקד'!A54,כלל!A:G,4,0)+VLOOKUP('תפוקה מצטברת מול אשתקד'!A54,מור!A:G,4,0)+VLOOKUP('תפוקה מצטברת מול אשתקד'!A54,'אלטשולר שחם'!A:G,4,0)+VLOOKUP('תפוקה מצטברת מול אשתקד'!A54,'מדיהו '!A:G,4,0)+VLOOKUP('תפוקה מצטברת מול אשתקד'!A54,'אנליסט '!A:G,4,0)+VLOOKUP('תפוקה מצטברת מול אשתקד'!A54,'מיטב דש'!A:G,4,0)+VLOOKUP('תפוקה מצטברת מול אשתקד'!A54,אינפניטי!A:G,4,0)</f>
        <v>0</v>
      </c>
      <c r="I54" s="58">
        <f>VLOOKUP(A54,הכשרה!A:G,5,0)+VLOOKUP('תפוקה מצטברת מול אשתקד'!A54,מגדל!A:G,5,0)+VLOOKUP('תפוקה מצטברת מול אשתקד'!A54,מנורה!A:G,5,0)+VLOOKUP('תפוקה מצטברת מול אשתקד'!A54,איילון!A:G,5,0)+VLOOKUP('תפוקה מצטברת מול אשתקד'!A54,הראל!A:G,5,0)+VLOOKUP('תפוקה מצטברת מול אשתקד'!A54,הפניקס!A:G,5,0)+VLOOKUP('תפוקה מצטברת מול אשתקד'!A54,כלל!A:G,5,0)+VLOOKUP('תפוקה מצטברת מול אשתקד'!A54,מור!A:G,5,0)+VLOOKUP('תפוקה מצטברת מול אשתקד'!A54,'אלטשולר שחם'!A:G,5,0)+VLOOKUP('תפוקה מצטברת מול אשתקד'!A54,'מדיהו '!A:G,5,0)+VLOOKUP('תפוקה מצטברת מול אשתקד'!A54,'אנליסט '!A:G,5,0)+VLOOKUP('תפוקה מצטברת מול אשתקד'!A54,'מיטב דש'!A:G,5,0)+VLOOKUP('תפוקה מצטברת מול אשתקד'!A54,אינפניטי!A:G,5,0)</f>
        <v>1144.091330151484</v>
      </c>
      <c r="J54" s="58">
        <f>VLOOKUP(A54,הכשרה!A:G,6,0)+VLOOKUP('תפוקה מצטברת מול אשתקד'!A54,מגדל!A:G,6,0)+VLOOKUP('תפוקה מצטברת מול אשתקד'!A54,מנורה!A:G,6,0)+VLOOKUP('תפוקה מצטברת מול אשתקד'!A54,איילון!A:G,6,0)+VLOOKUP(A54,הראל!A:G,6,0)+VLOOKUP('תפוקה מצטברת מול אשתקד'!A54,הפניקס!A:G,6,0)+VLOOKUP('תפוקה מצטברת מול אשתקד'!A54,כלל!A:G,6,0)+VLOOKUP('תפוקה מצטברת מול אשתקד'!A54,מור!A:G,6,0)+VLOOKUP('תפוקה מצטברת מול אשתקד'!A54,'אלטשולר שחם'!A:G,6,0)+VLOOKUP('תפוקה מצטברת מול אשתקד'!A54,'מדיהו '!A:G,6,0)+VLOOKUP('תפוקה מצטברת מול אשתקד'!A54,'אנליסט '!A:G,6,0)+VLOOKUP('תפוקה מצטברת מול אשתקד'!A54,'מיטב דש'!A:G,6,0)+VLOOKUP('תפוקה מצטברת מול אשתקד'!A54,אינפניטי!A:G,6,0)</f>
        <v>0</v>
      </c>
      <c r="K54" s="58">
        <f>VLOOKUP(A54,הכשרה!A:G,7,0)+VLOOKUP('תפוקה מצטברת מול אשתקד'!A54,מגדל!A:G,7,0)+VLOOKUP('תפוקה מצטברת מול אשתקד'!A54,מנורה!A:G,7,0)+VLOOKUP('תפוקה מצטברת מול אשתקד'!A54,איילון!A:G,7,0)+VLOOKUP('תפוקה מצטברת מול אשתקד'!A54,הראל!A:G,7,0)+VLOOKUP('תפוקה מצטברת מול אשתקד'!A54,הפניקס!A:G,7,0)+VLOOKUP('תפוקה מצטברת מול אשתקד'!A54,כלל!A:G,7,0)+VLOOKUP('תפוקה מצטברת מול אשתקד'!A54,מור!A:G,7,0)+VLOOKUP('תפוקה מצטברת מול אשתקד'!A54,'אלטשולר שחם'!A:G,7,0)+VLOOKUP('תפוקה מצטברת מול אשתקד'!A54,'מדיהו '!A:K,7,0)+VLOOKUP(A54,'אנליסט '!A:G,7,0)+VLOOKUP('תפוקה מצטברת מול אשתקד'!A54,'מיטב דש'!A:G,7,0)+VLOOKUP('תפוקה מצטברת מול אשתקד'!A54,אינפניטי!A:G,7,0)</f>
        <v>-59363.66</v>
      </c>
      <c r="L54" s="12">
        <f>VLOOKUP(A54,הכשרה!A:K,8,0)+VLOOKUP('תפוקה מצטברת מול אשתקד'!A54,מגדל!A:K,8,0)+VLOOKUP('תפוקה מצטברת מול אשתקד'!A54,מנורה!A:K,8,0)+VLOOKUP('תפוקה מצטברת מול אשתקד'!A54,איילון!A:K,8,0)+VLOOKUP('תפוקה מצטברת מול אשתקד'!A54,הראל!A:K,8,0)+VLOOKUP('תפוקה מצטברת מול אשתקד'!A54,הפניקס!A:K,8,0)+VLOOKUP('תפוקה מצטברת מול אשתקד'!A54,כלל!A:K,8,0)+VLOOKUP('תפוקה מצטברת מול אשתקד'!A54,מור!A:K,8,0)+VLOOKUP('תפוקה מצטברת מול אשתקד'!A54,'אלטשולר שחם'!A:K,8,0)+VLOOKUP('תפוקה מצטברת מול אשתקד'!A54,'מדיהו '!A:K,8,0)+VLOOKUP('תפוקה מצטברת מול אשתקד'!A54,'אנליסט '!A:K,8,0)+VLOOKUP('תפוקה מצטברת מול אשתקד'!A54,'מיטב דש'!A:K,8,0)+VLOOKUP('תפוקה מצטברת מול אשתקד'!A54,אינפניטי!A:K,8,0)</f>
        <v>0</v>
      </c>
      <c r="M54" s="12">
        <f>VLOOKUP(A54,הכשרה!A:K,9,0)+VLOOKUP('תפוקה מצטברת מול אשתקד'!A54,מגדל!A:K,9,0)+VLOOKUP('תפוקה מצטברת מול אשתקד'!A54,מנורה!A:K,9,0)+VLOOKUP('תפוקה מצטברת מול אשתקד'!A54,איילון!A:K,9,0)+VLOOKUP('תפוקה מצטברת מול אשתקד'!A54,הראל!A:K,9,0)+VLOOKUP('תפוקה מצטברת מול אשתקד'!A54,הפניקס!A:K,9,0)+VLOOKUP('תפוקה מצטברת מול אשתקד'!A54,כלל!A:K,9,0)+VLOOKUP('תפוקה מצטברת מול אשתקד'!A54,מור!A:K,9,0)+VLOOKUP('תפוקה מצטברת מול אשתקד'!A54,'אלטשולר שחם'!A:K,9,0)+VLOOKUP('תפוקה מצטברת מול אשתקד'!A54,'מדיהו '!A:K,9,0)+VLOOKUP('תפוקה מצטברת מול אשתקד'!A54,'אנליסט '!A:K,9,0)+VLOOKUP('תפוקה מצטברת מול אשתקד'!A54,'מיטב דש'!A:K,9,0)+VLOOKUP('תפוקה מצטברת מול אשתקד'!A54,אינפניטי!A:K,9,0)</f>
        <v>0</v>
      </c>
      <c r="N54" s="12">
        <f>VLOOKUP(A54,הכשרה!A:K,10,0)+VLOOKUP('תפוקה מצטברת מול אשתקד'!A54,מגדל!A:K,10,0)+VLOOKUP('תפוקה מצטברת מול אשתקד'!A54,מנורה!A:K,10,0)+VLOOKUP('תפוקה מצטברת מול אשתקד'!A54,איילון!A:K,10,0)+VLOOKUP('תפוקה מצטברת מול אשתקד'!A54,הראל!A:K,10,0)+VLOOKUP('תפוקה מצטברת מול אשתקד'!A54,הפניקס!A:K,10,0)+VLOOKUP('תפוקה מצטברת מול אשתקד'!A54,כלל!A:K,10,0)+VLOOKUP('תפוקה מצטברת מול אשתקד'!A54,מור!A:K,10,0)+VLOOKUP('תפוקה מצטברת מול אשתקד'!A54,'אלטשולר שחם'!A:K,10,0)+VLOOKUP('תפוקה מצטברת מול אשתקד'!A54,'מדיהו '!A:K,10,0)+VLOOKUP('תפוקה מצטברת מול אשתקד'!A54,'אנליסט '!A:K,10,0)+VLOOKUP('תפוקה מצטברת מול אשתקד'!A54,'מיטב דש'!A:K,10,0)+VLOOKUP('תפוקה מצטברת מול אשתקד'!A54,אינפניטי!A:K,10,0)</f>
        <v>0</v>
      </c>
      <c r="O54" s="12">
        <f>VLOOKUP(A54,הכשרה!A:K,11,0)+VLOOKUP('תפוקה מצטברת מול אשתקד'!A54,מגדל!A:K,11,0)+VLOOKUP('תפוקה מצטברת מול אשתקד'!A54,מנורה!A:K,11,0)+VLOOKUP('תפוקה מצטברת מול אשתקד'!A54,איילון!A:K,11,0)+VLOOKUP('תפוקה מצטברת מול אשתקד'!A54,הראל!A:K,11,0)+VLOOKUP('תפוקה מצטברת מול אשתקד'!A54,הפניקס!A:K,11,0)+VLOOKUP('תפוקה מצטברת מול אשתקד'!A54,כלל!A:K,11,0)+VLOOKUP('תפוקה מצטברת מול אשתקד'!A54,מור!A:K,11,0)+VLOOKUP('תפוקה מצטברת מול אשתקד'!A54,'אלטשולר שחם'!A:K,11,0)+VLOOKUP('תפוקה מצטברת מול אשתקד'!A54,'מדיהו '!A:K,11,0)+VLOOKUP('תפוקה מצטברת מול אשתקד'!A54,'אנליסט '!A:K,11,0)+VLOOKUP('תפוקה מצטברת מול אשתקד'!A54,'מיטב דש'!A:K,11,0)+VLOOKUP('תפוקה מצטברת מול אשתקד'!A54,אינפניטי!A:K,11,0)</f>
        <v>0</v>
      </c>
    </row>
    <row r="55" spans="1:15" ht="15.75" customHeight="1" thickBot="1" x14ac:dyDescent="0.35">
      <c r="A55" s="26" t="s">
        <v>32</v>
      </c>
      <c r="B55" s="26" t="s">
        <v>55</v>
      </c>
      <c r="C55" s="27" t="s">
        <v>107</v>
      </c>
      <c r="D55" s="19">
        <f t="shared" si="9"/>
        <v>0</v>
      </c>
      <c r="E55" s="19">
        <f t="shared" si="9"/>
        <v>0</v>
      </c>
      <c r="F55" s="19">
        <f t="shared" si="9"/>
        <v>0</v>
      </c>
      <c r="G55" s="19">
        <f t="shared" ref="G55:G64" si="10">IF(K55=0,0%,IF(O55=H80,100%,K55/O55-1))</f>
        <v>0</v>
      </c>
      <c r="H55" s="5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0</v>
      </c>
      <c r="I55" s="5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5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5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126.32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0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0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27" customHeight="1" thickBot="1" x14ac:dyDescent="0.35">
      <c r="A56" s="123" t="s">
        <v>115</v>
      </c>
      <c r="B56" s="121"/>
      <c r="C56" s="121"/>
      <c r="D56" s="19">
        <f t="shared" ref="D56:D57" si="11">IF(H56=0,0%,IF(L56=0,100%,H56/L56-1))</f>
        <v>-0.16641367525924533</v>
      </c>
      <c r="E56" s="19">
        <f t="shared" ref="E56:E57" si="12">IF(I56=0,0%,IF(M56=0,100%,I56/M56-1))</f>
        <v>-0.12400333111677542</v>
      </c>
      <c r="F56" s="19">
        <f t="shared" ref="F56:F57" si="13">IF(J56=0,0%,IF(N56=0,100%,J56/N56-1))</f>
        <v>-9.1359540673884188E-2</v>
      </c>
      <c r="G56" s="19">
        <f t="shared" si="10"/>
        <v>-0.68647909328310663</v>
      </c>
      <c r="H56" s="123">
        <f>SUM(H23:H55)</f>
        <v>6403097.8676089859</v>
      </c>
      <c r="I56" s="123">
        <f t="shared" ref="I56:O56" si="14">SUM(I23:I55)</f>
        <v>964929.17630643805</v>
      </c>
      <c r="J56" s="123">
        <f t="shared" si="14"/>
        <v>12361360.77342953</v>
      </c>
      <c r="K56" s="123">
        <f t="shared" si="14"/>
        <v>12234242.34</v>
      </c>
      <c r="L56" s="123">
        <f t="shared" si="14"/>
        <v>7681385.4517111341</v>
      </c>
      <c r="M56" s="123">
        <f t="shared" si="14"/>
        <v>1101521.5132456955</v>
      </c>
      <c r="N56" s="123">
        <f t="shared" si="14"/>
        <v>13604237.679001451</v>
      </c>
      <c r="O56" s="123">
        <f t="shared" si="14"/>
        <v>39022094.15031901</v>
      </c>
    </row>
    <row r="57" spans="1:15" ht="15.75" customHeight="1" x14ac:dyDescent="0.3">
      <c r="A57" s="26" t="s">
        <v>35</v>
      </c>
      <c r="B57" s="26" t="s">
        <v>114</v>
      </c>
      <c r="C57" s="27" t="s">
        <v>107</v>
      </c>
      <c r="D57" s="19">
        <f t="shared" si="11"/>
        <v>0.30281507910021532</v>
      </c>
      <c r="E57" s="19">
        <f t="shared" si="12"/>
        <v>0</v>
      </c>
      <c r="F57" s="19">
        <f t="shared" si="13"/>
        <v>-0.99575113510967272</v>
      </c>
      <c r="G57" s="19">
        <f t="shared" si="10"/>
        <v>0</v>
      </c>
      <c r="H57" s="5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68824.19</v>
      </c>
      <c r="I57" s="5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0</v>
      </c>
      <c r="J57" s="5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584.49</v>
      </c>
      <c r="K57" s="5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0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52827.289999999994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2470.2600000000002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137563.79999999999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0</v>
      </c>
    </row>
    <row r="58" spans="1:15" ht="15.75" customHeight="1" x14ac:dyDescent="0.3">
      <c r="A58" s="27" t="s">
        <v>86</v>
      </c>
      <c r="B58" s="27" t="s">
        <v>114</v>
      </c>
      <c r="C58" s="27" t="s">
        <v>107</v>
      </c>
      <c r="D58" s="19">
        <f t="shared" ref="D58:F65" si="15">IF(H58=0,0%,IF(L58=0,100%,H58/L58-1))</f>
        <v>-0.46921607334704707</v>
      </c>
      <c r="E58" s="19">
        <f t="shared" si="15"/>
        <v>-0.76025906677222355</v>
      </c>
      <c r="F58" s="19">
        <f t="shared" si="15"/>
        <v>-0.58607166877358674</v>
      </c>
      <c r="G58" s="19">
        <f t="shared" si="10"/>
        <v>-0.14853952422022132</v>
      </c>
      <c r="H58" s="5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488531.88</v>
      </c>
      <c r="I58" s="5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29220.41</v>
      </c>
      <c r="J58" s="5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3575860.19</v>
      </c>
      <c r="K58" s="5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4048131.2699999996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920396.89875428542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121883.2746105892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8638838.9492577463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4754338.4398349999</v>
      </c>
    </row>
    <row r="59" spans="1:15" ht="15.75" customHeight="1" x14ac:dyDescent="0.3">
      <c r="A59" s="26" t="s">
        <v>37</v>
      </c>
      <c r="B59" s="26" t="s">
        <v>114</v>
      </c>
      <c r="C59" s="27" t="s">
        <v>107</v>
      </c>
      <c r="D59" s="19">
        <f t="shared" si="15"/>
        <v>0.15754974224034246</v>
      </c>
      <c r="E59" s="19">
        <f t="shared" si="15"/>
        <v>-0.26269046737616775</v>
      </c>
      <c r="F59" s="19">
        <f t="shared" si="15"/>
        <v>5.3514850548449289E-2</v>
      </c>
      <c r="G59" s="19">
        <f t="shared" si="10"/>
        <v>-1.340703086401414</v>
      </c>
      <c r="H59" s="5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1315491.5719999999</v>
      </c>
      <c r="I59" s="5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103433.575</v>
      </c>
      <c r="J59" s="5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1266927</v>
      </c>
      <c r="K59" s="5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255444.06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1136444.9612799999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140285.14541500001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1202571.5625560004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-749755.63825400034</v>
      </c>
    </row>
    <row r="60" spans="1:15" ht="15.75" customHeight="1" x14ac:dyDescent="0.3">
      <c r="A60" s="30" t="s">
        <v>33</v>
      </c>
      <c r="B60" s="26" t="s">
        <v>114</v>
      </c>
      <c r="C60" s="26" t="s">
        <v>107</v>
      </c>
      <c r="D60" s="19">
        <f t="shared" si="15"/>
        <v>0.67770465231081611</v>
      </c>
      <c r="E60" s="19">
        <f t="shared" si="15"/>
        <v>-4.4228108902077281</v>
      </c>
      <c r="F60" s="19">
        <f t="shared" si="15"/>
        <v>-0.31855668403714121</v>
      </c>
      <c r="G60" s="19">
        <f t="shared" si="10"/>
        <v>22.011739452122754</v>
      </c>
      <c r="H60" s="5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91933.31</v>
      </c>
      <c r="I60" s="5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9337.316810591079</v>
      </c>
      <c r="J60" s="5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1007906.659719837</v>
      </c>
      <c r="K60" s="5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-766867.56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54797.076394450021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-2727.9674834809248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1479076.30188682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-33325.058351000022</v>
      </c>
    </row>
    <row r="61" spans="1:15" ht="15.75" customHeight="1" x14ac:dyDescent="0.3">
      <c r="A61" s="26" t="s">
        <v>84</v>
      </c>
      <c r="B61" s="26" t="s">
        <v>114</v>
      </c>
      <c r="C61" s="26" t="s">
        <v>107</v>
      </c>
      <c r="D61" s="19">
        <f t="shared" si="15"/>
        <v>-4.4236112643275427E-2</v>
      </c>
      <c r="E61" s="19">
        <f t="shared" si="15"/>
        <v>-0.2621476407688702</v>
      </c>
      <c r="F61" s="19">
        <f t="shared" si="15"/>
        <v>1.4018147635584053</v>
      </c>
      <c r="G61" s="19">
        <f t="shared" si="10"/>
        <v>0.1256417011110551</v>
      </c>
      <c r="H61" s="5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657680.42292373208</v>
      </c>
      <c r="I61" s="5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24861.397612218865</v>
      </c>
      <c r="J61" s="5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3336892.21</v>
      </c>
      <c r="K61" s="5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2195353.19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688120.18493670365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33694.271355485515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1389321.216868628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1950312.597546</v>
      </c>
    </row>
    <row r="62" spans="1:15" ht="15.75" customHeight="1" x14ac:dyDescent="0.3">
      <c r="A62" s="107" t="s">
        <v>99</v>
      </c>
      <c r="B62" s="26" t="s">
        <v>114</v>
      </c>
      <c r="C62" s="27" t="s">
        <v>107</v>
      </c>
      <c r="D62" s="19">
        <f t="shared" si="15"/>
        <v>1</v>
      </c>
      <c r="E62" s="19">
        <f t="shared" si="15"/>
        <v>1</v>
      </c>
      <c r="F62" s="19">
        <f t="shared" si="15"/>
        <v>1</v>
      </c>
      <c r="G62" s="19">
        <f t="shared" si="10"/>
        <v>1</v>
      </c>
      <c r="H62" s="58">
        <f>VLOOKUP(A62,הכשרה!A:G,4,0)+VLOOKUP('תפוקה מצטברת מול אשתקד'!A62,מגדל!A:G,4,0)+VLOOKUP('תפוקה מצטברת מול אשתקד'!A62,מנורה!A:G,4,0)+VLOOKUP('תפוקה מצטברת מול אשתקד'!A62,איילון!A:G,4,0)+VLOOKUP('תפוקה מצטברת מול אשתקד'!A62,הראל!A:G,4,0)+VLOOKUP('תפוקה מצטברת מול אשתקד'!A62,הפניקס!A:G,4,0)+VLOOKUP('תפוקה מצטברת מול אשתקד'!A62,כלל!A:G,4,0)+VLOOKUP('תפוקה מצטברת מול אשתקד'!A62,מור!A:G,4,0)+VLOOKUP('תפוקה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אשתקד'!A62,אינפניטי!A:G,4,0)</f>
        <v>136758.07</v>
      </c>
      <c r="I62" s="58">
        <f>VLOOKUP(A62,הכשרה!A:G,5,0)+VLOOKUP('תפוקה מצטברת מול אשתקד'!A62,מגדל!A:G,5,0)+VLOOKUP('תפוקה מצטברת מול אשתקד'!A62,מנורה!A:G,5,0)+VLOOKUP('תפוקה מצטברת מול אשתקד'!A62,איילון!A:G,5,0)+VLOOKUP('תפוקה מצטברת מול אשתקד'!A62,הראל!A:G,5,0)+VLOOKUP('תפוקה מצטברת מול אשתקד'!A62,הפניקס!A:G,5,0)+VLOOKUP('תפוקה מצטברת מול אשתקד'!A62,כלל!A:G,5,0)+VLOOKUP('תפוקה מצטברת מול אשתקד'!A62,מור!A:G,5,0)+VLOOKUP('תפוקה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אשתקד'!A62,אינפניטי!A:G,5,0)</f>
        <v>7893.1615000000002</v>
      </c>
      <c r="J62" s="58">
        <f>VLOOKUP(A62,הכשרה!A:G,6,0)+VLOOKUP('תפוקה מצטברת מול אשתקד'!A62,מגדל!A:G,6,0)+VLOOKUP('תפוקה מצטברת מול אשתקד'!A62,מנורה!A:G,6,0)+VLOOKUP('תפוקה מצטברת מול אשתקד'!A62,איילון!A:G,6,0)+VLOOKUP(A62,הראל!A:G,6,0)+VLOOKUP('תפוקה מצטברת מול אשתקד'!A62,הפניקס!A:G,6,0)+VLOOKUP('תפוקה מצטברת מול אשתקד'!A62,כלל!A:G,6,0)+VLOOKUP('תפוקה מצטברת מול אשתקד'!A62,מור!A:G,6,0)+VLOOKUP('תפוקה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אשתקד'!A62,אינפניטי!A:G,6,0)</f>
        <v>515355.39</v>
      </c>
      <c r="K62" s="58">
        <f>VLOOKUP(A62,הכשרה!A:G,7,0)+VLOOKUP('תפוקה מצטברת מול אשתקד'!A62,מגדל!A:G,7,0)+VLOOKUP('תפוקה מצטברת מול אשתקד'!A62,מנורה!A:G,7,0)+VLOOKUP('תפוקה מצטברת מול אשתקד'!A62,איילון!A:G,7,0)+VLOOKUP('תפוקה מצטברת מול אשתקד'!A62,הראל!A:G,7,0)+VLOOKUP('תפוקה מצטברת מול אשתקד'!A62,הפניקס!A:G,7,0)+VLOOKUP('תפוקה מצטברת מול אשתקד'!A62,כלל!A:G,7,0)+VLOOKUP('תפוקה מצטברת מול אשתקד'!A62,מור!A:G,7,0)+VLOOKUP('תפוקה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אשתקד'!A62,אינפניטי!A:G,7,0)</f>
        <v>-13484.839999999967</v>
      </c>
      <c r="L62" s="12">
        <f>VLOOKUP(A62,הכשרה!A:K,8,0)+VLOOKUP('תפוקה מצטברת מול אשתקד'!A62,מגדל!A:K,8,0)+VLOOKUP('תפוקה מצטברת מול אשתקד'!A62,מנורה!A:K,8,0)+VLOOKUP('תפוקה מצטברת מול אשתקד'!A62,איילון!A:K,8,0)+VLOOKUP('תפוקה מצטברת מול אשתקד'!A62,הראל!A:K,8,0)+VLOOKUP('תפוקה מצטברת מול אשתקד'!A62,הפניקס!A:K,8,0)+VLOOKUP('תפוקה מצטברת מול אשתקד'!A62,כלל!A:K,8,0)+VLOOKUP('תפוקה מצטברת מול אשתקד'!A62,מור!A:K,8,0)+VLOOKUP('תפוקה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אשתקד'!A62,אינפניטי!A:K,8,0)</f>
        <v>0</v>
      </c>
      <c r="M62" s="12">
        <f>VLOOKUP(A62,הכשרה!A:K,9,0)+VLOOKUP('תפוקה מצטברת מול אשתקד'!A62,מגדל!A:K,9,0)+VLOOKUP('תפוקה מצטברת מול אשתקד'!A62,מנורה!A:K,9,0)+VLOOKUP('תפוקה מצטברת מול אשתקד'!A62,איילון!A:K,9,0)+VLOOKUP('תפוקה מצטברת מול אשתקד'!A62,הראל!A:K,9,0)+VLOOKUP('תפוקה מצטברת מול אשתקד'!A62,הפניקס!A:K,9,0)+VLOOKUP('תפוקה מצטברת מול אשתקד'!A62,כלל!A:K,9,0)+VLOOKUP('תפוקה מצטברת מול אשתקד'!A62,מור!A:K,9,0)+VLOOKUP('תפוקה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אשתקד'!A62,אינפניטי!A:K,9,0)</f>
        <v>0</v>
      </c>
      <c r="N62" s="12">
        <f>VLOOKUP(A62,הכשרה!A:K,10,0)+VLOOKUP('תפוקה מצטברת מול אשתקד'!A62,מגדל!A:K,10,0)+VLOOKUP('תפוקה מצטברת מול אשתקד'!A62,מנורה!A:K,10,0)+VLOOKUP('תפוקה מצטברת מול אשתקד'!A62,איילון!A:K,10,0)+VLOOKUP('תפוקה מצטברת מול אשתקד'!A62,הראל!A:K,10,0)+VLOOKUP('תפוקה מצטברת מול אשתקד'!A62,הפניקס!A:K,10,0)+VLOOKUP('תפוקה מצטברת מול אשתקד'!A62,כלל!A:K,10,0)+VLOOKUP('תפוקה מצטברת מול אשתקד'!A62,מור!A:K,10,0)+VLOOKUP('תפוקה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אשתקד'!A62,אינפניטי!A:K,10,0)</f>
        <v>0</v>
      </c>
      <c r="O62" s="12">
        <f>VLOOKUP(A62,הכשרה!A:K,11,0)+VLOOKUP('תפוקה מצטברת מול אשתקד'!A62,מגדל!A:K,11,0)+VLOOKUP('תפוקה מצטברת מול אשתקד'!A62,מנורה!A:K,11,0)+VLOOKUP('תפוקה מצטברת מול אשתקד'!A62,איילון!A:K,11,0)+VLOOKUP('תפוקה מצטברת מול אשתקד'!A62,הראל!A:K,11,0)+VLOOKUP('תפוקה מצטברת מול אשתקד'!A62,הפניקס!A:K,11,0)+VLOOKUP('תפוקה מצטברת מול אשתקד'!A62,כלל!A:K,11,0)+VLOOKUP('תפוקה מצטברת מול אשתקד'!A62,מור!A:K,11,0)+VLOOKUP('תפוקה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אשתקד'!A62,אינפניטי!A:K,11,0)</f>
        <v>0</v>
      </c>
    </row>
    <row r="63" spans="1:15" ht="15.75" customHeight="1" x14ac:dyDescent="0.3">
      <c r="A63" s="194" t="s">
        <v>128</v>
      </c>
      <c r="B63" s="26" t="s">
        <v>114</v>
      </c>
      <c r="C63" s="27" t="s">
        <v>107</v>
      </c>
      <c r="D63" s="19">
        <f t="shared" si="15"/>
        <v>0</v>
      </c>
      <c r="E63" s="19">
        <f t="shared" si="15"/>
        <v>0</v>
      </c>
      <c r="F63" s="19">
        <f t="shared" si="15"/>
        <v>0</v>
      </c>
      <c r="G63" s="19">
        <f t="shared" si="10"/>
        <v>0</v>
      </c>
      <c r="H63" s="5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0</v>
      </c>
      <c r="I63" s="5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0</v>
      </c>
      <c r="J63" s="5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0</v>
      </c>
      <c r="K63" s="5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0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0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0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0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0</v>
      </c>
    </row>
    <row r="64" spans="1:15" ht="15.75" customHeight="1" x14ac:dyDescent="0.3">
      <c r="A64" s="199" t="s">
        <v>131</v>
      </c>
      <c r="B64" s="26" t="s">
        <v>114</v>
      </c>
      <c r="C64" s="27" t="s">
        <v>107</v>
      </c>
      <c r="D64" s="19">
        <f t="shared" si="15"/>
        <v>1</v>
      </c>
      <c r="E64" s="19">
        <f t="shared" si="15"/>
        <v>1</v>
      </c>
      <c r="F64" s="19">
        <f t="shared" si="15"/>
        <v>1</v>
      </c>
      <c r="G64" s="19">
        <f t="shared" si="10"/>
        <v>1</v>
      </c>
      <c r="H64" s="5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194836.13</v>
      </c>
      <c r="I64" s="5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36068.215654416868</v>
      </c>
      <c r="J64" s="5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495002.41</v>
      </c>
      <c r="K64" s="5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1082746.2999999998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0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0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0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0</v>
      </c>
    </row>
    <row r="65" spans="1:15" ht="15.75" customHeight="1" thickBot="1" x14ac:dyDescent="0.35">
      <c r="A65" s="30" t="s">
        <v>16</v>
      </c>
      <c r="B65" s="26" t="s">
        <v>114</v>
      </c>
      <c r="C65" s="27" t="s">
        <v>107</v>
      </c>
      <c r="D65" s="19">
        <f t="shared" si="15"/>
        <v>0</v>
      </c>
      <c r="E65" s="19">
        <f t="shared" si="15"/>
        <v>0</v>
      </c>
      <c r="F65" s="19">
        <f t="shared" si="15"/>
        <v>0</v>
      </c>
      <c r="G65" s="19">
        <f t="shared" si="5"/>
        <v>0</v>
      </c>
      <c r="H65" s="5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5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0</v>
      </c>
      <c r="J65" s="5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0</v>
      </c>
      <c r="K65" s="5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0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0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0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0</v>
      </c>
    </row>
    <row r="66" spans="1:15" ht="24.6" customHeight="1" thickBot="1" x14ac:dyDescent="0.35">
      <c r="A66" s="123" t="s">
        <v>116</v>
      </c>
      <c r="B66" s="121"/>
      <c r="C66" s="121"/>
      <c r="D66" s="126">
        <f t="shared" si="0"/>
        <v>3.5570934206940796E-2</v>
      </c>
      <c r="E66" s="126">
        <f t="shared" si="0"/>
        <v>-0.28683855800530433</v>
      </c>
      <c r="F66" s="126">
        <f t="shared" si="0"/>
        <v>-0.20617784833989672</v>
      </c>
      <c r="G66" s="19">
        <f t="shared" si="5"/>
        <v>0.14856736112142688</v>
      </c>
      <c r="H66" s="123">
        <f>SUM(H57:H65)</f>
        <v>2954055.5749237319</v>
      </c>
      <c r="I66" s="123">
        <f t="shared" ref="I66:O66" si="16">SUM(I57:I65)</f>
        <v>210814.07657722681</v>
      </c>
      <c r="J66" s="123">
        <f t="shared" si="16"/>
        <v>10198528.349719837</v>
      </c>
      <c r="K66" s="123">
        <f t="shared" si="16"/>
        <v>6801322.419999999</v>
      </c>
      <c r="L66" s="123">
        <f t="shared" si="16"/>
        <v>2852586.4113654387</v>
      </c>
      <c r="M66" s="123">
        <f t="shared" si="16"/>
        <v>295604.9838975938</v>
      </c>
      <c r="N66" s="123">
        <f t="shared" si="16"/>
        <v>12847371.830569195</v>
      </c>
      <c r="O66" s="123">
        <f t="shared" si="16"/>
        <v>5921570.3407760002</v>
      </c>
    </row>
    <row r="67" spans="1:15" ht="15.75" customHeight="1" x14ac:dyDescent="0.3">
      <c r="A67" s="26" t="s">
        <v>77</v>
      </c>
      <c r="B67" s="26" t="s">
        <v>108</v>
      </c>
      <c r="C67" s="27" t="s">
        <v>102</v>
      </c>
      <c r="D67" s="103">
        <f t="shared" si="0"/>
        <v>1.5184789988605725</v>
      </c>
      <c r="E67" s="103">
        <f t="shared" si="0"/>
        <v>2.3530926470945297</v>
      </c>
      <c r="F67" s="103">
        <f t="shared" si="0"/>
        <v>-0.12737965338288171</v>
      </c>
      <c r="G67" s="19">
        <f t="shared" si="5"/>
        <v>5.9253794539077145</v>
      </c>
      <c r="H67" s="5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501519.43998668785</v>
      </c>
      <c r="I67" s="5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46681.636672859837</v>
      </c>
      <c r="J67" s="5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5103128.9087241814</v>
      </c>
      <c r="K67" s="5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4771453.93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199135.84358399999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13921.964462660968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5848051.708291525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688980.86548999988</v>
      </c>
    </row>
    <row r="68" spans="1:15" ht="15.75" customHeight="1" x14ac:dyDescent="0.3">
      <c r="A68" s="30" t="s">
        <v>40</v>
      </c>
      <c r="B68" s="26" t="s">
        <v>56</v>
      </c>
      <c r="C68" s="26" t="s">
        <v>103</v>
      </c>
      <c r="D68" s="19">
        <f t="shared" si="0"/>
        <v>9.9134061307709853E-2</v>
      </c>
      <c r="E68" s="19">
        <f t="shared" si="0"/>
        <v>9.1606633249038172E-2</v>
      </c>
      <c r="F68" s="19">
        <f t="shared" si="0"/>
        <v>0.26614106047177333</v>
      </c>
      <c r="G68" s="19">
        <f t="shared" si="5"/>
        <v>-0.19990988288920086</v>
      </c>
      <c r="H68" s="5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2062092.4200312339</v>
      </c>
      <c r="I68" s="5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445195.05299999996</v>
      </c>
      <c r="J68" s="5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5224929.6899999995</v>
      </c>
      <c r="K68" s="5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8551547.6900000013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1876106.3755751788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407834.69011628255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4126656.8576910007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10688230.621920999</v>
      </c>
    </row>
    <row r="69" spans="1:15" ht="15.75" customHeight="1" x14ac:dyDescent="0.3">
      <c r="A69" s="26" t="s">
        <v>90</v>
      </c>
      <c r="B69" s="26" t="s">
        <v>108</v>
      </c>
      <c r="C69" s="26" t="s">
        <v>103</v>
      </c>
      <c r="D69" s="19">
        <f t="shared" si="0"/>
        <v>-0.98308436430859547</v>
      </c>
      <c r="E69" s="19">
        <f t="shared" si="0"/>
        <v>-1.0015344743295782</v>
      </c>
      <c r="F69" s="19">
        <f t="shared" si="0"/>
        <v>-0.64277398324994628</v>
      </c>
      <c r="G69" s="19">
        <f t="shared" si="5"/>
        <v>0</v>
      </c>
      <c r="H69" s="5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1265.49</v>
      </c>
      <c r="I69" s="5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-42.853283513977203</v>
      </c>
      <c r="J69" s="5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27863.54</v>
      </c>
      <c r="K69" s="5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0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74811.849999999977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27927.012324641742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77999.75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791095.68</v>
      </c>
    </row>
    <row r="70" spans="1:15" ht="15.75" customHeight="1" x14ac:dyDescent="0.3">
      <c r="A70" s="26" t="s">
        <v>92</v>
      </c>
      <c r="B70" s="26" t="s">
        <v>56</v>
      </c>
      <c r="C70" s="26" t="s">
        <v>103</v>
      </c>
      <c r="D70" s="19">
        <f t="shared" ref="D70:F76" si="17">IF(H70=0,0%,IF(L70=0,100%,H70/L70-1))</f>
        <v>2.7176810649661083</v>
      </c>
      <c r="E70" s="19">
        <f t="shared" si="17"/>
        <v>-1.039838478778041</v>
      </c>
      <c r="F70" s="19">
        <f t="shared" si="17"/>
        <v>3.106706693999616</v>
      </c>
      <c r="G70" s="19">
        <f t="shared" si="5"/>
        <v>5.1109501015833603</v>
      </c>
      <c r="H70" s="5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221736.30800000002</v>
      </c>
      <c r="I70" s="5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-295.47004582151453</v>
      </c>
      <c r="J70" s="5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77573.259999999995</v>
      </c>
      <c r="K70" s="5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2185473.69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59643.714488999998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7416.700006737663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18889.408418999999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357632.39</v>
      </c>
    </row>
    <row r="71" spans="1:15" ht="15.75" customHeight="1" x14ac:dyDescent="0.3">
      <c r="A71" s="26" t="s">
        <v>93</v>
      </c>
      <c r="B71" s="26" t="s">
        <v>56</v>
      </c>
      <c r="C71" s="26" t="s">
        <v>103</v>
      </c>
      <c r="D71" s="19">
        <f t="shared" si="17"/>
        <v>0</v>
      </c>
      <c r="E71" s="19">
        <f t="shared" si="17"/>
        <v>0.71449725027715583</v>
      </c>
      <c r="F71" s="19">
        <f t="shared" si="17"/>
        <v>0</v>
      </c>
      <c r="G71" s="19">
        <f t="shared" si="5"/>
        <v>0</v>
      </c>
      <c r="H71" s="58">
        <f>VLOOKUP(A71,הכשרה!A:G,4,0)+VLOOKUP('תפוקה מצטברת מול אשתקד'!A71,מגדל!A:G,4,0)+VLOOKUP('תפוקה מצטברת מול אשתקד'!A71,מנורה!A:G,4,0)+VLOOKUP('תפוקה מצטברת מול אשתקד'!A71,איילון!A:G,4,0)+VLOOKUP('תפוקה מצטברת מול אשתקד'!A71,הראל!A:G,4,0)+VLOOKUP('תפוקה מצטברת מול אשתקד'!A71,הפניקס!A:G,4,0)+VLOOKUP('תפוקה מצטברת מול אשתקד'!A71,כלל!A:G,4,0)+VLOOKUP('תפוקה מצטברת מול אשתקד'!A71,מור!A:G,4,0)+VLOOKUP('תפוקה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אשתקד'!A71,אינפניטי!A:G,4,0)</f>
        <v>0</v>
      </c>
      <c r="I71" s="58">
        <f>VLOOKUP(A71,הכשרה!A:G,5,0)+VLOOKUP('תפוקה מצטברת מול אשתקד'!A71,מגדל!A:G,5,0)+VLOOKUP('תפוקה מצטברת מול אשתקד'!A71,מנורה!A:G,5,0)+VLOOKUP('תפוקה מצטברת מול אשתקד'!A71,איילון!A:G,5,0)+VLOOKUP('תפוקה מצטברת מול אשתקד'!A71,הראל!A:G,5,0)+VLOOKUP('תפוקה מצטברת מול אשתקד'!A71,הפניקס!A:G,5,0)+VLOOKUP('תפוקה מצטברת מול אשתקד'!A71,כלל!A:G,5,0)+VLOOKUP('תפוקה מצטברת מול אשתקד'!A71,מור!A:G,5,0)+VLOOKUP('תפוקה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אשתקד'!A71,אינפניטי!A:G,5,0)</f>
        <v>77772.915999999997</v>
      </c>
      <c r="J71" s="58">
        <f>VLOOKUP(A71,הכשרה!A:G,6,0)+VLOOKUP('תפוקה מצטברת מול אשתקד'!A71,מגדל!A:G,6,0)+VLOOKUP('תפוקה מצטברת מול אשתקד'!A71,מנורה!A:G,6,0)+VLOOKUP('תפוקה מצטברת מול אשתקד'!A71,איילון!A:G,6,0)+VLOOKUP(A71,הראל!A:G,6,0)+VLOOKUP('תפוקה מצטברת מול אשתקד'!A71,הפניקס!A:G,6,0)+VLOOKUP('תפוקה מצטברת מול אשתקד'!A71,כלל!A:G,6,0)+VLOOKUP('תפוקה מצטברת מול אשתקד'!A71,מור!A:G,6,0)+VLOOKUP('תפוקה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אשתקד'!A71,אינפניטי!A:G,6,0)</f>
        <v>0</v>
      </c>
      <c r="K71" s="58">
        <f>VLOOKUP(A71,הכשרה!A:G,7,0)+VLOOKUP('תפוקה מצטברת מול אשתקד'!A71,מגדל!A:G,7,0)+VLOOKUP('תפוקה מצטברת מול אשתקד'!A71,מנורה!A:G,7,0)+VLOOKUP('תפוקה מצטברת מול אשתקד'!A71,איילון!A:G,7,0)+VLOOKUP('תפוקה מצטברת מול אשתקד'!A71,הראל!A:G,7,0)+VLOOKUP('תפוקה מצטברת מול אשתקד'!A71,הפניקס!A:G,7,0)+VLOOKUP('תפוקה מצטברת מול אשתקד'!A71,כלל!A:G,7,0)+VLOOKUP('תפוקה מצטברת מול אשתקד'!A71,מור!A:G,7,0)+VLOOKUP('תפוקה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אשתקד'!A71,אינפניטי!A:G,7,0)</f>
        <v>0</v>
      </c>
      <c r="L71" s="12">
        <f>VLOOKUP(A71,הכשרה!A:K,8,0)+VLOOKUP('תפוקה מצטברת מול אשתקד'!A71,מגדל!A:K,8,0)+VLOOKUP('תפוקה מצטברת מול אשתקד'!A71,מנורה!A:K,8,0)+VLOOKUP('תפוקה מצטברת מול אשתקד'!A71,איילון!A:K,8,0)+VLOOKUP('תפוקה מצטברת מול אשתקד'!A71,הראל!A:K,8,0)+VLOOKUP('תפוקה מצטברת מול אשתקד'!A71,הפניקס!A:K,8,0)+VLOOKUP('תפוקה מצטברת מול אשתקד'!A71,כלל!A:K,8,0)+VLOOKUP('תפוקה מצטברת מול אשתקד'!A71,מור!A:K,8,0)+VLOOKUP('תפוקה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אשתקד'!A71,אינפניטי!A:K,8,0)</f>
        <v>9608.9020169999985</v>
      </c>
      <c r="M71" s="12">
        <f>VLOOKUP(A71,הכשרה!A:K,9,0)+VLOOKUP('תפוקה מצטברת מול אשתקד'!A71,מגדל!A:K,9,0)+VLOOKUP('תפוקה מצטברת מול אשתקד'!A71,מנורה!A:K,9,0)+VLOOKUP('תפוקה מצטברת מול אשתקד'!A71,איילון!A:K,9,0)+VLOOKUP('תפוקה מצטברת מול אשתקד'!A71,הראל!A:K,9,0)+VLOOKUP('תפוקה מצטברת מול אשתקד'!A71,הפניקס!A:K,9,0)+VLOOKUP('תפוקה מצטברת מול אשתקד'!A71,כלל!A:K,9,0)+VLOOKUP('תפוקה מצטברת מול אשתקד'!A71,מור!A:K,9,0)+VLOOKUP('תפוקה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אשתקד'!A71,אינפניטי!A:K,9,0)</f>
        <v>45361.936852000006</v>
      </c>
      <c r="N71" s="12">
        <f>VLOOKUP(A71,הכשרה!A:K,10,0)+VLOOKUP('תפוקה מצטברת מול אשתקד'!A71,מגדל!A:K,10,0)+VLOOKUP('תפוקה מצטברת מול אשתקד'!A71,מנורה!A:K,10,0)+VLOOKUP('תפוקה מצטברת מול אשתקד'!A71,איילון!A:K,10,0)+VLOOKUP('תפוקה מצטברת מול אשתקד'!A71,הראל!A:K,10,0)+VLOOKUP('תפוקה מצטברת מול אשתקד'!A71,הפניקס!A:K,10,0)+VLOOKUP('תפוקה מצטברת מול אשתקד'!A71,כלל!A:K,10,0)+VLOOKUP('תפוקה מצטברת מול אשתקד'!A71,מור!A:K,10,0)+VLOOKUP('תפוקה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אשתקד'!A71,אינפניטי!A:K,10,0)</f>
        <v>0</v>
      </c>
      <c r="O71" s="12">
        <f>VLOOKUP(A71,הכשרה!A:K,11,0)+VLOOKUP('תפוקה מצטברת מול אשתקד'!A71,מגדל!A:K,11,0)+VLOOKUP('תפוקה מצטברת מול אשתקד'!A71,מנורה!A:K,11,0)+VLOOKUP('תפוקה מצטברת מול אשתקד'!A71,איילון!A:K,11,0)+VLOOKUP('תפוקה מצטברת מול אשתקד'!A71,הראל!A:K,11,0)+VLOOKUP('תפוקה מצטברת מול אשתקד'!A71,הפניקס!A:K,11,0)+VLOOKUP('תפוקה מצטברת מול אשתקד'!A71,כלל!A:K,11,0)+VLOOKUP('תפוקה מצטברת מול אשתקד'!A71,מור!A:K,11,0)+VLOOKUP('תפוקה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אשתקד'!A71,אינפניטי!A:K,11,0)</f>
        <v>90372</v>
      </c>
    </row>
    <row r="72" spans="1:15" ht="15.75" customHeight="1" x14ac:dyDescent="0.3">
      <c r="A72" s="26" t="s">
        <v>100</v>
      </c>
      <c r="B72" s="26" t="s">
        <v>56</v>
      </c>
      <c r="C72" s="26" t="s">
        <v>103</v>
      </c>
      <c r="D72" s="19">
        <f t="shared" si="17"/>
        <v>0.38007127849144662</v>
      </c>
      <c r="E72" s="19">
        <f t="shared" si="17"/>
        <v>0.38583133602487107</v>
      </c>
      <c r="F72" s="19">
        <f t="shared" si="17"/>
        <v>0.25903528947126508</v>
      </c>
      <c r="G72" s="19">
        <f t="shared" si="5"/>
        <v>0.7888741252257665</v>
      </c>
      <c r="H72" s="58">
        <f>VLOOKUP(A72,הכשרה!A:G,4,0)+VLOOKUP('תפוקה מצטברת מול אשתקד'!A72,מגדל!A:G,4,0)+VLOOKUP('תפוקה מצטברת מול אשתקד'!A72,מנורה!A:G,4,0)+VLOOKUP('תפוקה מצטברת מול אשתקד'!A72,איילון!A:G,4,0)+VLOOKUP('תפוקה מצטברת מול אשתקד'!A72,הראל!A:G,4,0)+VLOOKUP('תפוקה מצטברת מול אשתקד'!A72,הפניקס!A:G,4,0)+VLOOKUP('תפוקה מצטברת מול אשתקד'!A72,כלל!A:G,4,0)+VLOOKUP('תפוקה מצטברת מול אשתקד'!A72,מור!A:G,4,0)+VLOOKUP('תפוקה מצטברת מול אשתקד'!A72,'אלטשולר שחם'!A:G,4,0)+VLOOKUP('תפוקה מצטברת מול אשתקד'!A72,'מדיהו '!A:G,4,0)+VLOOKUP('תפוקה מצטברת מול אשתקד'!A72,'אנליסט '!A:G,4,0)+VLOOKUP('תפוקה מצטברת מול אשתקד'!A72,'מיטב דש'!A:G,4,0)+VLOOKUP('תפוקה מצטברת מול אשתקד'!A72,אינפניטי!A:G,4,0)</f>
        <v>737380.15116818878</v>
      </c>
      <c r="I72" s="58">
        <f>VLOOKUP(A72,הכשרה!A:G,5,0)+VLOOKUP('תפוקה מצטברת מול אשתקד'!A72,מגדל!A:G,5,0)+VLOOKUP('תפוקה מצטברת מול אשתקד'!A72,מנורה!A:G,5,0)+VLOOKUP('תפוקה מצטברת מול אשתקד'!A72,איילון!A:G,5,0)+VLOOKUP('תפוקה מצטברת מול אשתקד'!A72,הראל!A:G,5,0)+VLOOKUP('תפוקה מצטברת מול אשתקד'!A72,הפניקס!A:G,5,0)+VLOOKUP('תפוקה מצטברת מול אשתקד'!A72,כלל!A:G,5,0)+VLOOKUP('תפוקה מצטברת מול אשתקד'!A72,מור!A:G,5,0)+VLOOKUP('תפוקה מצטברת מול אשתקד'!A72,'אלטשולר שחם'!A:G,5,0)+VLOOKUP('תפוקה מצטברת מול אשתקד'!A72,'מדיהו '!A:G,5,0)+VLOOKUP('תפוקה מצטברת מול אשתקד'!A72,'אנליסט '!A:G,5,0)+VLOOKUP('תפוקה מצטברת מול אשתקד'!A72,'מיטב דש'!A:G,5,0)+VLOOKUP('תפוקה מצטברת מול אשתקד'!A72,אינפניטי!A:G,5,0)</f>
        <v>73958.304499999998</v>
      </c>
      <c r="J72" s="58">
        <f>VLOOKUP(A72,הכשרה!A:G,6,0)+VLOOKUP('תפוקה מצטברת מול אשתקד'!A72,מגדל!A:G,6,0)+VLOOKUP('תפוקה מצטברת מול אשתקד'!A72,מנורה!A:G,6,0)+VLOOKUP('תפוקה מצטברת מול אשתקד'!A72,איילון!A:G,6,0)+VLOOKUP(A72,הראל!A:G,6,0)+VLOOKUP('תפוקה מצטברת מול אשתקד'!A72,הפניקס!A:G,6,0)+VLOOKUP('תפוקה מצטברת מול אשתקד'!A72,כלל!A:G,6,0)+VLOOKUP('תפוקה מצטברת מול אשתקד'!A72,מור!A:G,6,0)+VLOOKUP('תפוקה מצטברת מול אשתקד'!A72,'אלטשולר שחם'!A:G,6,0)+VLOOKUP('תפוקה מצטברת מול אשתקד'!A72,'מדיהו '!A:G,6,0)+VLOOKUP('תפוקה מצטברת מול אשתקד'!A72,'אנליסט '!A:G,6,0)+VLOOKUP('תפוקה מצטברת מול אשתקד'!A72,'מיטב דש'!A:G,6,0)+VLOOKUP('תפוקה מצטברת מול אשתקד'!A72,אינפניטי!A:G,6,0)</f>
        <v>5743496</v>
      </c>
      <c r="K72" s="58">
        <f>VLOOKUP(A72,הכשרה!A:G,7,0)+VLOOKUP('תפוקה מצטברת מול אשתקד'!A72,מגדל!A:G,7,0)+VLOOKUP('תפוקה מצטברת מול אשתקד'!A72,מנורה!A:G,7,0)+VLOOKUP('תפוקה מצטברת מול אשתקד'!A72,איילון!A:G,7,0)+VLOOKUP('תפוקה מצטברת מול אשתקד'!A72,הראל!A:G,7,0)+VLOOKUP('תפוקה מצטברת מול אשתקד'!A72,הפניקס!A:G,7,0)+VLOOKUP('תפוקה מצטברת מול אשתקד'!A72,כלל!A:G,7,0)+VLOOKUP('תפוקה מצטברת מול אשתקד'!A72,מור!A:G,7,0)+VLOOKUP('תפוקה מצטברת מול אשתקד'!A72,'אלטשולר שחם'!A:G,7,0)+VLOOKUP('תפוקה מצטברת מול אשתקד'!A72,'מדיהו '!A:K,7,0)+VLOOKUP(A72,'אנליסט '!A:G,7,0)+VLOOKUP('תפוקה מצטברת מול אשתקד'!A72,'מיטב דש'!A:G,7,0)+VLOOKUP('תפוקה מצטברת מול אשתקד'!A72,אינפניטי!A:G,7,0)</f>
        <v>7038733.2700000005</v>
      </c>
      <c r="L72" s="12">
        <f>VLOOKUP(A72,הכשרה!A:K,8,0)+VLOOKUP('תפוקה מצטברת מול אשתקד'!A72,מגדל!A:K,8,0)+VLOOKUP('תפוקה מצטברת מול אשתקד'!A72,מנורה!A:K,8,0)+VLOOKUP('תפוקה מצטברת מול אשתקד'!A72,איילון!A:K,8,0)+VLOOKUP('תפוקה מצטברת מול אשתקד'!A72,הראל!A:K,8,0)+VLOOKUP('תפוקה מצטברת מול אשתקד'!A72,הפניקס!A:K,8,0)+VLOOKUP('תפוקה מצטברת מול אשתקד'!A72,כלל!A:K,8,0)+VLOOKUP('תפוקה מצטברת מול אשתקד'!A72,מור!A:K,8,0)+VLOOKUP('תפוקה מצטברת מול אשתקד'!A72,'אלטשולר שחם'!A:K,8,0)+VLOOKUP('תפוקה מצטברת מול אשתקד'!A72,'מדיהו '!A:K,8,0)+VLOOKUP('תפוקה מצטברת מול אשתקד'!A72,'אנליסט '!A:K,8,0)+VLOOKUP('תפוקה מצטברת מול אשתקד'!A72,'מיטב דש'!A:K,8,0)+VLOOKUP('תפוקה מצטברת מול אשתקד'!A72,אינפניטי!A:K,8,0)</f>
        <v>534305.84540112864</v>
      </c>
      <c r="M72" s="12">
        <f>VLOOKUP(A72,הכשרה!A:K,9,0)+VLOOKUP('תפוקה מצטברת מול אשתקד'!A72,מגדל!A:K,9,0)+VLOOKUP('תפוקה מצטברת מול אשתקד'!A72,מנורה!A:K,9,0)+VLOOKUP('תפוקה מצטברת מול אשתקד'!A72,איילון!A:K,9,0)+VLOOKUP('תפוקה מצטברת מול אשתקד'!A72,הראל!A:K,9,0)+VLOOKUP('תפוקה מצטברת מול אשתקד'!A72,הפניקס!A:K,9,0)+VLOOKUP('תפוקה מצטברת מול אשתקד'!A72,כלל!A:K,9,0)+VLOOKUP('תפוקה מצטברת מול אשתקד'!A72,מור!A:K,9,0)+VLOOKUP('תפוקה מצטברת מול אשתקד'!A72,'אלטשולר שחם'!A:K,9,0)+VLOOKUP('תפוקה מצטברת מול אשתקד'!A72,'מדיהו '!A:K,9,0)+VLOOKUP('תפוקה מצטברת מול אשתקד'!A72,'אנליסט '!A:K,9,0)+VLOOKUP('תפוקה מצטברת מול אשתקד'!A72,'מיטב דש'!A:K,9,0)+VLOOKUP('תפוקה מצטברת מול אשתקד'!A72,אינפניטי!A:K,9,0)</f>
        <v>53367.464407423889</v>
      </c>
      <c r="N72" s="12">
        <f>VLOOKUP(A72,הכשרה!A:K,10,0)+VLOOKUP('תפוקה מצטברת מול אשתקד'!A72,מגדל!A:K,10,0)+VLOOKUP('תפוקה מצטברת מול אשתקד'!A72,מנורה!A:K,10,0)+VLOOKUP('תפוקה מצטברת מול אשתקד'!A72,איילון!A:K,10,0)+VLOOKUP('תפוקה מצטברת מול אשתקד'!A72,הראל!A:K,10,0)+VLOOKUP('תפוקה מצטברת מול אשתקד'!A72,הפניקס!A:K,10,0)+VLOOKUP('תפוקה מצטברת מול אשתקד'!A72,כלל!A:K,10,0)+VLOOKUP('תפוקה מצטברת מול אשתקד'!A72,מור!A:K,10,0)+VLOOKUP('תפוקה מצטברת מול אשתקד'!A72,'אלטשולר שחם'!A:K,10,0)+VLOOKUP('תפוקה מצטברת מול אשתקד'!A72,'מדיהו '!A:K,10,0)+VLOOKUP('תפוקה מצטברת מול אשתקד'!A72,'אנליסט '!A:K,10,0)+VLOOKUP('תפוקה מצטברת מול אשתקד'!A72,'מיטב דש'!A:K,10,0)+VLOOKUP('תפוקה מצטברת מול אשתקד'!A72,אינפניטי!A:K,10,0)</f>
        <v>4561822.8877539998</v>
      </c>
      <c r="O72" s="12">
        <f>VLOOKUP(A72,הכשרה!A:K,11,0)+VLOOKUP('תפוקה מצטברת מול אשתקד'!A72,מגדל!A:K,11,0)+VLOOKUP('תפוקה מצטברת מול אשתקד'!A72,מנורה!A:K,11,0)+VLOOKUP('תפוקה מצטברת מול אשתקד'!A72,איילון!A:K,11,0)+VLOOKUP('תפוקה מצטברת מול אשתקד'!A72,הראל!A:K,11,0)+VLOOKUP('תפוקה מצטברת מול אשתקד'!A72,הפניקס!A:K,11,0)+VLOOKUP('תפוקה מצטברת מול אשתקד'!A72,כלל!A:K,11,0)+VLOOKUP('תפוקה מצטברת מול אשתקד'!A72,מור!A:K,11,0)+VLOOKUP('תפוקה מצטברת מול אשתקד'!A72,'אלטשולר שחם'!A:K,11,0)+VLOOKUP('תפוקה מצטברת מול אשתקד'!A72,'מדיהו '!A:K,11,0)+VLOOKUP('תפוקה מצטברת מול אשתקד'!A72,'אנליסט '!A:K,11,0)+VLOOKUP('תפוקה מצטברת מול אשתקד'!A72,'מיטב דש'!A:K,11,0)+VLOOKUP('תפוקה מצטברת מול אשתקד'!A72,אינפניטי!A:K,11,0)</f>
        <v>3934728.09</v>
      </c>
    </row>
    <row r="73" spans="1:15" ht="15.75" customHeight="1" x14ac:dyDescent="0.3">
      <c r="A73" s="98" t="s">
        <v>101</v>
      </c>
      <c r="B73" s="26" t="s">
        <v>56</v>
      </c>
      <c r="C73" s="26" t="s">
        <v>103</v>
      </c>
      <c r="D73" s="19">
        <f t="shared" si="17"/>
        <v>0.38396008857548081</v>
      </c>
      <c r="E73" s="19">
        <f t="shared" si="17"/>
        <v>0.29042855620203367</v>
      </c>
      <c r="F73" s="19">
        <f t="shared" si="17"/>
        <v>0.61234406765539351</v>
      </c>
      <c r="G73" s="19">
        <f t="shared" si="5"/>
        <v>0.83380414811262127</v>
      </c>
      <c r="H73" s="58">
        <f>VLOOKUP(A73,הכשרה!A:G,4,0)+VLOOKUP('תפוקה מצטברת מול אשתקד'!A73,מגדל!A:G,4,0)+VLOOKUP('תפוקה מצטברת מול אשתקד'!A73,מנורה!A:G,4,0)+VLOOKUP('תפוקה מצטברת מול אשתקד'!A73,איילון!A:G,4,0)+VLOOKUP('תפוקה מצטברת מול אשתקד'!A73,הראל!A:G,4,0)+VLOOKUP('תפוקה מצטברת מול אשתקד'!A73,הפניקס!A:G,4,0)+VLOOKUP('תפוקה מצטברת מול אשתקד'!A73,כלל!A:G,4,0)+VLOOKUP('תפוקה מצטברת מול אשתקד'!A73,מור!A:G,4,0)+VLOOKUP('תפוקה מצטברת מול אשתקד'!A73,'אלטשולר שחם'!A:G,4,0)+VLOOKUP('תפוקה מצטברת מול אשתקד'!A73,'מדיהו '!A:G,4,0)+VLOOKUP('תפוקה מצטברת מול אשתקד'!A73,'אנליסט '!A:G,4,0)+VLOOKUP('תפוקה מצטברת מול אשתקד'!A73,'מיטב דש'!A:G,4,0)+VLOOKUP('תפוקה מצטברת מול אשתקד'!A73,אינפניטי!A:G,4,0)</f>
        <v>2202807.9326331457</v>
      </c>
      <c r="I73" s="58">
        <f>VLOOKUP(A73,הכשרה!A:G,5,0)+VLOOKUP('תפוקה מצטברת מול אשתקד'!A73,מגדל!A:G,5,0)+VLOOKUP('תפוקה מצטברת מול אשתקד'!A73,מנורה!A:G,5,0)+VLOOKUP('תפוקה מצטברת מול אשתקד'!A73,איילון!A:G,5,0)+VLOOKUP('תפוקה מצטברת מול אשתקד'!A73,הראל!A:G,5,0)+VLOOKUP('תפוקה מצטברת מול אשתקד'!A73,הפניקס!A:G,5,0)+VLOOKUP('תפוקה מצטברת מול אשתקד'!A73,כלל!A:G,5,0)+VLOOKUP('תפוקה מצטברת מול אשתקד'!A73,מור!A:G,5,0)+VLOOKUP('תפוקה מצטברת מול אשתקד'!A73,'אלטשולר שחם'!A:G,5,0)+VLOOKUP('תפוקה מצטברת מול אשתקד'!A73,'מדיהו '!A:G,5,0)+VLOOKUP('תפוקה מצטברת מול אשתקד'!A73,'אנליסט '!A:G,5,0)+VLOOKUP('תפוקה מצטברת מול אשתקד'!A73,'מיטב דש'!A:G,5,0)+VLOOKUP('תפוקה מצטברת מול אשתקד'!A73,אינפניטי!A:G,5,0)</f>
        <v>216033.19287659286</v>
      </c>
      <c r="J73" s="58">
        <f>VLOOKUP(A73,הכשרה!A:G,6,0)+VLOOKUP('תפוקה מצטברת מול אשתקד'!A73,מגדל!A:G,6,0)+VLOOKUP('תפוקה מצטברת מול אשתקד'!A73,מנורה!A:G,6,0)+VLOOKUP('תפוקה מצטברת מול אשתקד'!A73,איילון!A:G,6,0)+VLOOKUP(A73,הראל!A:G,6,0)+VLOOKUP('תפוקה מצטברת מול אשתקד'!A73,הפניקס!A:G,6,0)+VLOOKUP('תפוקה מצטברת מול אשתקד'!A73,כלל!A:G,6,0)+VLOOKUP('תפוקה מצטברת מול אשתקד'!A73,מור!A:G,6,0)+VLOOKUP('תפוקה מצטברת מול אשתקד'!A73,'אלטשולר שחם'!A:G,6,0)+VLOOKUP('תפוקה מצטברת מול אשתקד'!A73,'מדיהו '!A:G,6,0)+VLOOKUP('תפוקה מצטברת מול אשתקד'!A73,'אנליסט '!A:G,6,0)+VLOOKUP('תפוקה מצטברת מול אשתקד'!A73,'מיטב דש'!A:G,6,0)+VLOOKUP('תפוקה מצטברת מול אשתקד'!A73,אינפניטי!A:G,6,0)</f>
        <v>22597765.312365673</v>
      </c>
      <c r="K73" s="58">
        <f>VLOOKUP(A73,הכשרה!A:G,7,0)+VLOOKUP('תפוקה מצטברת מול אשתקד'!A73,מגדל!A:G,7,0)+VLOOKUP('תפוקה מצטברת מול אשתקד'!A73,מנורה!A:G,7,0)+VLOOKUP('תפוקה מצטברת מול אשתקד'!A73,איילון!A:G,7,0)+VLOOKUP('תפוקה מצטברת מול אשתקד'!A73,הראל!A:G,7,0)+VLOOKUP('תפוקה מצטברת מול אשתקד'!A73,הפניקס!A:G,7,0)+VLOOKUP('תפוקה מצטברת מול אשתקד'!A73,כלל!A:G,7,0)+VLOOKUP('תפוקה מצטברת מול אשתקד'!A73,מור!A:G,7,0)+VLOOKUP('תפוקה מצטברת מול אשתקד'!A73,'אלטשולר שחם'!A:G,7,0)+VLOOKUP('תפוקה מצטברת מול אשתקד'!A73,'מדיהו '!A:K,7,0)+VLOOKUP(A73,'אנליסט '!A:G,7,0)+VLOOKUP('תפוקה מצטברת מול אשתקד'!A73,'מיטב דש'!A:G,7,0)+VLOOKUP('תפוקה מצטברת מול אשתקד'!A73,אינפניטי!A:G,7,0)</f>
        <v>19101225.559999999</v>
      </c>
      <c r="L73" s="12">
        <f>VLOOKUP(A73,הכשרה!A:K,8,0)+VLOOKUP('תפוקה מצטברת מול אשתקד'!A73,מגדל!A:K,8,0)+VLOOKUP('תפוקה מצטברת מול אשתקד'!A73,מנורה!A:K,8,0)+VLOOKUP('תפוקה מצטברת מול אשתקד'!A73,איילון!A:K,8,0)+VLOOKUP('תפוקה מצטברת מול אשתקד'!A73,הראל!A:K,8,0)+VLOOKUP('תפוקה מצטברת מול אשתקד'!A73,הפניקס!A:K,8,0)+VLOOKUP('תפוקה מצטברת מול אשתקד'!A73,כלל!A:K,8,0)+VLOOKUP('תפוקה מצטברת מול אשתקד'!A73,מור!A:K,8,0)+VLOOKUP('תפוקה מצטברת מול אשתקד'!A73,'אלטשולר שחם'!A:K,8,0)+VLOOKUP('תפוקה מצטברת מול אשתקד'!A73,'מדיהו '!A:K,8,0)+VLOOKUP('תפוקה מצטברת מול אשתקד'!A73,'אנליסט '!A:K,8,0)+VLOOKUP('תפוקה מצטברת מול אשתקד'!A73,'מיטב דש'!A:K,8,0)+VLOOKUP('תפוקה מצטברת מול אשתקד'!A73,אינפניטי!A:K,8,0)</f>
        <v>1591670.1289417315</v>
      </c>
      <c r="M73" s="12">
        <f>VLOOKUP(A73,הכשרה!A:K,9,0)+VLOOKUP('תפוקה מצטברת מול אשתקד'!A73,מגדל!A:K,9,0)+VLOOKUP('תפוקה מצטברת מול אשתקד'!A73,מנורה!A:K,9,0)+VLOOKUP('תפוקה מצטברת מול אשתקד'!A73,איילון!A:K,9,0)+VLOOKUP('תפוקה מצטברת מול אשתקד'!A73,הראל!A:K,9,0)+VLOOKUP('תפוקה מצטברת מול אשתקד'!A73,הפניקס!A:K,9,0)+VLOOKUP('תפוקה מצטברת מול אשתקד'!A73,כלל!A:K,9,0)+VLOOKUP('תפוקה מצטברת מול אשתקד'!A73,מור!A:K,9,0)+VLOOKUP('תפוקה מצטברת מול אשתקד'!A73,'אלטשולר שחם'!A:K,9,0)+VLOOKUP('תפוקה מצטברת מול אשתקד'!A73,'מדיהו '!A:K,9,0)+VLOOKUP('תפוקה מצטברת מול אשתקד'!A73,'אנליסט '!A:K,9,0)+VLOOKUP('תפוקה מצטברת מול אשתקד'!A73,'מיטב דש'!A:K,9,0)+VLOOKUP('תפוקה מצטברת מול אשתקד'!A73,אינפניטי!A:K,9,0)</f>
        <v>167411.97475698919</v>
      </c>
      <c r="N73" s="12">
        <f>VLOOKUP(A73,הכשרה!A:K,10,0)+VLOOKUP('תפוקה מצטברת מול אשתקד'!A73,מגדל!A:K,10,0)+VLOOKUP('תפוקה מצטברת מול אשתקד'!A73,מנורה!A:K,10,0)+VLOOKUP('תפוקה מצטברת מול אשתקד'!A73,איילון!A:K,10,0)+VLOOKUP('תפוקה מצטברת מול אשתקד'!A73,הראל!A:K,10,0)+VLOOKUP('תפוקה מצטברת מול אשתקד'!A73,הפניקס!A:K,10,0)+VLOOKUP('תפוקה מצטברת מול אשתקד'!A73,כלל!A:K,10,0)+VLOOKUP('תפוקה מצטברת מול אשתקד'!A73,מור!A:K,10,0)+VLOOKUP('תפוקה מצטברת מול אשתקד'!A73,'אלטשולר שחם'!A:K,10,0)+VLOOKUP('תפוקה מצטברת מול אשתקד'!A73,'מדיהו '!A:K,10,0)+VLOOKUP('תפוקה מצטברת מול אשתקד'!A73,'אנליסט '!A:K,10,0)+VLOOKUP('תפוקה מצטברת מול אשתקד'!A73,'מיטב דש'!A:K,10,0)+VLOOKUP('תפוקה מצטברת מול אשתקד'!A73,אינפניטי!A:K,10,0)</f>
        <v>14015473.350689001</v>
      </c>
      <c r="O73" s="12">
        <f>VLOOKUP(A73,הכשרה!A:K,11,0)+VLOOKUP('תפוקה מצטברת מול אשתקד'!A73,מגדל!A:K,11,0)+VLOOKUP('תפוקה מצטברת מול אשתקד'!A73,מנורה!A:K,11,0)+VLOOKUP('תפוקה מצטברת מול אשתקד'!A73,איילון!A:K,11,0)+VLOOKUP('תפוקה מצטברת מול אשתקד'!A73,הראל!A:K,11,0)+VLOOKUP('תפוקה מצטברת מול אשתקד'!A73,הפניקס!A:K,11,0)+VLOOKUP('תפוקה מצטברת מול אשתקד'!A73,כלל!A:K,11,0)+VLOOKUP('תפוקה מצטברת מול אשתקד'!A73,מור!A:K,11,0)+VLOOKUP('תפוקה מצטברת מול אשתקד'!A73,'אלטשולר שחם'!A:K,11,0)+VLOOKUP('תפוקה מצטברת מול אשתקד'!A73,'מדיהו '!A:K,11,0)+VLOOKUP('תפוקה מצטברת מול אשתקד'!A73,'אנליסט '!A:K,11,0)+VLOOKUP('תפוקה מצטברת מול אשתקד'!A73,'מיטב דש'!A:K,11,0)+VLOOKUP('תפוקה מצטברת מול אשתקד'!A73,אינפניטי!A:K,11,0)</f>
        <v>10416175.347656</v>
      </c>
    </row>
    <row r="74" spans="1:15" ht="15.75" customHeight="1" thickBot="1" x14ac:dyDescent="0.35">
      <c r="A74" s="26" t="s">
        <v>81</v>
      </c>
      <c r="B74" s="26" t="s">
        <v>56</v>
      </c>
      <c r="C74" s="28" t="s">
        <v>103</v>
      </c>
      <c r="D74" s="101">
        <f t="shared" si="17"/>
        <v>2.6150059171597637</v>
      </c>
      <c r="E74" s="101">
        <f t="shared" si="17"/>
        <v>2.7622188820707327E-2</v>
      </c>
      <c r="F74" s="101">
        <f t="shared" si="17"/>
        <v>0</v>
      </c>
      <c r="G74" s="19">
        <f t="shared" si="5"/>
        <v>0</v>
      </c>
      <c r="H74" s="58">
        <f>VLOOKUP(A74,הכשרה!A:G,4,0)+VLOOKUP('תפוקה מצטברת מול אשתקד'!A74,מגדל!A:G,4,0)+VLOOKUP('תפוקה מצטברת מול אשתקד'!A74,מנורה!A:G,4,0)+VLOOKUP('תפוקה מצטברת מול אשתקד'!A74,איילון!A:G,4,0)+VLOOKUP('תפוקה מצטברת מול אשתקד'!A74,הראל!A:G,4,0)+VLOOKUP('תפוקה מצטברת מול אשתקד'!A74,הפניקס!A:G,4,0)+VLOOKUP('תפוקה מצטברת מול אשתקד'!A74,כלל!A:G,4,0)+VLOOKUP('תפוקה מצטברת מול אשתקד'!A74,מור!A:G,4,0)+VLOOKUP('תפוקה מצטברת מול אשתקד'!A74,'אלטשולר שחם'!A:G,4,0)+VLOOKUP('תפוקה מצטברת מול אשתקד'!A74,'מדיהו '!A:G,4,0)+VLOOKUP('תפוקה מצטברת מול אשתקד'!A74,'אנליסט '!A:G,4,0)+VLOOKUP('תפוקה מצטברת מול אשתקד'!A74,'מיטב דש'!A:G,4,0)+VLOOKUP('תפוקה מצטברת מול אשתקד'!A74,אינפניטי!A:G,4,0)</f>
        <v>73312.320000000007</v>
      </c>
      <c r="I74" s="58">
        <f>VLOOKUP(A74,הכשרה!A:G,5,0)+VLOOKUP('תפוקה מצטברת מול אשתקד'!A74,מגדל!A:G,5,0)+VLOOKUP('תפוקה מצטברת מול אשתקד'!A74,מנורה!A:G,5,0)+VLOOKUP('תפוקה מצטברת מול אשתקד'!A74,איילון!A:G,5,0)+VLOOKUP('תפוקה מצטברת מול אשתקד'!A74,הראל!A:G,5,0)+VLOOKUP('תפוקה מצטברת מול אשתקד'!A74,הפניקס!A:G,5,0)+VLOOKUP('תפוקה מצטברת מול אשתקד'!A74,כלל!A:G,5,0)+VLOOKUP('תפוקה מצטברת מול אשתקד'!A74,מור!A:G,5,0)+VLOOKUP('תפוקה מצטברת מול אשתקד'!A74,'אלטשולר שחם'!A:G,5,0)+VLOOKUP('תפוקה מצטברת מול אשתקד'!A74,'מדיהו '!A:G,5,0)+VLOOKUP('תפוקה מצטברת מול אשתקד'!A74,'אנליסט '!A:G,5,0)+VLOOKUP('תפוקה מצטברת מול אשתקד'!A74,'מיטב דש'!A:G,5,0)+VLOOKUP('תפוקה מצטברת מול אשתקד'!A74,אינפניטי!A:G,5,0)</f>
        <v>25433.623</v>
      </c>
      <c r="J74" s="58">
        <f>VLOOKUP(A74,הכשרה!A:G,6,0)+VLOOKUP('תפוקה מצטברת מול אשתקד'!A74,מגדל!A:G,6,0)+VLOOKUP('תפוקה מצטברת מול אשתקד'!A74,מנורה!A:G,6,0)+VLOOKUP('תפוקה מצטברת מול אשתקד'!A74,איילון!A:G,6,0)+VLOOKUP(A74,הראל!A:G,6,0)+VLOOKUP('תפוקה מצטברת מול אשתקד'!A74,הפניקס!A:G,6,0)+VLOOKUP('תפוקה מצטברת מול אשתקד'!A74,כלל!A:G,6,0)+VLOOKUP('תפוקה מצטברת מול אשתקד'!A74,מור!A:G,6,0)+VLOOKUP('תפוקה מצטברת מול אשתקד'!A74,'אלטשולר שחם'!A:G,6,0)+VLOOKUP('תפוקה מצטברת מול אשתקד'!A74,'מדיהו '!A:G,6,0)+VLOOKUP('תפוקה מצטברת מול אשתקד'!A74,'אנליסט '!A:G,6,0)+VLOOKUP('תפוקה מצטברת מול אשתקד'!A74,'מיטב דש'!A:G,6,0)+VLOOKUP('תפוקה מצטברת מול אשתקד'!A74,אינפניטי!A:G,6,0)</f>
        <v>0</v>
      </c>
      <c r="K74" s="58">
        <f>VLOOKUP(A74,הכשרה!A:G,7,0)+VLOOKUP('תפוקה מצטברת מול אשתקד'!A74,מגדל!A:G,7,0)+VLOOKUP('תפוקה מצטברת מול אשתקד'!A74,מנורה!A:G,7,0)+VLOOKUP('תפוקה מצטברת מול אשתקד'!A74,איילון!A:G,7,0)+VLOOKUP('תפוקה מצטברת מול אשתקד'!A74,הראל!A:G,7,0)+VLOOKUP('תפוקה מצטברת מול אשתקד'!A74,הפניקס!A:G,7,0)+VLOOKUP('תפוקה מצטברת מול אשתקד'!A74,כלל!A:G,7,0)+VLOOKUP('תפוקה מצטברת מול אשתקד'!A74,מור!A:G,7,0)+VLOOKUP('תפוקה מצטברת מול אשתקד'!A74,'אלטשולר שחם'!A:G,7,0)+VLOOKUP('תפוקה מצטברת מול אשתקד'!A74,'מדיהו '!A:K,7,0)+VLOOKUP(A74,'אנליסט '!A:G,7,0)+VLOOKUP('תפוקה מצטברת מול אשתקד'!A74,'מיטב דש'!A:G,7,0)+VLOOKUP('תפוקה מצטברת מול אשתקד'!A74,אינפניטי!A:G,7,0)</f>
        <v>0</v>
      </c>
      <c r="L74" s="12">
        <f>VLOOKUP(A74,הכשרה!A:K,8,0)+VLOOKUP('תפוקה מצטברת מול אשתקד'!A74,מגדל!A:K,8,0)+VLOOKUP('תפוקה מצטברת מול אשתקד'!A74,מנורה!A:K,8,0)+VLOOKUP('תפוקה מצטברת מול אשתקד'!A74,איילון!A:K,8,0)+VLOOKUP('תפוקה מצטברת מול אשתקד'!A74,הראל!A:K,8,0)+VLOOKUP('תפוקה מצטברת מול אשתקד'!A74,הפניקס!A:K,8,0)+VLOOKUP('תפוקה מצטברת מול אשתקד'!A74,כלל!A:K,8,0)+VLOOKUP('תפוקה מצטברת מול אשתקד'!A74,מור!A:K,8,0)+VLOOKUP('תפוקה מצטברת מול אשתקד'!A74,'אלטשולר שחם'!A:K,8,0)+VLOOKUP('תפוקה מצטברת מול אשתקד'!A74,'מדיהו '!A:K,8,0)+VLOOKUP('תפוקה מצטברת מול אשתקד'!A74,'אנליסט '!A:K,8,0)+VLOOKUP('תפוקה מצטברת מול אשתקד'!A74,'מיטב דש'!A:K,8,0)+VLOOKUP('תפוקה מצטברת מול אשתקד'!A74,אינפניטי!A:K,8,0)</f>
        <v>20280</v>
      </c>
      <c r="M74" s="12">
        <f>VLOOKUP(A74,הכשרה!A:K,9,0)+VLOOKUP('תפוקה מצטברת מול אשתקד'!A74,מגדל!A:K,9,0)+VLOOKUP('תפוקה מצטברת מול אשתקד'!A74,מנורה!A:K,9,0)+VLOOKUP('תפוקה מצטברת מול אשתקד'!A74,איילון!A:K,9,0)+VLOOKUP('תפוקה מצטברת מול אשתקד'!A74,הראל!A:K,9,0)+VLOOKUP('תפוקה מצטברת מול אשתקד'!A74,הפניקס!A:K,9,0)+VLOOKUP('תפוקה מצטברת מול אשתקד'!A74,כלל!A:K,9,0)+VLOOKUP('תפוקה מצטברת מול אשתקד'!A74,מור!A:K,9,0)+VLOOKUP('תפוקה מצטברת מול אשתקד'!A74,'אלטשולר שחם'!A:K,9,0)+VLOOKUP('תפוקה מצטברת מול אשתקד'!A74,'מדיהו '!A:K,9,0)+VLOOKUP('תפוקה מצטברת מול אשתקד'!A74,'אנליסט '!A:K,9,0)+VLOOKUP('תפוקה מצטברת מול אשתקד'!A74,'מיטב דש'!A:K,9,0)+VLOOKUP('תפוקה מצטברת מול אשתקד'!A74,אינפניטי!A:K,9,0)</f>
        <v>24749.974530218606</v>
      </c>
      <c r="N74" s="12">
        <f>VLOOKUP(A74,הכשרה!A:K,10,0)+VLOOKUP('תפוקה מצטברת מול אשתקד'!A74,מגדל!A:K,10,0)+VLOOKUP('תפוקה מצטברת מול אשתקד'!A74,מנורה!A:K,10,0)+VLOOKUP('תפוקה מצטברת מול אשתקד'!A74,איילון!A:K,10,0)+VLOOKUP('תפוקה מצטברת מול אשתקד'!A74,הראל!A:K,10,0)+VLOOKUP('תפוקה מצטברת מול אשתקד'!A74,הפניקס!A:K,10,0)+VLOOKUP('תפוקה מצטברת מול אשתקד'!A74,כלל!A:K,10,0)+VLOOKUP('תפוקה מצטברת מול אשתקד'!A74,מור!A:K,10,0)+VLOOKUP('תפוקה מצטברת מול אשתקד'!A74,'אלטשולר שחם'!A:K,10,0)+VLOOKUP('תפוקה מצטברת מול אשתקד'!A74,'מדיהו '!A:K,10,0)+VLOOKUP('תפוקה מצטברת מול אשתקד'!A74,'אנליסט '!A:K,10,0)+VLOOKUP('תפוקה מצטברת מול אשתקד'!A74,'מיטב דש'!A:K,10,0)+VLOOKUP('תפוקה מצטברת מול אשתקד'!A74,אינפניטי!A:K,10,0)</f>
        <v>0</v>
      </c>
      <c r="O74" s="12">
        <f>VLOOKUP(A74,הכשרה!A:K,11,0)+VLOOKUP('תפוקה מצטברת מול אשתקד'!A74,מגדל!A:K,11,0)+VLOOKUP('תפוקה מצטברת מול אשתקד'!A74,מנורה!A:K,11,0)+VLOOKUP('תפוקה מצטברת מול אשתקד'!A74,איילון!A:K,11,0)+VLOOKUP('תפוקה מצטברת מול אשתקד'!A74,הראל!A:K,11,0)+VLOOKUP('תפוקה מצטברת מול אשתקד'!A74,הפניקס!A:K,11,0)+VLOOKUP('תפוקה מצטברת מול אשתקד'!A74,כלל!A:K,11,0)+VLOOKUP('תפוקה מצטברת מול אשתקד'!A74,מור!A:K,11,0)+VLOOKUP('תפוקה מצטברת מול אשתקד'!A74,'אלטשולר שחם'!A:K,11,0)+VLOOKUP('תפוקה מצטברת מול אשתקד'!A74,'מדיהו '!A:K,11,0)+VLOOKUP('תפוקה מצטברת מול אשתקד'!A74,'אנליסט '!A:K,11,0)+VLOOKUP('תפוקה מצטברת מול אשתקד'!A74,'מיטב דש'!A:K,11,0)+VLOOKUP('תפוקה מצטברת מול אשתקד'!A74,אינפניטי!A:K,11,0)</f>
        <v>0</v>
      </c>
    </row>
    <row r="75" spans="1:15" ht="28.2" customHeight="1" thickBot="1" x14ac:dyDescent="0.35">
      <c r="A75" s="122" t="s">
        <v>44</v>
      </c>
      <c r="B75" s="121"/>
      <c r="C75" s="121"/>
      <c r="D75" s="126">
        <f t="shared" si="17"/>
        <v>0.32860630199007979</v>
      </c>
      <c r="E75" s="126">
        <f t="shared" si="17"/>
        <v>0.18281577465599663</v>
      </c>
      <c r="F75" s="126">
        <f t="shared" si="17"/>
        <v>0.35344689960379649</v>
      </c>
      <c r="G75" s="19">
        <f t="shared" si="5"/>
        <v>0.54440991209580125</v>
      </c>
      <c r="H75" s="124">
        <f>SUM(H67:H74)</f>
        <v>5800114.0618192572</v>
      </c>
      <c r="I75" s="124">
        <f t="shared" ref="I75:O75" si="18">SUM(I67:I74)</f>
        <v>884736.40272011713</v>
      </c>
      <c r="J75" s="124">
        <f t="shared" si="18"/>
        <v>38774756.711089849</v>
      </c>
      <c r="K75" s="124">
        <f t="shared" si="18"/>
        <v>41648434.140000001</v>
      </c>
      <c r="L75" s="124">
        <f t="shared" si="18"/>
        <v>4365562.6600080393</v>
      </c>
      <c r="M75" s="124">
        <f t="shared" si="18"/>
        <v>747991.71745695465</v>
      </c>
      <c r="N75" s="124">
        <f t="shared" si="18"/>
        <v>28648893.962844528</v>
      </c>
      <c r="O75" s="124">
        <f t="shared" si="18"/>
        <v>26967214.995067</v>
      </c>
    </row>
    <row r="76" spans="1:15" ht="30" customHeight="1" thickBot="1" x14ac:dyDescent="0.35">
      <c r="A76" s="122" t="s">
        <v>45</v>
      </c>
      <c r="B76" s="121"/>
      <c r="C76" s="121"/>
      <c r="D76" s="126">
        <f t="shared" si="17"/>
        <v>0.15385389257795445</v>
      </c>
      <c r="E76" s="126">
        <f t="shared" si="17"/>
        <v>-7.7115527819514584E-3</v>
      </c>
      <c r="F76" s="126">
        <f t="shared" si="17"/>
        <v>7.1855716613877796E-3</v>
      </c>
      <c r="G76" s="19">
        <f t="shared" si="5"/>
        <v>4.3252870567076496E-3</v>
      </c>
      <c r="H76" s="124">
        <f>H75+H66+H56+H22+H8</f>
        <v>26734140.415897317</v>
      </c>
      <c r="I76" s="124">
        <f t="shared" ref="I76:O76" si="19">I75+I66+I56+I22+I8</f>
        <v>4159293.3413202688</v>
      </c>
      <c r="J76" s="124">
        <f t="shared" si="19"/>
        <v>100985675.65651056</v>
      </c>
      <c r="K76" s="124">
        <f t="shared" si="19"/>
        <v>120655640.48</v>
      </c>
      <c r="L76" s="124">
        <f t="shared" si="19"/>
        <v>23169432.965353675</v>
      </c>
      <c r="M76" s="124">
        <f t="shared" si="19"/>
        <v>4191617.2187443525</v>
      </c>
      <c r="N76" s="124">
        <f t="shared" si="19"/>
        <v>100265212.78490037</v>
      </c>
      <c r="O76" s="124">
        <f t="shared" si="19"/>
        <v>120136017.71752201</v>
      </c>
    </row>
    <row r="77" spans="1:15" ht="15.75" customHeight="1" x14ac:dyDescent="0.3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3">
      <c r="H82" s="10"/>
      <c r="I82" s="10"/>
      <c r="J82" s="10"/>
      <c r="K82" s="10"/>
    </row>
  </sheetData>
  <mergeCells count="3">
    <mergeCell ref="H1:K1"/>
    <mergeCell ref="D1:F1"/>
    <mergeCell ref="L1:O1"/>
  </mergeCells>
  <conditionalFormatting sqref="A14">
    <cfRule type="duplicateValues" dxfId="349" priority="13"/>
    <cfRule type="duplicateValues" dxfId="348" priority="14"/>
  </conditionalFormatting>
  <conditionalFormatting sqref="A60">
    <cfRule type="duplicateValues" dxfId="347" priority="17"/>
    <cfRule type="duplicateValues" dxfId="346" priority="18"/>
  </conditionalFormatting>
  <conditionalFormatting sqref="A65 A23:A55 A61 A57:A59 A7">
    <cfRule type="duplicateValues" dxfId="345" priority="224"/>
    <cfRule type="duplicateValues" dxfId="344" priority="225"/>
  </conditionalFormatting>
  <conditionalFormatting sqref="A67:A74">
    <cfRule type="duplicateValues" dxfId="343" priority="126"/>
    <cfRule type="duplicateValues" dxfId="342" priority="127"/>
  </conditionalFormatting>
  <conditionalFormatting sqref="A75:A1048576 A1:A6 A8:A13 A15:A22 A66 A56">
    <cfRule type="duplicateValues" dxfId="341" priority="80"/>
    <cfRule type="duplicateValues" dxfId="340" priority="81"/>
  </conditionalFormatting>
  <conditionalFormatting sqref="D1:D25 E2:G25 G15:G76 D26:G77 D82:G1048576">
    <cfRule type="cellIs" dxfId="339" priority="35" operator="lessThan">
      <formula>-0.0001</formula>
    </cfRule>
  </conditionalFormatting>
  <conditionalFormatting sqref="D3:G77 D82:G1048576">
    <cfRule type="cellIs" dxfId="338" priority="36" operator="greaterThan">
      <formula>0.1</formula>
    </cfRule>
  </conditionalFormatting>
  <conditionalFormatting sqref="H8:O8">
    <cfRule type="duplicateValues" dxfId="337" priority="9"/>
    <cfRule type="duplicateValues" dxfId="336" priority="10"/>
  </conditionalFormatting>
  <conditionalFormatting sqref="H22:O22">
    <cfRule type="duplicateValues" dxfId="335" priority="1"/>
    <cfRule type="duplicateValues" dxfId="334" priority="2"/>
  </conditionalFormatting>
  <conditionalFormatting sqref="H56:O56">
    <cfRule type="duplicateValues" dxfId="333" priority="5"/>
    <cfRule type="duplicateValues" dxfId="332" priority="6"/>
  </conditionalFormatting>
  <conditionalFormatting sqref="H66:O66">
    <cfRule type="duplicateValues" dxfId="331" priority="3"/>
    <cfRule type="duplicateValues" dxfId="330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R82"/>
  <sheetViews>
    <sheetView rightToLeft="1" topLeftCell="A63" workbookViewId="0">
      <selection activeCell="I81" sqref="I81"/>
    </sheetView>
  </sheetViews>
  <sheetFormatPr defaultColWidth="27.6640625" defaultRowHeight="21" x14ac:dyDescent="0.3"/>
  <cols>
    <col min="1" max="1" width="27.5546875" style="94" bestFit="1" customWidth="1"/>
    <col min="2" max="2" width="10.109375" style="4" bestFit="1" customWidth="1"/>
    <col min="3" max="3" width="10.44140625" style="4" bestFit="1" customWidth="1"/>
    <col min="4" max="4" width="10.6640625" style="3" bestFit="1" customWidth="1"/>
    <col min="5" max="5" width="11" style="3" bestFit="1" customWidth="1"/>
    <col min="6" max="6" width="11.6640625" style="3" bestFit="1" customWidth="1"/>
    <col min="7" max="7" width="13.5546875" style="3" bestFit="1" customWidth="1"/>
    <col min="8" max="8" width="14.6640625" style="3" bestFit="1" customWidth="1"/>
    <col min="9" max="9" width="13.5546875" style="3" bestFit="1" customWidth="1"/>
    <col min="10" max="10" width="15" style="3" bestFit="1" customWidth="1"/>
    <col min="11" max="11" width="16.109375" style="3" bestFit="1" customWidth="1"/>
    <col min="12" max="12" width="15" style="3" bestFit="1" customWidth="1"/>
    <col min="13" max="13" width="13.5546875" style="3" bestFit="1" customWidth="1"/>
    <col min="14" max="15" width="16.44140625" style="3" bestFit="1" customWidth="1"/>
    <col min="16" max="16384" width="27.6640625" style="3"/>
  </cols>
  <sheetData>
    <row r="1" spans="1:16" ht="15.75" customHeight="1" x14ac:dyDescent="0.3">
      <c r="A1" s="26"/>
      <c r="B1" s="26"/>
      <c r="C1" s="26"/>
      <c r="D1" s="229" t="s">
        <v>52</v>
      </c>
      <c r="E1" s="229"/>
      <c r="F1" s="229"/>
      <c r="G1" s="100"/>
      <c r="H1" s="226" t="s">
        <v>135</v>
      </c>
      <c r="I1" s="227"/>
      <c r="J1" s="227"/>
      <c r="K1" s="228"/>
      <c r="L1" s="230" t="s">
        <v>136</v>
      </c>
      <c r="M1" s="231"/>
      <c r="N1" s="231"/>
      <c r="O1" s="231"/>
    </row>
    <row r="2" spans="1:16" ht="15.75" customHeight="1" x14ac:dyDescent="0.3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3">
      <c r="A3" s="26" t="s">
        <v>1</v>
      </c>
      <c r="B3" s="26" t="s">
        <v>108</v>
      </c>
      <c r="C3" s="26" t="s">
        <v>58</v>
      </c>
      <c r="D3" s="19">
        <f>IF(H3=0,0%,IF(L3=0,100%,H3/L3-1))</f>
        <v>4.346463393383682</v>
      </c>
      <c r="E3" s="19">
        <f>IF(I3=0,0%,IF(M3=0,100%,I3/M3-1))</f>
        <v>-0.63263455722027961</v>
      </c>
      <c r="F3" s="19">
        <f>IF(J3=0,0%,IF(N3=G29,100%,J3/N3-1))</f>
        <v>-2.2094604603388985</v>
      </c>
      <c r="G3" s="19">
        <f>IF(K3=0,0%,IF(O3=H29,100%,K3/O3-1))</f>
        <v>0.9890069308561138</v>
      </c>
      <c r="H3" s="58">
        <v>1186448.9887262546</v>
      </c>
      <c r="I3" s="58">
        <v>39420.643231377762</v>
      </c>
      <c r="J3" s="58">
        <v>1251596.6083392054</v>
      </c>
      <c r="K3" s="58">
        <v>6815587.0899999961</v>
      </c>
      <c r="L3" s="12">
        <v>221912.86116248369</v>
      </c>
      <c r="M3" s="12">
        <v>107306.345782271</v>
      </c>
      <c r="N3" s="12">
        <v>-1034838.7974489881</v>
      </c>
      <c r="O3" s="12">
        <v>3426628.1249540001</v>
      </c>
      <c r="P3" s="89"/>
    </row>
    <row r="4" spans="1:16" ht="15.75" customHeight="1" x14ac:dyDescent="0.3">
      <c r="A4" s="26" t="s">
        <v>2</v>
      </c>
      <c r="B4" s="26" t="s">
        <v>108</v>
      </c>
      <c r="C4" s="26" t="s">
        <v>58</v>
      </c>
      <c r="D4" s="19">
        <f t="shared" ref="D4:F69" si="0">IF(H4=0,0%,IF(L4=0,100%,H4/L4-1))</f>
        <v>-0.9681798321903754</v>
      </c>
      <c r="E4" s="19">
        <f t="shared" si="0"/>
        <v>-0.14738332699267065</v>
      </c>
      <c r="F4" s="19">
        <f t="shared" si="0"/>
        <v>-0.85681827689818735</v>
      </c>
      <c r="G4" s="19">
        <f>IF(K4=0,0%,IF(O4=H30,100%,K4/O4-1))</f>
        <v>-4.4367189338004174</v>
      </c>
      <c r="H4" s="58">
        <v>11066.684970273869</v>
      </c>
      <c r="I4" s="58">
        <v>15.19703957968386</v>
      </c>
      <c r="J4" s="58">
        <v>384174.70420648018</v>
      </c>
      <c r="K4" s="58">
        <v>-448608.3600000001</v>
      </c>
      <c r="L4" s="12">
        <v>347788.39120158716</v>
      </c>
      <c r="M4" s="12">
        <v>17.824000000001433</v>
      </c>
      <c r="N4" s="12">
        <v>2683126.6999999993</v>
      </c>
      <c r="O4" s="12">
        <v>130533.91000000015</v>
      </c>
      <c r="P4" s="89"/>
    </row>
    <row r="5" spans="1:16" ht="15.75" customHeight="1" x14ac:dyDescent="0.3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0"/>
        <v>1</v>
      </c>
      <c r="F5" s="19">
        <f t="shared" si="0"/>
        <v>0</v>
      </c>
      <c r="G5" s="19">
        <f>IF(K5=0,0%,IF(O5=H31,100%,K5/O5-1))</f>
        <v>0</v>
      </c>
      <c r="H5" s="58">
        <v>0</v>
      </c>
      <c r="I5" s="58">
        <v>5243.0323836896132</v>
      </c>
      <c r="J5" s="58">
        <v>0</v>
      </c>
      <c r="K5" s="58">
        <v>0</v>
      </c>
      <c r="L5" s="12"/>
      <c r="M5" s="12"/>
      <c r="N5" s="12"/>
      <c r="O5" s="12"/>
      <c r="P5" s="89"/>
    </row>
    <row r="6" spans="1:16" ht="15.75" customHeight="1" x14ac:dyDescent="0.3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0"/>
        <v>1</v>
      </c>
      <c r="F6" s="101">
        <f t="shared" si="0"/>
        <v>1</v>
      </c>
      <c r="G6" s="19">
        <v>-1</v>
      </c>
      <c r="H6" s="58">
        <v>85112.754272983031</v>
      </c>
      <c r="I6" s="58">
        <v>6868.0095363236469</v>
      </c>
      <c r="J6" s="58">
        <v>270680.33470000001</v>
      </c>
      <c r="K6" s="58">
        <v>1043513.6499999999</v>
      </c>
      <c r="L6" s="12"/>
      <c r="M6" s="12"/>
      <c r="N6" s="12"/>
      <c r="O6" s="12"/>
      <c r="P6" s="89"/>
    </row>
    <row r="7" spans="1:16" ht="15.75" customHeight="1" thickBot="1" x14ac:dyDescent="0.35">
      <c r="A7" s="26" t="s">
        <v>34</v>
      </c>
      <c r="B7" s="26" t="s">
        <v>108</v>
      </c>
      <c r="C7" s="27" t="s">
        <v>58</v>
      </c>
      <c r="D7" s="19">
        <f>IF(H7=0,0%,IF(L7=0,100%,H7/L7-1))</f>
        <v>-0.89155563398924498</v>
      </c>
      <c r="E7" s="19">
        <f>IF(I7=0,0%,IF(M7=0,100%,I7/M7-1))</f>
        <v>36.900066986465099</v>
      </c>
      <c r="F7" s="19">
        <f>IF(J7=0,0%,IF(N7=0,100%,J7/N7-1))</f>
        <v>-0.72392264352063207</v>
      </c>
      <c r="G7" s="19">
        <f>IF(K7=0,0%,IF(O7=H74,100%,K7/O7-1))</f>
        <v>-0.73532029216691019</v>
      </c>
      <c r="H7" s="58">
        <v>24.579999999998108</v>
      </c>
      <c r="I7" s="58">
        <v>525.22</v>
      </c>
      <c r="J7" s="58">
        <v>36.260000000000218</v>
      </c>
      <c r="K7" s="58">
        <v>157.62999999999738</v>
      </c>
      <c r="L7" s="12">
        <v>226.66000000000349</v>
      </c>
      <c r="M7" s="12">
        <v>13.858023000000685</v>
      </c>
      <c r="N7" s="12">
        <v>131.34000000000015</v>
      </c>
      <c r="O7" s="12">
        <v>595.55000000000291</v>
      </c>
    </row>
    <row r="8" spans="1:16" ht="26.4" customHeight="1" thickBot="1" x14ac:dyDescent="0.35">
      <c r="A8" s="122" t="s">
        <v>3</v>
      </c>
      <c r="B8" s="121"/>
      <c r="C8" s="121"/>
      <c r="D8" s="126">
        <f t="shared" si="0"/>
        <v>1.2505530614372691</v>
      </c>
      <c r="E8" s="126">
        <f t="shared" si="0"/>
        <v>-0.51487740872751875</v>
      </c>
      <c r="F8" s="126">
        <f t="shared" si="0"/>
        <v>0.15655523669773475</v>
      </c>
      <c r="G8" s="19">
        <f>IF(K8=0,0%,IF(O8=H75,100%,K8/O8-1))</f>
        <v>1.0829552978370813</v>
      </c>
      <c r="H8" s="124">
        <f>SUM(H3:H7)</f>
        <v>1282653.0079695114</v>
      </c>
      <c r="I8" s="124">
        <f t="shared" ref="I8:O8" si="1">SUM(I3:I7)</f>
        <v>52072.102190970705</v>
      </c>
      <c r="J8" s="124">
        <f t="shared" si="1"/>
        <v>1906487.9072456856</v>
      </c>
      <c r="K8" s="124">
        <f t="shared" si="1"/>
        <v>7410650.0099999951</v>
      </c>
      <c r="L8" s="124">
        <f t="shared" si="1"/>
        <v>569927.91236407089</v>
      </c>
      <c r="M8" s="124">
        <f t="shared" si="1"/>
        <v>107338.02780527101</v>
      </c>
      <c r="N8" s="124">
        <f t="shared" si="1"/>
        <v>1648419.2425510113</v>
      </c>
      <c r="O8" s="124">
        <f t="shared" si="1"/>
        <v>3557757.5849540001</v>
      </c>
    </row>
    <row r="9" spans="1:16" ht="15.75" customHeight="1" x14ac:dyDescent="0.3">
      <c r="A9" s="27" t="s">
        <v>4</v>
      </c>
      <c r="B9" s="26" t="s">
        <v>108</v>
      </c>
      <c r="C9" s="27" t="s">
        <v>106</v>
      </c>
      <c r="D9" s="103">
        <f t="shared" si="0"/>
        <v>1</v>
      </c>
      <c r="E9" s="103">
        <f t="shared" si="0"/>
        <v>6.7488888888882839</v>
      </c>
      <c r="F9" s="103">
        <f t="shared" si="0"/>
        <v>0</v>
      </c>
      <c r="G9" s="103">
        <f t="shared" ref="G9:G20" si="2">IF(K9=0,0%,IF(O9=H33,100%,K9/O9-1))</f>
        <v>-0.92992186684382294</v>
      </c>
      <c r="H9" s="58">
        <v>-4439.4547204406554</v>
      </c>
      <c r="I9" s="58">
        <v>3.48700000000008</v>
      </c>
      <c r="J9" s="58">
        <v>0</v>
      </c>
      <c r="K9" s="58">
        <v>-8803.6900000000023</v>
      </c>
      <c r="L9" s="12">
        <v>0</v>
      </c>
      <c r="M9" s="12">
        <v>0.45000000000004547</v>
      </c>
      <c r="N9" s="12">
        <v>0</v>
      </c>
      <c r="O9" s="12">
        <v>-125626.77690599987</v>
      </c>
    </row>
    <row r="10" spans="1:16" ht="15.75" customHeight="1" x14ac:dyDescent="0.3">
      <c r="A10" s="26" t="s">
        <v>5</v>
      </c>
      <c r="B10" s="26" t="s">
        <v>108</v>
      </c>
      <c r="C10" s="26" t="s">
        <v>106</v>
      </c>
      <c r="D10" s="19">
        <f t="shared" si="0"/>
        <v>0.52101681734434147</v>
      </c>
      <c r="E10" s="19">
        <f t="shared" si="0"/>
        <v>4.6303828657826882</v>
      </c>
      <c r="F10" s="19">
        <f t="shared" si="0"/>
        <v>-0.97242355427468663</v>
      </c>
      <c r="G10" s="19">
        <f t="shared" si="2"/>
        <v>-3.105362453449541</v>
      </c>
      <c r="H10" s="58">
        <v>130266.06145353219</v>
      </c>
      <c r="I10" s="58">
        <v>221071.45581691503</v>
      </c>
      <c r="J10" s="58">
        <v>12734.931289667264</v>
      </c>
      <c r="K10" s="58">
        <v>250362.65000000014</v>
      </c>
      <c r="L10" s="12">
        <v>85644.063871018589</v>
      </c>
      <c r="M10" s="12">
        <v>39264.018289133441</v>
      </c>
      <c r="N10" s="12">
        <v>461804.66534805903</v>
      </c>
      <c r="O10" s="12">
        <v>-118916.64999999991</v>
      </c>
    </row>
    <row r="11" spans="1:16" ht="15.75" customHeight="1" x14ac:dyDescent="0.3">
      <c r="A11" s="26" t="s">
        <v>6</v>
      </c>
      <c r="B11" s="26" t="s">
        <v>108</v>
      </c>
      <c r="C11" s="26" t="s">
        <v>106</v>
      </c>
      <c r="D11" s="19">
        <f t="shared" si="0"/>
        <v>-1.603637705231705</v>
      </c>
      <c r="E11" s="19">
        <f t="shared" si="0"/>
        <v>-0.98766388784776138</v>
      </c>
      <c r="F11" s="19">
        <f t="shared" si="0"/>
        <v>7.4628049781161803</v>
      </c>
      <c r="G11" s="19">
        <f t="shared" si="2"/>
        <v>-0.53457310852050477</v>
      </c>
      <c r="H11" s="58">
        <v>736.06942444367451</v>
      </c>
      <c r="I11" s="58">
        <v>139.28992091802502</v>
      </c>
      <c r="J11" s="58">
        <v>230307.32716457651</v>
      </c>
      <c r="K11" s="58">
        <v>85265.149999999907</v>
      </c>
      <c r="L11" s="12">
        <v>-1219.3894086870132</v>
      </c>
      <c r="M11" s="12">
        <v>11291.23334799998</v>
      </c>
      <c r="N11" s="12">
        <v>27214.065284515498</v>
      </c>
      <c r="O11" s="12">
        <v>183197.7300000001</v>
      </c>
    </row>
    <row r="12" spans="1:16" ht="15.75" customHeight="1" x14ac:dyDescent="0.3">
      <c r="A12" s="26" t="s">
        <v>7</v>
      </c>
      <c r="B12" s="26" t="s">
        <v>108</v>
      </c>
      <c r="C12" s="26" t="s">
        <v>106</v>
      </c>
      <c r="D12" s="19">
        <f t="shared" si="0"/>
        <v>82102.347037067826</v>
      </c>
      <c r="E12" s="19">
        <f t="shared" si="0"/>
        <v>67.324854040733513</v>
      </c>
      <c r="F12" s="19">
        <f t="shared" si="0"/>
        <v>1</v>
      </c>
      <c r="G12" s="19">
        <v>1</v>
      </c>
      <c r="H12" s="58">
        <v>63219.577218543069</v>
      </c>
      <c r="I12" s="58">
        <v>9426.7801120000004</v>
      </c>
      <c r="J12" s="58">
        <v>1192833.06</v>
      </c>
      <c r="K12" s="58">
        <v>416166.46</v>
      </c>
      <c r="L12" s="12">
        <v>0.77000000000001023</v>
      </c>
      <c r="M12" s="12">
        <v>137.96999999999997</v>
      </c>
      <c r="N12" s="12">
        <v>0</v>
      </c>
      <c r="O12" s="12">
        <v>0</v>
      </c>
    </row>
    <row r="13" spans="1:16" ht="15.75" customHeight="1" x14ac:dyDescent="0.3">
      <c r="A13" s="26" t="s">
        <v>8</v>
      </c>
      <c r="B13" s="26" t="s">
        <v>108</v>
      </c>
      <c r="C13" s="26" t="s">
        <v>106</v>
      </c>
      <c r="D13" s="19">
        <f t="shared" si="0"/>
        <v>-237.67452718514511</v>
      </c>
      <c r="E13" s="19">
        <f t="shared" si="0"/>
        <v>-0.82658179689436839</v>
      </c>
      <c r="F13" s="19">
        <f t="shared" si="0"/>
        <v>-0.47736260314494516</v>
      </c>
      <c r="G13" s="19">
        <f t="shared" si="2"/>
        <v>-8.1837568058076755</v>
      </c>
      <c r="H13" s="58">
        <v>34081.179187000002</v>
      </c>
      <c r="I13" s="58">
        <v>4085.4385467828542</v>
      </c>
      <c r="J13" s="58">
        <v>2349.83</v>
      </c>
      <c r="K13" s="58">
        <v>-4433.24</v>
      </c>
      <c r="L13" s="12">
        <v>-144.000199735644</v>
      </c>
      <c r="M13" s="12">
        <v>23558.302840298449</v>
      </c>
      <c r="N13" s="12">
        <v>4496.0999999999767</v>
      </c>
      <c r="O13" s="12">
        <v>617.11999999999534</v>
      </c>
    </row>
    <row r="14" spans="1:16" ht="15.75" customHeight="1" x14ac:dyDescent="0.3">
      <c r="A14" s="26" t="s">
        <v>9</v>
      </c>
      <c r="B14" s="26" t="s">
        <v>108</v>
      </c>
      <c r="C14" s="26" t="s">
        <v>106</v>
      </c>
      <c r="D14" s="19">
        <f t="shared" si="0"/>
        <v>-0.95423695147649712</v>
      </c>
      <c r="E14" s="19">
        <f t="shared" si="0"/>
        <v>2.0588397933630431</v>
      </c>
      <c r="F14" s="19">
        <f t="shared" si="0"/>
        <v>-0.97310846230044457</v>
      </c>
      <c r="G14" s="19">
        <f t="shared" si="2"/>
        <v>-3.4634129296389764</v>
      </c>
      <c r="H14" s="58">
        <v>6989.0883198309166</v>
      </c>
      <c r="I14" s="58">
        <v>15639.567000000003</v>
      </c>
      <c r="J14" s="58">
        <v>974.23999999999069</v>
      </c>
      <c r="K14" s="58">
        <v>-579566.48</v>
      </c>
      <c r="L14" s="12">
        <v>152723.39901572501</v>
      </c>
      <c r="M14" s="12">
        <v>5112.9081797399631</v>
      </c>
      <c r="N14" s="12">
        <v>36228.497265000013</v>
      </c>
      <c r="O14" s="12">
        <v>235269.72397800069</v>
      </c>
    </row>
    <row r="15" spans="1:16" ht="15.75" customHeight="1" x14ac:dyDescent="0.3">
      <c r="A15" s="26" t="s">
        <v>31</v>
      </c>
      <c r="B15" s="26" t="s">
        <v>108</v>
      </c>
      <c r="C15" s="26" t="s">
        <v>106</v>
      </c>
      <c r="D15" s="19">
        <f t="shared" si="0"/>
        <v>-4.1469850082417459</v>
      </c>
      <c r="E15" s="19">
        <f t="shared" si="0"/>
        <v>0</v>
      </c>
      <c r="F15" s="19">
        <f t="shared" si="0"/>
        <v>1</v>
      </c>
      <c r="G15" s="19">
        <v>1</v>
      </c>
      <c r="H15" s="58">
        <v>-8037.6199999999953</v>
      </c>
      <c r="I15" s="58">
        <v>0</v>
      </c>
      <c r="J15" s="58">
        <v>-6369.2999999999884</v>
      </c>
      <c r="K15" s="58">
        <v>338.00999999999476</v>
      </c>
      <c r="L15" s="12">
        <v>2554.0699999999997</v>
      </c>
      <c r="M15" s="12">
        <v>595.20550650092878</v>
      </c>
      <c r="N15" s="12">
        <v>0</v>
      </c>
      <c r="O15" s="12">
        <v>0</v>
      </c>
    </row>
    <row r="16" spans="1:16" ht="15.75" customHeight="1" x14ac:dyDescent="0.3">
      <c r="A16" s="26" t="s">
        <v>96</v>
      </c>
      <c r="B16" s="26" t="s">
        <v>108</v>
      </c>
      <c r="C16" s="26" t="s">
        <v>106</v>
      </c>
      <c r="D16" s="19">
        <f t="shared" si="0"/>
        <v>-1.4044693895409635</v>
      </c>
      <c r="E16" s="19">
        <f t="shared" si="0"/>
        <v>0.11319738635240362</v>
      </c>
      <c r="F16" s="19">
        <f t="shared" si="0"/>
        <v>25.335800873558178</v>
      </c>
      <c r="G16" s="19">
        <f t="shared" si="2"/>
        <v>4.2951341889658972</v>
      </c>
      <c r="H16" s="58">
        <v>16437.590909999999</v>
      </c>
      <c r="I16" s="58">
        <v>2060.9279999999999</v>
      </c>
      <c r="J16" s="58">
        <v>19275.240000000002</v>
      </c>
      <c r="K16" s="58">
        <v>15176.229999999996</v>
      </c>
      <c r="L16" s="12">
        <v>-40639.888542999994</v>
      </c>
      <c r="M16" s="12">
        <v>1851.3590000000004</v>
      </c>
      <c r="N16" s="12">
        <v>731.90255699999761</v>
      </c>
      <c r="O16" s="12">
        <v>2866.0708980000009</v>
      </c>
    </row>
    <row r="17" spans="1:18" ht="15.75" customHeight="1" x14ac:dyDescent="0.3">
      <c r="A17" s="26" t="s">
        <v>42</v>
      </c>
      <c r="B17" s="26" t="s">
        <v>108</v>
      </c>
      <c r="C17" s="26" t="s">
        <v>106</v>
      </c>
      <c r="D17" s="19">
        <f t="shared" si="0"/>
        <v>-0.37785720464476003</v>
      </c>
      <c r="E17" s="19">
        <f t="shared" si="0"/>
        <v>-5.8316728647049185</v>
      </c>
      <c r="F17" s="19">
        <f t="shared" si="0"/>
        <v>-0.88855374548274146</v>
      </c>
      <c r="G17" s="19">
        <f t="shared" si="2"/>
        <v>-0.34858267660560494</v>
      </c>
      <c r="H17" s="58">
        <v>49946.769225484342</v>
      </c>
      <c r="I17" s="58">
        <v>23101.80534358992</v>
      </c>
      <c r="J17" s="58">
        <v>474863.53256199881</v>
      </c>
      <c r="K17" s="58">
        <v>-264825.29000000004</v>
      </c>
      <c r="L17" s="12">
        <v>80281.841401000274</v>
      </c>
      <c r="M17" s="12">
        <v>-4781.3264661080902</v>
      </c>
      <c r="N17" s="12">
        <v>4260919.621022</v>
      </c>
      <c r="O17" s="12">
        <v>-406537.0700000003</v>
      </c>
    </row>
    <row r="18" spans="1:18" ht="15.75" customHeight="1" x14ac:dyDescent="0.3">
      <c r="A18" s="26" t="s">
        <v>43</v>
      </c>
      <c r="B18" s="26" t="s">
        <v>108</v>
      </c>
      <c r="C18" s="26" t="s">
        <v>106</v>
      </c>
      <c r="D18" s="19">
        <f t="shared" si="0"/>
        <v>-0.85676525658860248</v>
      </c>
      <c r="E18" s="19">
        <f t="shared" si="0"/>
        <v>-0.4168347821618571</v>
      </c>
      <c r="F18" s="19">
        <f t="shared" si="0"/>
        <v>-0.61179725894796344</v>
      </c>
      <c r="G18" s="19">
        <f t="shared" si="2"/>
        <v>-0.67141660879553688</v>
      </c>
      <c r="H18" s="58">
        <v>73811.383394936798</v>
      </c>
      <c r="I18" s="58">
        <v>27746.315029305682</v>
      </c>
      <c r="J18" s="58">
        <v>1543853.7834328422</v>
      </c>
      <c r="K18" s="58">
        <v>1403133.0850000004</v>
      </c>
      <c r="L18" s="12">
        <v>515317.5942999837</v>
      </c>
      <c r="M18" s="12">
        <v>47578.823600221396</v>
      </c>
      <c r="N18" s="12">
        <v>3976926.5390784461</v>
      </c>
      <c r="O18" s="12">
        <v>4270249.57</v>
      </c>
    </row>
    <row r="19" spans="1:18" ht="15.75" customHeight="1" x14ac:dyDescent="0.3">
      <c r="A19" s="26" t="s">
        <v>30</v>
      </c>
      <c r="B19" s="26" t="s">
        <v>108</v>
      </c>
      <c r="C19" s="26" t="s">
        <v>106</v>
      </c>
      <c r="D19" s="19">
        <f t="shared" si="0"/>
        <v>-9.2275729636261978</v>
      </c>
      <c r="E19" s="19">
        <f t="shared" si="0"/>
        <v>-33.23703210205791</v>
      </c>
      <c r="F19" s="19">
        <f t="shared" si="0"/>
        <v>0</v>
      </c>
      <c r="G19" s="19">
        <f t="shared" si="2"/>
        <v>0</v>
      </c>
      <c r="H19" s="58">
        <v>-1198445.6162213662</v>
      </c>
      <c r="I19" s="58">
        <v>-51743.43243488489</v>
      </c>
      <c r="J19" s="58">
        <v>0</v>
      </c>
      <c r="K19" s="58">
        <v>0</v>
      </c>
      <c r="L19" s="12">
        <v>145662.1073455867</v>
      </c>
      <c r="M19" s="12">
        <v>1605.0929338368514</v>
      </c>
      <c r="N19" s="12">
        <v>81383.219450000019</v>
      </c>
      <c r="O19" s="12">
        <v>901557.29500000004</v>
      </c>
    </row>
    <row r="20" spans="1:18" ht="15.75" customHeight="1" x14ac:dyDescent="0.3">
      <c r="A20" s="28" t="s">
        <v>130</v>
      </c>
      <c r="B20" s="26" t="s">
        <v>108</v>
      </c>
      <c r="C20" s="26" t="s">
        <v>106</v>
      </c>
      <c r="D20" s="19">
        <f t="shared" si="0"/>
        <v>0</v>
      </c>
      <c r="E20" s="19">
        <f t="shared" si="0"/>
        <v>0</v>
      </c>
      <c r="F20" s="19">
        <f t="shared" si="0"/>
        <v>0</v>
      </c>
      <c r="G20" s="19">
        <f t="shared" si="2"/>
        <v>0</v>
      </c>
      <c r="H20" s="58"/>
      <c r="I20" s="58"/>
      <c r="J20" s="58"/>
      <c r="K20" s="58"/>
      <c r="L20" s="12"/>
      <c r="M20" s="12"/>
      <c r="N20" s="12"/>
      <c r="O20" s="12"/>
    </row>
    <row r="21" spans="1:18" ht="15.75" customHeight="1" thickBot="1" x14ac:dyDescent="0.35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01">
        <f t="shared" si="0"/>
        <v>0</v>
      </c>
      <c r="F21" s="101">
        <f t="shared" si="0"/>
        <v>0</v>
      </c>
      <c r="G21" s="19">
        <f t="shared" ref="G21:G76" si="3">IF(K21=0,0%,IF(O21=H44,100%,K21/O21-1))</f>
        <v>0</v>
      </c>
      <c r="H21" s="58">
        <v>0</v>
      </c>
      <c r="I21" s="58">
        <v>0</v>
      </c>
      <c r="J21" s="58">
        <v>0</v>
      </c>
      <c r="K21" s="58">
        <v>0</v>
      </c>
      <c r="L21" s="12">
        <v>0</v>
      </c>
      <c r="M21" s="12">
        <v>-572.43119550000029</v>
      </c>
      <c r="N21" s="12">
        <v>-18934.438986000023</v>
      </c>
      <c r="O21" s="12">
        <v>0</v>
      </c>
    </row>
    <row r="22" spans="1:18" ht="18" customHeight="1" thickBot="1" x14ac:dyDescent="0.35">
      <c r="A22" s="122" t="s">
        <v>10</v>
      </c>
      <c r="B22" s="121"/>
      <c r="C22" s="121"/>
      <c r="D22" s="126">
        <f t="shared" si="0"/>
        <v>-1.888589916061576</v>
      </c>
      <c r="E22" s="126">
        <f t="shared" si="0"/>
        <v>1.0019772292811138</v>
      </c>
      <c r="F22" s="126">
        <f t="shared" si="0"/>
        <v>-0.60696263437591291</v>
      </c>
      <c r="G22" s="19">
        <f t="shared" si="3"/>
        <v>-0.73439233808823268</v>
      </c>
      <c r="H22" s="124">
        <f>SUM(H9:H21)</f>
        <v>-835434.97180803586</v>
      </c>
      <c r="I22" s="124">
        <f t="shared" ref="I22:O22" si="4">SUM(I9:I21)</f>
        <v>251531.63433462667</v>
      </c>
      <c r="J22" s="124">
        <f t="shared" si="4"/>
        <v>3470822.644449085</v>
      </c>
      <c r="K22" s="124">
        <f t="shared" si="4"/>
        <v>1312812.8850000005</v>
      </c>
      <c r="L22" s="124">
        <f t="shared" si="4"/>
        <v>940180.56778189167</v>
      </c>
      <c r="M22" s="124">
        <f t="shared" si="4"/>
        <v>125641.60603612293</v>
      </c>
      <c r="N22" s="124">
        <f t="shared" si="4"/>
        <v>8830770.1710190214</v>
      </c>
      <c r="O22" s="124">
        <f t="shared" si="4"/>
        <v>4942677.0129700014</v>
      </c>
      <c r="P22" s="35"/>
      <c r="Q22" s="35"/>
      <c r="R22" s="35"/>
    </row>
    <row r="23" spans="1:18" ht="15.75" customHeight="1" x14ac:dyDescent="0.3">
      <c r="A23" s="27" t="s">
        <v>11</v>
      </c>
      <c r="B23" s="27" t="s">
        <v>56</v>
      </c>
      <c r="C23" s="27" t="s">
        <v>107</v>
      </c>
      <c r="D23" s="103">
        <f t="shared" si="0"/>
        <v>2.9073267783248053</v>
      </c>
      <c r="E23" s="103">
        <f t="shared" si="0"/>
        <v>-17.168893515144532</v>
      </c>
      <c r="F23" s="103">
        <f t="shared" si="0"/>
        <v>-0.91146100323289259</v>
      </c>
      <c r="G23" s="19">
        <f t="shared" si="3"/>
        <v>-0.38424156029624112</v>
      </c>
      <c r="H23" s="58">
        <v>240171.58927999984</v>
      </c>
      <c r="I23" s="58">
        <v>84039.146999999997</v>
      </c>
      <c r="J23" s="58">
        <v>-2505</v>
      </c>
      <c r="K23" s="58">
        <v>246693.56000000052</v>
      </c>
      <c r="L23" s="12">
        <v>61466.983158999821</v>
      </c>
      <c r="M23" s="12">
        <v>-5197.5818209999998</v>
      </c>
      <c r="N23" s="12">
        <v>-28292.617846000008</v>
      </c>
      <c r="O23" s="12">
        <v>400633.66426400049</v>
      </c>
    </row>
    <row r="24" spans="1:18" customFormat="1" ht="15.75" customHeight="1" x14ac:dyDescent="0.3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0"/>
        <v>-1.0008710438743287</v>
      </c>
      <c r="F24" s="19">
        <f t="shared" si="0"/>
        <v>0</v>
      </c>
      <c r="G24" s="19">
        <f t="shared" si="3"/>
        <v>0</v>
      </c>
      <c r="H24" s="58">
        <v>0</v>
      </c>
      <c r="I24" s="58">
        <v>11.864060699732818</v>
      </c>
      <c r="J24" s="58">
        <v>0</v>
      </c>
      <c r="K24" s="58">
        <v>0</v>
      </c>
      <c r="L24" s="12">
        <v>-32151.940754999996</v>
      </c>
      <c r="M24" s="12">
        <v>-13620.508735999998</v>
      </c>
      <c r="N24" s="12">
        <v>-237911.17755900003</v>
      </c>
      <c r="O24" s="12">
        <v>485518.60698499996</v>
      </c>
    </row>
    <row r="25" spans="1:18" ht="15.75" customHeight="1" x14ac:dyDescent="0.3">
      <c r="A25" s="30" t="s">
        <v>13</v>
      </c>
      <c r="B25" s="26" t="s">
        <v>56</v>
      </c>
      <c r="C25" s="27" t="s">
        <v>107</v>
      </c>
      <c r="D25" s="19">
        <f t="shared" si="0"/>
        <v>0.69336459965899233</v>
      </c>
      <c r="E25" s="19">
        <f t="shared" si="0"/>
        <v>-0.40859793959554402</v>
      </c>
      <c r="F25" s="19">
        <f t="shared" si="0"/>
        <v>-0.68687066665396834</v>
      </c>
      <c r="G25" s="19" t="e">
        <f t="shared" si="3"/>
        <v>#DIV/0!</v>
      </c>
      <c r="H25" s="58">
        <v>15150.663388763851</v>
      </c>
      <c r="I25" s="58">
        <v>979.42403403195749</v>
      </c>
      <c r="J25" s="58">
        <v>15.299008008993042</v>
      </c>
      <c r="K25" s="58">
        <v>-14017.99</v>
      </c>
      <c r="L25" s="12">
        <v>8947.0769566193085</v>
      </c>
      <c r="M25" s="12">
        <v>1656.1052110000019</v>
      </c>
      <c r="N25" s="12">
        <v>48.85843126069085</v>
      </c>
      <c r="O25" s="12">
        <v>0</v>
      </c>
    </row>
    <row r="26" spans="1:18" ht="15.75" customHeight="1" x14ac:dyDescent="0.3">
      <c r="A26" s="30" t="s">
        <v>15</v>
      </c>
      <c r="B26" s="26" t="s">
        <v>56</v>
      </c>
      <c r="C26" s="27" t="s">
        <v>107</v>
      </c>
      <c r="D26" s="19">
        <f t="shared" si="0"/>
        <v>-0.50567323399202446</v>
      </c>
      <c r="E26" s="19">
        <f t="shared" si="0"/>
        <v>-0.1803775680904971</v>
      </c>
      <c r="F26" s="19">
        <f t="shared" si="0"/>
        <v>-0.3254620556765121</v>
      </c>
      <c r="G26" s="19">
        <f t="shared" si="3"/>
        <v>0.13661182267188954</v>
      </c>
      <c r="H26" s="58">
        <v>125116.90885019803</v>
      </c>
      <c r="I26" s="58">
        <v>19999.567070000005</v>
      </c>
      <c r="J26" s="58">
        <v>231741.55799999996</v>
      </c>
      <c r="K26" s="58">
        <v>603057.42000000016</v>
      </c>
      <c r="L26" s="12">
        <v>253105.67311699921</v>
      </c>
      <c r="M26" s="12">
        <v>24400.951329999982</v>
      </c>
      <c r="N26" s="12">
        <v>343555.99999999965</v>
      </c>
      <c r="O26" s="12">
        <v>530574.65000000026</v>
      </c>
    </row>
    <row r="27" spans="1:18" ht="15.75" customHeight="1" x14ac:dyDescent="0.3">
      <c r="A27" s="30" t="s">
        <v>17</v>
      </c>
      <c r="B27" s="26" t="s">
        <v>56</v>
      </c>
      <c r="C27" s="27" t="s">
        <v>107</v>
      </c>
      <c r="D27" s="19">
        <f t="shared" si="0"/>
        <v>0.11702631464980162</v>
      </c>
      <c r="E27" s="19">
        <f t="shared" si="0"/>
        <v>-1.0131731253671725</v>
      </c>
      <c r="F27" s="19">
        <f t="shared" si="0"/>
        <v>24.13744424003082</v>
      </c>
      <c r="G27" s="19">
        <f t="shared" si="3"/>
        <v>-1.0000053107605651</v>
      </c>
      <c r="H27" s="58">
        <v>36143.841195342568</v>
      </c>
      <c r="I27" s="58">
        <v>-204.54729185462202</v>
      </c>
      <c r="J27" s="58">
        <v>100002.27867359843</v>
      </c>
      <c r="K27" s="58">
        <v>0.35000000000582077</v>
      </c>
      <c r="L27" s="12">
        <v>32357.19760699998</v>
      </c>
      <c r="M27" s="12">
        <v>15527.620526891333</v>
      </c>
      <c r="N27" s="12">
        <v>3978.219810999999</v>
      </c>
      <c r="O27" s="12">
        <v>-65903.931407999946</v>
      </c>
    </row>
    <row r="28" spans="1:18" ht="15.75" customHeight="1" x14ac:dyDescent="0.3">
      <c r="A28" s="30" t="s">
        <v>18</v>
      </c>
      <c r="B28" s="26" t="s">
        <v>56</v>
      </c>
      <c r="C28" s="27" t="s">
        <v>107</v>
      </c>
      <c r="D28" s="19">
        <f t="shared" si="0"/>
        <v>-1.0137928636629474</v>
      </c>
      <c r="E28" s="19">
        <f t="shared" si="0"/>
        <v>-1.0738401189304565</v>
      </c>
      <c r="F28" s="19">
        <f t="shared" si="0"/>
        <v>-5.9608767748435931E-2</v>
      </c>
      <c r="G28" s="19">
        <f t="shared" si="3"/>
        <v>-0.88214489830223186</v>
      </c>
      <c r="H28" s="58">
        <v>531.57999999999811</v>
      </c>
      <c r="I28" s="58">
        <v>-2589.1353400000007</v>
      </c>
      <c r="J28" s="58">
        <v>51027.129999999976</v>
      </c>
      <c r="K28" s="58">
        <v>175.27999999999884</v>
      </c>
      <c r="L28" s="12">
        <v>-38540.219999999987</v>
      </c>
      <c r="M28" s="12">
        <v>35064.073263999977</v>
      </c>
      <c r="N28" s="12">
        <v>54261.596928999978</v>
      </c>
      <c r="O28" s="12">
        <v>1487.2499999999418</v>
      </c>
    </row>
    <row r="29" spans="1:18" ht="15.75" customHeight="1" x14ac:dyDescent="0.3">
      <c r="A29" s="26" t="s">
        <v>19</v>
      </c>
      <c r="B29" s="26" t="s">
        <v>56</v>
      </c>
      <c r="C29" s="27" t="s">
        <v>107</v>
      </c>
      <c r="D29" s="19">
        <f t="shared" si="0"/>
        <v>0.66813139039193503</v>
      </c>
      <c r="E29" s="19">
        <f t="shared" si="0"/>
        <v>-3.2007862874343389</v>
      </c>
      <c r="F29" s="19">
        <f t="shared" si="0"/>
        <v>-0.15750776441922354</v>
      </c>
      <c r="G29" s="19">
        <f t="shared" si="3"/>
        <v>-1.4853536531423708</v>
      </c>
      <c r="H29" s="58">
        <v>37310.327468457283</v>
      </c>
      <c r="I29" s="58">
        <v>10631.160000000003</v>
      </c>
      <c r="J29" s="58">
        <v>311243.59999999986</v>
      </c>
      <c r="K29" s="58">
        <v>-169441.60999999987</v>
      </c>
      <c r="L29" s="12">
        <v>22366.54000000027</v>
      </c>
      <c r="M29" s="12">
        <v>-4830.6189749999467</v>
      </c>
      <c r="N29" s="12">
        <v>369432.01000000013</v>
      </c>
      <c r="O29" s="12">
        <v>349109.5800000024</v>
      </c>
    </row>
    <row r="30" spans="1:18" ht="15.75" customHeight="1" x14ac:dyDescent="0.3">
      <c r="A30" s="26" t="s">
        <v>20</v>
      </c>
      <c r="B30" s="26" t="s">
        <v>56</v>
      </c>
      <c r="C30" s="27" t="s">
        <v>107</v>
      </c>
      <c r="D30" s="19">
        <f t="shared" si="0"/>
        <v>58.856813557462779</v>
      </c>
      <c r="E30" s="19">
        <f t="shared" si="0"/>
        <v>0.1512599559260861</v>
      </c>
      <c r="F30" s="19">
        <f t="shared" si="0"/>
        <v>-0.71721767046793494</v>
      </c>
      <c r="G30" s="19">
        <f t="shared" si="3"/>
        <v>-2.5210768909855803</v>
      </c>
      <c r="H30" s="58">
        <v>100073.27513177006</v>
      </c>
      <c r="I30" s="58">
        <v>9751.0732362451236</v>
      </c>
      <c r="J30" s="58">
        <v>98895</v>
      </c>
      <c r="K30" s="58">
        <v>-1961518.1399999994</v>
      </c>
      <c r="L30" s="12">
        <v>1671.8777560001472</v>
      </c>
      <c r="M30" s="12">
        <v>8469.9143630000181</v>
      </c>
      <c r="N30" s="12">
        <v>349721.28620500024</v>
      </c>
      <c r="O30" s="12">
        <v>1289558.8327089995</v>
      </c>
    </row>
    <row r="31" spans="1:18" ht="15.75" customHeight="1" x14ac:dyDescent="0.3">
      <c r="A31" s="26" t="s">
        <v>21</v>
      </c>
      <c r="B31" s="26" t="s">
        <v>56</v>
      </c>
      <c r="C31" s="27" t="s">
        <v>107</v>
      </c>
      <c r="D31" s="19">
        <f t="shared" si="0"/>
        <v>0</v>
      </c>
      <c r="E31" s="19">
        <f t="shared" si="0"/>
        <v>-0.24999999999933387</v>
      </c>
      <c r="F31" s="19">
        <f t="shared" si="0"/>
        <v>0</v>
      </c>
      <c r="G31" s="19">
        <f t="shared" ref="G31:G38" si="5">IF(K31=0,0%,IF(O31=H55,100%,K31/O31-1))</f>
        <v>0</v>
      </c>
      <c r="H31" s="58">
        <v>0</v>
      </c>
      <c r="I31" s="58">
        <v>2.9999999999999361E-2</v>
      </c>
      <c r="J31" s="58">
        <v>0</v>
      </c>
      <c r="K31" s="58">
        <v>0</v>
      </c>
      <c r="L31" s="12">
        <v>0</v>
      </c>
      <c r="M31" s="12">
        <v>3.999999999996362E-2</v>
      </c>
      <c r="N31" s="12">
        <v>0</v>
      </c>
      <c r="O31" s="12">
        <v>0</v>
      </c>
    </row>
    <row r="32" spans="1:18" ht="15.75" customHeight="1" x14ac:dyDescent="0.3">
      <c r="A32" s="26" t="s">
        <v>22</v>
      </c>
      <c r="B32" s="26" t="s">
        <v>56</v>
      </c>
      <c r="C32" s="27" t="s">
        <v>107</v>
      </c>
      <c r="D32" s="19">
        <f t="shared" si="0"/>
        <v>-7.396389378548502</v>
      </c>
      <c r="E32" s="19">
        <f t="shared" si="0"/>
        <v>-0.99404609169405456</v>
      </c>
      <c r="F32" s="19">
        <f t="shared" si="0"/>
        <v>1</v>
      </c>
      <c r="G32" s="19" t="e">
        <f t="shared" si="5"/>
        <v>#DIV/0!</v>
      </c>
      <c r="H32" s="58">
        <v>667.10048150350485</v>
      </c>
      <c r="I32" s="58">
        <v>12.364324851865604</v>
      </c>
      <c r="J32" s="58">
        <v>-1854.5027451142378</v>
      </c>
      <c r="K32" s="58">
        <v>14254.46</v>
      </c>
      <c r="L32" s="12">
        <v>-104.29328829491715</v>
      </c>
      <c r="M32" s="12">
        <v>2076.6737101944864</v>
      </c>
      <c r="N32" s="12">
        <v>0</v>
      </c>
      <c r="O32" s="12">
        <v>0</v>
      </c>
      <c r="P32" s="10"/>
      <c r="Q32" s="106"/>
    </row>
    <row r="33" spans="1:15" ht="15.75" customHeight="1" x14ac:dyDescent="0.3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0</v>
      </c>
      <c r="F33" s="19">
        <f t="shared" si="0"/>
        <v>0</v>
      </c>
      <c r="G33" s="19">
        <f t="shared" si="5"/>
        <v>0</v>
      </c>
      <c r="H33" s="58">
        <v>0</v>
      </c>
      <c r="I33" s="58">
        <v>0</v>
      </c>
      <c r="J33" s="58">
        <v>0</v>
      </c>
      <c r="K33" s="58">
        <v>0</v>
      </c>
      <c r="L33" s="12">
        <v>10195.799999999999</v>
      </c>
      <c r="M33" s="12">
        <v>4.0000000000000036E-2</v>
      </c>
      <c r="N33" s="12">
        <v>0</v>
      </c>
      <c r="O33" s="12">
        <v>0</v>
      </c>
    </row>
    <row r="34" spans="1:15" ht="15.75" customHeight="1" x14ac:dyDescent="0.3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0"/>
        <v>4.2516486415192212</v>
      </c>
      <c r="F34" s="19">
        <f t="shared" si="0"/>
        <v>0</v>
      </c>
      <c r="G34" s="19">
        <f t="shared" si="5"/>
        <v>0</v>
      </c>
      <c r="H34" s="58">
        <v>0</v>
      </c>
      <c r="I34" s="58">
        <v>19.908999999999651</v>
      </c>
      <c r="J34" s="58">
        <v>0</v>
      </c>
      <c r="K34" s="58">
        <v>0</v>
      </c>
      <c r="L34" s="12">
        <v>0</v>
      </c>
      <c r="M34" s="12">
        <v>3.7910000000000537</v>
      </c>
      <c r="N34" s="12">
        <v>0</v>
      </c>
      <c r="O34" s="12">
        <v>0</v>
      </c>
    </row>
    <row r="35" spans="1:15" ht="15.75" customHeight="1" x14ac:dyDescent="0.3">
      <c r="A35" s="30" t="s">
        <v>25</v>
      </c>
      <c r="B35" s="26" t="s">
        <v>56</v>
      </c>
      <c r="C35" s="27" t="s">
        <v>107</v>
      </c>
      <c r="D35" s="19">
        <f t="shared" si="0"/>
        <v>3.7498205675139005</v>
      </c>
      <c r="E35" s="19">
        <f t="shared" si="0"/>
        <v>0.73816136381965824</v>
      </c>
      <c r="F35" s="19">
        <f t="shared" si="0"/>
        <v>-9.6912407890050751</v>
      </c>
      <c r="G35" s="19">
        <f t="shared" si="5"/>
        <v>-1.0790320616192426</v>
      </c>
      <c r="H35" s="58">
        <v>279106.61127415602</v>
      </c>
      <c r="I35" s="58">
        <v>78074.277759018936</v>
      </c>
      <c r="J35" s="58">
        <v>941425.02709314507</v>
      </c>
      <c r="K35" s="58">
        <v>363591.66000000015</v>
      </c>
      <c r="L35" s="12">
        <v>58761.506315225502</v>
      </c>
      <c r="M35" s="12">
        <v>44917.738585241896</v>
      </c>
      <c r="N35" s="12">
        <v>-108318.82926130667</v>
      </c>
      <c r="O35" s="12">
        <v>-4600558.97000001</v>
      </c>
    </row>
    <row r="36" spans="1:15" ht="15.75" customHeight="1" x14ac:dyDescent="0.3">
      <c r="A36" s="26" t="s">
        <v>26</v>
      </c>
      <c r="B36" s="26" t="s">
        <v>56</v>
      </c>
      <c r="C36" s="27" t="s">
        <v>107</v>
      </c>
      <c r="D36" s="19">
        <f t="shared" si="0"/>
        <v>0</v>
      </c>
      <c r="E36" s="19">
        <f t="shared" si="0"/>
        <v>0</v>
      </c>
      <c r="F36" s="19">
        <f t="shared" si="0"/>
        <v>0</v>
      </c>
      <c r="G36" s="19">
        <f t="shared" si="5"/>
        <v>0</v>
      </c>
      <c r="H36" s="58">
        <v>0</v>
      </c>
      <c r="I36" s="58">
        <v>0</v>
      </c>
      <c r="J36" s="58">
        <v>0</v>
      </c>
      <c r="K36" s="58">
        <v>0</v>
      </c>
      <c r="L36" s="12">
        <v>-527.64000000000124</v>
      </c>
      <c r="M36" s="12">
        <v>13.509999999999764</v>
      </c>
      <c r="N36" s="12">
        <v>-3.0000000000086402E-2</v>
      </c>
      <c r="O36" s="12">
        <v>0</v>
      </c>
    </row>
    <row r="37" spans="1:15" ht="15.75" customHeight="1" x14ac:dyDescent="0.3">
      <c r="A37" s="26" t="s">
        <v>27</v>
      </c>
      <c r="B37" s="26" t="s">
        <v>56</v>
      </c>
      <c r="C37" s="27" t="s">
        <v>107</v>
      </c>
      <c r="D37" s="19">
        <f t="shared" si="0"/>
        <v>0</v>
      </c>
      <c r="E37" s="19">
        <f t="shared" si="0"/>
        <v>-1.6949689854641168</v>
      </c>
      <c r="F37" s="19">
        <f t="shared" si="0"/>
        <v>1</v>
      </c>
      <c r="G37" s="19">
        <f t="shared" si="5"/>
        <v>0</v>
      </c>
      <c r="H37" s="58">
        <v>0</v>
      </c>
      <c r="I37" s="58">
        <v>-10.233999999999924</v>
      </c>
      <c r="J37" s="58">
        <v>1000</v>
      </c>
      <c r="K37" s="58">
        <v>0</v>
      </c>
      <c r="L37" s="12">
        <v>60869.12836200001</v>
      </c>
      <c r="M37" s="12">
        <v>14.725836999999956</v>
      </c>
      <c r="N37" s="12">
        <v>0</v>
      </c>
      <c r="O37" s="12">
        <v>2918.1312340000586</v>
      </c>
    </row>
    <row r="38" spans="1:15" ht="15.75" customHeight="1" x14ac:dyDescent="0.3">
      <c r="A38" s="26" t="s">
        <v>28</v>
      </c>
      <c r="B38" s="26" t="s">
        <v>56</v>
      </c>
      <c r="C38" s="27" t="s">
        <v>107</v>
      </c>
      <c r="D38" s="19">
        <f t="shared" si="0"/>
        <v>1</v>
      </c>
      <c r="E38" s="19">
        <f t="shared" si="0"/>
        <v>0</v>
      </c>
      <c r="F38" s="19">
        <f t="shared" si="0"/>
        <v>0</v>
      </c>
      <c r="G38" s="19">
        <f t="shared" si="5"/>
        <v>0</v>
      </c>
      <c r="H38" s="58">
        <v>25839.297965907223</v>
      </c>
      <c r="I38" s="58">
        <v>0</v>
      </c>
      <c r="J38" s="58">
        <v>0</v>
      </c>
      <c r="K38" s="58">
        <v>0</v>
      </c>
      <c r="L38" s="12">
        <v>0</v>
      </c>
      <c r="M38" s="12">
        <v>0</v>
      </c>
      <c r="N38" s="12">
        <v>0</v>
      </c>
      <c r="O38" s="12">
        <v>0</v>
      </c>
    </row>
    <row r="39" spans="1:15" ht="15.75" customHeight="1" x14ac:dyDescent="0.3">
      <c r="A39" s="26" t="s">
        <v>29</v>
      </c>
      <c r="B39" s="26" t="s">
        <v>56</v>
      </c>
      <c r="C39" s="27" t="s">
        <v>107</v>
      </c>
      <c r="D39" s="19">
        <f t="shared" si="0"/>
        <v>-24.724970630465812</v>
      </c>
      <c r="E39" s="19">
        <f t="shared" si="0"/>
        <v>0.81074766355141348</v>
      </c>
      <c r="F39" s="19">
        <f t="shared" si="0"/>
        <v>1</v>
      </c>
      <c r="G39" s="19">
        <f t="shared" ref="G39:G54" si="6">IF(K39=0,0%,IF(O39=H65,100%,K39/O39-1))</f>
        <v>1</v>
      </c>
      <c r="H39" s="58">
        <v>-1817.5699999999997</v>
      </c>
      <c r="I39" s="58">
        <v>7.75</v>
      </c>
      <c r="J39" s="58">
        <v>338.55999999999767</v>
      </c>
      <c r="K39" s="58">
        <v>682.11999999999534</v>
      </c>
      <c r="L39" s="12">
        <v>76.610000000000582</v>
      </c>
      <c r="M39" s="12">
        <v>4.2799999999999727</v>
      </c>
      <c r="N39" s="12">
        <v>0</v>
      </c>
      <c r="O39" s="12">
        <v>0</v>
      </c>
    </row>
    <row r="40" spans="1:15" ht="15.75" customHeight="1" x14ac:dyDescent="0.3">
      <c r="A40" s="30" t="s">
        <v>95</v>
      </c>
      <c r="B40" s="26" t="s">
        <v>56</v>
      </c>
      <c r="C40" s="27" t="s">
        <v>107</v>
      </c>
      <c r="D40" s="19">
        <f t="shared" si="0"/>
        <v>-0.30498677878163938</v>
      </c>
      <c r="E40" s="19">
        <f t="shared" si="0"/>
        <v>0.66738576890426393</v>
      </c>
      <c r="F40" s="19">
        <f t="shared" si="0"/>
        <v>-9.8109031589293547</v>
      </c>
      <c r="G40" s="19">
        <f t="shared" si="6"/>
        <v>-10.709414021351556</v>
      </c>
      <c r="H40" s="58">
        <v>121611.49398763978</v>
      </c>
      <c r="I40" s="58">
        <v>13295.036248526492</v>
      </c>
      <c r="J40" s="58">
        <v>330144.10189344949</v>
      </c>
      <c r="K40" s="58">
        <v>757967.29999999993</v>
      </c>
      <c r="L40" s="12">
        <v>174977.23823793512</v>
      </c>
      <c r="M40" s="12">
        <v>7973.5814569554786</v>
      </c>
      <c r="N40" s="12">
        <v>-37469.950121840462</v>
      </c>
      <c r="O40" s="12">
        <v>-78065.19511200022</v>
      </c>
    </row>
    <row r="41" spans="1:15" ht="15.75" customHeight="1" x14ac:dyDescent="0.3">
      <c r="A41" s="26" t="s">
        <v>83</v>
      </c>
      <c r="B41" s="26" t="s">
        <v>56</v>
      </c>
      <c r="C41" s="27" t="s">
        <v>107</v>
      </c>
      <c r="D41" s="19">
        <f t="shared" si="0"/>
        <v>0</v>
      </c>
      <c r="E41" s="19">
        <f t="shared" si="0"/>
        <v>-0.92070483992861396</v>
      </c>
      <c r="F41" s="19">
        <f t="shared" si="0"/>
        <v>0</v>
      </c>
      <c r="G41" s="19">
        <f t="shared" si="6"/>
        <v>0</v>
      </c>
      <c r="H41" s="58">
        <v>0</v>
      </c>
      <c r="I41" s="58">
        <v>71.163902507421881</v>
      </c>
      <c r="J41" s="58">
        <v>0</v>
      </c>
      <c r="K41" s="58">
        <v>0</v>
      </c>
      <c r="L41" s="12">
        <v>679.21829900002922</v>
      </c>
      <c r="M41" s="12">
        <v>897.45581500000844</v>
      </c>
      <c r="N41" s="12">
        <v>13139.900580000001</v>
      </c>
      <c r="O41" s="12">
        <v>-40331.168092000022</v>
      </c>
    </row>
    <row r="42" spans="1:15" ht="15.75" customHeight="1" x14ac:dyDescent="0.3">
      <c r="A42" s="26" t="s">
        <v>82</v>
      </c>
      <c r="B42" s="26" t="s">
        <v>56</v>
      </c>
      <c r="C42" s="27" t="s">
        <v>107</v>
      </c>
      <c r="D42" s="19">
        <f t="shared" si="0"/>
        <v>-0.99740191502566999</v>
      </c>
      <c r="E42" s="19">
        <f t="shared" si="0"/>
        <v>-0.21052140723720503</v>
      </c>
      <c r="F42" s="19">
        <f t="shared" si="0"/>
        <v>179.75249169435216</v>
      </c>
      <c r="G42" s="19">
        <f t="shared" si="6"/>
        <v>-0.93983654765284463</v>
      </c>
      <c r="H42" s="58">
        <v>50.478545008756555</v>
      </c>
      <c r="I42" s="58">
        <v>6595.2642952714523</v>
      </c>
      <c r="J42" s="58">
        <v>108813</v>
      </c>
      <c r="K42" s="58">
        <v>47178.069999999949</v>
      </c>
      <c r="L42" s="12">
        <v>19429.135500763688</v>
      </c>
      <c r="M42" s="12">
        <v>8353.949499999997</v>
      </c>
      <c r="N42" s="12">
        <v>602</v>
      </c>
      <c r="O42" s="12">
        <v>784164.94000000041</v>
      </c>
    </row>
    <row r="43" spans="1:15" ht="15.75" customHeight="1" x14ac:dyDescent="0.3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0"/>
        <v>1</v>
      </c>
      <c r="F43" s="19">
        <f t="shared" si="0"/>
        <v>0</v>
      </c>
      <c r="G43" s="19">
        <f t="shared" si="6"/>
        <v>0</v>
      </c>
      <c r="H43" s="58">
        <v>0</v>
      </c>
      <c r="I43" s="58">
        <v>16.639000000000124</v>
      </c>
      <c r="J43" s="58">
        <v>0</v>
      </c>
      <c r="K43" s="58">
        <v>0</v>
      </c>
      <c r="L43" s="12">
        <v>0</v>
      </c>
      <c r="M43" s="12">
        <v>0</v>
      </c>
      <c r="N43" s="12">
        <v>0</v>
      </c>
      <c r="O43" s="12">
        <v>0</v>
      </c>
    </row>
    <row r="44" spans="1:15" ht="15.75" customHeight="1" x14ac:dyDescent="0.3">
      <c r="A44" s="28" t="s">
        <v>87</v>
      </c>
      <c r="B44" s="26" t="s">
        <v>56</v>
      </c>
      <c r="C44" s="27" t="s">
        <v>107</v>
      </c>
      <c r="D44" s="19">
        <f t="shared" si="0"/>
        <v>142.96864909053664</v>
      </c>
      <c r="E44" s="19">
        <f t="shared" si="0"/>
        <v>-1.0298462533585429</v>
      </c>
      <c r="F44" s="19">
        <f t="shared" si="0"/>
        <v>1.816997409625186</v>
      </c>
      <c r="G44" s="19">
        <f t="shared" si="6"/>
        <v>0</v>
      </c>
      <c r="H44" s="58">
        <v>7044.3859999999995</v>
      </c>
      <c r="I44" s="58">
        <v>-11.996999999999844</v>
      </c>
      <c r="J44" s="58">
        <v>36398.169999999925</v>
      </c>
      <c r="K44" s="58">
        <v>0</v>
      </c>
      <c r="L44" s="12">
        <v>48.930000000000291</v>
      </c>
      <c r="M44" s="12">
        <v>401.96000000000004</v>
      </c>
      <c r="N44" s="12">
        <v>12920.909999999916</v>
      </c>
      <c r="O44" s="12">
        <v>0</v>
      </c>
    </row>
    <row r="45" spans="1:15" ht="15.75" customHeight="1" x14ac:dyDescent="0.3">
      <c r="A45" s="26" t="s">
        <v>97</v>
      </c>
      <c r="B45" s="26" t="s">
        <v>56</v>
      </c>
      <c r="C45" s="26" t="s">
        <v>107</v>
      </c>
      <c r="D45" s="19">
        <f t="shared" si="0"/>
        <v>-1.0110925797697272</v>
      </c>
      <c r="E45" s="19">
        <f t="shared" si="0"/>
        <v>78.146488294314125</v>
      </c>
      <c r="F45" s="19">
        <f t="shared" si="0"/>
        <v>-0.91584930512608187</v>
      </c>
      <c r="G45" s="19">
        <f t="shared" si="6"/>
        <v>-0.87030790340331021</v>
      </c>
      <c r="H45" s="58">
        <v>-1064.1012800000026</v>
      </c>
      <c r="I45" s="58">
        <v>2366.4799999999996</v>
      </c>
      <c r="J45" s="58">
        <v>7336.8500000000931</v>
      </c>
      <c r="K45" s="58">
        <v>21832.090000000026</v>
      </c>
      <c r="L45" s="12">
        <v>95929.107754000011</v>
      </c>
      <c r="M45" s="12">
        <v>29.900000000000091</v>
      </c>
      <c r="N45" s="12">
        <v>87187.040000000008</v>
      </c>
      <c r="O45" s="12">
        <v>168337.85999999987</v>
      </c>
    </row>
    <row r="46" spans="1:15" ht="15.75" customHeight="1" x14ac:dyDescent="0.3">
      <c r="A46" s="26" t="s">
        <v>39</v>
      </c>
      <c r="B46" s="26" t="s">
        <v>56</v>
      </c>
      <c r="C46" s="26" t="s">
        <v>107</v>
      </c>
      <c r="D46" s="19">
        <f t="shared" si="0"/>
        <v>-0.71318631391325582</v>
      </c>
      <c r="E46" s="19">
        <f t="shared" si="0"/>
        <v>1.4642321601834696</v>
      </c>
      <c r="F46" s="19">
        <f t="shared" si="0"/>
        <v>0</v>
      </c>
      <c r="G46" s="19">
        <v>-1</v>
      </c>
      <c r="H46" s="58">
        <v>-1641.3199999999997</v>
      </c>
      <c r="I46" s="58">
        <v>2234.9599999999991</v>
      </c>
      <c r="J46" s="58">
        <v>0</v>
      </c>
      <c r="K46" s="58">
        <v>417.56999999997788</v>
      </c>
      <c r="L46" s="12">
        <v>-5722.5999999999913</v>
      </c>
      <c r="M46" s="12">
        <v>906.95999999999981</v>
      </c>
      <c r="N46" s="12">
        <v>3799.5200000000004</v>
      </c>
      <c r="O46" s="12">
        <v>0</v>
      </c>
    </row>
    <row r="47" spans="1:15" ht="15.75" customHeight="1" x14ac:dyDescent="0.3">
      <c r="A47" s="26" t="s">
        <v>91</v>
      </c>
      <c r="B47" s="26" t="s">
        <v>56</v>
      </c>
      <c r="C47" s="26" t="s">
        <v>107</v>
      </c>
      <c r="D47" s="19">
        <f t="shared" si="0"/>
        <v>-0.42811066430586264</v>
      </c>
      <c r="E47" s="19">
        <f t="shared" si="0"/>
        <v>-0.59069563943419356</v>
      </c>
      <c r="F47" s="19">
        <f t="shared" si="0"/>
        <v>-1.1291152736416126</v>
      </c>
      <c r="G47" s="19">
        <f t="shared" si="6"/>
        <v>-0.97845846166023964</v>
      </c>
      <c r="H47" s="58">
        <v>1701.8616000000038</v>
      </c>
      <c r="I47" s="58">
        <v>6864.4849999999997</v>
      </c>
      <c r="J47" s="58">
        <v>8807.2400000000198</v>
      </c>
      <c r="K47" s="58">
        <v>367.60999999986961</v>
      </c>
      <c r="L47" s="12">
        <v>2975.8582540000498</v>
      </c>
      <c r="M47" s="12">
        <v>16771.101559999999</v>
      </c>
      <c r="N47" s="12">
        <v>-68212.224251999985</v>
      </c>
      <c r="O47" s="12">
        <v>17065.169358000392</v>
      </c>
    </row>
    <row r="48" spans="1:15" ht="15.75" customHeight="1" x14ac:dyDescent="0.3">
      <c r="A48" s="26" t="s">
        <v>41</v>
      </c>
      <c r="B48" s="26" t="s">
        <v>56</v>
      </c>
      <c r="C48" s="26" t="s">
        <v>107</v>
      </c>
      <c r="D48" s="19">
        <f t="shared" si="0"/>
        <v>1</v>
      </c>
      <c r="E48" s="19">
        <f t="shared" si="0"/>
        <v>-0.56047700170349435</v>
      </c>
      <c r="F48" s="19">
        <f t="shared" si="0"/>
        <v>0</v>
      </c>
      <c r="G48" s="19">
        <f t="shared" si="6"/>
        <v>0</v>
      </c>
      <c r="H48" s="58">
        <v>-6112</v>
      </c>
      <c r="I48" s="58">
        <v>2.5800000000000409</v>
      </c>
      <c r="J48" s="58">
        <v>0</v>
      </c>
      <c r="K48" s="58">
        <v>0</v>
      </c>
      <c r="L48" s="12">
        <v>0</v>
      </c>
      <c r="M48" s="12">
        <v>5.8699999999989814</v>
      </c>
      <c r="N48" s="12">
        <v>0</v>
      </c>
      <c r="O48" s="12">
        <v>0</v>
      </c>
    </row>
    <row r="49" spans="1:15" ht="15.75" customHeight="1" x14ac:dyDescent="0.3">
      <c r="A49" s="28" t="s">
        <v>88</v>
      </c>
      <c r="B49" s="28" t="s">
        <v>56</v>
      </c>
      <c r="C49" s="26" t="s">
        <v>107</v>
      </c>
      <c r="D49" s="101">
        <f t="shared" si="0"/>
        <v>2637.4630312438089</v>
      </c>
      <c r="E49" s="101">
        <f t="shared" si="0"/>
        <v>1</v>
      </c>
      <c r="F49" s="101">
        <f t="shared" si="0"/>
        <v>1964.9322847487294</v>
      </c>
      <c r="G49" s="19">
        <f t="shared" si="6"/>
        <v>5872.3623330482824</v>
      </c>
      <c r="H49" s="58">
        <v>135960</v>
      </c>
      <c r="I49" s="58">
        <v>5.25</v>
      </c>
      <c r="J49" s="58">
        <v>4501</v>
      </c>
      <c r="K49" s="58">
        <v>158635</v>
      </c>
      <c r="L49" s="12">
        <v>51.530000000002474</v>
      </c>
      <c r="M49" s="12">
        <v>0</v>
      </c>
      <c r="N49" s="12">
        <v>2.2894990000000348</v>
      </c>
      <c r="O49" s="12">
        <v>27.009231</v>
      </c>
    </row>
    <row r="50" spans="1:15" ht="15.75" customHeight="1" x14ac:dyDescent="0.3">
      <c r="A50" s="26" t="s">
        <v>14</v>
      </c>
      <c r="B50" s="26" t="s">
        <v>55</v>
      </c>
      <c r="C50" s="26" t="s">
        <v>107</v>
      </c>
      <c r="D50" s="19">
        <f t="shared" si="0"/>
        <v>0</v>
      </c>
      <c r="E50" s="19">
        <f t="shared" si="0"/>
        <v>0</v>
      </c>
      <c r="F50" s="19">
        <f t="shared" si="0"/>
        <v>0</v>
      </c>
      <c r="G50" s="19">
        <f t="shared" si="6"/>
        <v>0</v>
      </c>
      <c r="H50" s="58">
        <v>0</v>
      </c>
      <c r="I50" s="58">
        <v>0</v>
      </c>
      <c r="J50" s="58">
        <v>0</v>
      </c>
      <c r="K50" s="58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ht="15.75" customHeight="1" x14ac:dyDescent="0.3">
      <c r="A51" s="26" t="s">
        <v>36</v>
      </c>
      <c r="B51" s="26" t="s">
        <v>55</v>
      </c>
      <c r="C51" s="26" t="s">
        <v>107</v>
      </c>
      <c r="D51" s="19">
        <f t="shared" si="0"/>
        <v>0</v>
      </c>
      <c r="E51" s="19">
        <f t="shared" si="0"/>
        <v>0</v>
      </c>
      <c r="F51" s="19">
        <f t="shared" si="0"/>
        <v>0</v>
      </c>
      <c r="G51" s="19">
        <f t="shared" si="6"/>
        <v>0</v>
      </c>
      <c r="H51" s="58">
        <v>0</v>
      </c>
      <c r="I51" s="58">
        <v>0</v>
      </c>
      <c r="J51" s="58">
        <v>0</v>
      </c>
      <c r="K51" s="58">
        <v>0</v>
      </c>
      <c r="L51" s="12">
        <v>-10129.702791</v>
      </c>
      <c r="M51" s="12">
        <v>-1133.4596760000002</v>
      </c>
      <c r="N51" s="12">
        <v>0</v>
      </c>
      <c r="O51" s="12">
        <v>0</v>
      </c>
    </row>
    <row r="52" spans="1:15" ht="15.75" customHeight="1" x14ac:dyDescent="0.3">
      <c r="A52" s="26" t="s">
        <v>94</v>
      </c>
      <c r="B52" s="26" t="s">
        <v>55</v>
      </c>
      <c r="C52" s="26" t="s">
        <v>107</v>
      </c>
      <c r="D52" s="19">
        <f t="shared" si="0"/>
        <v>0</v>
      </c>
      <c r="E52" s="19">
        <f t="shared" si="0"/>
        <v>3.7500618950909059E-2</v>
      </c>
      <c r="F52" s="19">
        <f t="shared" si="0"/>
        <v>0</v>
      </c>
      <c r="G52" s="19">
        <f t="shared" si="6"/>
        <v>0</v>
      </c>
      <c r="H52" s="58">
        <v>0</v>
      </c>
      <c r="I52" s="58">
        <v>2305.5</v>
      </c>
      <c r="J52" s="58">
        <v>0</v>
      </c>
      <c r="K52" s="58">
        <v>0</v>
      </c>
      <c r="L52" s="12">
        <v>35.909124999999989</v>
      </c>
      <c r="M52" s="12">
        <v>2222.1673489999994</v>
      </c>
      <c r="N52" s="12">
        <v>0</v>
      </c>
      <c r="O52" s="12">
        <v>0</v>
      </c>
    </row>
    <row r="53" spans="1:15" ht="15.75" customHeight="1" x14ac:dyDescent="0.3">
      <c r="A53" s="26" t="s">
        <v>98</v>
      </c>
      <c r="B53" s="26" t="s">
        <v>55</v>
      </c>
      <c r="C53" s="27" t="s">
        <v>107</v>
      </c>
      <c r="D53" s="19">
        <f t="shared" si="0"/>
        <v>1</v>
      </c>
      <c r="E53" s="19">
        <f t="shared" si="0"/>
        <v>1</v>
      </c>
      <c r="F53" s="19">
        <f t="shared" si="0"/>
        <v>0</v>
      </c>
      <c r="G53" s="19">
        <f t="shared" si="6"/>
        <v>0</v>
      </c>
      <c r="H53" s="58">
        <v>103.06000000000131</v>
      </c>
      <c r="I53" s="58">
        <v>-6964.51</v>
      </c>
      <c r="J53" s="58">
        <v>0</v>
      </c>
      <c r="K53" s="58">
        <v>0</v>
      </c>
      <c r="L53" s="12">
        <v>0</v>
      </c>
      <c r="M53" s="12">
        <v>0</v>
      </c>
      <c r="N53" s="12">
        <v>14481.04</v>
      </c>
      <c r="O53" s="12">
        <v>0</v>
      </c>
    </row>
    <row r="54" spans="1:15" ht="15.75" customHeight="1" x14ac:dyDescent="0.3">
      <c r="A54" s="26" t="s">
        <v>129</v>
      </c>
      <c r="B54" s="26" t="s">
        <v>108</v>
      </c>
      <c r="C54" s="27" t="s">
        <v>107</v>
      </c>
      <c r="D54" s="19">
        <f t="shared" si="0"/>
        <v>0</v>
      </c>
      <c r="E54" s="19">
        <f t="shared" si="0"/>
        <v>0</v>
      </c>
      <c r="F54" s="19">
        <f t="shared" si="0"/>
        <v>0</v>
      </c>
      <c r="G54" s="19">
        <f t="shared" si="6"/>
        <v>0</v>
      </c>
      <c r="H54" s="58"/>
      <c r="I54" s="58"/>
      <c r="J54" s="58"/>
      <c r="K54" s="58"/>
      <c r="L54" s="12"/>
      <c r="M54" s="12"/>
      <c r="N54" s="12"/>
      <c r="O54" s="12"/>
    </row>
    <row r="55" spans="1:15" ht="15.75" customHeight="1" thickBot="1" x14ac:dyDescent="0.35">
      <c r="A55" s="26" t="s">
        <v>32</v>
      </c>
      <c r="B55" s="26" t="s">
        <v>55</v>
      </c>
      <c r="C55" s="27" t="s">
        <v>107</v>
      </c>
      <c r="D55" s="19">
        <f t="shared" si="0"/>
        <v>0</v>
      </c>
      <c r="E55" s="19">
        <f t="shared" si="0"/>
        <v>0</v>
      </c>
      <c r="F55" s="19">
        <f t="shared" si="0"/>
        <v>0</v>
      </c>
      <c r="G55" s="19">
        <f t="shared" ref="G55:G64" si="7">IF(K55=0,0%,IF(O55=H80,100%,K55/O55-1))</f>
        <v>0</v>
      </c>
      <c r="H55" s="58">
        <v>0</v>
      </c>
      <c r="I55" s="58">
        <v>0</v>
      </c>
      <c r="J55" s="58">
        <v>0</v>
      </c>
      <c r="K55" s="58">
        <v>0</v>
      </c>
      <c r="L55" s="12">
        <v>0.72000000000001307</v>
      </c>
      <c r="M55" s="12">
        <v>30</v>
      </c>
      <c r="N55" s="12">
        <v>0</v>
      </c>
      <c r="O55" s="12">
        <v>0</v>
      </c>
    </row>
    <row r="56" spans="1:15" ht="27" customHeight="1" thickBot="1" x14ac:dyDescent="0.35">
      <c r="A56" s="123" t="s">
        <v>115</v>
      </c>
      <c r="B56" s="121"/>
      <c r="C56" s="121"/>
      <c r="D56" s="19">
        <f t="shared" si="0"/>
        <v>0.55691231323562262</v>
      </c>
      <c r="E56" s="19">
        <f t="shared" si="0"/>
        <v>0.56942000667236625</v>
      </c>
      <c r="F56" s="19">
        <f t="shared" si="0"/>
        <v>1.881685654297041</v>
      </c>
      <c r="G56" s="19">
        <f t="shared" si="7"/>
        <v>-1.0924925472225475</v>
      </c>
      <c r="H56" s="123">
        <f>SUM(H23:H55)</f>
        <v>1115947.4838887474</v>
      </c>
      <c r="I56" s="123">
        <f t="shared" ref="I56:O56" si="8">SUM(I23:I55)</f>
        <v>227503.50129929834</v>
      </c>
      <c r="J56" s="123">
        <f t="shared" si="8"/>
        <v>2227329.311923088</v>
      </c>
      <c r="K56" s="123">
        <f t="shared" si="8"/>
        <v>69874.750000001368</v>
      </c>
      <c r="L56" s="123">
        <f t="shared" si="8"/>
        <v>716769.64360924822</v>
      </c>
      <c r="M56" s="123">
        <f t="shared" si="8"/>
        <v>144960.24030028324</v>
      </c>
      <c r="N56" s="123">
        <f t="shared" si="8"/>
        <v>772925.84241511347</v>
      </c>
      <c r="O56" s="123">
        <f t="shared" si="8"/>
        <v>-755463.57083100709</v>
      </c>
    </row>
    <row r="57" spans="1:15" ht="15.75" customHeight="1" x14ac:dyDescent="0.3">
      <c r="A57" s="26" t="s">
        <v>35</v>
      </c>
      <c r="B57" s="26" t="s">
        <v>114</v>
      </c>
      <c r="C57" s="27" t="s">
        <v>107</v>
      </c>
      <c r="D57" s="19">
        <f t="shared" si="0"/>
        <v>-2.4654255326737076</v>
      </c>
      <c r="E57" s="19">
        <f t="shared" si="0"/>
        <v>0</v>
      </c>
      <c r="F57" s="19">
        <f t="shared" si="0"/>
        <v>-0.99778925038975641</v>
      </c>
      <c r="G57" s="19">
        <f t="shared" si="7"/>
        <v>0</v>
      </c>
      <c r="H57" s="58">
        <v>51361.89</v>
      </c>
      <c r="I57" s="58">
        <v>0</v>
      </c>
      <c r="J57" s="58">
        <v>1.7300000000000182</v>
      </c>
      <c r="K57" s="58">
        <v>0</v>
      </c>
      <c r="L57" s="12">
        <v>-35049.12999999999</v>
      </c>
      <c r="M57" s="12">
        <v>13.909999999999854</v>
      </c>
      <c r="N57" s="12">
        <v>782.54000000000815</v>
      </c>
      <c r="O57" s="12">
        <v>0</v>
      </c>
    </row>
    <row r="58" spans="1:15" ht="15.75" customHeight="1" x14ac:dyDescent="0.3">
      <c r="A58" s="27" t="s">
        <v>86</v>
      </c>
      <c r="B58" s="27" t="s">
        <v>114</v>
      </c>
      <c r="C58" s="27" t="s">
        <v>107</v>
      </c>
      <c r="D58" s="19">
        <f t="shared" si="0"/>
        <v>-0.91473344487167729</v>
      </c>
      <c r="E58" s="19">
        <f t="shared" si="0"/>
        <v>-0.99484962500650997</v>
      </c>
      <c r="F58" s="19">
        <f t="shared" si="0"/>
        <v>0.11954649955992935</v>
      </c>
      <c r="G58" s="19">
        <f t="shared" si="7"/>
        <v>-0.98344681050625993</v>
      </c>
      <c r="H58" s="58">
        <v>17337.190000000002</v>
      </c>
      <c r="I58" s="58">
        <v>86.700000000000728</v>
      </c>
      <c r="J58" s="58">
        <v>4996.1000000000931</v>
      </c>
      <c r="K58" s="58">
        <v>12845.080000000075</v>
      </c>
      <c r="L58" s="12">
        <v>203329.31210728805</v>
      </c>
      <c r="M58" s="12">
        <v>16833.725720862712</v>
      </c>
      <c r="N58" s="12">
        <v>4462.6105320001952</v>
      </c>
      <c r="O58" s="12">
        <v>775988.21694499999</v>
      </c>
    </row>
    <row r="59" spans="1:15" ht="15.75" customHeight="1" x14ac:dyDescent="0.3">
      <c r="A59" s="26" t="s">
        <v>37</v>
      </c>
      <c r="B59" s="26" t="s">
        <v>114</v>
      </c>
      <c r="C59" s="27" t="s">
        <v>107</v>
      </c>
      <c r="D59" s="19">
        <f t="shared" si="0"/>
        <v>5.8552177635892635</v>
      </c>
      <c r="E59" s="19">
        <f t="shared" si="0"/>
        <v>1.4512252327423085</v>
      </c>
      <c r="F59" s="19">
        <f t="shared" si="0"/>
        <v>1.4619057352704758</v>
      </c>
      <c r="G59" s="19">
        <f t="shared" si="7"/>
        <v>-2.9707911112265011</v>
      </c>
      <c r="H59" s="58">
        <v>1283110.0099899999</v>
      </c>
      <c r="I59" s="58">
        <v>95466.544999999998</v>
      </c>
      <c r="J59" s="58">
        <v>160226</v>
      </c>
      <c r="K59" s="58">
        <v>-134288.39000000001</v>
      </c>
      <c r="L59" s="12">
        <v>187172.75719600008</v>
      </c>
      <c r="M59" s="12">
        <v>38946.459804999962</v>
      </c>
      <c r="N59" s="12">
        <v>65082.10192799964</v>
      </c>
      <c r="O59" s="12">
        <v>68139.332086000242</v>
      </c>
    </row>
    <row r="60" spans="1:15" ht="15.75" customHeight="1" x14ac:dyDescent="0.3">
      <c r="A60" s="30" t="s">
        <v>33</v>
      </c>
      <c r="B60" s="26" t="s">
        <v>114</v>
      </c>
      <c r="C60" s="26" t="s">
        <v>107</v>
      </c>
      <c r="D60" s="19">
        <f t="shared" si="0"/>
        <v>63.019772181799681</v>
      </c>
      <c r="E60" s="19">
        <f t="shared" si="0"/>
        <v>43.392727655992985</v>
      </c>
      <c r="F60" s="19">
        <f t="shared" si="0"/>
        <v>-0.96313263095060964</v>
      </c>
      <c r="G60" s="19">
        <f t="shared" si="7"/>
        <v>1.1204412772303725</v>
      </c>
      <c r="H60" s="58">
        <v>16804.550000000003</v>
      </c>
      <c r="I60" s="58">
        <v>4932.6850887367746</v>
      </c>
      <c r="J60" s="58">
        <v>16262.795951106818</v>
      </c>
      <c r="K60" s="58">
        <v>-1041558.49</v>
      </c>
      <c r="L60" s="12">
        <v>262.48999999999069</v>
      </c>
      <c r="M60" s="12">
        <v>111.11471065623664</v>
      </c>
      <c r="N60" s="12">
        <v>441116.26</v>
      </c>
      <c r="O60" s="12">
        <v>-491198.93164899998</v>
      </c>
    </row>
    <row r="61" spans="1:15" ht="15.75" customHeight="1" x14ac:dyDescent="0.3">
      <c r="A61" s="26" t="s">
        <v>84</v>
      </c>
      <c r="B61" s="26" t="s">
        <v>114</v>
      </c>
      <c r="C61" s="26" t="s">
        <v>107</v>
      </c>
      <c r="D61" s="19">
        <f t="shared" si="0"/>
        <v>-0.12189853621140145</v>
      </c>
      <c r="E61" s="19">
        <f t="shared" si="0"/>
        <v>-3.6220861993742504</v>
      </c>
      <c r="F61" s="19">
        <f t="shared" si="0"/>
        <v>-1.5175411208982701</v>
      </c>
      <c r="G61" s="19">
        <f t="shared" si="7"/>
        <v>-0.2972190541988724</v>
      </c>
      <c r="H61" s="58">
        <v>117930.36130103376</v>
      </c>
      <c r="I61" s="58">
        <v>-6656.5039692140526</v>
      </c>
      <c r="J61" s="58">
        <v>-119163.87000000011</v>
      </c>
      <c r="K61" s="58">
        <v>655748.56000000006</v>
      </c>
      <c r="L61" s="12">
        <v>134301.52000000002</v>
      </c>
      <c r="M61" s="12">
        <v>2538.6289629999956</v>
      </c>
      <c r="N61" s="12">
        <v>230250.05200200016</v>
      </c>
      <c r="O61" s="12">
        <v>933076.74876200082</v>
      </c>
    </row>
    <row r="62" spans="1:15" ht="15.75" customHeight="1" x14ac:dyDescent="0.3">
      <c r="A62" s="107" t="s">
        <v>99</v>
      </c>
      <c r="B62" s="26" t="s">
        <v>114</v>
      </c>
      <c r="C62" s="27" t="s">
        <v>107</v>
      </c>
      <c r="D62" s="19">
        <f t="shared" si="0"/>
        <v>1</v>
      </c>
      <c r="E62" s="19">
        <f t="shared" si="0"/>
        <v>1</v>
      </c>
      <c r="F62" s="19">
        <f t="shared" si="0"/>
        <v>1</v>
      </c>
      <c r="G62" s="19">
        <f t="shared" si="7"/>
        <v>1</v>
      </c>
      <c r="H62" s="58">
        <v>-45652.539999999979</v>
      </c>
      <c r="I62" s="58">
        <v>-598.37873799999943</v>
      </c>
      <c r="J62" s="58">
        <v>84948.100000000035</v>
      </c>
      <c r="K62" s="58">
        <v>-748537.3899999999</v>
      </c>
      <c r="L62" s="12"/>
      <c r="M62" s="12"/>
      <c r="N62" s="12"/>
      <c r="O62" s="12"/>
    </row>
    <row r="63" spans="1:15" ht="15.75" customHeight="1" x14ac:dyDescent="0.3">
      <c r="A63" s="194" t="s">
        <v>128</v>
      </c>
      <c r="B63" s="26" t="s">
        <v>114</v>
      </c>
      <c r="C63" s="27" t="s">
        <v>107</v>
      </c>
      <c r="D63" s="19">
        <f t="shared" si="0"/>
        <v>0</v>
      </c>
      <c r="E63" s="19">
        <f t="shared" si="0"/>
        <v>0</v>
      </c>
      <c r="F63" s="19">
        <f t="shared" si="0"/>
        <v>0</v>
      </c>
      <c r="G63" s="19">
        <f t="shared" si="7"/>
        <v>0</v>
      </c>
      <c r="H63" s="58"/>
      <c r="I63" s="58"/>
      <c r="J63" s="58"/>
      <c r="K63" s="58"/>
      <c r="L63" s="12"/>
      <c r="M63" s="12"/>
      <c r="N63" s="12"/>
      <c r="O63" s="12"/>
    </row>
    <row r="64" spans="1:15" ht="15.75" customHeight="1" x14ac:dyDescent="0.3">
      <c r="A64" s="199" t="s">
        <v>131</v>
      </c>
      <c r="B64" s="26" t="s">
        <v>114</v>
      </c>
      <c r="C64" s="27" t="s">
        <v>107</v>
      </c>
      <c r="D64" s="19">
        <f t="shared" si="0"/>
        <v>0</v>
      </c>
      <c r="E64" s="19">
        <f t="shared" si="0"/>
        <v>0</v>
      </c>
      <c r="F64" s="19">
        <f t="shared" si="0"/>
        <v>0</v>
      </c>
      <c r="G64" s="19">
        <f t="shared" si="7"/>
        <v>0</v>
      </c>
      <c r="H64" s="58"/>
      <c r="I64" s="58"/>
      <c r="J64" s="58"/>
      <c r="K64" s="58"/>
      <c r="L64" s="12"/>
      <c r="M64" s="12"/>
      <c r="N64" s="12"/>
      <c r="O64" s="12"/>
    </row>
    <row r="65" spans="1:15" ht="15.75" customHeight="1" thickBot="1" x14ac:dyDescent="0.35">
      <c r="A65" s="30" t="s">
        <v>16</v>
      </c>
      <c r="B65" s="26" t="s">
        <v>114</v>
      </c>
      <c r="C65" s="27" t="s">
        <v>107</v>
      </c>
      <c r="D65" s="19">
        <f t="shared" si="0"/>
        <v>0</v>
      </c>
      <c r="E65" s="19">
        <f t="shared" si="0"/>
        <v>0</v>
      </c>
      <c r="F65" s="19">
        <f t="shared" si="0"/>
        <v>0</v>
      </c>
      <c r="G65" s="19">
        <f t="shared" si="3"/>
        <v>0</v>
      </c>
      <c r="H65" s="58">
        <v>0</v>
      </c>
      <c r="I65" s="58">
        <v>0</v>
      </c>
      <c r="J65" s="58">
        <v>0</v>
      </c>
      <c r="K65" s="58">
        <v>0</v>
      </c>
      <c r="L65" s="12">
        <v>0</v>
      </c>
      <c r="M65" s="12">
        <v>0</v>
      </c>
      <c r="N65" s="12">
        <v>0</v>
      </c>
      <c r="O65" s="12">
        <v>0</v>
      </c>
    </row>
    <row r="66" spans="1:15" ht="24.6" customHeight="1" thickBot="1" x14ac:dyDescent="0.35">
      <c r="A66" s="123" t="s">
        <v>116</v>
      </c>
      <c r="B66" s="121"/>
      <c r="C66" s="121"/>
      <c r="D66" s="126">
        <f t="shared" si="0"/>
        <v>1.9404931060848205</v>
      </c>
      <c r="E66" s="126">
        <f t="shared" si="0"/>
        <v>0.59522455503385485</v>
      </c>
      <c r="F66" s="126">
        <f t="shared" si="0"/>
        <v>-0.80143975489671093</v>
      </c>
      <c r="G66" s="19">
        <f t="shared" si="3"/>
        <v>-1.9765049688442606</v>
      </c>
      <c r="H66" s="123">
        <f>SUM(H57:H65)</f>
        <v>1440891.4612910338</v>
      </c>
      <c r="I66" s="123">
        <f t="shared" ref="I66:O66" si="9">SUM(I57:I65)</f>
        <v>93231.047381522716</v>
      </c>
      <c r="J66" s="123">
        <f t="shared" si="9"/>
        <v>147270.85595110685</v>
      </c>
      <c r="K66" s="123">
        <f t="shared" si="9"/>
        <v>-1255790.6299999997</v>
      </c>
      <c r="L66" s="123">
        <f t="shared" si="9"/>
        <v>490016.94930328813</v>
      </c>
      <c r="M66" s="123">
        <f t="shared" si="9"/>
        <v>58443.839199518909</v>
      </c>
      <c r="N66" s="123">
        <f t="shared" si="9"/>
        <v>741693.56446200004</v>
      </c>
      <c r="O66" s="123">
        <f t="shared" si="9"/>
        <v>1286005.366144001</v>
      </c>
    </row>
    <row r="67" spans="1:15" ht="15.75" customHeight="1" x14ac:dyDescent="0.3">
      <c r="A67" s="26" t="s">
        <v>77</v>
      </c>
      <c r="B67" s="26" t="s">
        <v>108</v>
      </c>
      <c r="C67" s="27" t="s">
        <v>102</v>
      </c>
      <c r="D67" s="103">
        <f t="shared" si="0"/>
        <v>1.6246016174851312</v>
      </c>
      <c r="E67" s="103">
        <f t="shared" si="0"/>
        <v>1.1749470022322415</v>
      </c>
      <c r="F67" s="103">
        <f t="shared" si="0"/>
        <v>43.669500485762853</v>
      </c>
      <c r="G67" s="19">
        <f t="shared" si="3"/>
        <v>1.4728838084325111</v>
      </c>
      <c r="H67" s="58">
        <v>163760.73305451218</v>
      </c>
      <c r="I67" s="58">
        <v>18944.666839662284</v>
      </c>
      <c r="J67" s="58">
        <v>970665.74535899982</v>
      </c>
      <c r="K67" s="58">
        <v>619527.02999999933</v>
      </c>
      <c r="L67" s="12">
        <v>62394.510452000017</v>
      </c>
      <c r="M67" s="12">
        <v>8710.4038949999976</v>
      </c>
      <c r="N67" s="12">
        <v>21729.944028999656</v>
      </c>
      <c r="O67" s="12">
        <v>250528.15983000002</v>
      </c>
    </row>
    <row r="68" spans="1:15" ht="15.75" customHeight="1" x14ac:dyDescent="0.3">
      <c r="A68" s="30" t="s">
        <v>40</v>
      </c>
      <c r="B68" s="26" t="s">
        <v>56</v>
      </c>
      <c r="C68" s="26" t="s">
        <v>103</v>
      </c>
      <c r="D68" s="19">
        <f t="shared" si="0"/>
        <v>-0.31806535088701016</v>
      </c>
      <c r="E68" s="19">
        <f t="shared" si="0"/>
        <v>0.48119964853042574</v>
      </c>
      <c r="F68" s="19">
        <f t="shared" si="0"/>
        <v>-0.37798201472416548</v>
      </c>
      <c r="G68" s="19">
        <f t="shared" si="3"/>
        <v>-0.74917620609682678</v>
      </c>
      <c r="H68" s="58">
        <v>342917.19093552022</v>
      </c>
      <c r="I68" s="58">
        <v>60232.22499999986</v>
      </c>
      <c r="J68" s="58">
        <v>857531.3599999994</v>
      </c>
      <c r="K68" s="58">
        <v>371573.28000000119</v>
      </c>
      <c r="L68" s="12">
        <v>502859.31559799984</v>
      </c>
      <c r="M68" s="12">
        <v>40664.487775000045</v>
      </c>
      <c r="N68" s="12">
        <v>1378627.9180009984</v>
      </c>
      <c r="O68" s="12">
        <v>1481411.6085950024</v>
      </c>
    </row>
    <row r="69" spans="1:15" ht="15.75" customHeight="1" x14ac:dyDescent="0.3">
      <c r="A69" s="26" t="s">
        <v>90</v>
      </c>
      <c r="B69" s="26" t="s">
        <v>108</v>
      </c>
      <c r="C69" s="26" t="s">
        <v>103</v>
      </c>
      <c r="D69" s="19">
        <f t="shared" si="0"/>
        <v>5.6317924575533196E-2</v>
      </c>
      <c r="E69" s="19">
        <f t="shared" si="0"/>
        <v>21.718814741777049</v>
      </c>
      <c r="F69" s="19">
        <f t="shared" si="0"/>
        <v>1</v>
      </c>
      <c r="G69" s="19">
        <f t="shared" si="3"/>
        <v>0</v>
      </c>
      <c r="H69" s="58">
        <v>1265.49</v>
      </c>
      <c r="I69" s="58">
        <v>1526.6532333143168</v>
      </c>
      <c r="J69" s="58">
        <v>17331.18</v>
      </c>
      <c r="K69" s="58">
        <v>0</v>
      </c>
      <c r="L69" s="12">
        <v>1198.0200000000186</v>
      </c>
      <c r="M69" s="12">
        <v>67.197750000002998</v>
      </c>
      <c r="N69" s="12">
        <v>0</v>
      </c>
      <c r="O69" s="12">
        <v>4452.2699999999022</v>
      </c>
    </row>
    <row r="70" spans="1:15" ht="15.75" customHeight="1" x14ac:dyDescent="0.3">
      <c r="A70" s="26" t="s">
        <v>92</v>
      </c>
      <c r="B70" s="26" t="s">
        <v>56</v>
      </c>
      <c r="C70" s="26" t="s">
        <v>103</v>
      </c>
      <c r="D70" s="19">
        <f t="shared" ref="D70:F76" si="10">IF(H70=0,0%,IF(L70=0,100%,H70/L70-1))</f>
        <v>5.5077192193061215</v>
      </c>
      <c r="E70" s="19">
        <f t="shared" si="10"/>
        <v>-1.0002187166637728</v>
      </c>
      <c r="F70" s="19">
        <f t="shared" si="10"/>
        <v>-8.0273545017290626</v>
      </c>
      <c r="G70" s="19">
        <f t="shared" si="3"/>
        <v>0.95240809425616657</v>
      </c>
      <c r="H70" s="58">
        <v>79316.15737999999</v>
      </c>
      <c r="I70" s="58">
        <v>-1.3065459306135381</v>
      </c>
      <c r="J70" s="58">
        <v>32604.629999999997</v>
      </c>
      <c r="K70" s="58">
        <v>672703.02</v>
      </c>
      <c r="L70" s="12">
        <v>12188.011607</v>
      </c>
      <c r="M70" s="12">
        <v>5973.6917529534876</v>
      </c>
      <c r="N70" s="12">
        <v>-4639.6734350000006</v>
      </c>
      <c r="O70" s="12">
        <v>344550.41544799996</v>
      </c>
    </row>
    <row r="71" spans="1:15" ht="15.75" customHeight="1" x14ac:dyDescent="0.3">
      <c r="A71" s="26" t="s">
        <v>93</v>
      </c>
      <c r="B71" s="26" t="s">
        <v>56</v>
      </c>
      <c r="C71" s="26" t="s">
        <v>103</v>
      </c>
      <c r="D71" s="19">
        <f t="shared" si="10"/>
        <v>0</v>
      </c>
      <c r="E71" s="19">
        <f t="shared" si="10"/>
        <v>-0.85461887491249577</v>
      </c>
      <c r="F71" s="19">
        <f t="shared" si="10"/>
        <v>0</v>
      </c>
      <c r="G71" s="19">
        <f t="shared" si="3"/>
        <v>0</v>
      </c>
      <c r="H71" s="58">
        <v>0</v>
      </c>
      <c r="I71" s="58">
        <v>2543.0620000000054</v>
      </c>
      <c r="J71" s="58">
        <v>0</v>
      </c>
      <c r="K71" s="58">
        <v>0</v>
      </c>
      <c r="L71" s="12">
        <v>45.129195000003165</v>
      </c>
      <c r="M71" s="12">
        <v>17492.380791999982</v>
      </c>
      <c r="N71" s="12">
        <v>0</v>
      </c>
      <c r="O71" s="12">
        <v>-90372</v>
      </c>
    </row>
    <row r="72" spans="1:15" ht="15.75" customHeight="1" x14ac:dyDescent="0.3">
      <c r="A72" s="26" t="s">
        <v>100</v>
      </c>
      <c r="B72" s="26" t="s">
        <v>56</v>
      </c>
      <c r="C72" s="26" t="s">
        <v>103</v>
      </c>
      <c r="D72" s="19">
        <f t="shared" si="10"/>
        <v>0.49423883735958296</v>
      </c>
      <c r="E72" s="19">
        <f t="shared" si="10"/>
        <v>-0.20164284162807655</v>
      </c>
      <c r="F72" s="19">
        <f t="shared" si="10"/>
        <v>0.56721981620255835</v>
      </c>
      <c r="G72" s="19">
        <f t="shared" si="3"/>
        <v>3.8334624346178714</v>
      </c>
      <c r="H72" s="58">
        <v>158394.39284185879</v>
      </c>
      <c r="I72" s="58">
        <v>12867.711093999998</v>
      </c>
      <c r="J72" s="58">
        <v>622006.12999999989</v>
      </c>
      <c r="K72" s="58">
        <v>3345638.7400000007</v>
      </c>
      <c r="L72" s="12">
        <v>106003.39710200008</v>
      </c>
      <c r="M72" s="12">
        <v>16117.737480103402</v>
      </c>
      <c r="N72" s="12">
        <v>396885.05949800182</v>
      </c>
      <c r="O72" s="12">
        <v>692182.62999999989</v>
      </c>
    </row>
    <row r="73" spans="1:15" ht="15.75" customHeight="1" x14ac:dyDescent="0.3">
      <c r="A73" s="98" t="s">
        <v>101</v>
      </c>
      <c r="B73" s="26" t="s">
        <v>56</v>
      </c>
      <c r="C73" s="26" t="s">
        <v>103</v>
      </c>
      <c r="D73" s="19">
        <f t="shared" si="10"/>
        <v>0.82312623583001554</v>
      </c>
      <c r="E73" s="19">
        <f t="shared" si="10"/>
        <v>1.5234421348321643</v>
      </c>
      <c r="F73" s="19">
        <f t="shared" si="10"/>
        <v>-5.207651961966639</v>
      </c>
      <c r="G73" s="19">
        <f t="shared" si="3"/>
        <v>-7.0187527314162992</v>
      </c>
      <c r="H73" s="58">
        <v>301349.4046183303</v>
      </c>
      <c r="I73" s="58">
        <v>17611.37576903688</v>
      </c>
      <c r="J73" s="58">
        <v>2595869.3006493896</v>
      </c>
      <c r="K73" s="58">
        <v>2303849.4599999972</v>
      </c>
      <c r="L73" s="12">
        <v>165292.67074100045</v>
      </c>
      <c r="M73" s="12">
        <v>6979.1082291681814</v>
      </c>
      <c r="N73" s="12">
        <v>-616940.11864899844</v>
      </c>
      <c r="O73" s="12">
        <v>-382778.5527680032</v>
      </c>
    </row>
    <row r="74" spans="1:15" ht="15.75" customHeight="1" thickBot="1" x14ac:dyDescent="0.35">
      <c r="A74" s="26" t="s">
        <v>81</v>
      </c>
      <c r="B74" s="26" t="s">
        <v>56</v>
      </c>
      <c r="C74" s="28" t="s">
        <v>103</v>
      </c>
      <c r="D74" s="101">
        <f t="shared" si="10"/>
        <v>1</v>
      </c>
      <c r="E74" s="101">
        <f t="shared" si="10"/>
        <v>-0.42043149712568595</v>
      </c>
      <c r="F74" s="101">
        <f t="shared" si="10"/>
        <v>0</v>
      </c>
      <c r="G74" s="19">
        <f t="shared" si="3"/>
        <v>0</v>
      </c>
      <c r="H74" s="58">
        <v>-20779.369999999995</v>
      </c>
      <c r="I74" s="58">
        <v>2275.9799999999996</v>
      </c>
      <c r="J74" s="58">
        <v>0</v>
      </c>
      <c r="K74" s="58">
        <v>0</v>
      </c>
      <c r="L74" s="12">
        <v>0</v>
      </c>
      <c r="M74" s="12">
        <v>3927.0249999999942</v>
      </c>
      <c r="N74" s="12">
        <v>0</v>
      </c>
      <c r="O74" s="12">
        <v>0</v>
      </c>
    </row>
    <row r="75" spans="1:15" ht="28.2" customHeight="1" thickBot="1" x14ac:dyDescent="0.35">
      <c r="A75" s="122" t="s">
        <v>44</v>
      </c>
      <c r="B75" s="121"/>
      <c r="C75" s="121"/>
      <c r="D75" s="126">
        <f t="shared" si="10"/>
        <v>0.2073492616826178</v>
      </c>
      <c r="E75" s="126">
        <f t="shared" si="10"/>
        <v>0.16079263361168517</v>
      </c>
      <c r="F75" s="126">
        <f t="shared" si="10"/>
        <v>3.334582091060736</v>
      </c>
      <c r="G75" s="19">
        <f t="shared" si="3"/>
        <v>2.179727180059861</v>
      </c>
      <c r="H75" s="124">
        <f>SUM(H67:H74)</f>
        <v>1026223.9988302215</v>
      </c>
      <c r="I75" s="124">
        <f t="shared" ref="I75:O75" si="11">SUM(I67:I74)</f>
        <v>116000.36739008273</v>
      </c>
      <c r="J75" s="124">
        <f t="shared" si="11"/>
        <v>5096008.3460083883</v>
      </c>
      <c r="K75" s="124">
        <f t="shared" si="11"/>
        <v>7313291.5299999984</v>
      </c>
      <c r="L75" s="124">
        <f t="shared" si="11"/>
        <v>849981.05469500041</v>
      </c>
      <c r="M75" s="124">
        <f t="shared" si="11"/>
        <v>99932.032674225091</v>
      </c>
      <c r="N75" s="124">
        <f t="shared" si="11"/>
        <v>1175663.1294440015</v>
      </c>
      <c r="O75" s="124">
        <f t="shared" si="11"/>
        <v>2299974.5311049987</v>
      </c>
    </row>
    <row r="76" spans="1:15" ht="30" customHeight="1" thickBot="1" x14ac:dyDescent="0.35">
      <c r="A76" s="122" t="s">
        <v>45</v>
      </c>
      <c r="B76" s="121"/>
      <c r="C76" s="121"/>
      <c r="D76" s="126">
        <f t="shared" si="10"/>
        <v>0.12991896433191874</v>
      </c>
      <c r="E76" s="126">
        <f t="shared" si="10"/>
        <v>0.38041565644282516</v>
      </c>
      <c r="F76" s="126">
        <f t="shared" si="10"/>
        <v>-2.4416535874580148E-2</v>
      </c>
      <c r="G76" s="19">
        <f t="shared" si="3"/>
        <v>0.3106436206599672</v>
      </c>
      <c r="H76" s="124">
        <f>H75+H66+H56+H22+H8</f>
        <v>4030280.9801714784</v>
      </c>
      <c r="I76" s="124">
        <f t="shared" ref="I76:O76" si="12">I75+I66+I56+I22+I8</f>
        <v>740338.65259650117</v>
      </c>
      <c r="J76" s="124">
        <f t="shared" si="12"/>
        <v>12847919.065577354</v>
      </c>
      <c r="K76" s="124">
        <f t="shared" si="12"/>
        <v>14850838.544999994</v>
      </c>
      <c r="L76" s="124">
        <f t="shared" si="12"/>
        <v>3566876.127753499</v>
      </c>
      <c r="M76" s="124">
        <f t="shared" si="12"/>
        <v>536315.74601542123</v>
      </c>
      <c r="N76" s="124">
        <f t="shared" si="12"/>
        <v>13169471.949891148</v>
      </c>
      <c r="O76" s="124">
        <f t="shared" si="12"/>
        <v>11330950.924341995</v>
      </c>
    </row>
    <row r="77" spans="1:15" ht="15.75" customHeight="1" x14ac:dyDescent="0.3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3">
      <c r="H82" s="10"/>
      <c r="I82" s="10"/>
      <c r="J82" s="10"/>
      <c r="K82" s="10"/>
    </row>
  </sheetData>
  <mergeCells count="3">
    <mergeCell ref="D1:F1"/>
    <mergeCell ref="H1:K1"/>
    <mergeCell ref="L1:O1"/>
  </mergeCells>
  <conditionalFormatting sqref="A14">
    <cfRule type="duplicateValues" dxfId="329" priority="13"/>
    <cfRule type="duplicateValues" dxfId="328" priority="14"/>
  </conditionalFormatting>
  <conditionalFormatting sqref="A20">
    <cfRule type="duplicateValues" dxfId="327" priority="1"/>
    <cfRule type="duplicateValues" dxfId="326" priority="2"/>
  </conditionalFormatting>
  <conditionalFormatting sqref="A54">
    <cfRule type="duplicateValues" dxfId="325" priority="3"/>
    <cfRule type="duplicateValues" dxfId="324" priority="4"/>
  </conditionalFormatting>
  <conditionalFormatting sqref="A60">
    <cfRule type="duplicateValues" dxfId="323" priority="15"/>
    <cfRule type="duplicateValues" dxfId="322" priority="16"/>
  </conditionalFormatting>
  <conditionalFormatting sqref="A65 A23:A53 A61 A57:A59 A7 A55">
    <cfRule type="duplicateValues" dxfId="321" priority="23"/>
    <cfRule type="duplicateValues" dxfId="320" priority="24"/>
  </conditionalFormatting>
  <conditionalFormatting sqref="A67:A74">
    <cfRule type="duplicateValues" dxfId="319" priority="21"/>
    <cfRule type="duplicateValues" dxfId="318" priority="22"/>
  </conditionalFormatting>
  <conditionalFormatting sqref="A75:A1048576 A1:A6 A8:A13 A15:A19 A66 A56 A21:A22">
    <cfRule type="duplicateValues" dxfId="317" priority="19"/>
    <cfRule type="duplicateValues" dxfId="316" priority="20"/>
  </conditionalFormatting>
  <conditionalFormatting sqref="D1:D25 E2:G25 D26:G77 D82:G1048576">
    <cfRule type="cellIs" dxfId="315" priority="17" operator="lessThan">
      <formula>-0.0001</formula>
    </cfRule>
  </conditionalFormatting>
  <conditionalFormatting sqref="D3:G77 D82:G1048576">
    <cfRule type="cellIs" dxfId="314" priority="18" operator="greaterThan">
      <formula>0.1</formula>
    </cfRule>
  </conditionalFormatting>
  <conditionalFormatting sqref="H8:O8">
    <cfRule type="duplicateValues" dxfId="313" priority="11"/>
    <cfRule type="duplicateValues" dxfId="312" priority="12"/>
  </conditionalFormatting>
  <conditionalFormatting sqref="H22:O22">
    <cfRule type="duplicateValues" dxfId="311" priority="5"/>
    <cfRule type="duplicateValues" dxfId="310" priority="6"/>
  </conditionalFormatting>
  <conditionalFormatting sqref="H56:O56">
    <cfRule type="duplicateValues" dxfId="309" priority="9"/>
    <cfRule type="duplicateValues" dxfId="308" priority="10"/>
  </conditionalFormatting>
  <conditionalFormatting sqref="H66:O66">
    <cfRule type="duplicateValues" dxfId="307" priority="7"/>
    <cfRule type="duplicateValues" dxfId="306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P88"/>
  <sheetViews>
    <sheetView rightToLeft="1" workbookViewId="0">
      <pane ySplit="2" topLeftCell="A3" activePane="bottomLeft" state="frozen"/>
      <selection pane="bottomLeft" activeCell="P5" sqref="P5"/>
    </sheetView>
  </sheetViews>
  <sheetFormatPr defaultColWidth="18.88671875" defaultRowHeight="15.6" x14ac:dyDescent="0.3"/>
  <cols>
    <col min="1" max="1" width="30" style="1" bestFit="1" customWidth="1"/>
    <col min="2" max="2" width="8.6640625" style="1" bestFit="1" customWidth="1"/>
    <col min="3" max="3" width="7.6640625" style="1" bestFit="1" customWidth="1"/>
    <col min="4" max="4" width="7.6640625" style="3" bestFit="1" customWidth="1"/>
    <col min="5" max="5" width="8" style="3" bestFit="1" customWidth="1"/>
    <col min="6" max="6" width="8.88671875" style="3" bestFit="1" customWidth="1"/>
    <col min="7" max="7" width="11" style="3" bestFit="1" customWidth="1"/>
    <col min="8" max="9" width="15.109375" style="2" bestFit="1" customWidth="1"/>
    <col min="10" max="11" width="16.88671875" style="2" bestFit="1" customWidth="1"/>
    <col min="12" max="13" width="15.109375" style="2" bestFit="1" customWidth="1"/>
    <col min="14" max="15" width="16.88671875" style="2" bestFit="1" customWidth="1"/>
    <col min="16" max="16384" width="18.88671875" style="2"/>
  </cols>
  <sheetData>
    <row r="1" spans="1:16" ht="21" x14ac:dyDescent="0.4">
      <c r="A1" s="26"/>
      <c r="B1" s="26"/>
      <c r="C1" s="26"/>
      <c r="D1" s="233" t="s">
        <v>62</v>
      </c>
      <c r="E1" s="234"/>
      <c r="F1" s="234"/>
      <c r="G1" s="235"/>
      <c r="H1" s="236" t="s">
        <v>137</v>
      </c>
      <c r="I1" s="237"/>
      <c r="J1" s="237"/>
      <c r="K1" s="238"/>
      <c r="L1" s="232" t="s">
        <v>134</v>
      </c>
      <c r="M1" s="232"/>
      <c r="N1" s="232"/>
      <c r="O1" s="232"/>
    </row>
    <row r="2" spans="1:16" ht="21" x14ac:dyDescent="0.3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50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6" x14ac:dyDescent="0.3">
      <c r="A3" s="26" t="s">
        <v>1</v>
      </c>
      <c r="B3" s="26" t="s">
        <v>108</v>
      </c>
      <c r="C3" s="26" t="s">
        <v>58</v>
      </c>
      <c r="D3" s="61">
        <f t="shared" ref="D3:D68" si="0">IF(L3=0,0%,IF(H3=0,100%,L3/H3-1))</f>
        <v>-0.23648758121680291</v>
      </c>
      <c r="E3" s="61">
        <f t="shared" ref="E3:E68" si="1">IF(M3=0,0%,IF(I3=0,100%,M3/I3-1))</f>
        <v>-0.63751904776352264</v>
      </c>
      <c r="F3" s="61">
        <f>IF(N3=0,0%,IF(J3=0,100%,N3/J3-1))</f>
        <v>-0.30853413943320063</v>
      </c>
      <c r="G3" s="61">
        <f>IF(O3=0,0%,IF(K3=0,100%,O3/K3-1))</f>
        <v>-9.0421405913978625E-2</v>
      </c>
      <c r="H3" s="12">
        <v>10404000</v>
      </c>
      <c r="I3" s="12">
        <v>783900</v>
      </c>
      <c r="J3" s="12">
        <v>27900000.000000004</v>
      </c>
      <c r="K3" s="12">
        <v>55800000.000000007</v>
      </c>
      <c r="L3" s="59">
        <f>VLOOKUP(A3,'תפוקה מצטברת מול אשתקד'!A:K,8,0)</f>
        <v>7943583.205020383</v>
      </c>
      <c r="M3" s="62">
        <f>VLOOKUP(A3,'תפוקה מצטברת מול אשתקד'!A:K,9,0)</f>
        <v>284148.81845817459</v>
      </c>
      <c r="N3" s="62">
        <f>VLOOKUP(A3,'תפוקה מצטברת מול אשתקד'!A:K,10,0)</f>
        <v>19291897.509813704</v>
      </c>
      <c r="O3" s="62">
        <f>VLOOKUP(A3,'תפוקה מצטברת מול אשתקד'!A:K,11,0)</f>
        <v>50754485.549999997</v>
      </c>
    </row>
    <row r="4" spans="1:16" x14ac:dyDescent="0.3">
      <c r="A4" s="26" t="s">
        <v>2</v>
      </c>
      <c r="B4" s="26" t="s">
        <v>108</v>
      </c>
      <c r="C4" s="26" t="s">
        <v>58</v>
      </c>
      <c r="D4" s="61">
        <f t="shared" si="0"/>
        <v>-0.50361055142310041</v>
      </c>
      <c r="E4" s="61">
        <f t="shared" si="1"/>
        <v>1</v>
      </c>
      <c r="F4" s="61">
        <f t="shared" ref="F4:F69" si="2">IF(N4=0,0%,IF(J4=0,100%,N4/J4-1))</f>
        <v>-0.79068638160122784</v>
      </c>
      <c r="G4" s="61">
        <f t="shared" ref="G4:G69" si="3">IF(O4=0,0%,IF(K4=0,100%,O4/K4-1))</f>
        <v>-0.9066456827956989</v>
      </c>
      <c r="H4" s="12">
        <v>866999.99999999988</v>
      </c>
      <c r="I4" s="12">
        <v>0</v>
      </c>
      <c r="J4" s="12">
        <v>13950000.000000002</v>
      </c>
      <c r="K4" s="12">
        <v>11160000.000000002</v>
      </c>
      <c r="L4" s="59">
        <f>VLOOKUP(A4,'תפוקה מצטברת מול אשתקד'!A:K,8,0)</f>
        <v>430369.65191617189</v>
      </c>
      <c r="M4" s="62">
        <f>VLOOKUP(A4,'תפוקה מצטברת מול אשתקד'!A:K,9,0)</f>
        <v>3951.306216462347</v>
      </c>
      <c r="N4" s="62">
        <f>VLOOKUP(A4,'תפוקה מצטברת מול אשתקד'!A:K,10,0)</f>
        <v>2919924.9766628724</v>
      </c>
      <c r="O4" s="62">
        <f>VLOOKUP(A4,'תפוקה מצטברת מול אשתקד'!A:K,11,0)</f>
        <v>1041834.1800000004</v>
      </c>
    </row>
    <row r="5" spans="1:16" x14ac:dyDescent="0.3">
      <c r="A5" s="26" t="s">
        <v>104</v>
      </c>
      <c r="B5" s="26" t="s">
        <v>108</v>
      </c>
      <c r="C5" s="26" t="s">
        <v>58</v>
      </c>
      <c r="D5" s="61">
        <f t="shared" si="0"/>
        <v>0</v>
      </c>
      <c r="E5" s="61">
        <f t="shared" si="1"/>
        <v>-0.70698896539268052</v>
      </c>
      <c r="F5" s="61">
        <f t="shared" si="2"/>
        <v>1</v>
      </c>
      <c r="G5" s="61">
        <f t="shared" si="3"/>
        <v>0</v>
      </c>
      <c r="H5" s="12">
        <v>0</v>
      </c>
      <c r="I5" s="12">
        <v>180900</v>
      </c>
      <c r="J5" s="12">
        <v>0</v>
      </c>
      <c r="K5" s="12">
        <v>0</v>
      </c>
      <c r="L5" s="59">
        <f>VLOOKUP(A5,'תפוקה מצטברת מול אשתקד'!A:K,8,0)</f>
        <v>0</v>
      </c>
      <c r="M5" s="62">
        <f>VLOOKUP(A5,'תפוקה מצטברת מול אשתקד'!A:K,9,0)</f>
        <v>53005.696160464096</v>
      </c>
      <c r="N5" s="62">
        <f>VLOOKUP(A5,'תפוקה מצטברת מול אשתקד'!A:K,10,0)</f>
        <v>300000</v>
      </c>
      <c r="O5" s="62">
        <f>VLOOKUP(A5,'תפוקה מצטברת מול אשתקד'!A:K,11,0)</f>
        <v>0</v>
      </c>
    </row>
    <row r="6" spans="1:16" x14ac:dyDescent="0.3">
      <c r="A6" s="28" t="s">
        <v>105</v>
      </c>
      <c r="B6" s="28" t="s">
        <v>108</v>
      </c>
      <c r="C6" s="28" t="s">
        <v>58</v>
      </c>
      <c r="D6" s="145">
        <f t="shared" si="0"/>
        <v>-0.67394501543086194</v>
      </c>
      <c r="E6" s="145">
        <f t="shared" si="1"/>
        <v>-0.72803530022091989</v>
      </c>
      <c r="F6" s="145">
        <f t="shared" si="2"/>
        <v>-0.29590470905017918</v>
      </c>
      <c r="G6" s="145">
        <f t="shared" si="3"/>
        <v>0.67968218637992805</v>
      </c>
      <c r="H6" s="12">
        <v>289000</v>
      </c>
      <c r="I6" s="12">
        <v>150750</v>
      </c>
      <c r="J6" s="12">
        <v>1116000</v>
      </c>
      <c r="K6" s="12">
        <v>558000</v>
      </c>
      <c r="L6" s="59">
        <f>VLOOKUP(A6,'תפוקה מצטברת מול אשתקד'!A:K,8,0)</f>
        <v>94229.890540480919</v>
      </c>
      <c r="M6" s="62">
        <f>VLOOKUP(A6,'תפוקה מצטברת מול אשתקד'!A:K,9,0)</f>
        <v>40998.678491696315</v>
      </c>
      <c r="N6" s="62">
        <f>VLOOKUP(A6,'תפוקה מצטברת מול אשתקד'!A:K,10,0)</f>
        <v>785770.34470000002</v>
      </c>
      <c r="O6" s="62">
        <f>VLOOKUP(A6,'תפוקה מצטברת מול אשתקד'!A:K,11,0)</f>
        <v>937262.65999999992</v>
      </c>
    </row>
    <row r="7" spans="1:16" ht="16.2" thickBot="1" x14ac:dyDescent="0.35">
      <c r="A7" s="26" t="s">
        <v>34</v>
      </c>
      <c r="B7" s="26" t="s">
        <v>108</v>
      </c>
      <c r="C7" s="27" t="s">
        <v>58</v>
      </c>
      <c r="D7" s="61">
        <f>IF(L7=0,0%,IF(H7=0,100%,L7/H7-1))</f>
        <v>1</v>
      </c>
      <c r="E7" s="61">
        <f>IF(M7=0,0%,IF(I7=0,100%,M7/I7-1))</f>
        <v>1</v>
      </c>
      <c r="F7" s="61">
        <f>IF(N7=0,0%,IF(J7=0,100%,N7/J7-1))</f>
        <v>-0.97808428315412188</v>
      </c>
      <c r="G7" s="61">
        <f>IF(O7=0,0%,IF(K7=0,100%,O7/K7-1))</f>
        <v>-0.8094829032258064</v>
      </c>
      <c r="H7" s="12">
        <v>0</v>
      </c>
      <c r="I7" s="12">
        <v>0</v>
      </c>
      <c r="J7" s="12">
        <v>558000</v>
      </c>
      <c r="K7" s="12">
        <v>279000</v>
      </c>
      <c r="L7" s="59">
        <f>VLOOKUP(A7,'תפוקה מצטברת מול אשתקד'!A:K,8,0)</f>
        <v>19388.55</v>
      </c>
      <c r="M7" s="62">
        <f>VLOOKUP(A7,'תפוקה מצטברת מול אשתקד'!A:K,9,0)</f>
        <v>1778.28</v>
      </c>
      <c r="N7" s="62">
        <f>VLOOKUP(A7,'תפוקה מצטברת מול אשתקד'!A:K,10,0)</f>
        <v>12228.97</v>
      </c>
      <c r="O7" s="62">
        <f>VLOOKUP(A7,'תפוקה מצטברת מול אשתקד'!A:K,11,0)</f>
        <v>53154.27</v>
      </c>
    </row>
    <row r="8" spans="1:16" ht="21.6" thickBot="1" x14ac:dyDescent="0.35">
      <c r="A8" s="17" t="s">
        <v>3</v>
      </c>
      <c r="B8" s="57"/>
      <c r="C8" s="147"/>
      <c r="D8" s="148">
        <f t="shared" si="0"/>
        <v>-0.26578102963001415</v>
      </c>
      <c r="E8" s="148">
        <f t="shared" si="1"/>
        <v>-0.65588025697925034</v>
      </c>
      <c r="F8" s="148">
        <f t="shared" si="2"/>
        <v>-0.46443751031209046</v>
      </c>
      <c r="G8" s="148">
        <f t="shared" si="3"/>
        <v>-0.22140011121436054</v>
      </c>
      <c r="H8" s="173">
        <f>SUM(H3:H7)</f>
        <v>11560000</v>
      </c>
      <c r="I8" s="173">
        <f>SUM(I3:I7)</f>
        <v>1115550</v>
      </c>
      <c r="J8" s="173">
        <f>SUM(J3:J7)</f>
        <v>43524000.000000007</v>
      </c>
      <c r="K8" s="173">
        <f>SUM(K3:K7)</f>
        <v>67797000</v>
      </c>
      <c r="L8" s="173">
        <f>SUM(L3:L7)</f>
        <v>8487571.2974770367</v>
      </c>
      <c r="M8" s="173">
        <f t="shared" ref="M8:O8" si="4">SUM(M3:M7)</f>
        <v>383882.77932679735</v>
      </c>
      <c r="N8" s="173">
        <f t="shared" si="4"/>
        <v>23309821.801176578</v>
      </c>
      <c r="O8" s="173">
        <f t="shared" si="4"/>
        <v>52786736.659999996</v>
      </c>
    </row>
    <row r="9" spans="1:16" x14ac:dyDescent="0.3">
      <c r="A9" s="27" t="s">
        <v>4</v>
      </c>
      <c r="B9" s="27" t="s">
        <v>108</v>
      </c>
      <c r="C9" s="27" t="s">
        <v>106</v>
      </c>
      <c r="D9" s="146">
        <f t="shared" si="0"/>
        <v>1</v>
      </c>
      <c r="E9" s="146">
        <f t="shared" si="1"/>
        <v>1</v>
      </c>
      <c r="F9" s="146">
        <f t="shared" si="2"/>
        <v>0</v>
      </c>
      <c r="G9" s="146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9">
        <f>VLOOKUP(A9,'תפוקה מצטברת מול אשתקד'!A:K,8,0)</f>
        <v>37973.944991582706</v>
      </c>
      <c r="M9" s="62">
        <f>VLOOKUP(A9,'תפוקה מצטברת מול אשתקד'!A:K,9,0)</f>
        <v>1173.1300000000001</v>
      </c>
      <c r="N9" s="62">
        <f>VLOOKUP(A9,'תפוקה מצטברת מול אשתקד'!A:K,10,0)</f>
        <v>0</v>
      </c>
      <c r="O9" s="62">
        <f>VLOOKUP(A9,'תפוקה מצטברת מול אשתקד'!A:K,11,0)</f>
        <v>-321158.48</v>
      </c>
    </row>
    <row r="10" spans="1:16" x14ac:dyDescent="0.3">
      <c r="A10" s="26" t="s">
        <v>5</v>
      </c>
      <c r="B10" s="26" t="s">
        <v>108</v>
      </c>
      <c r="C10" s="26" t="s">
        <v>106</v>
      </c>
      <c r="D10" s="61">
        <f t="shared" si="0"/>
        <v>-0.44454635698813094</v>
      </c>
      <c r="E10" s="61">
        <f t="shared" si="1"/>
        <v>0.69691281969860364</v>
      </c>
      <c r="F10" s="61">
        <f t="shared" si="2"/>
        <v>-0.39624795659253398</v>
      </c>
      <c r="G10" s="61">
        <f t="shared" si="3"/>
        <v>6.6703827956989148E-2</v>
      </c>
      <c r="H10" s="12">
        <v>1445000</v>
      </c>
      <c r="I10" s="12">
        <v>603000</v>
      </c>
      <c r="J10" s="12">
        <v>558000</v>
      </c>
      <c r="K10" s="12">
        <v>1395000.0000000002</v>
      </c>
      <c r="L10" s="59">
        <f>VLOOKUP(A10,'תפוקה מצטברת מול אשתקד'!A:K,8,0)</f>
        <v>802630.51415215083</v>
      </c>
      <c r="M10" s="62">
        <f>VLOOKUP(A10,'תפוקה מצטברת מול אשתקד'!A:K,9,0)</f>
        <v>1023238.4302782579</v>
      </c>
      <c r="N10" s="62">
        <f>VLOOKUP(A10,'תפוקה מצטברת מול אשתקד'!A:K,10,0)</f>
        <v>336893.64022136602</v>
      </c>
      <c r="O10" s="62">
        <f>VLOOKUP(A10,'תפוקה מצטברת מול אשתקד'!A:K,11,0)</f>
        <v>1488051.84</v>
      </c>
    </row>
    <row r="11" spans="1:16" x14ac:dyDescent="0.3">
      <c r="A11" s="26" t="s">
        <v>6</v>
      </c>
      <c r="B11" s="26" t="s">
        <v>108</v>
      </c>
      <c r="C11" s="26" t="s">
        <v>106</v>
      </c>
      <c r="D11" s="61">
        <f t="shared" si="0"/>
        <v>-0.51625268578955175</v>
      </c>
      <c r="E11" s="61">
        <f t="shared" si="1"/>
        <v>-0.66337950117230893</v>
      </c>
      <c r="F11" s="61">
        <f t="shared" si="2"/>
        <v>1</v>
      </c>
      <c r="G11" s="61">
        <f t="shared" si="3"/>
        <v>1</v>
      </c>
      <c r="H11" s="12">
        <v>289000</v>
      </c>
      <c r="I11" s="12">
        <v>120600</v>
      </c>
      <c r="J11" s="12">
        <v>0</v>
      </c>
      <c r="K11" s="12">
        <v>0</v>
      </c>
      <c r="L11" s="59">
        <f>VLOOKUP(A11,'תפוקה מצטברת מול אשתקד'!A:K,8,0)</f>
        <v>139802.97380681953</v>
      </c>
      <c r="M11" s="62">
        <f>VLOOKUP(A11,'תפוקה מצטברת מול אשתקד'!A:K,9,0)</f>
        <v>40596.432158619551</v>
      </c>
      <c r="N11" s="62">
        <f>VLOOKUP(A11,'תפוקה מצטברת מול אשתקד'!A:K,10,0)</f>
        <v>899639.48266723426</v>
      </c>
      <c r="O11" s="62">
        <f>VLOOKUP(A11,'תפוקה מצטברת מול אשתקד'!A:K,11,0)</f>
        <v>81331.63</v>
      </c>
    </row>
    <row r="12" spans="1:16" x14ac:dyDescent="0.3">
      <c r="A12" s="26" t="s">
        <v>7</v>
      </c>
      <c r="B12" s="26" t="s">
        <v>108</v>
      </c>
      <c r="C12" s="26" t="s">
        <v>106</v>
      </c>
      <c r="D12" s="61">
        <f t="shared" si="0"/>
        <v>1</v>
      </c>
      <c r="E12" s="61">
        <f t="shared" si="1"/>
        <v>1</v>
      </c>
      <c r="F12" s="61">
        <f t="shared" si="2"/>
        <v>1</v>
      </c>
      <c r="G12" s="61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9">
        <f>VLOOKUP(A12,'תפוקה מצטברת מול אשתקד'!A:K,8,0)</f>
        <v>225510.26701986758</v>
      </c>
      <c r="M12" s="62">
        <f>VLOOKUP(A12,'תפוקה מצטברת מול אשתקד'!A:K,9,0)</f>
        <v>16003.136999999999</v>
      </c>
      <c r="N12" s="62">
        <f>VLOOKUP(A12,'תפוקה מצטברת מול אשתקד'!A:K,10,0)</f>
        <v>1814271.11</v>
      </c>
      <c r="O12" s="62">
        <f>VLOOKUP(A12,'תפוקה מצטברת מול אשתקד'!A:K,11,0)</f>
        <v>542020.65</v>
      </c>
    </row>
    <row r="13" spans="1:16" x14ac:dyDescent="0.3">
      <c r="A13" s="26" t="s">
        <v>8</v>
      </c>
      <c r="B13" s="26" t="s">
        <v>108</v>
      </c>
      <c r="C13" s="26" t="s">
        <v>106</v>
      </c>
      <c r="D13" s="61">
        <f t="shared" si="0"/>
        <v>1</v>
      </c>
      <c r="E13" s="61">
        <f t="shared" si="1"/>
        <v>-0.60481200339121943</v>
      </c>
      <c r="F13" s="61">
        <f t="shared" si="2"/>
        <v>1</v>
      </c>
      <c r="G13" s="61">
        <f t="shared" si="3"/>
        <v>1</v>
      </c>
      <c r="H13" s="12">
        <v>0</v>
      </c>
      <c r="I13" s="12">
        <v>361800</v>
      </c>
      <c r="J13" s="12">
        <v>0</v>
      </c>
      <c r="K13" s="12">
        <v>0</v>
      </c>
      <c r="L13" s="59">
        <f>VLOOKUP(A13,'תפוקה מצטברת מול אשתקד'!A:K,8,0)</f>
        <v>66506.982499999998</v>
      </c>
      <c r="M13" s="62">
        <f>VLOOKUP(A13,'תפוקה מצטברת מול אשתקד'!A:K,9,0)</f>
        <v>142979.01717305681</v>
      </c>
      <c r="N13" s="62">
        <f>VLOOKUP(A13,'תפוקה מצטברת מול אשתקד'!A:K,10,0)</f>
        <v>2349.83</v>
      </c>
      <c r="O13" s="62">
        <f>VLOOKUP(A13,'תפוקה מצטברת מול אשתקד'!A:K,11,0)</f>
        <v>-4433.24</v>
      </c>
    </row>
    <row r="14" spans="1:16" x14ac:dyDescent="0.3">
      <c r="A14" s="26" t="s">
        <v>9</v>
      </c>
      <c r="B14" s="26" t="s">
        <v>108</v>
      </c>
      <c r="C14" s="26" t="s">
        <v>106</v>
      </c>
      <c r="D14" s="61">
        <f t="shared" si="0"/>
        <v>1.0648540066213963E-2</v>
      </c>
      <c r="E14" s="61">
        <f t="shared" si="1"/>
        <v>-0.51031707020453287</v>
      </c>
      <c r="F14" s="61">
        <f t="shared" si="2"/>
        <v>-0.56000665322580656</v>
      </c>
      <c r="G14" s="61">
        <f t="shared" si="3"/>
        <v>-0.95703101403823176</v>
      </c>
      <c r="H14" s="12">
        <v>173400</v>
      </c>
      <c r="I14" s="12">
        <v>90450</v>
      </c>
      <c r="J14" s="12">
        <v>2232000</v>
      </c>
      <c r="K14" s="12">
        <v>6696000.0000000009</v>
      </c>
      <c r="L14" s="59">
        <f>VLOOKUP(A14,'תפוקה מצטברת מול אשתקד'!A:K,8,0)</f>
        <v>175246.45684748152</v>
      </c>
      <c r="M14" s="62">
        <f>VLOOKUP(A14,'תפוקה מצטברת מול אשתקד'!A:K,9,0)</f>
        <v>44291.821000000004</v>
      </c>
      <c r="N14" s="62">
        <f>VLOOKUP(A14,'תפוקה מצטברת מול אשתקד'!A:K,10,0)</f>
        <v>982065.14999999991</v>
      </c>
      <c r="O14" s="62">
        <f>VLOOKUP(A14,'תפוקה מצטברת מול אשתקד'!A:K,11,0)</f>
        <v>287720.32999999996</v>
      </c>
    </row>
    <row r="15" spans="1:16" ht="31.2" x14ac:dyDescent="0.3">
      <c r="A15" s="26" t="s">
        <v>31</v>
      </c>
      <c r="B15" s="26" t="s">
        <v>55</v>
      </c>
      <c r="C15" s="26" t="s">
        <v>106</v>
      </c>
      <c r="D15" s="61">
        <f t="shared" si="0"/>
        <v>1</v>
      </c>
      <c r="E15" s="61">
        <f t="shared" si="1"/>
        <v>0</v>
      </c>
      <c r="F15" s="61">
        <f t="shared" si="2"/>
        <v>1</v>
      </c>
      <c r="G15" s="61">
        <f t="shared" si="3"/>
        <v>1</v>
      </c>
      <c r="H15" s="12">
        <v>0</v>
      </c>
      <c r="I15" s="12">
        <v>0</v>
      </c>
      <c r="J15" s="12">
        <v>0</v>
      </c>
      <c r="K15" s="12">
        <v>0</v>
      </c>
      <c r="L15" s="59">
        <f>VLOOKUP(A15,'תפוקה מצטברת מול אשתקד'!A:K,8,0)</f>
        <v>122818.49</v>
      </c>
      <c r="M15" s="62">
        <f>VLOOKUP(A15,'תפוקה מצטברת מול אשתקד'!A:K,9,0)</f>
        <v>0</v>
      </c>
      <c r="N15" s="62">
        <f>VLOOKUP(A15,'תפוקה מצטברת מול אשתקד'!A:K,10,0)</f>
        <v>266565.67</v>
      </c>
      <c r="O15" s="62">
        <f>VLOOKUP(A15,'תפוקה מצטברת מול אשתקד'!A:K,11,0)</f>
        <v>113981.56</v>
      </c>
    </row>
    <row r="16" spans="1:16" customFormat="1" x14ac:dyDescent="0.3">
      <c r="A16" s="26" t="s">
        <v>96</v>
      </c>
      <c r="B16" s="26" t="s">
        <v>108</v>
      </c>
      <c r="C16" s="26" t="s">
        <v>106</v>
      </c>
      <c r="D16" s="61">
        <f t="shared" si="0"/>
        <v>1</v>
      </c>
      <c r="E16" s="61">
        <f t="shared" si="1"/>
        <v>1</v>
      </c>
      <c r="F16" s="61">
        <f t="shared" si="2"/>
        <v>1</v>
      </c>
      <c r="G16" s="61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9">
        <f>VLOOKUP(A16,'תפוקה מצטברת מול אשתקד'!A:K,8,0)</f>
        <v>130488.1085</v>
      </c>
      <c r="M16" s="62">
        <f>VLOOKUP(A16,'תפוקה מצטברת מול אשתקד'!A:K,9,0)</f>
        <v>39357.477999999996</v>
      </c>
      <c r="N16" s="62">
        <f>VLOOKUP(A16,'תפוקה מצטברת מול אשתקד'!A:K,10,0)</f>
        <v>25369.24</v>
      </c>
      <c r="O16" s="62">
        <f>VLOOKUP(A16,'תפוקה מצטברת מול אשתקד'!A:K,11,0)</f>
        <v>118506.56</v>
      </c>
      <c r="P16" s="2"/>
    </row>
    <row r="17" spans="1:15" x14ac:dyDescent="0.3">
      <c r="A17" s="26" t="s">
        <v>42</v>
      </c>
      <c r="B17" s="26" t="s">
        <v>108</v>
      </c>
      <c r="C17" s="26" t="s">
        <v>106</v>
      </c>
      <c r="D17" s="61">
        <f t="shared" si="0"/>
        <v>-0.43597531079660345</v>
      </c>
      <c r="E17" s="61">
        <f t="shared" si="1"/>
        <v>-0.33970630420439019</v>
      </c>
      <c r="F17" s="61">
        <f t="shared" si="2"/>
        <v>-0.48697668758175905</v>
      </c>
      <c r="G17" s="61">
        <f t="shared" si="3"/>
        <v>-0.74913298685782559</v>
      </c>
      <c r="H17" s="12">
        <v>866999.99999999988</v>
      </c>
      <c r="I17" s="12">
        <v>361800</v>
      </c>
      <c r="J17" s="12">
        <v>6696000.0000000009</v>
      </c>
      <c r="K17" s="12">
        <v>3348000.0000000005</v>
      </c>
      <c r="L17" s="59">
        <f>VLOOKUP(A17,'תפוקה מצטברת מול אשתקד'!A:K,8,0)</f>
        <v>489009.40553934476</v>
      </c>
      <c r="M17" s="62">
        <f>VLOOKUP(A17,'תפוקה מצטברת מול אשתקד'!A:K,9,0)</f>
        <v>238894.25913885163</v>
      </c>
      <c r="N17" s="62">
        <f>VLOOKUP(A17,'תפוקה מצטברת מול אשתקד'!A:K,10,0)</f>
        <v>3435204.0999525418</v>
      </c>
      <c r="O17" s="62">
        <f>VLOOKUP(A17,'תפוקה מצטברת מול אשתקד'!A:K,11,0)</f>
        <v>839902.76000000024</v>
      </c>
    </row>
    <row r="18" spans="1:15" x14ac:dyDescent="0.3">
      <c r="A18" s="26" t="s">
        <v>43</v>
      </c>
      <c r="B18" s="26" t="s">
        <v>108</v>
      </c>
      <c r="C18" s="26" t="s">
        <v>106</v>
      </c>
      <c r="D18" s="61">
        <f t="shared" si="0"/>
        <v>-0.52434421605582537</v>
      </c>
      <c r="E18" s="61">
        <f t="shared" si="1"/>
        <v>-0.2868239844786139</v>
      </c>
      <c r="F18" s="61">
        <f t="shared" si="2"/>
        <v>-0.56640027044272301</v>
      </c>
      <c r="G18" s="61">
        <f t="shared" si="3"/>
        <v>-0.24731689247311839</v>
      </c>
      <c r="H18" s="12">
        <v>1733999.9999999998</v>
      </c>
      <c r="I18" s="12">
        <v>211050</v>
      </c>
      <c r="J18" s="12">
        <v>19530000</v>
      </c>
      <c r="K18" s="12">
        <v>5580000.0000000009</v>
      </c>
      <c r="L18" s="59">
        <f>VLOOKUP(A18,'תפוקה מצטברת מול אשתקד'!A:K,8,0)</f>
        <v>824787.12935919873</v>
      </c>
      <c r="M18" s="62">
        <f>VLOOKUP(A18,'תפוקה מצטברת מול אשתקד'!A:K,9,0)</f>
        <v>150515.79807578854</v>
      </c>
      <c r="N18" s="62">
        <f>VLOOKUP(A18,'תפוקה מצטברת מול אשתקד'!A:K,10,0)</f>
        <v>8468202.71825362</v>
      </c>
      <c r="O18" s="62">
        <f>VLOOKUP(A18,'תפוקה מצטברת מול אשתקד'!A:K,11,0)</f>
        <v>4199971.74</v>
      </c>
    </row>
    <row r="19" spans="1:15" x14ac:dyDescent="0.3">
      <c r="A19" s="26" t="s">
        <v>30</v>
      </c>
      <c r="B19" s="26" t="s">
        <v>108</v>
      </c>
      <c r="C19" s="26" t="s">
        <v>106</v>
      </c>
      <c r="D19" s="61">
        <f t="shared" si="0"/>
        <v>1</v>
      </c>
      <c r="E19" s="61">
        <f t="shared" si="1"/>
        <v>1</v>
      </c>
      <c r="F19" s="61">
        <f t="shared" si="2"/>
        <v>0</v>
      </c>
      <c r="G19" s="61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9">
        <f>VLOOKUP(A19,'תפוקה מצטברת מול אשתקד'!A:K,8,0)</f>
        <v>8690.7636035026262</v>
      </c>
      <c r="M19" s="62">
        <f>VLOOKUP(A19,'תפוקה מצטברת מול אשתקד'!A:K,9,0)</f>
        <v>9451.8135651150988</v>
      </c>
      <c r="N19" s="62">
        <f>VLOOKUP(A19,'תפוקה מצטברת מול אשתקד'!A:K,10,0)</f>
        <v>0</v>
      </c>
      <c r="O19" s="62">
        <f>VLOOKUP(A19,'תפוקה מצטברת מול אשתקד'!A:K,11,0)</f>
        <v>-204933.06999999998</v>
      </c>
    </row>
    <row r="20" spans="1:15" x14ac:dyDescent="0.3">
      <c r="A20" s="28" t="s">
        <v>130</v>
      </c>
      <c r="B20" s="26" t="s">
        <v>108</v>
      </c>
      <c r="C20" s="26" t="s">
        <v>106</v>
      </c>
      <c r="D20" s="61">
        <f t="shared" si="0"/>
        <v>1</v>
      </c>
      <c r="E20" s="61">
        <f t="shared" si="1"/>
        <v>1</v>
      </c>
      <c r="F20" s="61">
        <f t="shared" si="2"/>
        <v>1</v>
      </c>
      <c r="G20" s="61">
        <f t="shared" si="3"/>
        <v>1</v>
      </c>
      <c r="H20" s="12"/>
      <c r="I20" s="12"/>
      <c r="J20" s="12"/>
      <c r="K20" s="12"/>
      <c r="L20" s="59">
        <f>VLOOKUP(A20,'תפוקה מצטברת מול אשתקד'!A:K,8,0)</f>
        <v>65836.577748359094</v>
      </c>
      <c r="M20" s="62">
        <f>VLOOKUP(A20,'תפוקה מצטברת מול אשתקד'!A:K,9,0)</f>
        <v>8429.59</v>
      </c>
      <c r="N20" s="62">
        <f>VLOOKUP(A20,'תפוקה מצטברת מול אשתקד'!A:K,10,0)</f>
        <v>110647.08</v>
      </c>
      <c r="O20" s="62">
        <f>VLOOKUP(A20,'תפוקה מצטברת מול אשתקד'!A:K,11,0)</f>
        <v>43942.64</v>
      </c>
    </row>
    <row r="21" spans="1:15" ht="16.2" thickBot="1" x14ac:dyDescent="0.35">
      <c r="A21" s="28" t="s">
        <v>38</v>
      </c>
      <c r="B21" s="28" t="s">
        <v>108</v>
      </c>
      <c r="C21" s="28" t="s">
        <v>106</v>
      </c>
      <c r="D21" s="145">
        <f t="shared" si="0"/>
        <v>0</v>
      </c>
      <c r="E21" s="145">
        <f t="shared" si="1"/>
        <v>0</v>
      </c>
      <c r="F21" s="145">
        <f t="shared" si="2"/>
        <v>0</v>
      </c>
      <c r="G21" s="145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9">
        <f>VLOOKUP(A21,'תפוקה מצטברת מול אשתקד'!A:K,8,0)</f>
        <v>0</v>
      </c>
      <c r="M21" s="62">
        <f>VLOOKUP(A21,'תפוקה מצטברת מול אשתקד'!A:K,9,0)</f>
        <v>0</v>
      </c>
      <c r="N21" s="62">
        <f>VLOOKUP(A21,'תפוקה מצטברת מול אשתקד'!A:K,10,0)</f>
        <v>0</v>
      </c>
      <c r="O21" s="62">
        <f>VLOOKUP(A21,'תפוקה מצטברת מול אשתקד'!A:K,11,0)</f>
        <v>0</v>
      </c>
    </row>
    <row r="22" spans="1:15" ht="21.6" thickBot="1" x14ac:dyDescent="0.35">
      <c r="A22" s="17" t="s">
        <v>10</v>
      </c>
      <c r="B22" s="57"/>
      <c r="C22" s="147"/>
      <c r="D22" s="148">
        <f t="shared" si="0"/>
        <v>-0.31476763062986701</v>
      </c>
      <c r="E22" s="148">
        <f t="shared" si="1"/>
        <v>-1.9310970212335188E-2</v>
      </c>
      <c r="F22" s="148">
        <f t="shared" si="2"/>
        <v>-0.43682078780346145</v>
      </c>
      <c r="G22" s="148">
        <f t="shared" si="3"/>
        <v>-0.57783037076208954</v>
      </c>
      <c r="H22" s="149">
        <f t="shared" ref="H22:O22" si="5">SUM(H9:H21)</f>
        <v>4508400</v>
      </c>
      <c r="I22" s="149">
        <f t="shared" si="5"/>
        <v>1748700</v>
      </c>
      <c r="J22" s="149">
        <f t="shared" si="5"/>
        <v>29016000</v>
      </c>
      <c r="K22" s="149">
        <f t="shared" si="5"/>
        <v>17019000.000000004</v>
      </c>
      <c r="L22" s="149">
        <f t="shared" si="5"/>
        <v>3089301.6140683074</v>
      </c>
      <c r="M22" s="149">
        <f t="shared" si="5"/>
        <v>1714930.9063896895</v>
      </c>
      <c r="N22" s="149">
        <f t="shared" si="5"/>
        <v>16341208.021094762</v>
      </c>
      <c r="O22" s="149">
        <f t="shared" si="5"/>
        <v>7184904.9199999999</v>
      </c>
    </row>
    <row r="23" spans="1:15" x14ac:dyDescent="0.3">
      <c r="A23" s="27" t="s">
        <v>11</v>
      </c>
      <c r="B23" s="27" t="s">
        <v>56</v>
      </c>
      <c r="C23" s="27" t="s">
        <v>107</v>
      </c>
      <c r="D23" s="146">
        <f t="shared" si="0"/>
        <v>-0.12425820555795852</v>
      </c>
      <c r="E23" s="146">
        <f t="shared" si="1"/>
        <v>0.22520278021656415</v>
      </c>
      <c r="F23" s="146">
        <f t="shared" si="2"/>
        <v>-0.76282090322580653</v>
      </c>
      <c r="G23" s="146">
        <f t="shared" si="3"/>
        <v>2.302598207885298E-2</v>
      </c>
      <c r="H23" s="12">
        <v>924799.99999999988</v>
      </c>
      <c r="I23" s="12">
        <v>102510</v>
      </c>
      <c r="J23" s="12">
        <v>1395000.0000000002</v>
      </c>
      <c r="K23" s="12">
        <v>2790000.0000000005</v>
      </c>
      <c r="L23" s="59">
        <f>VLOOKUP(A23,'תפוקה מצטברת מול אשתקד'!A:K,8,0)</f>
        <v>809886.01149999991</v>
      </c>
      <c r="M23" s="62">
        <f>VLOOKUP(A23,'תפוקה מצטברת מול אשתקד'!A:K,9,0)</f>
        <v>125595.537</v>
      </c>
      <c r="N23" s="62">
        <f>VLOOKUP(A23,'תפוקה מצטברת מול אשתקד'!A:K,10,0)</f>
        <v>330864.83999999997</v>
      </c>
      <c r="O23" s="62">
        <f>VLOOKUP(A23,'תפוקה מצטברת מול אשתקד'!A:K,11,0)</f>
        <v>2854242.49</v>
      </c>
    </row>
    <row r="24" spans="1:15" x14ac:dyDescent="0.3">
      <c r="A24" s="30" t="s">
        <v>12</v>
      </c>
      <c r="B24" s="26" t="s">
        <v>56</v>
      </c>
      <c r="C24" s="27" t="s">
        <v>107</v>
      </c>
      <c r="D24" s="61">
        <f t="shared" si="0"/>
        <v>0</v>
      </c>
      <c r="E24" s="61">
        <f t="shared" si="1"/>
        <v>1</v>
      </c>
      <c r="F24" s="61">
        <f t="shared" si="2"/>
        <v>0</v>
      </c>
      <c r="G24" s="61">
        <f t="shared" si="3"/>
        <v>1</v>
      </c>
      <c r="H24" s="12">
        <v>0</v>
      </c>
      <c r="I24" s="12">
        <v>0</v>
      </c>
      <c r="J24" s="12">
        <v>0</v>
      </c>
      <c r="K24" s="12">
        <v>0</v>
      </c>
      <c r="L24" s="59">
        <f>VLOOKUP(A24,'תפוקה מצטברת מול אשתקד'!A:K,8,0)</f>
        <v>0</v>
      </c>
      <c r="M24" s="62">
        <f>VLOOKUP(A24,'תפוקה מצטברת מול אשתקד'!A:K,9,0)</f>
        <v>3083.8083490234649</v>
      </c>
      <c r="N24" s="62">
        <f>VLOOKUP(A24,'תפוקה מצטברת מול אשתקד'!A:K,10,0)</f>
        <v>0</v>
      </c>
      <c r="O24" s="62">
        <f>VLOOKUP(A24,'תפוקה מצטברת מול אשתקד'!A:K,11,0)</f>
        <v>-11711.17</v>
      </c>
    </row>
    <row r="25" spans="1:15" x14ac:dyDescent="0.3">
      <c r="A25" s="30" t="s">
        <v>13</v>
      </c>
      <c r="B25" s="26" t="s">
        <v>56</v>
      </c>
      <c r="C25" s="27" t="s">
        <v>107</v>
      </c>
      <c r="D25" s="61">
        <f t="shared" si="0"/>
        <v>-0.51227208907627109</v>
      </c>
      <c r="E25" s="61">
        <f t="shared" si="1"/>
        <v>-0.57530931893758019</v>
      </c>
      <c r="F25" s="61">
        <f t="shared" si="2"/>
        <v>-0.97624462786110089</v>
      </c>
      <c r="G25" s="61">
        <f t="shared" si="3"/>
        <v>-1.251218458781362</v>
      </c>
      <c r="H25" s="12">
        <v>57799.999999999993</v>
      </c>
      <c r="I25" s="12">
        <v>30150</v>
      </c>
      <c r="J25" s="12">
        <v>167400.00000000003</v>
      </c>
      <c r="K25" s="12">
        <v>55800.000000000007</v>
      </c>
      <c r="L25" s="59">
        <f>VLOOKUP(A25,'תפוקה מצטברת מול אשתקד'!A:K,8,0)</f>
        <v>28190.67325139153</v>
      </c>
      <c r="M25" s="62">
        <f>VLOOKUP(A25,'תפוקה מצטברת מול אשתקד'!A:K,9,0)</f>
        <v>12804.424034031957</v>
      </c>
      <c r="N25" s="62">
        <f>VLOOKUP(A25,'תפוקה מצטברת מול אשתקד'!A:K,10,0)</f>
        <v>3976.649296051708</v>
      </c>
      <c r="O25" s="62">
        <f>VLOOKUP(A25,'תפוקה מצטברת מול אשתקד'!A:K,11,0)</f>
        <v>-14017.99</v>
      </c>
    </row>
    <row r="26" spans="1:15" ht="31.2" x14ac:dyDescent="0.3">
      <c r="A26" s="26" t="s">
        <v>14</v>
      </c>
      <c r="B26" s="26" t="s">
        <v>55</v>
      </c>
      <c r="C26" s="27" t="s">
        <v>107</v>
      </c>
      <c r="D26" s="61">
        <f t="shared" si="0"/>
        <v>0</v>
      </c>
      <c r="E26" s="61">
        <f t="shared" si="1"/>
        <v>0</v>
      </c>
      <c r="F26" s="61">
        <f t="shared" si="2"/>
        <v>0</v>
      </c>
      <c r="G26" s="61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9">
        <f>VLOOKUP(A26,'תפוקה מצטברת מול אשתקד'!A:K,8,0)</f>
        <v>0</v>
      </c>
      <c r="M26" s="62">
        <f>VLOOKUP(A26,'תפוקה מצטברת מול אשתקד'!A:K,9,0)</f>
        <v>0</v>
      </c>
      <c r="N26" s="62">
        <f>VLOOKUP(A26,'תפוקה מצטברת מול אשתקד'!A:K,10,0)</f>
        <v>0</v>
      </c>
      <c r="O26" s="62">
        <f>VLOOKUP(A26,'תפוקה מצטברת מול אשתקד'!A:K,11,0)</f>
        <v>0</v>
      </c>
    </row>
    <row r="27" spans="1:15" x14ac:dyDescent="0.3">
      <c r="A27" s="30" t="s">
        <v>15</v>
      </c>
      <c r="B27" s="26" t="s">
        <v>56</v>
      </c>
      <c r="C27" s="27" t="s">
        <v>107</v>
      </c>
      <c r="D27" s="61">
        <f t="shared" si="0"/>
        <v>-0.30518419976467792</v>
      </c>
      <c r="E27" s="61">
        <f t="shared" si="1"/>
        <v>-0.41527384466556105</v>
      </c>
      <c r="F27" s="61">
        <f t="shared" si="2"/>
        <v>-0.49608976439665486</v>
      </c>
      <c r="G27" s="61">
        <f t="shared" si="3"/>
        <v>-4.6783427419354817E-2</v>
      </c>
      <c r="H27" s="12">
        <v>1445000</v>
      </c>
      <c r="I27" s="12">
        <v>180900</v>
      </c>
      <c r="J27" s="12">
        <v>1674000.0000000002</v>
      </c>
      <c r="K27" s="12">
        <v>2232000</v>
      </c>
      <c r="L27" s="59">
        <f>VLOOKUP(A27,'תפוקה מצטברת מול אשתקד'!A:K,8,0)</f>
        <v>1004008.8313400404</v>
      </c>
      <c r="M27" s="62">
        <f>VLOOKUP(A27,'תפוקה מצטברת מול אשתקד'!A:K,9,0)</f>
        <v>105776.9615</v>
      </c>
      <c r="N27" s="62">
        <f>VLOOKUP(A27,'תפוקה מצטברת מול אשתקד'!A:K,10,0)</f>
        <v>843545.73439999996</v>
      </c>
      <c r="O27" s="62">
        <f>VLOOKUP(A27,'תפוקה מצטברת מול אשתקד'!A:K,11,0)</f>
        <v>2127579.39</v>
      </c>
    </row>
    <row r="28" spans="1:15" x14ac:dyDescent="0.3">
      <c r="A28" s="30" t="s">
        <v>17</v>
      </c>
      <c r="B28" s="26" t="s">
        <v>56</v>
      </c>
      <c r="C28" s="27" t="s">
        <v>107</v>
      </c>
      <c r="D28" s="61">
        <f t="shared" si="0"/>
        <v>-0.40990814909731488</v>
      </c>
      <c r="E28" s="61">
        <f t="shared" si="1"/>
        <v>-0.51777749147130137</v>
      </c>
      <c r="F28" s="61">
        <f t="shared" si="2"/>
        <v>2.5948439493403392</v>
      </c>
      <c r="G28" s="61">
        <f t="shared" si="3"/>
        <v>0.71060931899641555</v>
      </c>
      <c r="H28" s="12">
        <v>173400</v>
      </c>
      <c r="I28" s="12">
        <v>120600</v>
      </c>
      <c r="J28" s="12">
        <v>55800.000000000007</v>
      </c>
      <c r="K28" s="12">
        <v>111600.00000000001</v>
      </c>
      <c r="L28" s="59">
        <f>VLOOKUP(A28,'תפוקה מצטברת מול אשתקד'!A:K,8,0)</f>
        <v>102321.92694652559</v>
      </c>
      <c r="M28" s="62">
        <f>VLOOKUP(A28,'תפוקה מצטברת מול אשתקד'!A:K,9,0)</f>
        <v>58156.03452856106</v>
      </c>
      <c r="N28" s="62">
        <f>VLOOKUP(A28,'תפוקה מצטברת מול אשתקד'!A:K,10,0)</f>
        <v>200592.29237319095</v>
      </c>
      <c r="O28" s="62">
        <f>VLOOKUP(A28,'תפוקה מצטברת מול אשתקד'!A:K,11,0)</f>
        <v>190904</v>
      </c>
    </row>
    <row r="29" spans="1:15" x14ac:dyDescent="0.3">
      <c r="A29" s="30" t="s">
        <v>18</v>
      </c>
      <c r="B29" s="26" t="s">
        <v>56</v>
      </c>
      <c r="C29" s="27" t="s">
        <v>107</v>
      </c>
      <c r="D29" s="61">
        <f t="shared" si="0"/>
        <v>-0.84166730103806231</v>
      </c>
      <c r="E29" s="61">
        <f t="shared" si="1"/>
        <v>-0.44837980099502484</v>
      </c>
      <c r="F29" s="61">
        <f t="shared" si="2"/>
        <v>-0.73096290322580648</v>
      </c>
      <c r="G29" s="61">
        <f t="shared" si="3"/>
        <v>-0.6469318399044206</v>
      </c>
      <c r="H29" s="12">
        <v>173400</v>
      </c>
      <c r="I29" s="12">
        <v>90450</v>
      </c>
      <c r="J29" s="12">
        <v>837000.00000000012</v>
      </c>
      <c r="K29" s="12">
        <v>167400.00000000003</v>
      </c>
      <c r="L29" s="59">
        <f>VLOOKUP(A29,'תפוקה מצטברת מול אשתקד'!A:K,8,0)</f>
        <v>27454.89</v>
      </c>
      <c r="M29" s="62">
        <f>VLOOKUP(A29,'תפוקה מצטברת מול אשתקד'!A:K,9,0)</f>
        <v>49894.046999999999</v>
      </c>
      <c r="N29" s="62">
        <f>VLOOKUP(A29,'תפוקה מצטברת מול אשתקד'!A:K,10,0)</f>
        <v>225184.05</v>
      </c>
      <c r="O29" s="62">
        <f>VLOOKUP(A29,'תפוקה מצטברת מול אשתקד'!A:K,11,0)</f>
        <v>59103.61</v>
      </c>
    </row>
    <row r="30" spans="1:15" x14ac:dyDescent="0.3">
      <c r="A30" s="26" t="s">
        <v>19</v>
      </c>
      <c r="B30" s="26" t="s">
        <v>56</v>
      </c>
      <c r="C30" s="27" t="s">
        <v>107</v>
      </c>
      <c r="D30" s="61">
        <f t="shared" si="0"/>
        <v>-0.52370832725684013</v>
      </c>
      <c r="E30" s="61">
        <f t="shared" si="1"/>
        <v>-0.20015909342177995</v>
      </c>
      <c r="F30" s="61">
        <f t="shared" si="2"/>
        <v>-0.33380994026284361</v>
      </c>
      <c r="G30" s="61">
        <f t="shared" si="3"/>
        <v>-0.67347587096774197</v>
      </c>
      <c r="H30" s="12">
        <v>1011499.9999999999</v>
      </c>
      <c r="I30" s="12">
        <v>90450</v>
      </c>
      <c r="J30" s="12">
        <v>1674000.0000000002</v>
      </c>
      <c r="K30" s="12">
        <v>2790000.0000000005</v>
      </c>
      <c r="L30" s="59">
        <f>VLOOKUP(A30,'תפוקה מצטברת מול אשתקד'!A:K,8,0)</f>
        <v>481769.02697970619</v>
      </c>
      <c r="M30" s="62">
        <f>VLOOKUP(A30,'תפוקה מצטברת מול אשתקד'!A:K,9,0)</f>
        <v>72345.61</v>
      </c>
      <c r="N30" s="62">
        <f>VLOOKUP(A30,'תפוקה מצטברת מול אשתקד'!A:K,10,0)</f>
        <v>1115202.1599999999</v>
      </c>
      <c r="O30" s="62">
        <f>VLOOKUP(A30,'תפוקה מצטברת מול אשתקד'!A:K,11,0)</f>
        <v>911002.32000000007</v>
      </c>
    </row>
    <row r="31" spans="1:15" x14ac:dyDescent="0.3">
      <c r="A31" s="26" t="s">
        <v>20</v>
      </c>
      <c r="B31" s="26" t="s">
        <v>56</v>
      </c>
      <c r="C31" s="27" t="s">
        <v>107</v>
      </c>
      <c r="D31" s="61">
        <f t="shared" si="0"/>
        <v>0.52677049330756076</v>
      </c>
      <c r="E31" s="61">
        <f t="shared" si="1"/>
        <v>-0.18821297006467752</v>
      </c>
      <c r="F31" s="61">
        <f t="shared" si="2"/>
        <v>7.6482988351254555E-2</v>
      </c>
      <c r="G31" s="61">
        <f t="shared" si="3"/>
        <v>-1.2728977060931899</v>
      </c>
      <c r="H31" s="12">
        <v>578000</v>
      </c>
      <c r="I31" s="12">
        <v>120600</v>
      </c>
      <c r="J31" s="12">
        <v>2232000</v>
      </c>
      <c r="K31" s="12">
        <v>1395000.0000000002</v>
      </c>
      <c r="L31" s="59">
        <f>VLOOKUP(A31,'תפוקה מצטברת מול אשתקד'!A:K,8,0)</f>
        <v>882473.34513177013</v>
      </c>
      <c r="M31" s="62">
        <f>VLOOKUP(A31,'תפוקה מצטברת מול אשתקד'!A:K,9,0)</f>
        <v>97901.515810199897</v>
      </c>
      <c r="N31" s="62">
        <f>VLOOKUP(A31,'תפוקה מצטברת מול אשתקד'!A:K,10,0)</f>
        <v>2402710.0300000003</v>
      </c>
      <c r="O31" s="62">
        <f>VLOOKUP(A31,'תפוקה מצטברת מול אשתקד'!A:K,11,0)</f>
        <v>-380692.29999999981</v>
      </c>
    </row>
    <row r="32" spans="1:15" x14ac:dyDescent="0.3">
      <c r="A32" s="26" t="s">
        <v>21</v>
      </c>
      <c r="B32" s="26" t="s">
        <v>56</v>
      </c>
      <c r="C32" s="27" t="s">
        <v>107</v>
      </c>
      <c r="D32" s="61">
        <f t="shared" si="0"/>
        <v>0</v>
      </c>
      <c r="E32" s="61">
        <f t="shared" si="1"/>
        <v>1</v>
      </c>
      <c r="F32" s="61">
        <f t="shared" si="2"/>
        <v>0</v>
      </c>
      <c r="G32" s="61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9">
        <f>VLOOKUP(A32,'תפוקה מצטברת מול אשתקד'!A:K,8,0)</f>
        <v>0</v>
      </c>
      <c r="M32" s="62">
        <f>VLOOKUP(A32,'תפוקה מצטברת מול אשתקד'!A:K,9,0)</f>
        <v>9.77</v>
      </c>
      <c r="N32" s="62">
        <f>VLOOKUP(A32,'תפוקה מצטברת מול אשתקד'!A:K,10,0)</f>
        <v>0</v>
      </c>
      <c r="O32" s="62">
        <f>VLOOKUP(A32,'תפוקה מצטברת מול אשתקד'!A:K,11,0)</f>
        <v>0</v>
      </c>
    </row>
    <row r="33" spans="1:15" x14ac:dyDescent="0.3">
      <c r="A33" s="26" t="s">
        <v>22</v>
      </c>
      <c r="B33" s="26" t="s">
        <v>56</v>
      </c>
      <c r="C33" s="27" t="s">
        <v>107</v>
      </c>
      <c r="D33" s="61">
        <f t="shared" si="0"/>
        <v>1</v>
      </c>
      <c r="E33" s="61">
        <f t="shared" si="1"/>
        <v>1</v>
      </c>
      <c r="F33" s="61">
        <f t="shared" si="2"/>
        <v>1</v>
      </c>
      <c r="G33" s="61">
        <f t="shared" si="3"/>
        <v>1</v>
      </c>
      <c r="H33" s="12">
        <v>0</v>
      </c>
      <c r="I33" s="12">
        <v>0</v>
      </c>
      <c r="J33" s="12">
        <v>0</v>
      </c>
      <c r="K33" s="12">
        <v>0</v>
      </c>
      <c r="L33" s="59">
        <f>VLOOKUP(A33,'תפוקה מצטברת מול אשתקד'!A:K,8,0)</f>
        <v>41053.826915774822</v>
      </c>
      <c r="M33" s="62">
        <f>VLOOKUP(A33,'תפוקה מצטברת מול אשתקד'!A:K,9,0)</f>
        <v>4875.2298668525636</v>
      </c>
      <c r="N33" s="62">
        <f>VLOOKUP(A33,'תפוקה מצטברת מול אשתקד'!A:K,10,0)</f>
        <v>45585.683609235886</v>
      </c>
      <c r="O33" s="62">
        <f>VLOOKUP(A33,'תפוקה מצטברת מול אשתקד'!A:K,11,0)</f>
        <v>14254.46</v>
      </c>
    </row>
    <row r="34" spans="1:15" x14ac:dyDescent="0.3">
      <c r="A34" s="26" t="s">
        <v>23</v>
      </c>
      <c r="B34" s="26" t="s">
        <v>56</v>
      </c>
      <c r="C34" s="27" t="s">
        <v>107</v>
      </c>
      <c r="D34" s="61">
        <f t="shared" si="0"/>
        <v>0</v>
      </c>
      <c r="E34" s="61">
        <f t="shared" si="1"/>
        <v>0</v>
      </c>
      <c r="F34" s="61">
        <f t="shared" si="2"/>
        <v>0</v>
      </c>
      <c r="G34" s="61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9">
        <f>VLOOKUP(A34,'תפוקה מצטברת מול אשתקד'!A:K,8,0)</f>
        <v>0</v>
      </c>
      <c r="M34" s="62">
        <f>VLOOKUP(A34,'תפוקה מצטברת מול אשתקד'!A:K,9,0)</f>
        <v>0</v>
      </c>
      <c r="N34" s="62">
        <f>VLOOKUP(A34,'תפוקה מצטברת מול אשתקד'!A:K,10,0)</f>
        <v>0</v>
      </c>
      <c r="O34" s="62">
        <f>VLOOKUP(A34,'תפוקה מצטברת מול אשתקד'!A:K,11,0)</f>
        <v>0</v>
      </c>
    </row>
    <row r="35" spans="1:15" x14ac:dyDescent="0.3">
      <c r="A35" s="26" t="s">
        <v>24</v>
      </c>
      <c r="B35" s="26" t="s">
        <v>56</v>
      </c>
      <c r="C35" s="27" t="s">
        <v>107</v>
      </c>
      <c r="D35" s="61">
        <f t="shared" si="0"/>
        <v>0</v>
      </c>
      <c r="E35" s="61">
        <f t="shared" si="1"/>
        <v>1</v>
      </c>
      <c r="F35" s="61">
        <f t="shared" si="2"/>
        <v>0</v>
      </c>
      <c r="G35" s="61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9">
        <f>VLOOKUP(A35,'תפוקה מצטברת מול אשתקד'!A:K,8,0)</f>
        <v>0</v>
      </c>
      <c r="M35" s="62">
        <f>VLOOKUP(A35,'תפוקה מצטברת מול אשתקד'!A:K,9,0)</f>
        <v>6634.0779999999995</v>
      </c>
      <c r="N35" s="62">
        <f>VLOOKUP(A35,'תפוקה מצטברת מול אשתקד'!A:K,10,0)</f>
        <v>0</v>
      </c>
      <c r="O35" s="62">
        <f>VLOOKUP(A35,'תפוקה מצטברת מול אשתקד'!A:K,11,0)</f>
        <v>0</v>
      </c>
    </row>
    <row r="36" spans="1:15" x14ac:dyDescent="0.3">
      <c r="A36" s="30" t="s">
        <v>25</v>
      </c>
      <c r="B36" s="26" t="s">
        <v>56</v>
      </c>
      <c r="C36" s="27" t="s">
        <v>107</v>
      </c>
      <c r="D36" s="61">
        <f t="shared" si="0"/>
        <v>0.35239344572798315</v>
      </c>
      <c r="E36" s="61">
        <f t="shared" si="1"/>
        <v>-4.7981098899456676E-3</v>
      </c>
      <c r="F36" s="61">
        <f t="shared" si="2"/>
        <v>-0.17316207392997174</v>
      </c>
      <c r="G36" s="61">
        <f t="shared" si="3"/>
        <v>0.27670737903225806</v>
      </c>
      <c r="H36" s="12">
        <v>1445000</v>
      </c>
      <c r="I36" s="12">
        <v>271350</v>
      </c>
      <c r="J36" s="12">
        <v>3348000.0000000005</v>
      </c>
      <c r="K36" s="12">
        <v>2232000</v>
      </c>
      <c r="L36" s="59">
        <f>VLOOKUP(A36,'תפוקה מצטברת מול אשתקד'!A:K,8,0)</f>
        <v>1954208.5290769357</v>
      </c>
      <c r="M36" s="62">
        <f>VLOOKUP(A36,'תפוקה מצטברת מול אשתקד'!A:K,9,0)</f>
        <v>270048.03288136324</v>
      </c>
      <c r="N36" s="62">
        <f>VLOOKUP(A36,'תפוקה מצטברת מול אשתקד'!A:K,10,0)</f>
        <v>2768253.3764824551</v>
      </c>
      <c r="O36" s="62">
        <f>VLOOKUP(A36,'תפוקה מצטברת מול אשתקד'!A:K,11,0)</f>
        <v>2849610.87</v>
      </c>
    </row>
    <row r="37" spans="1:15" x14ac:dyDescent="0.3">
      <c r="A37" s="26" t="s">
        <v>26</v>
      </c>
      <c r="B37" s="26" t="s">
        <v>56</v>
      </c>
      <c r="C37" s="27" t="s">
        <v>107</v>
      </c>
      <c r="D37" s="61">
        <f t="shared" si="0"/>
        <v>1</v>
      </c>
      <c r="E37" s="61">
        <f t="shared" si="1"/>
        <v>0</v>
      </c>
      <c r="F37" s="61">
        <f t="shared" si="2"/>
        <v>0</v>
      </c>
      <c r="G37" s="61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9">
        <f>VLOOKUP(A37,'תפוקה מצטברת מול אשתקד'!A:K,8,0)</f>
        <v>2262</v>
      </c>
      <c r="M37" s="62">
        <f>VLOOKUP(A37,'תפוקה מצטברת מול אשתקד'!A:K,9,0)</f>
        <v>0</v>
      </c>
      <c r="N37" s="62">
        <f>VLOOKUP(A37,'תפוקה מצטברת מול אשתקד'!A:K,10,0)</f>
        <v>0</v>
      </c>
      <c r="O37" s="62">
        <f>VLOOKUP(A37,'תפוקה מצטברת מול אשתקד'!A:K,11,0)</f>
        <v>0</v>
      </c>
    </row>
    <row r="38" spans="1:15" x14ac:dyDescent="0.3">
      <c r="A38" s="26" t="s">
        <v>27</v>
      </c>
      <c r="B38" s="26" t="s">
        <v>56</v>
      </c>
      <c r="C38" s="27" t="s">
        <v>107</v>
      </c>
      <c r="D38" s="61">
        <f t="shared" si="0"/>
        <v>1</v>
      </c>
      <c r="E38" s="61">
        <f t="shared" si="1"/>
        <v>1</v>
      </c>
      <c r="F38" s="61">
        <f t="shared" si="2"/>
        <v>1</v>
      </c>
      <c r="G38" s="61">
        <f t="shared" si="3"/>
        <v>1</v>
      </c>
      <c r="H38" s="12">
        <v>0</v>
      </c>
      <c r="I38" s="12">
        <v>0</v>
      </c>
      <c r="J38" s="12">
        <v>0</v>
      </c>
      <c r="K38" s="12">
        <v>0</v>
      </c>
      <c r="L38" s="59">
        <f>VLOOKUP(A38,'תפוקה מצטברת מול אשתקד'!A:K,8,0)</f>
        <v>44755.199999999997</v>
      </c>
      <c r="M38" s="62">
        <f>VLOOKUP(A38,'תפוקה מצטברת מול אשתקד'!A:K,9,0)</f>
        <v>-3451</v>
      </c>
      <c r="N38" s="62">
        <f>VLOOKUP(A38,'תפוקה מצטברת מול אשתקד'!A:K,10,0)</f>
        <v>24102.44</v>
      </c>
      <c r="O38" s="62">
        <f>VLOOKUP(A38,'תפוקה מצטברת מול אשתקד'!A:K,11,0)</f>
        <v>-580576.23</v>
      </c>
    </row>
    <row r="39" spans="1:15" x14ac:dyDescent="0.3">
      <c r="A39" s="26" t="s">
        <v>28</v>
      </c>
      <c r="B39" s="26" t="s">
        <v>56</v>
      </c>
      <c r="C39" s="27" t="s">
        <v>107</v>
      </c>
      <c r="D39" s="61">
        <f t="shared" si="0"/>
        <v>1</v>
      </c>
      <c r="E39" s="61">
        <f t="shared" si="1"/>
        <v>0</v>
      </c>
      <c r="F39" s="61">
        <f t="shared" si="2"/>
        <v>0</v>
      </c>
      <c r="G39" s="61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9">
        <f>VLOOKUP(A39,'תפוקה מצטברת מול אשתקד'!A:K,8,0)</f>
        <v>63754.879654273449</v>
      </c>
      <c r="M39" s="62">
        <f>VLOOKUP(A39,'תפוקה מצטברת מול אשתקד'!A:K,9,0)</f>
        <v>0</v>
      </c>
      <c r="N39" s="62">
        <f>VLOOKUP(A39,'תפוקה מצטברת מול אשתקד'!A:K,10,0)</f>
        <v>0</v>
      </c>
      <c r="O39" s="62">
        <f>VLOOKUP(A39,'תפוקה מצטברת מול אשתקד'!A:K,11,0)</f>
        <v>0</v>
      </c>
    </row>
    <row r="40" spans="1:15" x14ac:dyDescent="0.3">
      <c r="A40" s="26" t="s">
        <v>29</v>
      </c>
      <c r="B40" s="26" t="s">
        <v>56</v>
      </c>
      <c r="C40" s="27" t="s">
        <v>107</v>
      </c>
      <c r="D40" s="61">
        <f t="shared" si="0"/>
        <v>1</v>
      </c>
      <c r="E40" s="61">
        <f t="shared" si="1"/>
        <v>-0.5665008291873963</v>
      </c>
      <c r="F40" s="61">
        <f t="shared" si="2"/>
        <v>1</v>
      </c>
      <c r="G40" s="61">
        <f t="shared" si="3"/>
        <v>1</v>
      </c>
      <c r="H40" s="12">
        <v>0</v>
      </c>
      <c r="I40" s="12">
        <v>6030</v>
      </c>
      <c r="J40" s="12">
        <v>0</v>
      </c>
      <c r="K40" s="12">
        <v>0</v>
      </c>
      <c r="L40" s="59">
        <f>VLOOKUP(A40,'תפוקה מצטברת מול אשתקד'!A:K,8,0)</f>
        <v>23585.8</v>
      </c>
      <c r="M40" s="62">
        <f>VLOOKUP(A40,'תפוקה מצטברת מול אשתקד'!A:K,9,0)</f>
        <v>2614</v>
      </c>
      <c r="N40" s="62">
        <f>VLOOKUP(A40,'תפוקה מצטברת מול אשתקד'!A:K,10,0)</f>
        <v>246259.19</v>
      </c>
      <c r="O40" s="62">
        <f>VLOOKUP(A40,'תפוקה מצטברת מול אשתקד'!A:K,11,0)</f>
        <v>230013.85</v>
      </c>
    </row>
    <row r="41" spans="1:15" ht="31.2" x14ac:dyDescent="0.3">
      <c r="A41" s="26" t="s">
        <v>98</v>
      </c>
      <c r="B41" s="26" t="s">
        <v>55</v>
      </c>
      <c r="C41" s="27" t="s">
        <v>107</v>
      </c>
      <c r="D41" s="61">
        <f t="shared" si="0"/>
        <v>-0.8700471885813148</v>
      </c>
      <c r="E41" s="61">
        <f t="shared" si="1"/>
        <v>-0.81960364842454392</v>
      </c>
      <c r="F41" s="61">
        <f t="shared" si="2"/>
        <v>0</v>
      </c>
      <c r="G41" s="61">
        <f t="shared" si="3"/>
        <v>0</v>
      </c>
      <c r="H41" s="12">
        <v>231199.99999999997</v>
      </c>
      <c r="I41" s="12">
        <v>60300</v>
      </c>
      <c r="J41" s="12">
        <v>558000</v>
      </c>
      <c r="K41" s="12">
        <v>558000</v>
      </c>
      <c r="L41" s="59">
        <f>VLOOKUP(A41,'תפוקה מצטברת מול אשתקד'!A:K,8,0)</f>
        <v>30045.09</v>
      </c>
      <c r="M41" s="62">
        <f>VLOOKUP(A41,'תפוקה מצטברת מול אשתקד'!A:K,9,0)</f>
        <v>10877.9</v>
      </c>
      <c r="N41" s="62">
        <f>VLOOKUP(A41,'תפוקה מצטברת מול אשתקד'!A:K,10,0)</f>
        <v>0</v>
      </c>
      <c r="O41" s="62">
        <f>VLOOKUP(A41,'תפוקה מצטברת מול אשתקד'!A:K,11,0)</f>
        <v>0</v>
      </c>
    </row>
    <row r="42" spans="1:15" ht="31.2" x14ac:dyDescent="0.3">
      <c r="A42" s="26" t="s">
        <v>32</v>
      </c>
      <c r="B42" s="26" t="s">
        <v>55</v>
      </c>
      <c r="C42" s="27" t="s">
        <v>107</v>
      </c>
      <c r="D42" s="61">
        <f t="shared" si="0"/>
        <v>0</v>
      </c>
      <c r="E42" s="61">
        <f t="shared" si="1"/>
        <v>0</v>
      </c>
      <c r="F42" s="61">
        <f t="shared" si="2"/>
        <v>0</v>
      </c>
      <c r="G42" s="61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9">
        <f>VLOOKUP(A42,'תפוקה מצטברת מול אשתקד'!A:K,8,0)</f>
        <v>0</v>
      </c>
      <c r="M42" s="62">
        <f>VLOOKUP(A42,'תפוקה מצטברת מול אשתקד'!A:K,9,0)</f>
        <v>0</v>
      </c>
      <c r="N42" s="62">
        <f>VLOOKUP(A42,'תפוקה מצטברת מול אשתקד'!A:K,10,0)</f>
        <v>0</v>
      </c>
      <c r="O42" s="62">
        <f>VLOOKUP(A42,'תפוקה מצטברת מול אשתקד'!A:K,11,0)</f>
        <v>0</v>
      </c>
    </row>
    <row r="43" spans="1:15" x14ac:dyDescent="0.3">
      <c r="A43" s="30" t="s">
        <v>95</v>
      </c>
      <c r="B43" s="26" t="s">
        <v>56</v>
      </c>
      <c r="C43" s="27" t="s">
        <v>107</v>
      </c>
      <c r="D43" s="61">
        <f t="shared" si="0"/>
        <v>1</v>
      </c>
      <c r="E43" s="61">
        <f t="shared" si="1"/>
        <v>1</v>
      </c>
      <c r="F43" s="61">
        <f t="shared" si="2"/>
        <v>1</v>
      </c>
      <c r="G43" s="61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9">
        <f>VLOOKUP(A43,'תפוקה מצטברת מול אשתקד'!A:K,8,0)</f>
        <v>414338.30679207749</v>
      </c>
      <c r="M43" s="62">
        <f>VLOOKUP(A43,'תפוקה מצטברת מול אשתקד'!A:K,9,0)</f>
        <v>43595.543740730893</v>
      </c>
      <c r="N43" s="62">
        <f>VLOOKUP(A43,'תפוקה מצטברת מול אשתקד'!A:K,10,0)</f>
        <v>834959.46726859419</v>
      </c>
      <c r="O43" s="62">
        <f>VLOOKUP(A43,'תפוקה מצטברת מול אשתקד'!A:K,11,0)</f>
        <v>1595065.21</v>
      </c>
    </row>
    <row r="44" spans="1:15" x14ac:dyDescent="0.3">
      <c r="A44" s="26" t="s">
        <v>83</v>
      </c>
      <c r="B44" s="26" t="s">
        <v>56</v>
      </c>
      <c r="C44" s="27" t="s">
        <v>107</v>
      </c>
      <c r="D44" s="61">
        <f t="shared" si="0"/>
        <v>-0.94238754325259511</v>
      </c>
      <c r="E44" s="61">
        <f t="shared" si="1"/>
        <v>-0.53497616645269508</v>
      </c>
      <c r="F44" s="61">
        <f t="shared" si="2"/>
        <v>-0.94400489844683388</v>
      </c>
      <c r="G44" s="61">
        <f t="shared" si="3"/>
        <v>0</v>
      </c>
      <c r="H44" s="12">
        <v>173400</v>
      </c>
      <c r="I44" s="12">
        <v>48240</v>
      </c>
      <c r="J44" s="12">
        <v>167400.00000000003</v>
      </c>
      <c r="K44" s="12">
        <v>167400.00000000003</v>
      </c>
      <c r="L44" s="59">
        <f>VLOOKUP(A44,'תפוקה מצטברת מול אשתקד'!A:K,8,0)</f>
        <v>9990</v>
      </c>
      <c r="M44" s="62">
        <f>VLOOKUP(A44,'תפוקה מצטברת מול אשתקד'!A:K,9,0)</f>
        <v>22432.74973032199</v>
      </c>
      <c r="N44" s="62">
        <f>VLOOKUP(A44,'תפוקה מצטברת מול אשתקד'!A:K,10,0)</f>
        <v>9373.58</v>
      </c>
      <c r="O44" s="62">
        <f>VLOOKUP(A44,'תפוקה מצטברת מול אשתקד'!A:K,11,0)</f>
        <v>0</v>
      </c>
    </row>
    <row r="45" spans="1:15" x14ac:dyDescent="0.3">
      <c r="A45" s="26" t="s">
        <v>82</v>
      </c>
      <c r="B45" s="26" t="s">
        <v>56</v>
      </c>
      <c r="C45" s="27" t="s">
        <v>107</v>
      </c>
      <c r="D45" s="61">
        <f t="shared" si="0"/>
        <v>-0.75521133147092145</v>
      </c>
      <c r="E45" s="61">
        <f t="shared" si="1"/>
        <v>4.6727646275336765E-2</v>
      </c>
      <c r="F45" s="61">
        <f t="shared" si="2"/>
        <v>2.6111947431302265</v>
      </c>
      <c r="G45" s="61">
        <f t="shared" si="3"/>
        <v>0.60053073476702479</v>
      </c>
      <c r="H45" s="12">
        <v>28899.999999999996</v>
      </c>
      <c r="I45" s="12">
        <v>30150</v>
      </c>
      <c r="J45" s="12">
        <v>167400.00000000003</v>
      </c>
      <c r="K45" s="12">
        <v>111600.00000000001</v>
      </c>
      <c r="L45" s="59">
        <f>VLOOKUP(A45,'תפוקה מצטברת מול אשתקד'!A:K,8,0)</f>
        <v>7074.392520490368</v>
      </c>
      <c r="M45" s="62">
        <f>VLOOKUP(A45,'תפוקה מצטברת מול אשתקד'!A:K,9,0)</f>
        <v>31558.838535201401</v>
      </c>
      <c r="N45" s="62">
        <f>VLOOKUP(A45,'תפוקה מצטברת מול אשתקד'!A:K,10,0)</f>
        <v>604514</v>
      </c>
      <c r="O45" s="62">
        <f>VLOOKUP(A45,'תפוקה מצטברת מול אשתקד'!A:K,11,0)</f>
        <v>178619.22999999998</v>
      </c>
    </row>
    <row r="46" spans="1:15" ht="31.2" x14ac:dyDescent="0.3">
      <c r="A46" s="26" t="s">
        <v>36</v>
      </c>
      <c r="B46" s="26" t="s">
        <v>55</v>
      </c>
      <c r="C46" s="27" t="s">
        <v>107</v>
      </c>
      <c r="D46" s="61">
        <f t="shared" si="0"/>
        <v>0</v>
      </c>
      <c r="E46" s="61">
        <f t="shared" si="1"/>
        <v>0</v>
      </c>
      <c r="F46" s="61">
        <f t="shared" si="2"/>
        <v>0</v>
      </c>
      <c r="G46" s="61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9">
        <f>VLOOKUP(A46,'תפוקה מצטברת מול אשתקד'!A:K,8,0)</f>
        <v>0</v>
      </c>
      <c r="M46" s="62">
        <f>VLOOKUP(A46,'תפוקה מצטברת מול אשתקד'!A:K,9,0)</f>
        <v>0</v>
      </c>
      <c r="N46" s="62">
        <f>VLOOKUP(A46,'תפוקה מצטברת מול אשתקד'!A:K,10,0)</f>
        <v>0</v>
      </c>
      <c r="O46" s="62">
        <f>VLOOKUP(A46,'תפוקה מצטברת מול אשתקד'!A:K,11,0)</f>
        <v>0</v>
      </c>
    </row>
    <row r="47" spans="1:15" ht="31.2" x14ac:dyDescent="0.3">
      <c r="A47" s="26" t="s">
        <v>94</v>
      </c>
      <c r="B47" s="26" t="s">
        <v>55</v>
      </c>
      <c r="C47" s="27" t="s">
        <v>107</v>
      </c>
      <c r="D47" s="61">
        <f t="shared" si="0"/>
        <v>0</v>
      </c>
      <c r="E47" s="61">
        <f t="shared" si="1"/>
        <v>1</v>
      </c>
      <c r="F47" s="61">
        <f t="shared" si="2"/>
        <v>0</v>
      </c>
      <c r="G47" s="61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9">
        <f>VLOOKUP(A47,'תפוקה מצטברת מול אשתקד'!A:K,8,0)</f>
        <v>0</v>
      </c>
      <c r="M47" s="62">
        <f>VLOOKUP(A47,'תפוקה מצטברת מול אשתקד'!A:K,9,0)</f>
        <v>2305.5</v>
      </c>
      <c r="N47" s="62">
        <f>VLOOKUP(A47,'תפוקה מצטברת מול אשתקד'!A:K,10,0)</f>
        <v>0</v>
      </c>
      <c r="O47" s="62">
        <f>VLOOKUP(A47,'תפוקה מצטברת מול אשתקד'!A:K,11,0)</f>
        <v>0</v>
      </c>
    </row>
    <row r="48" spans="1:15" x14ac:dyDescent="0.3">
      <c r="A48" s="28" t="s">
        <v>85</v>
      </c>
      <c r="B48" s="26" t="s">
        <v>56</v>
      </c>
      <c r="C48" s="27" t="s">
        <v>107</v>
      </c>
      <c r="D48" s="61">
        <f t="shared" si="0"/>
        <v>0</v>
      </c>
      <c r="E48" s="61">
        <f t="shared" si="1"/>
        <v>-0.81388132669983415</v>
      </c>
      <c r="F48" s="61">
        <f t="shared" si="2"/>
        <v>0</v>
      </c>
      <c r="G48" s="61">
        <f t="shared" si="3"/>
        <v>0</v>
      </c>
      <c r="H48" s="12">
        <v>28899.999999999996</v>
      </c>
      <c r="I48" s="12">
        <v>30150</v>
      </c>
      <c r="J48" s="12">
        <v>279000</v>
      </c>
      <c r="K48" s="12">
        <v>111600.00000000001</v>
      </c>
      <c r="L48" s="59">
        <f>VLOOKUP(A48,'תפוקה מצטברת מול אשתקד'!A:K,8,0)</f>
        <v>0</v>
      </c>
      <c r="M48" s="62">
        <f>VLOOKUP(A48,'תפוקה מצטברת מול אשתקד'!A:K,9,0)</f>
        <v>5611.4780000000001</v>
      </c>
      <c r="N48" s="62">
        <f>VLOOKUP(A48,'תפוקה מצטברת מול אשתקד'!A:K,10,0)</f>
        <v>0</v>
      </c>
      <c r="O48" s="62">
        <f>VLOOKUP(A48,'תפוקה מצטברת מול אשתקד'!A:K,11,0)</f>
        <v>0</v>
      </c>
    </row>
    <row r="49" spans="1:15" x14ac:dyDescent="0.3">
      <c r="A49" s="28" t="s">
        <v>87</v>
      </c>
      <c r="B49" s="26" t="s">
        <v>56</v>
      </c>
      <c r="C49" s="27" t="s">
        <v>107</v>
      </c>
      <c r="D49" s="61">
        <f t="shared" si="0"/>
        <v>-0.8201801730103806</v>
      </c>
      <c r="E49" s="61">
        <f t="shared" si="1"/>
        <v>-1.1341791044776119</v>
      </c>
      <c r="F49" s="61">
        <f t="shared" si="2"/>
        <v>-5.0997589605734861E-2</v>
      </c>
      <c r="G49" s="61">
        <f t="shared" si="3"/>
        <v>2.4262488172043013</v>
      </c>
      <c r="H49" s="12">
        <v>57799.999999999993</v>
      </c>
      <c r="I49" s="12">
        <v>30150</v>
      </c>
      <c r="J49" s="12">
        <v>1116000</v>
      </c>
      <c r="K49" s="12">
        <v>279000</v>
      </c>
      <c r="L49" s="59">
        <f>VLOOKUP(A49,'תפוקה מצטברת מול אשתקד'!A:K,8,0)</f>
        <v>10393.585999999999</v>
      </c>
      <c r="M49" s="62">
        <f>VLOOKUP(A49,'תפוקה מצטברת מול אשתקד'!A:K,9,0)</f>
        <v>-4045.5</v>
      </c>
      <c r="N49" s="62">
        <f>VLOOKUP(A49,'תפוקה מצטברת מול אשתקד'!A:K,10,0)</f>
        <v>1059086.69</v>
      </c>
      <c r="O49" s="62">
        <f>VLOOKUP(A49,'תפוקה מצטברת מול אשתקד'!A:K,11,0)</f>
        <v>955923.42</v>
      </c>
    </row>
    <row r="50" spans="1:15" x14ac:dyDescent="0.3">
      <c r="A50" s="26" t="s">
        <v>97</v>
      </c>
      <c r="B50" s="26" t="s">
        <v>56</v>
      </c>
      <c r="C50" s="26" t="s">
        <v>107</v>
      </c>
      <c r="D50" s="61">
        <f t="shared" si="0"/>
        <v>1</v>
      </c>
      <c r="E50" s="61">
        <f t="shared" si="1"/>
        <v>1</v>
      </c>
      <c r="F50" s="61">
        <f t="shared" si="2"/>
        <v>1</v>
      </c>
      <c r="G50" s="61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9">
        <f>VLOOKUP(A50,'תפוקה מצטברת מול אשתקד'!A:K,8,0)</f>
        <v>119634.28049999999</v>
      </c>
      <c r="M50" s="62">
        <f>VLOOKUP(A50,'תפוקה מצטברת מול אשתקד'!A:K,9,0)</f>
        <v>4022.72</v>
      </c>
      <c r="N50" s="62">
        <f>VLOOKUP(A50,'תפוקה מצטברת מול אשתקד'!A:K,10,0)</f>
        <v>1496891.3800000001</v>
      </c>
      <c r="O50" s="62">
        <f>VLOOKUP(A50,'תפוקה מצטברת מול אשתקד'!A:K,11,0)</f>
        <v>400297.28</v>
      </c>
    </row>
    <row r="51" spans="1:15" x14ac:dyDescent="0.3">
      <c r="A51" s="26" t="s">
        <v>39</v>
      </c>
      <c r="B51" s="26" t="s">
        <v>56</v>
      </c>
      <c r="C51" s="26" t="s">
        <v>107</v>
      </c>
      <c r="D51" s="61">
        <f t="shared" si="0"/>
        <v>1</v>
      </c>
      <c r="E51" s="61">
        <f t="shared" si="1"/>
        <v>1</v>
      </c>
      <c r="F51" s="61">
        <f t="shared" si="2"/>
        <v>0</v>
      </c>
      <c r="G51" s="61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9">
        <f>VLOOKUP(A51,'תפוקה מצטברת מול אשתקד'!A:K,8,0)</f>
        <v>23762.05</v>
      </c>
      <c r="M51" s="62">
        <f>VLOOKUP(A51,'תפוקה מצטברת מול אשתקד'!A:K,9,0)</f>
        <v>22757.25</v>
      </c>
      <c r="N51" s="62">
        <f>VLOOKUP(A51,'תפוקה מצטברת מול אשתקד'!A:K,10,0)</f>
        <v>0</v>
      </c>
      <c r="O51" s="62">
        <f>VLOOKUP(A51,'תפוקה מצטברת מול אשתקד'!A:K,11,0)</f>
        <v>140806.85999999999</v>
      </c>
    </row>
    <row r="52" spans="1:15" x14ac:dyDescent="0.3">
      <c r="A52" s="26" t="s">
        <v>91</v>
      </c>
      <c r="B52" s="26" t="s">
        <v>56</v>
      </c>
      <c r="C52" s="26" t="s">
        <v>107</v>
      </c>
      <c r="D52" s="61">
        <f t="shared" si="0"/>
        <v>1</v>
      </c>
      <c r="E52" s="61">
        <f t="shared" si="1"/>
        <v>1</v>
      </c>
      <c r="F52" s="61">
        <f t="shared" si="2"/>
        <v>1</v>
      </c>
      <c r="G52" s="61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9">
        <f>VLOOKUP(A52,'תפוקה מצטברת מול אשתקד'!A:K,8,0)</f>
        <v>180157.22100000002</v>
      </c>
      <c r="M52" s="62">
        <f>VLOOKUP(A52,'תפוקה מצטברת מול אשתקד'!A:K,9,0)</f>
        <v>14237.655999999999</v>
      </c>
      <c r="N52" s="62">
        <f>VLOOKUP(A52,'תפוקה מצטברת מול אשתקד'!A:K,10,0)</f>
        <v>145758.21000000002</v>
      </c>
      <c r="O52" s="62">
        <f>VLOOKUP(A52,'תפוקה מצטברת מול אשתקד'!A:K,11,0)</f>
        <v>616583.69999999995</v>
      </c>
    </row>
    <row r="53" spans="1:15" x14ac:dyDescent="0.3">
      <c r="A53" s="26" t="s">
        <v>41</v>
      </c>
      <c r="B53" s="26" t="s">
        <v>56</v>
      </c>
      <c r="C53" s="26" t="s">
        <v>107</v>
      </c>
      <c r="D53" s="61">
        <f t="shared" si="0"/>
        <v>1</v>
      </c>
      <c r="E53" s="61">
        <f t="shared" si="1"/>
        <v>1</v>
      </c>
      <c r="F53" s="61">
        <f t="shared" si="2"/>
        <v>0</v>
      </c>
      <c r="G53" s="61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9">
        <f>VLOOKUP(A53,'תפוקה מצטברת מול אשתקד'!A:K,8,0)</f>
        <v>6018</v>
      </c>
      <c r="M53" s="62">
        <f>VLOOKUP(A53,'תפוקה מצטברת מול אשתקד'!A:K,9,0)</f>
        <v>870</v>
      </c>
      <c r="N53" s="62">
        <f>VLOOKUP(A53,'תפוקה מצטברת מול אשתקד'!A:K,10,0)</f>
        <v>0</v>
      </c>
      <c r="O53" s="62">
        <f>VLOOKUP(A53,'תפוקה מצטברת מול אשתקד'!A:K,11,0)</f>
        <v>0</v>
      </c>
    </row>
    <row r="54" spans="1:15" x14ac:dyDescent="0.3">
      <c r="A54" s="26" t="s">
        <v>129</v>
      </c>
      <c r="B54" s="26" t="s">
        <v>108</v>
      </c>
      <c r="C54" s="27" t="s">
        <v>107</v>
      </c>
      <c r="D54" s="61">
        <f t="shared" si="0"/>
        <v>0</v>
      </c>
      <c r="E54" s="61">
        <f t="shared" si="1"/>
        <v>1</v>
      </c>
      <c r="F54" s="61">
        <f t="shared" si="2"/>
        <v>0</v>
      </c>
      <c r="G54" s="61">
        <f t="shared" si="3"/>
        <v>1</v>
      </c>
      <c r="H54" s="12"/>
      <c r="I54" s="12"/>
      <c r="J54" s="12"/>
      <c r="K54" s="12"/>
      <c r="L54" s="59">
        <f>VLOOKUP(A54,'תפוקה מצטברת מול אשתקד'!A:K,8,0)</f>
        <v>0</v>
      </c>
      <c r="M54" s="62">
        <f>VLOOKUP(A54,'תפוקה מצטברת מול אשתקד'!A:K,9,0)</f>
        <v>1144.091330151484</v>
      </c>
      <c r="N54" s="62">
        <f>VLOOKUP(A54,'תפוקה מצטברת מול אשתקד'!A:K,10,0)</f>
        <v>0</v>
      </c>
      <c r="O54" s="62">
        <f>VLOOKUP(A54,'תפוקה מצטברת מול אשתקד'!A:K,11,0)</f>
        <v>-59363.66</v>
      </c>
    </row>
    <row r="55" spans="1:15" ht="16.2" thickBot="1" x14ac:dyDescent="0.35">
      <c r="A55" s="28" t="s">
        <v>88</v>
      </c>
      <c r="B55" s="28" t="s">
        <v>56</v>
      </c>
      <c r="C55" s="28" t="s">
        <v>107</v>
      </c>
      <c r="D55" s="145">
        <f t="shared" si="0"/>
        <v>1</v>
      </c>
      <c r="E55" s="145">
        <f t="shared" si="1"/>
        <v>1</v>
      </c>
      <c r="F55" s="145">
        <f t="shared" si="2"/>
        <v>1</v>
      </c>
      <c r="G55" s="145">
        <f t="shared" si="3"/>
        <v>1</v>
      </c>
      <c r="H55" s="12">
        <v>0</v>
      </c>
      <c r="I55" s="12">
        <v>0</v>
      </c>
      <c r="J55" s="12">
        <v>0</v>
      </c>
      <c r="K55" s="12">
        <v>0</v>
      </c>
      <c r="L55" s="59">
        <f>VLOOKUP(A55,'תפוקה מצטברת מול אשתקד'!A:K,8,0)</f>
        <v>135960</v>
      </c>
      <c r="M55" s="62">
        <f>VLOOKUP(A55,'תפוקה מצטברת מול אשתקד'!A:K,9,0)</f>
        <v>3272.9</v>
      </c>
      <c r="N55" s="62">
        <f>VLOOKUP(A55,'תפוקה מצטברת מול אשתקד'!A:K,10,0)</f>
        <v>4501</v>
      </c>
      <c r="O55" s="62">
        <f>VLOOKUP(A55,'תפוקה מצטברת מול אשתקד'!A:K,11,0)</f>
        <v>156597</v>
      </c>
    </row>
    <row r="56" spans="1:15" ht="21.6" thickBot="1" x14ac:dyDescent="0.35">
      <c r="A56" s="150" t="s">
        <v>115</v>
      </c>
      <c r="B56" s="57"/>
      <c r="C56" s="147"/>
      <c r="D56" s="151">
        <f t="shared" ref="D56" si="6">IF(L56=0,0%,IF(H56=0,100%,L56/H56-1))</f>
        <v>1.1691688803935119E-2</v>
      </c>
      <c r="E56" s="151">
        <f t="shared" ref="E56" si="7">IF(M56=0,0%,IF(I56=0,100%,M56/I56-1))</f>
        <v>-0.20387352102964607</v>
      </c>
      <c r="F56" s="151">
        <f t="shared" ref="F56" si="8">IF(N56=0,0%,IF(J56=0,100%,N56/J56-1))</f>
        <v>-9.5796885858420833E-2</v>
      </c>
      <c r="G56" s="151">
        <f t="shared" ref="G56" si="9">IF(O56=0,0%,IF(K56=0,100%,O56/K56-1))</f>
        <v>-5.900577322442202E-2</v>
      </c>
      <c r="H56" s="129">
        <f>SUM(H23:H55)</f>
        <v>6329100</v>
      </c>
      <c r="I56" s="129">
        <f>SUM(I23:I55)</f>
        <v>1212030</v>
      </c>
      <c r="J56" s="129">
        <f>SUM(J23:J55)</f>
        <v>13671000.000000002</v>
      </c>
      <c r="K56" s="129">
        <f>SUM(K23:K55)</f>
        <v>13001400</v>
      </c>
      <c r="L56" s="129">
        <f>SUM(L23:L55)</f>
        <v>6403097.8676089859</v>
      </c>
      <c r="M56" s="129">
        <f t="shared" ref="M56:O56" si="10">SUM(M23:M55)</f>
        <v>964929.17630643805</v>
      </c>
      <c r="N56" s="129">
        <f t="shared" si="10"/>
        <v>12361360.77342953</v>
      </c>
      <c r="O56" s="129">
        <f t="shared" si="10"/>
        <v>12234242.34</v>
      </c>
    </row>
    <row r="57" spans="1:15" x14ac:dyDescent="0.3">
      <c r="A57" s="26" t="s">
        <v>37</v>
      </c>
      <c r="B57" s="26" t="s">
        <v>114</v>
      </c>
      <c r="C57" s="27" t="s">
        <v>107</v>
      </c>
      <c r="D57" s="61">
        <f t="shared" ref="D57:G65" si="11">IF(L57=0,0%,IF(H57=0,100%,L57/H57-1))</f>
        <v>-0.43101575605536335</v>
      </c>
      <c r="E57" s="61">
        <f t="shared" si="11"/>
        <v>-0.50990961857379768</v>
      </c>
      <c r="F57" s="61">
        <f t="shared" si="11"/>
        <v>-0.43238037634408599</v>
      </c>
      <c r="G57" s="61">
        <f t="shared" si="11"/>
        <v>-0.88555373655913983</v>
      </c>
      <c r="H57" s="12">
        <v>2312000</v>
      </c>
      <c r="I57" s="12">
        <v>211050</v>
      </c>
      <c r="J57" s="12">
        <v>2232000</v>
      </c>
      <c r="K57" s="12">
        <v>2232000</v>
      </c>
      <c r="L57" s="59">
        <f>VLOOKUP(A57,'תפוקה מצטברת מול אשתקד'!A:K,8,0)</f>
        <v>1315491.5719999999</v>
      </c>
      <c r="M57" s="62">
        <f>VLOOKUP(A57,'תפוקה מצטברת מול אשתקד'!A:K,9,0)</f>
        <v>103433.575</v>
      </c>
      <c r="N57" s="62">
        <f>VLOOKUP(A57,'תפוקה מצטברת מול אשתקד'!A:K,10,0)</f>
        <v>1266927</v>
      </c>
      <c r="O57" s="62">
        <f>VLOOKUP(A57,'תפוקה מצטברת מול אשתקד'!A:K,11,0)</f>
        <v>255444.06</v>
      </c>
    </row>
    <row r="58" spans="1:15" x14ac:dyDescent="0.3">
      <c r="A58" s="30" t="s">
        <v>33</v>
      </c>
      <c r="B58" s="26" t="s">
        <v>114</v>
      </c>
      <c r="C58" s="26" t="s">
        <v>107</v>
      </c>
      <c r="D58" s="61">
        <f t="shared" si="11"/>
        <v>-0.68189166089965392</v>
      </c>
      <c r="E58" s="61">
        <f t="shared" si="11"/>
        <v>-0.80644036462290469</v>
      </c>
      <c r="F58" s="61">
        <f t="shared" si="11"/>
        <v>-0.74195938051207455</v>
      </c>
      <c r="G58" s="61">
        <f t="shared" si="11"/>
        <v>-2.3743146236559141</v>
      </c>
      <c r="H58" s="12">
        <v>289000</v>
      </c>
      <c r="I58" s="12">
        <v>48240</v>
      </c>
      <c r="J58" s="12">
        <v>3906000.0000000005</v>
      </c>
      <c r="K58" s="12">
        <v>558000</v>
      </c>
      <c r="L58" s="59">
        <f>VLOOKUP(A58,'תפוקה מצטברת מול אשתקד'!A:K,8,0)</f>
        <v>91933.31</v>
      </c>
      <c r="M58" s="62">
        <f>VLOOKUP(A58,'תפוקה מצטברת מול אשתקד'!A:K,9,0)</f>
        <v>9337.316810591079</v>
      </c>
      <c r="N58" s="62">
        <f>VLOOKUP(A58,'תפוקה מצטברת מול אשתקד'!A:K,10,0)</f>
        <v>1007906.659719837</v>
      </c>
      <c r="O58" s="62">
        <f>VLOOKUP(A58,'תפוקה מצטברת מול אשתקד'!A:K,11,0)</f>
        <v>-766867.56</v>
      </c>
    </row>
    <row r="59" spans="1:15" x14ac:dyDescent="0.3">
      <c r="A59" s="26" t="s">
        <v>35</v>
      </c>
      <c r="B59" s="26" t="s">
        <v>114</v>
      </c>
      <c r="C59" s="27" t="s">
        <v>107</v>
      </c>
      <c r="D59" s="61">
        <f t="shared" si="11"/>
        <v>1</v>
      </c>
      <c r="E59" s="61">
        <f t="shared" si="11"/>
        <v>0</v>
      </c>
      <c r="F59" s="61">
        <f t="shared" si="11"/>
        <v>1</v>
      </c>
      <c r="G59" s="61">
        <f t="shared" si="11"/>
        <v>0</v>
      </c>
      <c r="H59" s="12">
        <v>0</v>
      </c>
      <c r="I59" s="12">
        <v>24120</v>
      </c>
      <c r="J59" s="12">
        <v>0</v>
      </c>
      <c r="K59" s="12">
        <v>0</v>
      </c>
      <c r="L59" s="59">
        <f>VLOOKUP(A59,'תפוקה מצטברת מול אשתקד'!A:K,8,0)</f>
        <v>68824.19</v>
      </c>
      <c r="M59" s="62">
        <f>VLOOKUP(A59,'תפוקה מצטברת מול אשתקד'!A:K,9,0)</f>
        <v>0</v>
      </c>
      <c r="N59" s="62">
        <f>VLOOKUP(A59,'תפוקה מצטברת מול אשתקד'!A:K,10,0)</f>
        <v>584.49</v>
      </c>
      <c r="O59" s="62">
        <f>VLOOKUP(A59,'תפוקה מצטברת מול אשתקד'!A:K,11,0)</f>
        <v>0</v>
      </c>
    </row>
    <row r="60" spans="1:15" x14ac:dyDescent="0.3">
      <c r="A60" s="27" t="s">
        <v>86</v>
      </c>
      <c r="B60" s="27" t="s">
        <v>114</v>
      </c>
      <c r="C60" s="27" t="s">
        <v>107</v>
      </c>
      <c r="D60" s="61">
        <f t="shared" si="11"/>
        <v>-0.15478913494809687</v>
      </c>
      <c r="E60" s="61">
        <f t="shared" si="11"/>
        <v>-0.75770804311774465</v>
      </c>
      <c r="F60" s="61">
        <f t="shared" si="11"/>
        <v>1.5633406379928312</v>
      </c>
      <c r="G60" s="61">
        <f t="shared" si="11"/>
        <v>-0.27452844623655936</v>
      </c>
      <c r="H60" s="12">
        <v>578000</v>
      </c>
      <c r="I60" s="12">
        <v>120600</v>
      </c>
      <c r="J60" s="12">
        <v>1395000.0000000002</v>
      </c>
      <c r="K60" s="12">
        <v>5580000.0000000009</v>
      </c>
      <c r="L60" s="59">
        <f>VLOOKUP(A60,'תפוקה מצטברת מול אשתקד'!A:K,8,0)</f>
        <v>488531.88</v>
      </c>
      <c r="M60" s="62">
        <f>VLOOKUP(A60,'תפוקה מצטברת מול אשתקד'!A:K,9,0)</f>
        <v>29220.41</v>
      </c>
      <c r="N60" s="62">
        <f>VLOOKUP(A60,'תפוקה מצטברת מול אשתקד'!A:K,10,0)</f>
        <v>3575860.19</v>
      </c>
      <c r="O60" s="62">
        <f>VLOOKUP(A60,'תפוקה מצטברת מול אשתקד'!A:K,11,0)</f>
        <v>4048131.2699999996</v>
      </c>
    </row>
    <row r="61" spans="1:15" x14ac:dyDescent="0.3">
      <c r="A61" s="26" t="s">
        <v>84</v>
      </c>
      <c r="B61" s="26" t="s">
        <v>114</v>
      </c>
      <c r="C61" s="26" t="s">
        <v>107</v>
      </c>
      <c r="D61" s="61">
        <f t="shared" si="11"/>
        <v>0.13785540298223542</v>
      </c>
      <c r="E61" s="61">
        <f t="shared" si="11"/>
        <v>-0.58770484888525931</v>
      </c>
      <c r="F61" s="61">
        <f t="shared" si="11"/>
        <v>1.3920374265232969</v>
      </c>
      <c r="G61" s="61">
        <f t="shared" si="11"/>
        <v>1.6228831421744321</v>
      </c>
      <c r="H61" s="12">
        <v>578000</v>
      </c>
      <c r="I61" s="12">
        <v>60300</v>
      </c>
      <c r="J61" s="12">
        <v>1395000.0000000002</v>
      </c>
      <c r="K61" s="12">
        <v>837000.00000000012</v>
      </c>
      <c r="L61" s="59">
        <f>VLOOKUP(A61,'תפוקה מצטברת מול אשתקד'!A:K,8,0)</f>
        <v>657680.42292373208</v>
      </c>
      <c r="M61" s="62">
        <f>VLOOKUP(A61,'תפוקה מצטברת מול אשתקד'!A:K,9,0)</f>
        <v>24861.397612218865</v>
      </c>
      <c r="N61" s="62">
        <f>VLOOKUP(A61,'תפוקה מצטברת מול אשתקד'!A:K,10,0)</f>
        <v>3336892.21</v>
      </c>
      <c r="O61" s="62">
        <f>VLOOKUP(A61,'תפוקה מצטברת מול אשתקד'!A:K,11,0)</f>
        <v>2195353.19</v>
      </c>
    </row>
    <row r="62" spans="1:15" x14ac:dyDescent="0.3">
      <c r="A62" s="107" t="s">
        <v>99</v>
      </c>
      <c r="B62" s="26" t="s">
        <v>114</v>
      </c>
      <c r="C62" s="27" t="s">
        <v>107</v>
      </c>
      <c r="D62" s="61">
        <f t="shared" si="11"/>
        <v>1.3660565743944639</v>
      </c>
      <c r="E62" s="61">
        <f t="shared" si="11"/>
        <v>-0.8691017993366501</v>
      </c>
      <c r="F62" s="61">
        <f t="shared" si="11"/>
        <v>-0.53821201612903224</v>
      </c>
      <c r="G62" s="61">
        <f t="shared" si="11"/>
        <v>-1.0161109199522103</v>
      </c>
      <c r="H62" s="12">
        <v>57799.999999999993</v>
      </c>
      <c r="I62" s="12">
        <v>60300</v>
      </c>
      <c r="J62" s="12">
        <v>1116000</v>
      </c>
      <c r="K62" s="12">
        <v>837000.00000000012</v>
      </c>
      <c r="L62" s="59">
        <f>VLOOKUP(A62,'תפוקה מצטברת מול אשתקד'!A:K,8,0)</f>
        <v>136758.07</v>
      </c>
      <c r="M62" s="62">
        <f>VLOOKUP(A62,'תפוקה מצטברת מול אשתקד'!A:K,9,0)</f>
        <v>7893.1615000000002</v>
      </c>
      <c r="N62" s="62">
        <f>VLOOKUP(A62,'תפוקה מצטברת מול אשתקד'!A:K,10,0)</f>
        <v>515355.39</v>
      </c>
      <c r="O62" s="62">
        <f>VLOOKUP(A62,'תפוקה מצטברת מול אשתקד'!A:K,11,0)</f>
        <v>-13484.839999999967</v>
      </c>
    </row>
    <row r="63" spans="1:15" x14ac:dyDescent="0.3">
      <c r="A63" s="194" t="s">
        <v>128</v>
      </c>
      <c r="B63" s="26" t="s">
        <v>114</v>
      </c>
      <c r="C63" s="27" t="s">
        <v>107</v>
      </c>
      <c r="D63" s="61">
        <f t="shared" si="11"/>
        <v>0</v>
      </c>
      <c r="E63" s="61">
        <f t="shared" si="11"/>
        <v>0</v>
      </c>
      <c r="F63" s="61">
        <f t="shared" si="11"/>
        <v>0</v>
      </c>
      <c r="G63" s="61">
        <f t="shared" si="11"/>
        <v>0</v>
      </c>
      <c r="H63" s="12">
        <v>578000</v>
      </c>
      <c r="I63" s="12">
        <v>90450</v>
      </c>
      <c r="J63" s="12">
        <v>2790000.0000000005</v>
      </c>
      <c r="K63" s="12">
        <v>1116000</v>
      </c>
      <c r="L63" s="59">
        <f>VLOOKUP(A63,'תפוקה מצטברת מול אשתקד'!A:K,8,0)</f>
        <v>0</v>
      </c>
      <c r="M63" s="62">
        <f>VLOOKUP(A63,'תפוקה מצטברת מול אשתקד'!A:K,9,0)</f>
        <v>0</v>
      </c>
      <c r="N63" s="62">
        <f>VLOOKUP(A63,'תפוקה מצטברת מול אשתקד'!A:K,10,0)</f>
        <v>0</v>
      </c>
      <c r="O63" s="62">
        <f>VLOOKUP(A63,'תפוקה מצטברת מול אשתקד'!A:K,11,0)</f>
        <v>0</v>
      </c>
    </row>
    <row r="64" spans="1:15" x14ac:dyDescent="0.3">
      <c r="A64" s="199" t="s">
        <v>131</v>
      </c>
      <c r="B64" s="26" t="s">
        <v>114</v>
      </c>
      <c r="C64" s="27" t="s">
        <v>107</v>
      </c>
      <c r="D64" s="61">
        <f t="shared" si="11"/>
        <v>1</v>
      </c>
      <c r="E64" s="61">
        <f t="shared" si="11"/>
        <v>1</v>
      </c>
      <c r="F64" s="61">
        <f t="shared" si="11"/>
        <v>1</v>
      </c>
      <c r="G64" s="61">
        <f t="shared" si="11"/>
        <v>1</v>
      </c>
      <c r="H64" s="12"/>
      <c r="I64" s="12"/>
      <c r="J64" s="12"/>
      <c r="K64" s="12"/>
      <c r="L64" s="59">
        <f>VLOOKUP(A64,'תפוקה מצטברת מול אשתקד'!A:K,8,0)</f>
        <v>194836.13</v>
      </c>
      <c r="M64" s="62">
        <f>VLOOKUP(A64,'תפוקה מצטברת מול אשתקד'!A:K,9,0)</f>
        <v>36068.215654416868</v>
      </c>
      <c r="N64" s="62">
        <f>VLOOKUP(A64,'תפוקה מצטברת מול אשתקד'!A:K,10,0)</f>
        <v>495002.41</v>
      </c>
      <c r="O64" s="62">
        <f>VLOOKUP(A64,'תפוקה מצטברת מול אשתקד'!A:K,11,0)</f>
        <v>1082746.2999999998</v>
      </c>
    </row>
    <row r="65" spans="1:15" ht="16.2" thickBot="1" x14ac:dyDescent="0.35">
      <c r="A65" s="30" t="s">
        <v>16</v>
      </c>
      <c r="B65" s="26" t="s">
        <v>114</v>
      </c>
      <c r="C65" s="27" t="s">
        <v>107</v>
      </c>
      <c r="D65" s="61">
        <f t="shared" si="11"/>
        <v>0</v>
      </c>
      <c r="E65" s="61">
        <f t="shared" si="11"/>
        <v>0</v>
      </c>
      <c r="F65" s="61">
        <f t="shared" si="11"/>
        <v>0</v>
      </c>
      <c r="G65" s="61">
        <f t="shared" si="11"/>
        <v>0</v>
      </c>
      <c r="H65" s="12">
        <v>0</v>
      </c>
      <c r="I65" s="12">
        <v>60300</v>
      </c>
      <c r="J65" s="12">
        <v>0</v>
      </c>
      <c r="K65" s="12">
        <v>0</v>
      </c>
      <c r="L65" s="59">
        <f>VLOOKUP(A65,'תפוקה מצטברת מול אשתקד'!A:K,8,0)</f>
        <v>0</v>
      </c>
      <c r="M65" s="62">
        <f>VLOOKUP(A65,'תפוקה מצטברת מול אשתקד'!A:K,9,0)</f>
        <v>0</v>
      </c>
      <c r="N65" s="62">
        <f>VLOOKUP(A65,'תפוקה מצטברת מול אשתקד'!A:K,10,0)</f>
        <v>0</v>
      </c>
      <c r="O65" s="62">
        <f>VLOOKUP(A65,'תפוקה מצטברת מול אשתקד'!A:K,11,0)</f>
        <v>0</v>
      </c>
    </row>
    <row r="66" spans="1:15" ht="21.6" thickBot="1" x14ac:dyDescent="0.35">
      <c r="A66" s="150" t="s">
        <v>116</v>
      </c>
      <c r="B66" s="57"/>
      <c r="C66" s="147"/>
      <c r="D66" s="151">
        <f t="shared" si="0"/>
        <v>-0.32752331658082956</v>
      </c>
      <c r="E66" s="151">
        <f t="shared" si="1"/>
        <v>-0.68784932987262082</v>
      </c>
      <c r="F66" s="151">
        <f t="shared" si="2"/>
        <v>-0.20535075972262451</v>
      </c>
      <c r="G66" s="151">
        <f t="shared" si="3"/>
        <v>-0.39056250716845897</v>
      </c>
      <c r="H66" s="129">
        <f>SUM(H57:H65)</f>
        <v>4392800</v>
      </c>
      <c r="I66" s="129">
        <f>SUM(I57:I65)</f>
        <v>675360</v>
      </c>
      <c r="J66" s="129">
        <f>SUM(J57:J65)</f>
        <v>12834000</v>
      </c>
      <c r="K66" s="129">
        <f>SUM(K57:K65)</f>
        <v>11160000.000000002</v>
      </c>
      <c r="L66" s="129">
        <f>SUM(L57:L65)</f>
        <v>2954055.5749237319</v>
      </c>
      <c r="M66" s="129">
        <f t="shared" ref="M66:O66" si="12">SUM(M57:M65)</f>
        <v>210814.07657722681</v>
      </c>
      <c r="N66" s="129">
        <f t="shared" si="12"/>
        <v>10198528.349719837</v>
      </c>
      <c r="O66" s="129">
        <f t="shared" si="12"/>
        <v>6801322.419999999</v>
      </c>
    </row>
    <row r="67" spans="1:15" x14ac:dyDescent="0.3">
      <c r="A67" s="27" t="s">
        <v>77</v>
      </c>
      <c r="B67" s="27" t="s">
        <v>108</v>
      </c>
      <c r="C67" s="27" t="s">
        <v>102</v>
      </c>
      <c r="D67" s="146">
        <f t="shared" si="0"/>
        <v>-0.13231930798150893</v>
      </c>
      <c r="E67" s="146">
        <f t="shared" si="1"/>
        <v>-0.48389566973068177</v>
      </c>
      <c r="F67" s="146">
        <f t="shared" si="2"/>
        <v>-8.5460769045845764E-2</v>
      </c>
      <c r="G67" s="146">
        <f t="shared" si="3"/>
        <v>0.71019854121863757</v>
      </c>
      <c r="H67" s="12">
        <v>578000</v>
      </c>
      <c r="I67" s="12">
        <v>90450</v>
      </c>
      <c r="J67" s="12">
        <v>5580000.0000000009</v>
      </c>
      <c r="K67" s="12">
        <v>2790000.0000000005</v>
      </c>
      <c r="L67" s="59">
        <f>VLOOKUP(A67,'תפוקה מצטברת מול אשתקד'!A:K,8,0)</f>
        <v>501519.43998668785</v>
      </c>
      <c r="M67" s="62">
        <f>VLOOKUP(A67,'תפוקה מצטברת מול אשתקד'!A:K,9,0)</f>
        <v>46681.636672859837</v>
      </c>
      <c r="N67" s="62">
        <f>VLOOKUP(A67,'תפוקה מצטברת מול אשתקד'!A:K,10,0)</f>
        <v>5103128.9087241814</v>
      </c>
      <c r="O67" s="62">
        <f>VLOOKUP(A67,'תפוקה מצטברת מול אשתקד'!A:K,11,0)</f>
        <v>4771453.93</v>
      </c>
    </row>
    <row r="68" spans="1:15" x14ac:dyDescent="0.3">
      <c r="A68" s="30" t="s">
        <v>40</v>
      </c>
      <c r="B68" s="26" t="s">
        <v>56</v>
      </c>
      <c r="C68" s="26" t="s">
        <v>103</v>
      </c>
      <c r="D68" s="61">
        <f t="shared" si="0"/>
        <v>0.18921131489690546</v>
      </c>
      <c r="E68" s="61">
        <f t="shared" si="1"/>
        <v>0.23050042288557204</v>
      </c>
      <c r="F68" s="61">
        <f t="shared" si="2"/>
        <v>-6.363267204301104E-2</v>
      </c>
      <c r="G68" s="61">
        <f t="shared" si="3"/>
        <v>1.5542257138590205</v>
      </c>
      <c r="H68" s="12">
        <v>1733999.9999999998</v>
      </c>
      <c r="I68" s="12">
        <v>361800</v>
      </c>
      <c r="J68" s="12">
        <v>5580000.0000000009</v>
      </c>
      <c r="K68" s="12">
        <v>3348000.0000000005</v>
      </c>
      <c r="L68" s="59">
        <f>VLOOKUP(A68,'תפוקה מצטברת מול אשתקד'!A:K,8,0)</f>
        <v>2062092.4200312339</v>
      </c>
      <c r="M68" s="62">
        <f>VLOOKUP(A68,'תפוקה מצטברת מול אשתקד'!A:K,9,0)</f>
        <v>445195.05299999996</v>
      </c>
      <c r="N68" s="62">
        <f>VLOOKUP(A68,'תפוקה מצטברת מול אשתקד'!A:K,10,0)</f>
        <v>5224929.6899999995</v>
      </c>
      <c r="O68" s="62">
        <f>VLOOKUP(A68,'תפוקה מצטברת מול אשתקד'!A:K,11,0)</f>
        <v>8551547.6900000013</v>
      </c>
    </row>
    <row r="69" spans="1:15" x14ac:dyDescent="0.3">
      <c r="A69" s="26" t="s">
        <v>90</v>
      </c>
      <c r="B69" s="26" t="s">
        <v>108</v>
      </c>
      <c r="C69" s="26" t="s">
        <v>103</v>
      </c>
      <c r="D69" s="61">
        <f t="shared" ref="D69:E76" si="13">IF(L69=0,0%,IF(H69=0,100%,L69/H69-1))</f>
        <v>1</v>
      </c>
      <c r="E69" s="61">
        <f t="shared" si="13"/>
        <v>1</v>
      </c>
      <c r="F69" s="61">
        <f t="shared" si="2"/>
        <v>1</v>
      </c>
      <c r="G69" s="61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9">
        <f>VLOOKUP(A69,'תפוקה מצטברת מול אשתקד'!A:K,8,0)</f>
        <v>1265.49</v>
      </c>
      <c r="M69" s="62">
        <f>VLOOKUP(A69,'תפוקה מצטברת מול אשתקד'!A:K,9,0)</f>
        <v>-42.853283513977203</v>
      </c>
      <c r="N69" s="62">
        <f>VLOOKUP(A69,'תפוקה מצטברת מול אשתקד'!A:K,10,0)</f>
        <v>27863.54</v>
      </c>
      <c r="O69" s="62">
        <f>VLOOKUP(A69,'תפוקה מצטברת מול אשתקד'!A:K,11,0)</f>
        <v>0</v>
      </c>
    </row>
    <row r="70" spans="1:15" x14ac:dyDescent="0.3">
      <c r="A70" s="26" t="s">
        <v>92</v>
      </c>
      <c r="B70" s="26" t="s">
        <v>56</v>
      </c>
      <c r="C70" s="26" t="s">
        <v>103</v>
      </c>
      <c r="D70" s="61">
        <f t="shared" si="13"/>
        <v>1</v>
      </c>
      <c r="E70" s="61">
        <f t="shared" si="13"/>
        <v>1</v>
      </c>
      <c r="F70" s="61">
        <f t="shared" ref="F70:F76" si="14">IF(N70=0,0%,IF(J70=0,100%,N70/J70-1))</f>
        <v>1</v>
      </c>
      <c r="G70" s="61">
        <f t="shared" ref="G70:G76" si="15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9">
        <f>VLOOKUP(A70,'תפוקה מצטברת מול אשתקד'!A:K,8,0)</f>
        <v>221736.30800000002</v>
      </c>
      <c r="M70" s="62">
        <f>VLOOKUP(A70,'תפוקה מצטברת מול אשתקד'!A:K,9,0)</f>
        <v>-295.47004582151453</v>
      </c>
      <c r="N70" s="62">
        <f>VLOOKUP(A70,'תפוקה מצטברת מול אשתקד'!A:K,10,0)</f>
        <v>77573.259999999995</v>
      </c>
      <c r="O70" s="62">
        <f>VLOOKUP(A70,'תפוקה מצטברת מול אשתקד'!A:K,11,0)</f>
        <v>2185473.69</v>
      </c>
    </row>
    <row r="71" spans="1:15" x14ac:dyDescent="0.3">
      <c r="A71" s="26" t="s">
        <v>93</v>
      </c>
      <c r="B71" s="26" t="s">
        <v>56</v>
      </c>
      <c r="C71" s="26" t="s">
        <v>103</v>
      </c>
      <c r="D71" s="61">
        <f t="shared" si="13"/>
        <v>0</v>
      </c>
      <c r="E71" s="61">
        <f t="shared" si="13"/>
        <v>0.2897664344941957</v>
      </c>
      <c r="F71" s="61">
        <f t="shared" si="14"/>
        <v>0</v>
      </c>
      <c r="G71" s="61">
        <f t="shared" si="15"/>
        <v>0</v>
      </c>
      <c r="H71" s="12">
        <v>115599.99999999999</v>
      </c>
      <c r="I71" s="12">
        <v>60300</v>
      </c>
      <c r="J71" s="12">
        <v>279000</v>
      </c>
      <c r="K71" s="12">
        <v>334800.00000000006</v>
      </c>
      <c r="L71" s="59">
        <f>VLOOKUP(A71,'תפוקה מצטברת מול אשתקד'!A:K,8,0)</f>
        <v>0</v>
      </c>
      <c r="M71" s="62">
        <f>VLOOKUP(A71,'תפוקה מצטברת מול אשתקד'!A:K,9,0)</f>
        <v>77772.915999999997</v>
      </c>
      <c r="N71" s="62">
        <f>VLOOKUP(A71,'תפוקה מצטברת מול אשתקד'!A:K,10,0)</f>
        <v>0</v>
      </c>
      <c r="O71" s="62">
        <f>VLOOKUP(A71,'תפוקה מצטברת מול אשתקד'!A:K,11,0)</f>
        <v>0</v>
      </c>
    </row>
    <row r="72" spans="1:15" x14ac:dyDescent="0.3">
      <c r="A72" s="26" t="s">
        <v>100</v>
      </c>
      <c r="B72" s="26" t="s">
        <v>56</v>
      </c>
      <c r="C72" s="26" t="s">
        <v>103</v>
      </c>
      <c r="D72" s="61">
        <f t="shared" si="13"/>
        <v>0.27574420617333706</v>
      </c>
      <c r="E72" s="61">
        <f t="shared" si="13"/>
        <v>-0.18232941404090663</v>
      </c>
      <c r="F72" s="61">
        <f t="shared" si="14"/>
        <v>0.28662544802867385</v>
      </c>
      <c r="G72" s="61">
        <f t="shared" si="15"/>
        <v>1.1023695549581838</v>
      </c>
      <c r="H72" s="12">
        <v>578000</v>
      </c>
      <c r="I72" s="12">
        <v>90450</v>
      </c>
      <c r="J72" s="12">
        <v>4464000</v>
      </c>
      <c r="K72" s="12">
        <v>3348000.0000000005</v>
      </c>
      <c r="L72" s="59">
        <f>VLOOKUP(A72,'תפוקה מצטברת מול אשתקד'!A:K,8,0)</f>
        <v>737380.15116818878</v>
      </c>
      <c r="M72" s="62">
        <f>VLOOKUP(A72,'תפוקה מצטברת מול אשתקד'!A:K,9,0)</f>
        <v>73958.304499999998</v>
      </c>
      <c r="N72" s="62">
        <f>VLOOKUP(A72,'תפוקה מצטברת מול אשתקד'!A:K,10,0)</f>
        <v>5743496</v>
      </c>
      <c r="O72" s="62">
        <f>VLOOKUP(A72,'תפוקה מצטברת מול אשתקד'!A:K,11,0)</f>
        <v>7038733.2700000005</v>
      </c>
    </row>
    <row r="73" spans="1:15" x14ac:dyDescent="0.3">
      <c r="A73" s="98" t="s">
        <v>101</v>
      </c>
      <c r="B73" s="26" t="s">
        <v>56</v>
      </c>
      <c r="C73" s="26" t="s">
        <v>103</v>
      </c>
      <c r="D73" s="61">
        <f t="shared" si="13"/>
        <v>0.27036212954622041</v>
      </c>
      <c r="E73" s="61">
        <f t="shared" si="13"/>
        <v>0.43305600581487802</v>
      </c>
      <c r="F73" s="61">
        <f t="shared" si="14"/>
        <v>1.0248893649073181</v>
      </c>
      <c r="G73" s="61">
        <f t="shared" si="15"/>
        <v>4.7052645041816001</v>
      </c>
      <c r="H73" s="12">
        <v>1733999.9999999998</v>
      </c>
      <c r="I73" s="12">
        <v>150750</v>
      </c>
      <c r="J73" s="12">
        <v>11160000.000000002</v>
      </c>
      <c r="K73" s="12">
        <v>3348000.0000000005</v>
      </c>
      <c r="L73" s="59">
        <f>VLOOKUP(A73,'תפוקה מצטברת מול אשתקד'!A:K,8,0)</f>
        <v>2202807.9326331457</v>
      </c>
      <c r="M73" s="62">
        <f>VLOOKUP(A73,'תפוקה מצטברת מול אשתקד'!A:K,9,0)</f>
        <v>216033.19287659286</v>
      </c>
      <c r="N73" s="62">
        <f>VLOOKUP(A73,'תפוקה מצטברת מול אשתקד'!A:K,10,0)</f>
        <v>22597765.312365673</v>
      </c>
      <c r="O73" s="62">
        <f>VLOOKUP(A73,'תפוקה מצטברת מול אשתקד'!A:K,11,0)</f>
        <v>19101225.559999999</v>
      </c>
    </row>
    <row r="74" spans="1:15" ht="16.2" thickBot="1" x14ac:dyDescent="0.35">
      <c r="A74" s="26" t="s">
        <v>81</v>
      </c>
      <c r="B74" s="26" t="s">
        <v>56</v>
      </c>
      <c r="C74" s="26" t="s">
        <v>103</v>
      </c>
      <c r="D74" s="61">
        <f t="shared" si="13"/>
        <v>-0.74632415224913484</v>
      </c>
      <c r="E74" s="61">
        <f t="shared" si="13"/>
        <v>-0.71881013819789941</v>
      </c>
      <c r="F74" s="61">
        <f t="shared" si="14"/>
        <v>0</v>
      </c>
      <c r="G74" s="61">
        <f t="shared" si="15"/>
        <v>0</v>
      </c>
      <c r="H74" s="12">
        <v>289000</v>
      </c>
      <c r="I74" s="12">
        <v>90450</v>
      </c>
      <c r="J74" s="12">
        <v>558000</v>
      </c>
      <c r="K74" s="12">
        <v>1116000</v>
      </c>
      <c r="L74" s="59">
        <f>VLOOKUP(A74,'תפוקה מצטברת מול אשתקד'!A:K,8,0)</f>
        <v>73312.320000000007</v>
      </c>
      <c r="M74" s="62">
        <f>VLOOKUP(A74,'תפוקה מצטברת מול אשתקד'!A:K,9,0)</f>
        <v>25433.623</v>
      </c>
      <c r="N74" s="62">
        <f>VLOOKUP(A74,'תפוקה מצטברת מול אשתקד'!A:K,10,0)</f>
        <v>0</v>
      </c>
      <c r="O74" s="62">
        <f>VLOOKUP(A74,'תפוקה מצטברת מול אשתקד'!A:K,11,0)</f>
        <v>0</v>
      </c>
    </row>
    <row r="75" spans="1:15" ht="21.6" thickBot="1" x14ac:dyDescent="0.35">
      <c r="A75" s="17" t="s">
        <v>44</v>
      </c>
      <c r="B75" s="57"/>
      <c r="C75" s="99"/>
      <c r="D75" s="127">
        <f t="shared" si="13"/>
        <v>0.1534252201048516</v>
      </c>
      <c r="E75" s="127">
        <f t="shared" si="13"/>
        <v>4.8017534612789792E-2</v>
      </c>
      <c r="F75" s="127">
        <f t="shared" si="14"/>
        <v>0.40381436990296682</v>
      </c>
      <c r="G75" s="127">
        <f t="shared" si="15"/>
        <v>1.9155769867271504</v>
      </c>
      <c r="H75" s="63">
        <f>SUM(H67:H74)</f>
        <v>5028600</v>
      </c>
      <c r="I75" s="63">
        <f>SUM(I67:I74)</f>
        <v>844200</v>
      </c>
      <c r="J75" s="63">
        <f>SUM(J67:J74)</f>
        <v>27621000.000000004</v>
      </c>
      <c r="K75" s="63">
        <f>SUM(K67:K74)</f>
        <v>14284800.000000002</v>
      </c>
      <c r="L75" s="63">
        <f>SUM(L67:L74)</f>
        <v>5800114.0618192572</v>
      </c>
      <c r="M75" s="63">
        <f t="shared" ref="M75:O75" si="16">SUM(M67:M74)</f>
        <v>884736.40272011713</v>
      </c>
      <c r="N75" s="63">
        <f t="shared" si="16"/>
        <v>38774756.711089849</v>
      </c>
      <c r="O75" s="63">
        <f t="shared" si="16"/>
        <v>41648434.140000001</v>
      </c>
    </row>
    <row r="76" spans="1:15" ht="21.6" thickBot="1" x14ac:dyDescent="0.35">
      <c r="A76" s="17" t="s">
        <v>45</v>
      </c>
      <c r="B76" s="57"/>
      <c r="C76" s="99"/>
      <c r="D76" s="127">
        <f t="shared" si="13"/>
        <v>-0.15980312280131248</v>
      </c>
      <c r="E76" s="127">
        <f t="shared" si="13"/>
        <v>-0.25671689302762968</v>
      </c>
      <c r="F76" s="127">
        <f t="shared" si="14"/>
        <v>-0.20274046976686277</v>
      </c>
      <c r="G76" s="127">
        <f t="shared" si="15"/>
        <v>-2.1146462743647287E-2</v>
      </c>
      <c r="H76" s="129">
        <f t="shared" ref="H76:O76" si="17">H75+H66+H56+H22+H8</f>
        <v>31818900</v>
      </c>
      <c r="I76" s="129">
        <f t="shared" si="17"/>
        <v>5595840</v>
      </c>
      <c r="J76" s="129">
        <f t="shared" si="17"/>
        <v>126666000</v>
      </c>
      <c r="K76" s="129">
        <f>K75+K66+K56+K22+K8</f>
        <v>123262200</v>
      </c>
      <c r="L76" s="129">
        <f t="shared" si="17"/>
        <v>26734140.415897317</v>
      </c>
      <c r="M76" s="129">
        <f t="shared" si="17"/>
        <v>4159293.3413202688</v>
      </c>
      <c r="N76" s="129">
        <f t="shared" si="17"/>
        <v>100985675.65651056</v>
      </c>
      <c r="O76" s="129">
        <f t="shared" si="17"/>
        <v>120655640.48</v>
      </c>
    </row>
    <row r="77" spans="1:15" x14ac:dyDescent="0.3">
      <c r="H77" s="87"/>
    </row>
    <row r="78" spans="1:15" x14ac:dyDescent="0.3">
      <c r="H78" s="193"/>
      <c r="I78" s="193"/>
      <c r="J78" s="193"/>
      <c r="K78" s="193"/>
    </row>
    <row r="79" spans="1:15" x14ac:dyDescent="0.3">
      <c r="J79" s="193"/>
      <c r="N79" s="87"/>
    </row>
    <row r="80" spans="1:15" x14ac:dyDescent="0.3">
      <c r="J80" s="87"/>
      <c r="K80"/>
      <c r="L80"/>
      <c r="M80"/>
      <c r="N80"/>
      <c r="O80"/>
    </row>
    <row r="81" spans="11:15" x14ac:dyDescent="0.3">
      <c r="K81"/>
      <c r="L81" s="6"/>
      <c r="M81" s="6"/>
      <c r="N81" s="6"/>
      <c r="O81" s="6"/>
    </row>
    <row r="82" spans="11:15" x14ac:dyDescent="0.3">
      <c r="K82"/>
      <c r="L82"/>
      <c r="M82"/>
      <c r="N82"/>
      <c r="O82"/>
    </row>
    <row r="83" spans="11:15" x14ac:dyDescent="0.3">
      <c r="K83"/>
      <c r="L83"/>
      <c r="M83"/>
      <c r="N83"/>
      <c r="O83"/>
    </row>
    <row r="84" spans="11:15" x14ac:dyDescent="0.3">
      <c r="K84"/>
      <c r="L84"/>
      <c r="M84"/>
      <c r="N84"/>
      <c r="O84"/>
    </row>
    <row r="85" spans="11:15" x14ac:dyDescent="0.3">
      <c r="K85"/>
      <c r="L85"/>
      <c r="M85"/>
      <c r="N85"/>
      <c r="O85"/>
    </row>
    <row r="88" spans="11:15" x14ac:dyDescent="0.3">
      <c r="L88" s="87"/>
      <c r="M88" s="87"/>
      <c r="N88" s="87"/>
      <c r="O88" s="87"/>
    </row>
  </sheetData>
  <mergeCells count="3">
    <mergeCell ref="L1:O1"/>
    <mergeCell ref="D1:G1"/>
    <mergeCell ref="H1:K1"/>
  </mergeCells>
  <conditionalFormatting sqref="A14">
    <cfRule type="duplicateValues" dxfId="305" priority="7"/>
    <cfRule type="duplicateValues" dxfId="304" priority="8"/>
  </conditionalFormatting>
  <conditionalFormatting sqref="A20">
    <cfRule type="duplicateValues" dxfId="303" priority="1"/>
    <cfRule type="duplicateValues" dxfId="302" priority="2"/>
  </conditionalFormatting>
  <conditionalFormatting sqref="A54">
    <cfRule type="duplicateValues" dxfId="301" priority="3"/>
    <cfRule type="duplicateValues" dxfId="300" priority="4"/>
  </conditionalFormatting>
  <conditionalFormatting sqref="A58">
    <cfRule type="duplicateValues" dxfId="299" priority="11"/>
    <cfRule type="duplicateValues" dxfId="298" priority="12"/>
  </conditionalFormatting>
  <conditionalFormatting sqref="A60">
    <cfRule type="duplicateValues" dxfId="297" priority="5"/>
    <cfRule type="duplicateValues" dxfId="296" priority="6"/>
  </conditionalFormatting>
  <conditionalFormatting sqref="A61 A57 A59 A7 A23:A53 A65 A55">
    <cfRule type="duplicateValues" dxfId="295" priority="236"/>
    <cfRule type="duplicateValues" dxfId="294" priority="237"/>
  </conditionalFormatting>
  <conditionalFormatting sqref="A67:A74">
    <cfRule type="duplicateValues" dxfId="293" priority="15"/>
    <cfRule type="duplicateValues" dxfId="292" priority="16"/>
  </conditionalFormatting>
  <conditionalFormatting sqref="A75:A76 A1:A6 A8:A13 A15:A19 A56 A66 A21:A22">
    <cfRule type="duplicateValues" dxfId="291" priority="13"/>
    <cfRule type="duplicateValues" dxfId="290" priority="14"/>
  </conditionalFormatting>
  <conditionalFormatting sqref="D1 D2:G1048576">
    <cfRule type="cellIs" dxfId="289" priority="34" operator="lessThan">
      <formula>-0.0001</formula>
    </cfRule>
  </conditionalFormatting>
  <conditionalFormatting sqref="D3:G1048576">
    <cfRule type="cellIs" dxfId="288" priority="40" operator="greaterThan">
      <formula>0.1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O83"/>
  <sheetViews>
    <sheetView rightToLeft="1" topLeftCell="A56" workbookViewId="0">
      <selection activeCell="H79" sqref="H79"/>
    </sheetView>
  </sheetViews>
  <sheetFormatPr defaultRowHeight="15.6" x14ac:dyDescent="0.3"/>
  <cols>
    <col min="1" max="1" width="27.5546875" style="1" bestFit="1" customWidth="1"/>
    <col min="2" max="2" width="10.109375" style="1" bestFit="1" customWidth="1"/>
    <col min="3" max="3" width="10.44140625" style="1" bestFit="1" customWidth="1"/>
    <col min="4" max="4" width="10.6640625" style="3" bestFit="1" customWidth="1"/>
    <col min="5" max="5" width="11" style="3" bestFit="1" customWidth="1"/>
    <col min="6" max="6" width="11.6640625" style="3" bestFit="1" customWidth="1"/>
    <col min="7" max="8" width="13.5546875" style="3" bestFit="1" customWidth="1"/>
    <col min="9" max="9" width="12" style="3" bestFit="1" customWidth="1"/>
    <col min="10" max="12" width="15" style="3" bestFit="1" customWidth="1"/>
    <col min="13" max="13" width="13.5546875" style="3" bestFit="1" customWidth="1"/>
    <col min="14" max="15" width="15" style="3" bestFit="1" customWidth="1"/>
    <col min="16" max="16" width="19" bestFit="1" customWidth="1"/>
    <col min="18" max="19" width="9.88671875" bestFit="1" customWidth="1"/>
    <col min="20" max="20" width="12.44140625" bestFit="1" customWidth="1"/>
    <col min="21" max="21" width="10.88671875" bestFit="1" customWidth="1"/>
    <col min="22" max="22" width="9.88671875" bestFit="1" customWidth="1"/>
    <col min="23" max="23" width="12.44140625" bestFit="1" customWidth="1"/>
  </cols>
  <sheetData>
    <row r="1" spans="1:15" ht="21" x14ac:dyDescent="0.3">
      <c r="A1" s="26"/>
      <c r="B1" s="26"/>
      <c r="C1" s="26"/>
      <c r="D1" s="233" t="s">
        <v>62</v>
      </c>
      <c r="E1" s="234"/>
      <c r="F1" s="234"/>
      <c r="G1" s="235"/>
      <c r="H1" s="239" t="s">
        <v>138</v>
      </c>
      <c r="I1" s="240"/>
      <c r="J1" s="240"/>
      <c r="K1" s="241"/>
      <c r="L1" s="232" t="s">
        <v>139</v>
      </c>
      <c r="M1" s="232"/>
      <c r="N1" s="232"/>
      <c r="O1" s="232"/>
    </row>
    <row r="2" spans="1:15" ht="21" x14ac:dyDescent="0.3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47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5" x14ac:dyDescent="0.3">
      <c r="A3" s="26" t="s">
        <v>1</v>
      </c>
      <c r="B3" s="26" t="s">
        <v>108</v>
      </c>
      <c r="C3" s="26" t="s">
        <v>58</v>
      </c>
      <c r="D3" s="19">
        <f>IF(L3=0,0%,IF(H3=0,100%,L3/H3-1))</f>
        <v>-0.224543144623363</v>
      </c>
      <c r="E3" s="19">
        <f>IF(M3=0,0%,IF(I3=0,100%,M3/I3-1))</f>
        <v>-0.63465576245247668</v>
      </c>
      <c r="F3" s="19">
        <f>IF(N3=0,0%,IF(J3=0,100%,N3/J3-1))</f>
        <v>-0.69473253455141326</v>
      </c>
      <c r="G3" s="19">
        <f>IF(O3=0,0%,IF(K3=0,100%,O3/K3-1))</f>
        <v>-0.16883084268292725</v>
      </c>
      <c r="H3" s="12">
        <v>1530000</v>
      </c>
      <c r="I3" s="12">
        <v>107900</v>
      </c>
      <c r="J3" s="12">
        <v>4100000</v>
      </c>
      <c r="K3" s="12">
        <v>8200000</v>
      </c>
      <c r="L3" s="58">
        <f>VLOOKUP(A3,'תפוקה חודשית מול אשתקד'!A:K,8,0)</f>
        <v>1186448.9887262546</v>
      </c>
      <c r="M3" s="58">
        <f>VLOOKUP(A3,'תפוקה חודשית מול אשתקד'!A:K,9,0)</f>
        <v>39420.643231377762</v>
      </c>
      <c r="N3" s="58">
        <f>VLOOKUP(A3,'תפוקה חודשית מול אשתקד'!A:K,10,0)</f>
        <v>1251596.6083392054</v>
      </c>
      <c r="O3" s="58">
        <f>VLOOKUP(A3,'תפוקה חודשית מול אשתקד'!A:K,11,0)</f>
        <v>6815587.0899999961</v>
      </c>
    </row>
    <row r="4" spans="1:15" x14ac:dyDescent="0.3">
      <c r="A4" s="26" t="s">
        <v>2</v>
      </c>
      <c r="B4" s="26" t="s">
        <v>108</v>
      </c>
      <c r="C4" s="26" t="s">
        <v>58</v>
      </c>
      <c r="D4" s="19">
        <f t="shared" ref="D4:D69" si="0">IF(L4=0,0%,IF(H4=0,100%,L4/H4-1))</f>
        <v>-0.9132024708213814</v>
      </c>
      <c r="E4" s="19">
        <f t="shared" ref="E4:E69" si="1">IF(M4=0,0%,IF(I4=0,100%,M4/I4-1))</f>
        <v>1</v>
      </c>
      <c r="F4" s="19">
        <f t="shared" ref="F4:F69" si="2">IF(N4=0,0%,IF(J4=0,100%,N4/J4-1))</f>
        <v>-0.81259770526513164</v>
      </c>
      <c r="G4" s="19">
        <f t="shared" ref="G4:G69" si="3">IF(O4=0,0%,IF(K4=0,100%,O4/K4-1))</f>
        <v>-1.2735416829268293</v>
      </c>
      <c r="H4" s="12">
        <v>127500.00000000001</v>
      </c>
      <c r="I4" s="12">
        <v>0</v>
      </c>
      <c r="J4" s="12">
        <v>2050000</v>
      </c>
      <c r="K4" s="12">
        <v>1640000</v>
      </c>
      <c r="L4" s="58">
        <f>VLOOKUP(A4,'תפוקה חודשית מול אשתקד'!A:K,8,0)</f>
        <v>11066.684970273869</v>
      </c>
      <c r="M4" s="58">
        <f>VLOOKUP(A4,'תפוקה חודשית מול אשתקד'!A:K,9,0)</f>
        <v>15.19703957968386</v>
      </c>
      <c r="N4" s="58">
        <f>VLOOKUP(A4,'תפוקה חודשית מול אשתקד'!A:K,10,0)</f>
        <v>384174.70420648018</v>
      </c>
      <c r="O4" s="58">
        <f>VLOOKUP(A4,'תפוקה חודשית מול אשתקד'!A:K,11,0)</f>
        <v>-448608.3600000001</v>
      </c>
    </row>
    <row r="5" spans="1:15" x14ac:dyDescent="0.3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-0.78943645045423239</v>
      </c>
      <c r="F5" s="19">
        <f t="shared" si="2"/>
        <v>0</v>
      </c>
      <c r="G5" s="19">
        <f t="shared" si="3"/>
        <v>0</v>
      </c>
      <c r="H5" s="12">
        <v>0</v>
      </c>
      <c r="I5" s="12">
        <v>24900</v>
      </c>
      <c r="J5" s="12">
        <v>0</v>
      </c>
      <c r="K5" s="12">
        <v>0</v>
      </c>
      <c r="L5" s="58">
        <f>VLOOKUP(A5,'תפוקה חודשית מול אשתקד'!A:K,8,0)</f>
        <v>0</v>
      </c>
      <c r="M5" s="58">
        <f>VLOOKUP(A5,'תפוקה חודשית מול אשתקד'!A:K,9,0)</f>
        <v>5243.0323836896132</v>
      </c>
      <c r="N5" s="58">
        <f>VLOOKUP(A5,'תפוקה חודשית מול אשתקד'!A:K,10,0)</f>
        <v>0</v>
      </c>
      <c r="O5" s="58">
        <f>VLOOKUP(A5,'תפוקה חודשית מול אשתקד'!A:K,11,0)</f>
        <v>0</v>
      </c>
    </row>
    <row r="6" spans="1:15" x14ac:dyDescent="0.3">
      <c r="A6" s="26" t="s">
        <v>105</v>
      </c>
      <c r="B6" s="26" t="s">
        <v>108</v>
      </c>
      <c r="C6" s="26" t="s">
        <v>58</v>
      </c>
      <c r="D6" s="19">
        <f t="shared" si="0"/>
        <v>1.0026530417172479</v>
      </c>
      <c r="E6" s="19">
        <f t="shared" si="1"/>
        <v>-0.66901158861090859</v>
      </c>
      <c r="F6" s="19">
        <f t="shared" si="2"/>
        <v>0.65048984573170743</v>
      </c>
      <c r="G6" s="19">
        <f t="shared" si="3"/>
        <v>11.725776219512195</v>
      </c>
      <c r="H6" s="12">
        <v>42500</v>
      </c>
      <c r="I6" s="12">
        <v>20750</v>
      </c>
      <c r="J6" s="12">
        <v>164000</v>
      </c>
      <c r="K6" s="12">
        <v>82000</v>
      </c>
      <c r="L6" s="58">
        <f>VLOOKUP(A6,'תפוקה חודשית מול אשתקד'!A:K,8,0)</f>
        <v>85112.754272983031</v>
      </c>
      <c r="M6" s="58">
        <f>VLOOKUP(A6,'תפוקה חודשית מול אשתקד'!A:K,9,0)</f>
        <v>6868.0095363236469</v>
      </c>
      <c r="N6" s="58">
        <f>VLOOKUP(A6,'תפוקה חודשית מול אשתקד'!A:K,10,0)</f>
        <v>270680.33470000001</v>
      </c>
      <c r="O6" s="58">
        <f>VLOOKUP(A6,'תפוקה חודשית מול אשתקד'!A:K,11,0)</f>
        <v>1043513.6499999999</v>
      </c>
    </row>
    <row r="7" spans="1:15" x14ac:dyDescent="0.3">
      <c r="A7" s="26" t="s">
        <v>34</v>
      </c>
      <c r="B7" s="26" t="s">
        <v>108</v>
      </c>
      <c r="C7" s="27" t="s">
        <v>58</v>
      </c>
      <c r="D7" s="19">
        <f>IF(L7=0,0%,IF(H7=0,100%,L7/H7-1))</f>
        <v>1</v>
      </c>
      <c r="E7" s="19">
        <f>IF(M7=0,0%,IF(I7=0,100%,M7/I7-1))</f>
        <v>1</v>
      </c>
      <c r="F7" s="19">
        <f>IF(N7=0,0%,IF(J7=0,100%,N7/J7-1))</f>
        <v>-0.99955780487804879</v>
      </c>
      <c r="G7" s="19">
        <f>IF(O7=0,0%,IF(K7=0,100%,O7/K7-1))</f>
        <v>-0.9961553658536586</v>
      </c>
      <c r="H7" s="12">
        <v>0</v>
      </c>
      <c r="I7" s="12">
        <v>0</v>
      </c>
      <c r="J7" s="12">
        <v>82000</v>
      </c>
      <c r="K7" s="12">
        <v>41000</v>
      </c>
      <c r="L7" s="58">
        <f>VLOOKUP(A7,'תפוקה חודשית מול אשתקד'!A:K,8,0)</f>
        <v>24.579999999998108</v>
      </c>
      <c r="M7" s="58">
        <f>VLOOKUP(A7,'תפוקה חודשית מול אשתקד'!A:K,9,0)</f>
        <v>525.22</v>
      </c>
      <c r="N7" s="58">
        <f>VLOOKUP(A7,'תפוקה חודשית מול אשתקד'!A:K,10,0)</f>
        <v>36.260000000000218</v>
      </c>
      <c r="O7" s="58">
        <f>VLOOKUP(A7,'תפוקה חודשית מול אשתקד'!A:K,11,0)</f>
        <v>157.62999999999738</v>
      </c>
    </row>
    <row r="8" spans="1:15" ht="21" x14ac:dyDescent="0.3">
      <c r="A8" s="104" t="s">
        <v>3</v>
      </c>
      <c r="B8" s="105"/>
      <c r="C8" s="99"/>
      <c r="D8" s="19">
        <f t="shared" si="0"/>
        <v>-0.24549823060616971</v>
      </c>
      <c r="E8" s="19">
        <f t="shared" si="1"/>
        <v>-0.6608785269230173</v>
      </c>
      <c r="F8" s="19">
        <f t="shared" si="2"/>
        <v>-0.70192496759761014</v>
      </c>
      <c r="G8" s="19">
        <f t="shared" si="3"/>
        <v>-0.25618287563986797</v>
      </c>
      <c r="H8" s="130">
        <f>SUM(H3:H7)</f>
        <v>1700000</v>
      </c>
      <c r="I8" s="130">
        <f t="shared" ref="I8:O8" si="4">SUM(I3:I7)</f>
        <v>153550</v>
      </c>
      <c r="J8" s="130">
        <f t="shared" si="4"/>
        <v>6396000</v>
      </c>
      <c r="K8" s="130">
        <f t="shared" si="4"/>
        <v>9963000</v>
      </c>
      <c r="L8" s="130">
        <f t="shared" si="4"/>
        <v>1282653.0079695114</v>
      </c>
      <c r="M8" s="130">
        <f t="shared" si="4"/>
        <v>52072.102190970705</v>
      </c>
      <c r="N8" s="130">
        <f t="shared" si="4"/>
        <v>1906487.9072456856</v>
      </c>
      <c r="O8" s="130">
        <f t="shared" si="4"/>
        <v>7410650.0099999951</v>
      </c>
    </row>
    <row r="9" spans="1:15" x14ac:dyDescent="0.3">
      <c r="A9" s="26" t="s">
        <v>4</v>
      </c>
      <c r="B9" s="26" t="s">
        <v>108</v>
      </c>
      <c r="C9" s="26" t="s">
        <v>106</v>
      </c>
      <c r="D9" s="19">
        <f t="shared" si="0"/>
        <v>1</v>
      </c>
      <c r="E9" s="19">
        <f t="shared" si="1"/>
        <v>1</v>
      </c>
      <c r="F9" s="19">
        <f t="shared" si="2"/>
        <v>0</v>
      </c>
      <c r="G9" s="19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8">
        <f>VLOOKUP(A9,'תפוקה חודשית מול אשתקד'!A:K,8,0)</f>
        <v>-4439.4547204406554</v>
      </c>
      <c r="M9" s="58">
        <f>VLOOKUP(A9,'תפוקה חודשית מול אשתקד'!A:K,9,0)</f>
        <v>3.48700000000008</v>
      </c>
      <c r="N9" s="58">
        <f>VLOOKUP(A9,'תפוקה חודשית מול אשתקד'!A:K,10,0)</f>
        <v>0</v>
      </c>
      <c r="O9" s="58">
        <f>VLOOKUP(A9,'תפוקה חודשית מול אשתקד'!A:K,11,0)</f>
        <v>-8803.6900000000023</v>
      </c>
    </row>
    <row r="10" spans="1:15" x14ac:dyDescent="0.3">
      <c r="A10" s="26" t="s">
        <v>5</v>
      </c>
      <c r="B10" s="26" t="s">
        <v>108</v>
      </c>
      <c r="C10" s="26" t="s">
        <v>106</v>
      </c>
      <c r="D10" s="19">
        <f t="shared" si="0"/>
        <v>-0.38698324021867214</v>
      </c>
      <c r="E10" s="19">
        <f t="shared" si="1"/>
        <v>1.6635115158664462</v>
      </c>
      <c r="F10" s="19">
        <f t="shared" si="2"/>
        <v>-0.84469595988210655</v>
      </c>
      <c r="G10" s="19">
        <f t="shared" si="3"/>
        <v>0.22128121951219581</v>
      </c>
      <c r="H10" s="12">
        <v>212500.00000000003</v>
      </c>
      <c r="I10" s="12">
        <v>83000</v>
      </c>
      <c r="J10" s="12">
        <v>82000</v>
      </c>
      <c r="K10" s="12">
        <v>205000</v>
      </c>
      <c r="L10" s="58">
        <f>VLOOKUP(A10,'תפוקה חודשית מול אשתקד'!A:K,8,0)</f>
        <v>130266.06145353219</v>
      </c>
      <c r="M10" s="58">
        <f>VLOOKUP(A10,'תפוקה חודשית מול אשתקד'!A:K,9,0)</f>
        <v>221071.45581691503</v>
      </c>
      <c r="N10" s="58">
        <f>VLOOKUP(A10,'תפוקה חודשית מול אשתקד'!A:K,10,0)</f>
        <v>12734.931289667264</v>
      </c>
      <c r="O10" s="58">
        <f>VLOOKUP(A10,'תפוקה חודשית מול אשתקד'!A:K,11,0)</f>
        <v>250362.65000000014</v>
      </c>
    </row>
    <row r="11" spans="1:15" x14ac:dyDescent="0.3">
      <c r="A11" s="26" t="s">
        <v>6</v>
      </c>
      <c r="B11" s="26" t="s">
        <v>108</v>
      </c>
      <c r="C11" s="26" t="s">
        <v>106</v>
      </c>
      <c r="D11" s="19">
        <f t="shared" si="0"/>
        <v>-0.98268071942485469</v>
      </c>
      <c r="E11" s="19">
        <f t="shared" si="1"/>
        <v>-0.99160904090855273</v>
      </c>
      <c r="F11" s="19">
        <f t="shared" si="2"/>
        <v>1</v>
      </c>
      <c r="G11" s="19">
        <f t="shared" si="3"/>
        <v>1</v>
      </c>
      <c r="H11" s="12">
        <v>42500</v>
      </c>
      <c r="I11" s="12">
        <v>16600</v>
      </c>
      <c r="J11" s="12">
        <v>0</v>
      </c>
      <c r="K11" s="12">
        <v>0</v>
      </c>
      <c r="L11" s="58">
        <f>VLOOKUP(A11,'תפוקה חודשית מול אשתקד'!A:K,8,0)</f>
        <v>736.06942444367451</v>
      </c>
      <c r="M11" s="58">
        <f>VLOOKUP(A11,'תפוקה חודשית מול אשתקד'!A:K,9,0)</f>
        <v>139.28992091802502</v>
      </c>
      <c r="N11" s="58">
        <f>VLOOKUP(A11,'תפוקה חודשית מול אשתקד'!A:K,10,0)</f>
        <v>230307.32716457651</v>
      </c>
      <c r="O11" s="58">
        <f>VLOOKUP(A11,'תפוקה חודשית מול אשתקד'!A:K,11,0)</f>
        <v>85265.149999999907</v>
      </c>
    </row>
    <row r="12" spans="1:15" x14ac:dyDescent="0.3">
      <c r="A12" s="26" t="s">
        <v>7</v>
      </c>
      <c r="B12" s="26" t="s">
        <v>108</v>
      </c>
      <c r="C12" s="26" t="s">
        <v>106</v>
      </c>
      <c r="D12" s="19">
        <f t="shared" si="0"/>
        <v>1</v>
      </c>
      <c r="E12" s="19">
        <f t="shared" si="1"/>
        <v>1</v>
      </c>
      <c r="F12" s="19">
        <f t="shared" si="2"/>
        <v>1</v>
      </c>
      <c r="G12" s="19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8">
        <f>VLOOKUP(A12,'תפוקה חודשית מול אשתקד'!A:K,8,0)</f>
        <v>63219.577218543069</v>
      </c>
      <c r="M12" s="58">
        <f>VLOOKUP(A12,'תפוקה חודשית מול אשתקד'!A:K,9,0)</f>
        <v>9426.7801120000004</v>
      </c>
      <c r="N12" s="58">
        <f>VLOOKUP(A12,'תפוקה חודשית מול אשתקד'!A:K,10,0)</f>
        <v>1192833.06</v>
      </c>
      <c r="O12" s="58">
        <f>VLOOKUP(A12,'תפוקה חודשית מול אשתקד'!A:K,11,0)</f>
        <v>416166.46</v>
      </c>
    </row>
    <row r="13" spans="1:15" x14ac:dyDescent="0.3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-0.91796308138990257</v>
      </c>
      <c r="F13" s="19">
        <f t="shared" si="2"/>
        <v>1</v>
      </c>
      <c r="G13" s="19">
        <f t="shared" si="3"/>
        <v>1</v>
      </c>
      <c r="H13" s="12">
        <v>0</v>
      </c>
      <c r="I13" s="12">
        <v>49800</v>
      </c>
      <c r="J13" s="12">
        <v>0</v>
      </c>
      <c r="K13" s="12">
        <v>0</v>
      </c>
      <c r="L13" s="58">
        <f>VLOOKUP(A13,'תפוקה חודשית מול אשתקד'!A:K,8,0)</f>
        <v>34081.179187000002</v>
      </c>
      <c r="M13" s="58">
        <f>VLOOKUP(A13,'תפוקה חודשית מול אשתקד'!A:K,9,0)</f>
        <v>4085.4385467828542</v>
      </c>
      <c r="N13" s="58">
        <f>VLOOKUP(A13,'תפוקה חודשית מול אשתקד'!A:K,10,0)</f>
        <v>2349.83</v>
      </c>
      <c r="O13" s="58">
        <f>VLOOKUP(A13,'תפוקה חודשית מול אשתקד'!A:K,11,0)</f>
        <v>-4433.24</v>
      </c>
    </row>
    <row r="14" spans="1:15" x14ac:dyDescent="0.3">
      <c r="A14" s="26" t="s">
        <v>9</v>
      </c>
      <c r="B14" s="26" t="s">
        <v>108</v>
      </c>
      <c r="C14" s="26" t="s">
        <v>106</v>
      </c>
      <c r="D14" s="19">
        <f t="shared" si="0"/>
        <v>-0.72591810510466992</v>
      </c>
      <c r="E14" s="19">
        <f t="shared" si="1"/>
        <v>0.25619012048192791</v>
      </c>
      <c r="F14" s="19">
        <f t="shared" si="2"/>
        <v>-0.99702975609756095</v>
      </c>
      <c r="G14" s="19">
        <f t="shared" si="3"/>
        <v>-1.588990325203252</v>
      </c>
      <c r="H14" s="12">
        <v>25500.000000000004</v>
      </c>
      <c r="I14" s="12">
        <v>12450</v>
      </c>
      <c r="J14" s="12">
        <v>328000</v>
      </c>
      <c r="K14" s="12">
        <v>984000</v>
      </c>
      <c r="L14" s="58">
        <f>VLOOKUP(A14,'תפוקה חודשית מול אשתקד'!A:K,8,0)</f>
        <v>6989.0883198309166</v>
      </c>
      <c r="M14" s="58">
        <f>VLOOKUP(A14,'תפוקה חודשית מול אשתקד'!A:K,9,0)</f>
        <v>15639.567000000003</v>
      </c>
      <c r="N14" s="58">
        <f>VLOOKUP(A14,'תפוקה חודשית מול אשתקד'!A:K,10,0)</f>
        <v>974.23999999999069</v>
      </c>
      <c r="O14" s="58">
        <f>VLOOKUP(A14,'תפוקה חודשית מול אשתקד'!A:K,11,0)</f>
        <v>-579566.48</v>
      </c>
    </row>
    <row r="15" spans="1:15" x14ac:dyDescent="0.3">
      <c r="A15" s="26" t="s">
        <v>31</v>
      </c>
      <c r="B15" s="26" t="s">
        <v>108</v>
      </c>
      <c r="C15" s="26" t="s">
        <v>106</v>
      </c>
      <c r="D15" s="19">
        <f t="shared" si="0"/>
        <v>1</v>
      </c>
      <c r="E15" s="19">
        <f t="shared" si="1"/>
        <v>0</v>
      </c>
      <c r="F15" s="19">
        <f t="shared" si="2"/>
        <v>1</v>
      </c>
      <c r="G15" s="19">
        <f t="shared" si="3"/>
        <v>1</v>
      </c>
      <c r="H15" s="12">
        <v>0</v>
      </c>
      <c r="I15" s="12">
        <v>0</v>
      </c>
      <c r="J15" s="12">
        <v>0</v>
      </c>
      <c r="K15" s="12">
        <v>0</v>
      </c>
      <c r="L15" s="58">
        <f>VLOOKUP(A15,'תפוקה חודשית מול אשתקד'!A:K,8,0)</f>
        <v>-8037.6199999999953</v>
      </c>
      <c r="M15" s="58">
        <f>VLOOKUP(A15,'תפוקה חודשית מול אשתקד'!A:K,9,0)</f>
        <v>0</v>
      </c>
      <c r="N15" s="58">
        <f>VLOOKUP(A15,'תפוקה חודשית מול אשתקד'!A:K,10,0)</f>
        <v>-6369.2999999999884</v>
      </c>
      <c r="O15" s="58">
        <f>VLOOKUP(A15,'תפוקה חודשית מול אשתקד'!A:K,11,0)</f>
        <v>338.00999999999476</v>
      </c>
    </row>
    <row r="16" spans="1:15" x14ac:dyDescent="0.3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8">
        <f>VLOOKUP(A16,'תפוקה חודשית מול אשתקד'!A:K,8,0)</f>
        <v>16437.590909999999</v>
      </c>
      <c r="M16" s="58">
        <f>VLOOKUP(A16,'תפוקה חודשית מול אשתקד'!A:K,9,0)</f>
        <v>2060.9279999999999</v>
      </c>
      <c r="N16" s="58">
        <f>VLOOKUP(A16,'תפוקה חודשית מול אשתקד'!A:K,10,0)</f>
        <v>19275.240000000002</v>
      </c>
      <c r="O16" s="58">
        <f>VLOOKUP(A16,'תפוקה חודשית מול אשתקד'!A:K,11,0)</f>
        <v>15176.229999999996</v>
      </c>
    </row>
    <row r="17" spans="1:15" x14ac:dyDescent="0.3">
      <c r="A17" s="26" t="s">
        <v>42</v>
      </c>
      <c r="B17" s="26" t="s">
        <v>108</v>
      </c>
      <c r="C17" s="26" t="s">
        <v>106</v>
      </c>
      <c r="D17" s="19">
        <f t="shared" si="0"/>
        <v>-0.6082606335256131</v>
      </c>
      <c r="E17" s="19">
        <f t="shared" si="1"/>
        <v>-0.53610832643393735</v>
      </c>
      <c r="F17" s="19">
        <f t="shared" si="2"/>
        <v>-0.51741510918496059</v>
      </c>
      <c r="G17" s="19">
        <f t="shared" si="3"/>
        <v>-1.5382627845528456</v>
      </c>
      <c r="H17" s="12">
        <v>127500.00000000001</v>
      </c>
      <c r="I17" s="12">
        <v>49800</v>
      </c>
      <c r="J17" s="12">
        <v>984000</v>
      </c>
      <c r="K17" s="12">
        <v>492000</v>
      </c>
      <c r="L17" s="58">
        <f>VLOOKUP(A17,'תפוקה חודשית מול אשתקד'!A:K,8,0)</f>
        <v>49946.769225484342</v>
      </c>
      <c r="M17" s="58">
        <f>VLOOKUP(A17,'תפוקה חודשית מול אשתקד'!A:K,9,0)</f>
        <v>23101.80534358992</v>
      </c>
      <c r="N17" s="58">
        <f>VLOOKUP(A17,'תפוקה חודשית מול אשתקד'!A:K,10,0)</f>
        <v>474863.53256199881</v>
      </c>
      <c r="O17" s="58">
        <f>VLOOKUP(A17,'תפוקה חודשית מול אשתקד'!A:K,11,0)</f>
        <v>-264825.29000000004</v>
      </c>
    </row>
    <row r="18" spans="1:15" x14ac:dyDescent="0.3">
      <c r="A18" s="26" t="s">
        <v>43</v>
      </c>
      <c r="B18" s="26" t="s">
        <v>108</v>
      </c>
      <c r="C18" s="26" t="s">
        <v>106</v>
      </c>
      <c r="D18" s="19">
        <f t="shared" si="0"/>
        <v>-0.71054359452965965</v>
      </c>
      <c r="E18" s="19">
        <f t="shared" si="1"/>
        <v>-4.487727954197307E-2</v>
      </c>
      <c r="F18" s="19">
        <f t="shared" si="2"/>
        <v>-0.46207185246242433</v>
      </c>
      <c r="G18" s="19">
        <f t="shared" si="3"/>
        <v>0.71113790853658587</v>
      </c>
      <c r="H18" s="12">
        <v>255000.00000000003</v>
      </c>
      <c r="I18" s="12">
        <v>29050</v>
      </c>
      <c r="J18" s="12">
        <v>2870000</v>
      </c>
      <c r="K18" s="12">
        <v>820000</v>
      </c>
      <c r="L18" s="58">
        <f>VLOOKUP(A18,'תפוקה חודשית מול אשתקד'!A:K,8,0)</f>
        <v>73811.383394936798</v>
      </c>
      <c r="M18" s="58">
        <f>VLOOKUP(A18,'תפוקה חודשית מול אשתקד'!A:K,9,0)</f>
        <v>27746.315029305682</v>
      </c>
      <c r="N18" s="58">
        <f>VLOOKUP(A18,'תפוקה חודשית מול אשתקד'!A:K,10,0)</f>
        <v>1543853.7834328422</v>
      </c>
      <c r="O18" s="58">
        <f>VLOOKUP(A18,'תפוקה חודשית מול אשתקד'!A:K,11,0)</f>
        <v>1403133.0850000004</v>
      </c>
    </row>
    <row r="19" spans="1:15" x14ac:dyDescent="0.3">
      <c r="A19" s="26" t="s">
        <v>30</v>
      </c>
      <c r="B19" s="26" t="s">
        <v>108</v>
      </c>
      <c r="C19" s="26" t="s">
        <v>106</v>
      </c>
      <c r="D19" s="19">
        <f t="shared" si="0"/>
        <v>1</v>
      </c>
      <c r="E19" s="19">
        <f t="shared" si="1"/>
        <v>1</v>
      </c>
      <c r="F19" s="19">
        <f t="shared" si="2"/>
        <v>0</v>
      </c>
      <c r="G19" s="19">
        <f t="shared" si="3"/>
        <v>0</v>
      </c>
      <c r="H19" s="12">
        <v>0</v>
      </c>
      <c r="I19" s="12">
        <v>0</v>
      </c>
      <c r="J19" s="12">
        <v>0</v>
      </c>
      <c r="K19" s="12">
        <v>0</v>
      </c>
      <c r="L19" s="58">
        <f>VLOOKUP(A19,'תפוקה חודשית מול אשתקד'!A:K,8,0)</f>
        <v>-1198445.6162213662</v>
      </c>
      <c r="M19" s="58">
        <f>VLOOKUP(A19,'תפוקה חודשית מול אשתקד'!A:K,9,0)</f>
        <v>-51743.43243488489</v>
      </c>
      <c r="N19" s="58">
        <f>VLOOKUP(A19,'תפוקה חודשית מול אשתקד'!A:K,10,0)</f>
        <v>0</v>
      </c>
      <c r="O19" s="58">
        <f>VLOOKUP(A19,'תפוקה חודשית מול אשתקד'!A:K,11,0)</f>
        <v>0</v>
      </c>
    </row>
    <row r="20" spans="1:15" x14ac:dyDescent="0.3">
      <c r="A20" s="28" t="s">
        <v>130</v>
      </c>
      <c r="B20" s="26" t="s">
        <v>108</v>
      </c>
      <c r="C20" s="26" t="s">
        <v>106</v>
      </c>
      <c r="D20" s="19">
        <f t="shared" si="0"/>
        <v>0</v>
      </c>
      <c r="E20" s="19">
        <f t="shared" si="1"/>
        <v>0</v>
      </c>
      <c r="F20" s="19">
        <f t="shared" si="2"/>
        <v>0</v>
      </c>
      <c r="G20" s="19">
        <f t="shared" si="3"/>
        <v>0</v>
      </c>
      <c r="H20" s="12"/>
      <c r="I20" s="12"/>
      <c r="J20" s="12"/>
      <c r="K20" s="12"/>
      <c r="L20" s="58">
        <f>VLOOKUP(A20,'תפוקה חודשית מול אשתקד'!A:K,8,0)</f>
        <v>0</v>
      </c>
      <c r="M20" s="58">
        <f>VLOOKUP(A20,'תפוקה חודשית מול אשתקד'!A:K,9,0)</f>
        <v>0</v>
      </c>
      <c r="N20" s="58">
        <f>VLOOKUP(A20,'תפוקה חודשית מול אשתקד'!A:K,10,0)</f>
        <v>0</v>
      </c>
      <c r="O20" s="58">
        <f>VLOOKUP(A20,'תפוקה חודשית מול אשתקד'!A:K,11,0)</f>
        <v>0</v>
      </c>
    </row>
    <row r="21" spans="1:15" x14ac:dyDescent="0.3">
      <c r="A21" s="26" t="s">
        <v>38</v>
      </c>
      <c r="B21" s="26" t="s">
        <v>108</v>
      </c>
      <c r="C21" s="26" t="s">
        <v>106</v>
      </c>
      <c r="D21" s="19">
        <f t="shared" si="0"/>
        <v>0</v>
      </c>
      <c r="E21" s="19">
        <f t="shared" si="1"/>
        <v>0</v>
      </c>
      <c r="F21" s="19">
        <f t="shared" si="2"/>
        <v>0</v>
      </c>
      <c r="G21" s="19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8">
        <f>VLOOKUP(A21,'תפוקה חודשית מול אשתקד'!A:K,8,0)</f>
        <v>0</v>
      </c>
      <c r="M21" s="58">
        <f>VLOOKUP(A21,'תפוקה חודשית מול אשתקד'!A:K,9,0)</f>
        <v>0</v>
      </c>
      <c r="N21" s="58">
        <f>VLOOKUP(A21,'תפוקה חודשית מול אשתקד'!A:K,10,0)</f>
        <v>0</v>
      </c>
      <c r="O21" s="58">
        <f>VLOOKUP(A21,'תפוקה חודשית מול אשתקד'!A:K,11,0)</f>
        <v>0</v>
      </c>
    </row>
    <row r="22" spans="1:15" ht="21.6" thickBot="1" x14ac:dyDescent="0.35">
      <c r="A22" s="16" t="s">
        <v>10</v>
      </c>
      <c r="B22" s="102"/>
      <c r="C22" s="99"/>
      <c r="D22" s="19">
        <f t="shared" si="0"/>
        <v>-2.2600829137376106</v>
      </c>
      <c r="E22" s="19">
        <f t="shared" si="1"/>
        <v>4.5000558099820065E-2</v>
      </c>
      <c r="F22" s="19">
        <f t="shared" si="2"/>
        <v>-0.18601720345940786</v>
      </c>
      <c r="G22" s="19">
        <f t="shared" si="3"/>
        <v>-0.47508481207516973</v>
      </c>
      <c r="H22" s="128">
        <f>SUM(H9:H21)</f>
        <v>663000.00000000012</v>
      </c>
      <c r="I22" s="128">
        <f t="shared" ref="I22:O22" si="5">SUM(I9:I21)</f>
        <v>240700</v>
      </c>
      <c r="J22" s="128">
        <f t="shared" si="5"/>
        <v>4264000</v>
      </c>
      <c r="K22" s="128">
        <f t="shared" si="5"/>
        <v>2501000</v>
      </c>
      <c r="L22" s="128">
        <f t="shared" si="5"/>
        <v>-835434.97180803586</v>
      </c>
      <c r="M22" s="128">
        <f t="shared" si="5"/>
        <v>251531.63433462667</v>
      </c>
      <c r="N22" s="128">
        <f t="shared" si="5"/>
        <v>3470822.644449085</v>
      </c>
      <c r="O22" s="128">
        <f t="shared" si="5"/>
        <v>1312812.8850000005</v>
      </c>
    </row>
    <row r="23" spans="1:15" x14ac:dyDescent="0.3">
      <c r="A23" s="27" t="s">
        <v>11</v>
      </c>
      <c r="B23" s="27" t="s">
        <v>56</v>
      </c>
      <c r="C23" s="27" t="s">
        <v>107</v>
      </c>
      <c r="D23" s="19">
        <f t="shared" si="0"/>
        <v>0.76596756823529288</v>
      </c>
      <c r="E23" s="19">
        <f t="shared" si="1"/>
        <v>4.9559990786676114</v>
      </c>
      <c r="F23" s="19">
        <f t="shared" si="2"/>
        <v>-1.0122195121951219</v>
      </c>
      <c r="G23" s="19">
        <f t="shared" si="3"/>
        <v>-0.39830839024390119</v>
      </c>
      <c r="H23" s="12">
        <v>136000</v>
      </c>
      <c r="I23" s="12">
        <v>14110</v>
      </c>
      <c r="J23" s="12">
        <v>205000</v>
      </c>
      <c r="K23" s="12">
        <v>410000</v>
      </c>
      <c r="L23" s="58">
        <f>VLOOKUP(A23,'תפוקה חודשית מול אשתקד'!A:K,8,0)</f>
        <v>240171.58927999984</v>
      </c>
      <c r="M23" s="58">
        <f>VLOOKUP(A23,'תפוקה חודשית מול אשתקד'!A:K,9,0)</f>
        <v>84039.146999999997</v>
      </c>
      <c r="N23" s="58">
        <f>VLOOKUP(A23,'תפוקה חודשית מול אשתקד'!A:K,10,0)</f>
        <v>-2505</v>
      </c>
      <c r="O23" s="58">
        <f>VLOOKUP(A23,'תפוקה חודשית מול אשתקד'!A:K,11,0)</f>
        <v>246693.56000000052</v>
      </c>
    </row>
    <row r="24" spans="1:15" x14ac:dyDescent="0.3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1</v>
      </c>
      <c r="F24" s="19">
        <f t="shared" si="2"/>
        <v>0</v>
      </c>
      <c r="G24" s="19">
        <f t="shared" si="3"/>
        <v>0</v>
      </c>
      <c r="H24" s="12">
        <v>0</v>
      </c>
      <c r="I24" s="12">
        <v>0</v>
      </c>
      <c r="J24" s="12">
        <v>0</v>
      </c>
      <c r="K24" s="12">
        <v>0</v>
      </c>
      <c r="L24" s="58">
        <f>VLOOKUP(A24,'תפוקה חודשית מול אשתקד'!A:K,8,0)</f>
        <v>0</v>
      </c>
      <c r="M24" s="58">
        <f>VLOOKUP(A24,'תפוקה חודשית מול אשתקד'!A:K,9,0)</f>
        <v>11.864060699732818</v>
      </c>
      <c r="N24" s="58">
        <f>VLOOKUP(A24,'תפוקה חודשית מול אשתקד'!A:K,10,0)</f>
        <v>0</v>
      </c>
      <c r="O24" s="58">
        <f>VLOOKUP(A24,'תפוקה חודשית מול אשתקד'!A:K,11,0)</f>
        <v>0</v>
      </c>
    </row>
    <row r="25" spans="1:15" x14ac:dyDescent="0.3">
      <c r="A25" s="30" t="s">
        <v>13</v>
      </c>
      <c r="B25" s="26" t="s">
        <v>56</v>
      </c>
      <c r="C25" s="27" t="s">
        <v>107</v>
      </c>
      <c r="D25" s="19">
        <f t="shared" si="0"/>
        <v>0.7824309869133943</v>
      </c>
      <c r="E25" s="19">
        <f t="shared" si="1"/>
        <v>-0.76399420866699819</v>
      </c>
      <c r="F25" s="19">
        <f t="shared" si="2"/>
        <v>-0.99937808910532544</v>
      </c>
      <c r="G25" s="19">
        <f t="shared" si="3"/>
        <v>-2.7095109756097564</v>
      </c>
      <c r="H25" s="12">
        <v>8500</v>
      </c>
      <c r="I25" s="12">
        <v>4150</v>
      </c>
      <c r="J25" s="12">
        <v>24600</v>
      </c>
      <c r="K25" s="12">
        <v>8200</v>
      </c>
      <c r="L25" s="58">
        <f>VLOOKUP(A25,'תפוקה חודשית מול אשתקד'!A:K,8,0)</f>
        <v>15150.663388763851</v>
      </c>
      <c r="M25" s="58">
        <f>VLOOKUP(A25,'תפוקה חודשית מול אשתקד'!A:K,9,0)</f>
        <v>979.42403403195749</v>
      </c>
      <c r="N25" s="58">
        <f>VLOOKUP(A25,'תפוקה חודשית מול אשתקד'!A:K,10,0)</f>
        <v>15.299008008993042</v>
      </c>
      <c r="O25" s="58">
        <f>VLOOKUP(A25,'תפוקה חודשית מול אשתקד'!A:K,11,0)</f>
        <v>-14017.99</v>
      </c>
    </row>
    <row r="26" spans="1:15" ht="31.2" x14ac:dyDescent="0.3">
      <c r="A26" s="26" t="s">
        <v>14</v>
      </c>
      <c r="B26" s="26" t="s">
        <v>55</v>
      </c>
      <c r="C26" s="27" t="s">
        <v>107</v>
      </c>
      <c r="D26" s="19">
        <f t="shared" si="0"/>
        <v>0</v>
      </c>
      <c r="E26" s="19">
        <f t="shared" si="1"/>
        <v>0</v>
      </c>
      <c r="F26" s="19">
        <f t="shared" si="2"/>
        <v>0</v>
      </c>
      <c r="G26" s="19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8">
        <f>VLOOKUP(A26,'תפוקה חודשית מול אשתקד'!A:K,8,0)</f>
        <v>0</v>
      </c>
      <c r="M26" s="58">
        <f>VLOOKUP(A26,'תפוקה חודשית מול אשתקד'!A:K,9,0)</f>
        <v>0</v>
      </c>
      <c r="N26" s="58">
        <f>VLOOKUP(A26,'תפוקה חודשית מול אשתקד'!A:K,10,0)</f>
        <v>0</v>
      </c>
      <c r="O26" s="58">
        <f>VLOOKUP(A26,'תפוקה חודשית מול אשתקד'!A:K,11,0)</f>
        <v>0</v>
      </c>
    </row>
    <row r="27" spans="1:15" x14ac:dyDescent="0.3">
      <c r="A27" s="30" t="s">
        <v>15</v>
      </c>
      <c r="B27" s="26" t="s">
        <v>56</v>
      </c>
      <c r="C27" s="27" t="s">
        <v>107</v>
      </c>
      <c r="D27" s="19">
        <f t="shared" si="0"/>
        <v>-0.4112145465873035</v>
      </c>
      <c r="E27" s="19">
        <f t="shared" si="1"/>
        <v>-0.19680453534136533</v>
      </c>
      <c r="F27" s="19">
        <f t="shared" si="2"/>
        <v>-5.7961146341463543E-2</v>
      </c>
      <c r="G27" s="19">
        <f t="shared" si="3"/>
        <v>0.83858969512195181</v>
      </c>
      <c r="H27" s="12">
        <v>212500.00000000003</v>
      </c>
      <c r="I27" s="12">
        <v>24900</v>
      </c>
      <c r="J27" s="12">
        <v>246000</v>
      </c>
      <c r="K27" s="12">
        <v>328000</v>
      </c>
      <c r="L27" s="58">
        <f>VLOOKUP(A27,'תפוקה חודשית מול אשתקד'!A:K,8,0)</f>
        <v>125116.90885019803</v>
      </c>
      <c r="M27" s="58">
        <f>VLOOKUP(A27,'תפוקה חודשית מול אשתקד'!A:K,9,0)</f>
        <v>19999.567070000005</v>
      </c>
      <c r="N27" s="58">
        <f>VLOOKUP(A27,'תפוקה חודשית מול אשתקד'!A:K,10,0)</f>
        <v>231741.55799999996</v>
      </c>
      <c r="O27" s="58">
        <f>VLOOKUP(A27,'תפוקה חודשית מול אשתקד'!A:K,11,0)</f>
        <v>603057.42000000016</v>
      </c>
    </row>
    <row r="28" spans="1:15" x14ac:dyDescent="0.3">
      <c r="A28" s="30" t="s">
        <v>17</v>
      </c>
      <c r="B28" s="26" t="s">
        <v>56</v>
      </c>
      <c r="C28" s="27" t="s">
        <v>107</v>
      </c>
      <c r="D28" s="19">
        <f t="shared" si="0"/>
        <v>0.41740553707225736</v>
      </c>
      <c r="E28" s="19">
        <f t="shared" si="1"/>
        <v>-1.0123221260153388</v>
      </c>
      <c r="F28" s="19">
        <f t="shared" si="2"/>
        <v>11.195399838243711</v>
      </c>
      <c r="G28" s="19">
        <f t="shared" si="3"/>
        <v>-0.99997865853658496</v>
      </c>
      <c r="H28" s="12">
        <v>25500.000000000004</v>
      </c>
      <c r="I28" s="12">
        <v>16600</v>
      </c>
      <c r="J28" s="12">
        <v>8200</v>
      </c>
      <c r="K28" s="12">
        <v>16400</v>
      </c>
      <c r="L28" s="58">
        <f>VLOOKUP(A28,'תפוקה חודשית מול אשתקד'!A:K,8,0)</f>
        <v>36143.841195342568</v>
      </c>
      <c r="M28" s="58">
        <f>VLOOKUP(A28,'תפוקה חודשית מול אשתקד'!A:K,9,0)</f>
        <v>-204.54729185462202</v>
      </c>
      <c r="N28" s="58">
        <f>VLOOKUP(A28,'תפוקה חודשית מול אשתקד'!A:K,10,0)</f>
        <v>100002.27867359843</v>
      </c>
      <c r="O28" s="58">
        <f>VLOOKUP(A28,'תפוקה חודשית מול אשתקד'!A:K,11,0)</f>
        <v>0.35000000000582077</v>
      </c>
    </row>
    <row r="29" spans="1:15" x14ac:dyDescent="0.3">
      <c r="A29" s="30" t="s">
        <v>18</v>
      </c>
      <c r="B29" s="26" t="s">
        <v>56</v>
      </c>
      <c r="C29" s="27" t="s">
        <v>107</v>
      </c>
      <c r="D29" s="19">
        <f t="shared" si="0"/>
        <v>-0.97915372549019619</v>
      </c>
      <c r="E29" s="19">
        <f t="shared" si="1"/>
        <v>-1.2079626779116466</v>
      </c>
      <c r="F29" s="19">
        <f t="shared" si="2"/>
        <v>-0.58514528455284576</v>
      </c>
      <c r="G29" s="19">
        <f t="shared" si="3"/>
        <v>-0.99287479674796753</v>
      </c>
      <c r="H29" s="12">
        <v>25500.000000000004</v>
      </c>
      <c r="I29" s="12">
        <v>12450</v>
      </c>
      <c r="J29" s="12">
        <v>123000</v>
      </c>
      <c r="K29" s="12">
        <v>24600</v>
      </c>
      <c r="L29" s="58">
        <f>VLOOKUP(A29,'תפוקה חודשית מול אשתקד'!A:K,8,0)</f>
        <v>531.57999999999811</v>
      </c>
      <c r="M29" s="58">
        <f>VLOOKUP(A29,'תפוקה חודשית מול אשתקד'!A:K,9,0)</f>
        <v>-2589.1353400000007</v>
      </c>
      <c r="N29" s="58">
        <f>VLOOKUP(A29,'תפוקה חודשית מול אשתקד'!A:K,10,0)</f>
        <v>51027.129999999976</v>
      </c>
      <c r="O29" s="58">
        <f>VLOOKUP(A29,'תפוקה חודשית מול אשתקד'!A:K,11,0)</f>
        <v>175.27999999999884</v>
      </c>
    </row>
    <row r="30" spans="1:15" x14ac:dyDescent="0.3">
      <c r="A30" s="26" t="s">
        <v>19</v>
      </c>
      <c r="B30" s="26" t="s">
        <v>56</v>
      </c>
      <c r="C30" s="27" t="s">
        <v>107</v>
      </c>
      <c r="D30" s="19">
        <f t="shared" si="0"/>
        <v>-0.74917426911961493</v>
      </c>
      <c r="E30" s="19">
        <f t="shared" si="1"/>
        <v>-0.14609156626505992</v>
      </c>
      <c r="F30" s="19">
        <f t="shared" si="2"/>
        <v>0.26521788617886122</v>
      </c>
      <c r="G30" s="19">
        <f t="shared" si="3"/>
        <v>-1.4132722195121947</v>
      </c>
      <c r="H30" s="12">
        <v>148750</v>
      </c>
      <c r="I30" s="12">
        <v>12450</v>
      </c>
      <c r="J30" s="12">
        <v>246000</v>
      </c>
      <c r="K30" s="12">
        <v>410000</v>
      </c>
      <c r="L30" s="58">
        <f>VLOOKUP(A30,'תפוקה חודשית מול אשתקד'!A:K,8,0)</f>
        <v>37310.327468457283</v>
      </c>
      <c r="M30" s="58">
        <f>VLOOKUP(A30,'תפוקה חודשית מול אשתקד'!A:K,9,0)</f>
        <v>10631.160000000003</v>
      </c>
      <c r="N30" s="58">
        <f>VLOOKUP(A30,'תפוקה חודשית מול אשתקד'!A:K,10,0)</f>
        <v>311243.59999999986</v>
      </c>
      <c r="O30" s="58">
        <f>VLOOKUP(A30,'תפוקה חודשית מול אשתקד'!A:K,11,0)</f>
        <v>-169441.60999999987</v>
      </c>
    </row>
    <row r="31" spans="1:15" x14ac:dyDescent="0.3">
      <c r="A31" s="26" t="s">
        <v>20</v>
      </c>
      <c r="B31" s="26" t="s">
        <v>56</v>
      </c>
      <c r="C31" s="27" t="s">
        <v>107</v>
      </c>
      <c r="D31" s="19">
        <f t="shared" si="0"/>
        <v>0.17733264860905962</v>
      </c>
      <c r="E31" s="19">
        <f t="shared" si="1"/>
        <v>-0.4125859496237877</v>
      </c>
      <c r="F31" s="19">
        <f t="shared" si="2"/>
        <v>-0.69849085365853658</v>
      </c>
      <c r="G31" s="19">
        <f t="shared" si="3"/>
        <v>-10.568381170731705</v>
      </c>
      <c r="H31" s="12">
        <v>85000</v>
      </c>
      <c r="I31" s="12">
        <v>16600</v>
      </c>
      <c r="J31" s="12">
        <v>328000</v>
      </c>
      <c r="K31" s="12">
        <v>205000</v>
      </c>
      <c r="L31" s="58">
        <f>VLOOKUP(A31,'תפוקה חודשית מול אשתקד'!A:K,8,0)</f>
        <v>100073.27513177006</v>
      </c>
      <c r="M31" s="58">
        <f>VLOOKUP(A31,'תפוקה חודשית מול אשתקד'!A:K,9,0)</f>
        <v>9751.0732362451236</v>
      </c>
      <c r="N31" s="58">
        <f>VLOOKUP(A31,'תפוקה חודשית מול אשתקד'!A:K,10,0)</f>
        <v>98895</v>
      </c>
      <c r="O31" s="58">
        <f>VLOOKUP(A31,'תפוקה חודשית מול אשתקד'!A:K,11,0)</f>
        <v>-1961518.1399999994</v>
      </c>
    </row>
    <row r="32" spans="1:15" x14ac:dyDescent="0.3">
      <c r="A32" s="26" t="s">
        <v>21</v>
      </c>
      <c r="B32" s="26" t="s">
        <v>56</v>
      </c>
      <c r="C32" s="27" t="s">
        <v>107</v>
      </c>
      <c r="D32" s="19">
        <f t="shared" si="0"/>
        <v>0</v>
      </c>
      <c r="E32" s="19">
        <f t="shared" si="1"/>
        <v>1</v>
      </c>
      <c r="F32" s="19">
        <f t="shared" si="2"/>
        <v>0</v>
      </c>
      <c r="G32" s="19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8">
        <f>VLOOKUP(A32,'תפוקה חודשית מול אשתקד'!A:K,8,0)</f>
        <v>0</v>
      </c>
      <c r="M32" s="58">
        <f>VLOOKUP(A32,'תפוקה חודשית מול אשתקד'!A:K,9,0)</f>
        <v>2.9999999999999361E-2</v>
      </c>
      <c r="N32" s="58">
        <f>VLOOKUP(A32,'תפוקה חודשית מול אשתקד'!A:K,10,0)</f>
        <v>0</v>
      </c>
      <c r="O32" s="58">
        <f>VLOOKUP(A32,'תפוקה חודשית מול אשתקד'!A:K,11,0)</f>
        <v>0</v>
      </c>
    </row>
    <row r="33" spans="1:15" x14ac:dyDescent="0.3">
      <c r="A33" s="26" t="s">
        <v>22</v>
      </c>
      <c r="B33" s="26" t="s">
        <v>56</v>
      </c>
      <c r="C33" s="27" t="s">
        <v>107</v>
      </c>
      <c r="D33" s="19">
        <f t="shared" si="0"/>
        <v>1</v>
      </c>
      <c r="E33" s="19">
        <f t="shared" si="1"/>
        <v>1</v>
      </c>
      <c r="F33" s="19">
        <f t="shared" si="2"/>
        <v>1</v>
      </c>
      <c r="G33" s="19">
        <f t="shared" si="3"/>
        <v>1</v>
      </c>
      <c r="H33" s="12">
        <v>0</v>
      </c>
      <c r="I33" s="12">
        <v>0</v>
      </c>
      <c r="J33" s="12">
        <v>0</v>
      </c>
      <c r="K33" s="12">
        <v>0</v>
      </c>
      <c r="L33" s="58">
        <f>VLOOKUP(A33,'תפוקה חודשית מול אשתקד'!A:K,8,0)</f>
        <v>667.10048150350485</v>
      </c>
      <c r="M33" s="58">
        <f>VLOOKUP(A33,'תפוקה חודשית מול אשתקד'!A:K,9,0)</f>
        <v>12.364324851865604</v>
      </c>
      <c r="N33" s="58">
        <f>VLOOKUP(A33,'תפוקה חודשית מול אשתקד'!A:K,10,0)</f>
        <v>-1854.5027451142378</v>
      </c>
      <c r="O33" s="58">
        <f>VLOOKUP(A33,'תפוקה חודשית מול אשתקד'!A:K,11,0)</f>
        <v>14254.46</v>
      </c>
    </row>
    <row r="34" spans="1:15" x14ac:dyDescent="0.3">
      <c r="A34" s="26" t="s">
        <v>23</v>
      </c>
      <c r="B34" s="26" t="s">
        <v>56</v>
      </c>
      <c r="C34" s="27" t="s">
        <v>107</v>
      </c>
      <c r="D34" s="19">
        <f t="shared" si="0"/>
        <v>0</v>
      </c>
      <c r="E34" s="19">
        <f t="shared" si="1"/>
        <v>0</v>
      </c>
      <c r="F34" s="19">
        <f t="shared" si="2"/>
        <v>0</v>
      </c>
      <c r="G34" s="19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8">
        <f>VLOOKUP(A34,'תפוקה חודשית מול אשתקד'!A:K,8,0)</f>
        <v>0</v>
      </c>
      <c r="M34" s="58">
        <f>VLOOKUP(A34,'תפוקה חודשית מול אשתקד'!A:K,9,0)</f>
        <v>0</v>
      </c>
      <c r="N34" s="58">
        <f>VLOOKUP(A34,'תפוקה חודשית מול אשתקד'!A:K,10,0)</f>
        <v>0</v>
      </c>
      <c r="O34" s="58">
        <f>VLOOKUP(A34,'תפוקה חודשית מול אשתקד'!A:K,11,0)</f>
        <v>0</v>
      </c>
    </row>
    <row r="35" spans="1:15" x14ac:dyDescent="0.3">
      <c r="A35" s="26" t="s">
        <v>24</v>
      </c>
      <c r="B35" s="26" t="s">
        <v>56</v>
      </c>
      <c r="C35" s="27" t="s">
        <v>107</v>
      </c>
      <c r="D35" s="19">
        <f t="shared" si="0"/>
        <v>0</v>
      </c>
      <c r="E35" s="19">
        <f t="shared" si="1"/>
        <v>1</v>
      </c>
      <c r="F35" s="19">
        <f t="shared" si="2"/>
        <v>0</v>
      </c>
      <c r="G35" s="19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8">
        <f>VLOOKUP(A35,'תפוקה חודשית מול אשתקד'!A:K,8,0)</f>
        <v>0</v>
      </c>
      <c r="M35" s="58">
        <f>VLOOKUP(A35,'תפוקה חודשית מול אשתקד'!A:K,9,0)</f>
        <v>19.908999999999651</v>
      </c>
      <c r="N35" s="58">
        <f>VLOOKUP(A35,'תפוקה חודשית מול אשתקד'!A:K,10,0)</f>
        <v>0</v>
      </c>
      <c r="O35" s="58">
        <f>VLOOKUP(A35,'תפוקה חודשית מול אשתקד'!A:K,11,0)</f>
        <v>0</v>
      </c>
    </row>
    <row r="36" spans="1:15" x14ac:dyDescent="0.3">
      <c r="A36" s="30" t="s">
        <v>25</v>
      </c>
      <c r="B36" s="26" t="s">
        <v>56</v>
      </c>
      <c r="C36" s="27" t="s">
        <v>107</v>
      </c>
      <c r="D36" s="19">
        <f t="shared" si="0"/>
        <v>0.3134428765842634</v>
      </c>
      <c r="E36" s="19">
        <f t="shared" si="1"/>
        <v>1.0903421086752059</v>
      </c>
      <c r="F36" s="19">
        <f t="shared" si="2"/>
        <v>0.91346550222183964</v>
      </c>
      <c r="G36" s="19">
        <f t="shared" si="3"/>
        <v>0.10851115853658588</v>
      </c>
      <c r="H36" s="12">
        <v>212500.00000000003</v>
      </c>
      <c r="I36" s="12">
        <v>37350</v>
      </c>
      <c r="J36" s="12">
        <v>492000</v>
      </c>
      <c r="K36" s="12">
        <v>328000</v>
      </c>
      <c r="L36" s="58">
        <f>VLOOKUP(A36,'תפוקה חודשית מול אשתקד'!A:K,8,0)</f>
        <v>279106.61127415602</v>
      </c>
      <c r="M36" s="58">
        <f>VLOOKUP(A36,'תפוקה חודשית מול אשתקד'!A:K,9,0)</f>
        <v>78074.277759018936</v>
      </c>
      <c r="N36" s="58">
        <f>VLOOKUP(A36,'תפוקה חודשית מול אשתקד'!A:K,10,0)</f>
        <v>941425.02709314507</v>
      </c>
      <c r="O36" s="58">
        <f>VLOOKUP(A36,'תפוקה חודשית מול אשתקד'!A:K,11,0)</f>
        <v>363591.66000000015</v>
      </c>
    </row>
    <row r="37" spans="1:15" x14ac:dyDescent="0.3">
      <c r="A37" s="26" t="s">
        <v>26</v>
      </c>
      <c r="B37" s="26" t="s">
        <v>56</v>
      </c>
      <c r="C37" s="27" t="s">
        <v>107</v>
      </c>
      <c r="D37" s="19">
        <f t="shared" si="0"/>
        <v>0</v>
      </c>
      <c r="E37" s="19">
        <f t="shared" si="1"/>
        <v>0</v>
      </c>
      <c r="F37" s="19">
        <f t="shared" si="2"/>
        <v>0</v>
      </c>
      <c r="G37" s="19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8">
        <f>VLOOKUP(A37,'תפוקה חודשית מול אשתקד'!A:K,8,0)</f>
        <v>0</v>
      </c>
      <c r="M37" s="58">
        <f>VLOOKUP(A37,'תפוקה חודשית מול אשתקד'!A:K,9,0)</f>
        <v>0</v>
      </c>
      <c r="N37" s="58">
        <f>VLOOKUP(A37,'תפוקה חודשית מול אשתקד'!A:K,10,0)</f>
        <v>0</v>
      </c>
      <c r="O37" s="58">
        <f>VLOOKUP(A37,'תפוקה חודשית מול אשתקד'!A:K,11,0)</f>
        <v>0</v>
      </c>
    </row>
    <row r="38" spans="1:15" x14ac:dyDescent="0.3">
      <c r="A38" s="26" t="s">
        <v>27</v>
      </c>
      <c r="B38" s="26" t="s">
        <v>56</v>
      </c>
      <c r="C38" s="27" t="s">
        <v>107</v>
      </c>
      <c r="D38" s="19">
        <f t="shared" si="0"/>
        <v>0</v>
      </c>
      <c r="E38" s="19">
        <f t="shared" si="1"/>
        <v>1</v>
      </c>
      <c r="F38" s="19">
        <f t="shared" si="2"/>
        <v>1</v>
      </c>
      <c r="G38" s="19">
        <f t="shared" si="3"/>
        <v>0</v>
      </c>
      <c r="H38" s="12">
        <v>0</v>
      </c>
      <c r="I38" s="12">
        <v>0</v>
      </c>
      <c r="J38" s="12">
        <v>0</v>
      </c>
      <c r="K38" s="12">
        <v>0</v>
      </c>
      <c r="L38" s="58">
        <f>VLOOKUP(A38,'תפוקה חודשית מול אשתקד'!A:K,8,0)</f>
        <v>0</v>
      </c>
      <c r="M38" s="58">
        <f>VLOOKUP(A38,'תפוקה חודשית מול אשתקד'!A:K,9,0)</f>
        <v>-10.233999999999924</v>
      </c>
      <c r="N38" s="58">
        <f>VLOOKUP(A38,'תפוקה חודשית מול אשתקד'!A:K,10,0)</f>
        <v>1000</v>
      </c>
      <c r="O38" s="58">
        <f>VLOOKUP(A38,'תפוקה חודשית מול אשתקד'!A:K,11,0)</f>
        <v>0</v>
      </c>
    </row>
    <row r="39" spans="1:15" x14ac:dyDescent="0.3">
      <c r="A39" s="26" t="s">
        <v>28</v>
      </c>
      <c r="B39" s="26" t="s">
        <v>56</v>
      </c>
      <c r="C39" s="27" t="s">
        <v>107</v>
      </c>
      <c r="D39" s="19">
        <f t="shared" si="0"/>
        <v>1</v>
      </c>
      <c r="E39" s="19">
        <f t="shared" si="1"/>
        <v>0</v>
      </c>
      <c r="F39" s="19">
        <f t="shared" si="2"/>
        <v>0</v>
      </c>
      <c r="G39" s="19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8">
        <f>VLOOKUP(A39,'תפוקה חודשית מול אשתקד'!A:K,8,0)</f>
        <v>25839.297965907223</v>
      </c>
      <c r="M39" s="58">
        <f>VLOOKUP(A39,'תפוקה חודשית מול אשתקד'!A:K,9,0)</f>
        <v>0</v>
      </c>
      <c r="N39" s="58">
        <f>VLOOKUP(A39,'תפוקה חודשית מול אשתקד'!A:K,10,0)</f>
        <v>0</v>
      </c>
      <c r="O39" s="58">
        <f>VLOOKUP(A39,'תפוקה חודשית מול אשתקד'!A:K,11,0)</f>
        <v>0</v>
      </c>
    </row>
    <row r="40" spans="1:15" x14ac:dyDescent="0.3">
      <c r="A40" s="26" t="s">
        <v>29</v>
      </c>
      <c r="B40" s="26" t="s">
        <v>56</v>
      </c>
      <c r="C40" s="27" t="s">
        <v>107</v>
      </c>
      <c r="D40" s="19">
        <f t="shared" si="0"/>
        <v>1</v>
      </c>
      <c r="E40" s="19">
        <f t="shared" si="1"/>
        <v>-0.99066265060240966</v>
      </c>
      <c r="F40" s="19">
        <f t="shared" si="2"/>
        <v>1</v>
      </c>
      <c r="G40" s="19">
        <f t="shared" si="3"/>
        <v>1</v>
      </c>
      <c r="H40" s="12">
        <v>0</v>
      </c>
      <c r="I40" s="12">
        <v>830</v>
      </c>
      <c r="J40" s="12">
        <v>0</v>
      </c>
      <c r="K40" s="12">
        <v>0</v>
      </c>
      <c r="L40" s="58">
        <f>VLOOKUP(A40,'תפוקה חודשית מול אשתקד'!A:K,8,0)</f>
        <v>-1817.5699999999997</v>
      </c>
      <c r="M40" s="58">
        <f>VLOOKUP(A40,'תפוקה חודשית מול אשתקד'!A:K,9,0)</f>
        <v>7.75</v>
      </c>
      <c r="N40" s="58">
        <f>VLOOKUP(A40,'תפוקה חודשית מול אשתקד'!A:K,10,0)</f>
        <v>338.55999999999767</v>
      </c>
      <c r="O40" s="58">
        <f>VLOOKUP(A40,'תפוקה חודשית מול אשתקד'!A:K,11,0)</f>
        <v>682.11999999999534</v>
      </c>
    </row>
    <row r="41" spans="1:15" ht="31.2" x14ac:dyDescent="0.3">
      <c r="A41" s="26" t="s">
        <v>98</v>
      </c>
      <c r="B41" s="26" t="s">
        <v>55</v>
      </c>
      <c r="C41" s="27" t="s">
        <v>107</v>
      </c>
      <c r="D41" s="19">
        <f t="shared" si="0"/>
        <v>-0.99696882352941174</v>
      </c>
      <c r="E41" s="19">
        <f t="shared" si="1"/>
        <v>-1.8390975903614457</v>
      </c>
      <c r="F41" s="19">
        <f t="shared" si="2"/>
        <v>0</v>
      </c>
      <c r="G41" s="19">
        <f t="shared" si="3"/>
        <v>0</v>
      </c>
      <c r="H41" s="12">
        <v>34000</v>
      </c>
      <c r="I41" s="12">
        <v>8300</v>
      </c>
      <c r="J41" s="12">
        <v>82000</v>
      </c>
      <c r="K41" s="12">
        <v>82000</v>
      </c>
      <c r="L41" s="58">
        <f>VLOOKUP(A41,'תפוקה חודשית מול אשתקד'!A:K,8,0)</f>
        <v>103.06000000000131</v>
      </c>
      <c r="M41" s="58">
        <f>VLOOKUP(A41,'תפוקה חודשית מול אשתקד'!A:K,9,0)</f>
        <v>-6964.51</v>
      </c>
      <c r="N41" s="58">
        <f>VLOOKUP(A41,'תפוקה חודשית מול אשתקד'!A:K,10,0)</f>
        <v>0</v>
      </c>
      <c r="O41" s="58">
        <f>VLOOKUP(A41,'תפוקה חודשית מול אשתקד'!A:K,11,0)</f>
        <v>0</v>
      </c>
    </row>
    <row r="42" spans="1:15" ht="31.2" x14ac:dyDescent="0.3">
      <c r="A42" s="26" t="s">
        <v>32</v>
      </c>
      <c r="B42" s="26" t="s">
        <v>55</v>
      </c>
      <c r="C42" s="27" t="s">
        <v>107</v>
      </c>
      <c r="D42" s="19">
        <f t="shared" si="0"/>
        <v>0</v>
      </c>
      <c r="E42" s="19">
        <f t="shared" si="1"/>
        <v>0</v>
      </c>
      <c r="F42" s="19">
        <f t="shared" si="2"/>
        <v>0</v>
      </c>
      <c r="G42" s="19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8">
        <f>VLOOKUP(A42,'תפוקה חודשית מול אשתקד'!A:K,8,0)</f>
        <v>0</v>
      </c>
      <c r="M42" s="58">
        <f>VLOOKUP(A42,'תפוקה חודשית מול אשתקד'!A:K,9,0)</f>
        <v>0</v>
      </c>
      <c r="N42" s="58">
        <f>VLOOKUP(A42,'תפוקה חודשית מול אשתקד'!A:K,10,0)</f>
        <v>0</v>
      </c>
      <c r="O42" s="58">
        <f>VLOOKUP(A42,'תפוקה חודשית מול אשתקד'!A:K,11,0)</f>
        <v>0</v>
      </c>
    </row>
    <row r="43" spans="1:15" x14ac:dyDescent="0.3">
      <c r="A43" s="30" t="s">
        <v>95</v>
      </c>
      <c r="B43" s="26" t="s">
        <v>56</v>
      </c>
      <c r="C43" s="27" t="s">
        <v>107</v>
      </c>
      <c r="D43" s="19">
        <f t="shared" si="0"/>
        <v>1</v>
      </c>
      <c r="E43" s="19">
        <f t="shared" si="1"/>
        <v>1</v>
      </c>
      <c r="F43" s="19">
        <f t="shared" si="2"/>
        <v>1</v>
      </c>
      <c r="G43" s="19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8">
        <f>VLOOKUP(A43,'תפוקה חודשית מול אשתקד'!A:K,8,0)</f>
        <v>121611.49398763978</v>
      </c>
      <c r="M43" s="58">
        <f>VLOOKUP(A43,'תפוקה חודשית מול אשתקד'!A:K,9,0)</f>
        <v>13295.036248526492</v>
      </c>
      <c r="N43" s="58">
        <f>VLOOKUP(A43,'תפוקה חודשית מול אשתקד'!A:K,10,0)</f>
        <v>330144.10189344949</v>
      </c>
      <c r="O43" s="58">
        <f>VLOOKUP(A43,'תפוקה חודשית מול אשתקד'!A:K,11,0)</f>
        <v>757967.29999999993</v>
      </c>
    </row>
    <row r="44" spans="1:15" x14ac:dyDescent="0.3">
      <c r="A44" s="26" t="s">
        <v>83</v>
      </c>
      <c r="B44" s="26" t="s">
        <v>56</v>
      </c>
      <c r="C44" s="27" t="s">
        <v>107</v>
      </c>
      <c r="D44" s="19">
        <f t="shared" si="0"/>
        <v>0</v>
      </c>
      <c r="E44" s="19">
        <f t="shared" si="1"/>
        <v>-0.98928254480309907</v>
      </c>
      <c r="F44" s="19">
        <f t="shared" si="2"/>
        <v>0</v>
      </c>
      <c r="G44" s="19">
        <f t="shared" si="3"/>
        <v>0</v>
      </c>
      <c r="H44" s="12">
        <v>25500.000000000004</v>
      </c>
      <c r="I44" s="12">
        <v>6640</v>
      </c>
      <c r="J44" s="12">
        <v>24600</v>
      </c>
      <c r="K44" s="12">
        <v>24600</v>
      </c>
      <c r="L44" s="58">
        <f>VLOOKUP(A44,'תפוקה חודשית מול אשתקד'!A:K,8,0)</f>
        <v>0</v>
      </c>
      <c r="M44" s="58">
        <f>VLOOKUP(A44,'תפוקה חודשית מול אשתקד'!A:K,9,0)</f>
        <v>71.163902507421881</v>
      </c>
      <c r="N44" s="58">
        <f>VLOOKUP(A44,'תפוקה חודשית מול אשתקד'!A:K,10,0)</f>
        <v>0</v>
      </c>
      <c r="O44" s="58">
        <f>VLOOKUP(A44,'תפוקה חודשית מול אשתקד'!A:K,11,0)</f>
        <v>0</v>
      </c>
    </row>
    <row r="45" spans="1:15" x14ac:dyDescent="0.3">
      <c r="A45" s="26" t="s">
        <v>82</v>
      </c>
      <c r="B45" s="26" t="s">
        <v>56</v>
      </c>
      <c r="C45" s="27" t="s">
        <v>107</v>
      </c>
      <c r="D45" s="19">
        <f t="shared" si="0"/>
        <v>-0.98812269529205732</v>
      </c>
      <c r="E45" s="19">
        <f t="shared" si="1"/>
        <v>0.58922031211360304</v>
      </c>
      <c r="F45" s="19">
        <f t="shared" si="2"/>
        <v>3.4232926829268289</v>
      </c>
      <c r="G45" s="19">
        <f t="shared" si="3"/>
        <v>1.8767115853658507</v>
      </c>
      <c r="H45" s="12">
        <v>4250</v>
      </c>
      <c r="I45" s="12">
        <v>4150</v>
      </c>
      <c r="J45" s="12">
        <v>24600</v>
      </c>
      <c r="K45" s="12">
        <v>16400</v>
      </c>
      <c r="L45" s="58">
        <f>VLOOKUP(A45,'תפוקה חודשית מול אשתקד'!A:K,8,0)</f>
        <v>50.478545008756555</v>
      </c>
      <c r="M45" s="58">
        <f>VLOOKUP(A45,'תפוקה חודשית מול אשתקד'!A:K,9,0)</f>
        <v>6595.2642952714523</v>
      </c>
      <c r="N45" s="58">
        <f>VLOOKUP(A45,'תפוקה חודשית מול אשתקד'!A:K,10,0)</f>
        <v>108813</v>
      </c>
      <c r="O45" s="58">
        <f>VLOOKUP(A45,'תפוקה חודשית מול אשתקד'!A:K,11,0)</f>
        <v>47178.069999999949</v>
      </c>
    </row>
    <row r="46" spans="1:15" ht="31.2" x14ac:dyDescent="0.3">
      <c r="A46" s="26" t="s">
        <v>36</v>
      </c>
      <c r="B46" s="26" t="s">
        <v>55</v>
      </c>
      <c r="C46" s="27" t="s">
        <v>107</v>
      </c>
      <c r="D46" s="19">
        <f t="shared" si="0"/>
        <v>0</v>
      </c>
      <c r="E46" s="19">
        <f t="shared" si="1"/>
        <v>0</v>
      </c>
      <c r="F46" s="19">
        <f t="shared" si="2"/>
        <v>0</v>
      </c>
      <c r="G46" s="19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8">
        <f>VLOOKUP(A46,'תפוקה חודשית מול אשתקד'!A:K,8,0)</f>
        <v>0</v>
      </c>
      <c r="M46" s="58">
        <f>VLOOKUP(A46,'תפוקה חודשית מול אשתקד'!A:K,9,0)</f>
        <v>0</v>
      </c>
      <c r="N46" s="58">
        <f>VLOOKUP(A46,'תפוקה חודשית מול אשתקד'!A:K,10,0)</f>
        <v>0</v>
      </c>
      <c r="O46" s="58">
        <f>VLOOKUP(A46,'תפוקה חודשית מול אשתקד'!A:K,11,0)</f>
        <v>0</v>
      </c>
    </row>
    <row r="47" spans="1:15" ht="31.2" x14ac:dyDescent="0.3">
      <c r="A47" s="26" t="s">
        <v>94</v>
      </c>
      <c r="B47" s="26" t="s">
        <v>55</v>
      </c>
      <c r="C47" s="27" t="s">
        <v>107</v>
      </c>
      <c r="D47" s="19">
        <f t="shared" si="0"/>
        <v>0</v>
      </c>
      <c r="E47" s="19">
        <f t="shared" si="1"/>
        <v>1</v>
      </c>
      <c r="F47" s="19">
        <f t="shared" si="2"/>
        <v>0</v>
      </c>
      <c r="G47" s="19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8">
        <f>VLOOKUP(A47,'תפוקה חודשית מול אשתקד'!A:K,8,0)</f>
        <v>0</v>
      </c>
      <c r="M47" s="58">
        <f>VLOOKUP(A47,'תפוקה חודשית מול אשתקד'!A:K,9,0)</f>
        <v>2305.5</v>
      </c>
      <c r="N47" s="58">
        <f>VLOOKUP(A47,'תפוקה חודשית מול אשתקד'!A:K,10,0)</f>
        <v>0</v>
      </c>
      <c r="O47" s="58">
        <f>VLOOKUP(A47,'תפוקה חודשית מול אשתקד'!A:K,11,0)</f>
        <v>0</v>
      </c>
    </row>
    <row r="48" spans="1:15" x14ac:dyDescent="0.3">
      <c r="A48" s="28" t="s">
        <v>85</v>
      </c>
      <c r="B48" s="26" t="s">
        <v>56</v>
      </c>
      <c r="C48" s="27" t="s">
        <v>107</v>
      </c>
      <c r="D48" s="19">
        <f t="shared" si="0"/>
        <v>0</v>
      </c>
      <c r="E48" s="19">
        <f t="shared" si="1"/>
        <v>-0.99599060240963855</v>
      </c>
      <c r="F48" s="19">
        <f t="shared" si="2"/>
        <v>0</v>
      </c>
      <c r="G48" s="19">
        <f t="shared" si="3"/>
        <v>0</v>
      </c>
      <c r="H48" s="12">
        <v>4250</v>
      </c>
      <c r="I48" s="12">
        <v>4150</v>
      </c>
      <c r="J48" s="12">
        <v>41000</v>
      </c>
      <c r="K48" s="12">
        <v>16400</v>
      </c>
      <c r="L48" s="58">
        <f>VLOOKUP(A48,'תפוקה חודשית מול אשתקד'!A:K,8,0)</f>
        <v>0</v>
      </c>
      <c r="M48" s="58">
        <f>VLOOKUP(A48,'תפוקה חודשית מול אשתקד'!A:K,9,0)</f>
        <v>16.639000000000124</v>
      </c>
      <c r="N48" s="58">
        <f>VLOOKUP(A48,'תפוקה חודשית מול אשתקד'!A:K,10,0)</f>
        <v>0</v>
      </c>
      <c r="O48" s="58">
        <f>VLOOKUP(A48,'תפוקה חודשית מול אשתקד'!A:K,11,0)</f>
        <v>0</v>
      </c>
    </row>
    <row r="49" spans="1:15" x14ac:dyDescent="0.3">
      <c r="A49" s="28" t="s">
        <v>87</v>
      </c>
      <c r="B49" s="26" t="s">
        <v>56</v>
      </c>
      <c r="C49" s="27" t="s">
        <v>107</v>
      </c>
      <c r="D49" s="19">
        <f t="shared" si="0"/>
        <v>-0.17124870588235297</v>
      </c>
      <c r="E49" s="19">
        <f t="shared" si="1"/>
        <v>-1.002890843373494</v>
      </c>
      <c r="F49" s="19">
        <f t="shared" si="2"/>
        <v>-0.77805993902439075</v>
      </c>
      <c r="G49" s="19">
        <f t="shared" si="3"/>
        <v>0</v>
      </c>
      <c r="H49" s="12">
        <v>8500</v>
      </c>
      <c r="I49" s="12">
        <v>4150</v>
      </c>
      <c r="J49" s="12">
        <v>164000</v>
      </c>
      <c r="K49" s="12">
        <v>41000</v>
      </c>
      <c r="L49" s="58">
        <f>VLOOKUP(A49,'תפוקה חודשית מול אשתקד'!A:K,8,0)</f>
        <v>7044.3859999999995</v>
      </c>
      <c r="M49" s="58">
        <f>VLOOKUP(A49,'תפוקה חודשית מול אשתקד'!A:K,9,0)</f>
        <v>-11.996999999999844</v>
      </c>
      <c r="N49" s="58">
        <f>VLOOKUP(A49,'תפוקה חודשית מול אשתקד'!A:K,10,0)</f>
        <v>36398.169999999925</v>
      </c>
      <c r="O49" s="58">
        <f>VLOOKUP(A49,'תפוקה חודשית מול אשתקד'!A:K,11,0)</f>
        <v>0</v>
      </c>
    </row>
    <row r="50" spans="1:15" x14ac:dyDescent="0.3">
      <c r="A50" s="26" t="s">
        <v>97</v>
      </c>
      <c r="B50" s="26" t="s">
        <v>56</v>
      </c>
      <c r="C50" s="26" t="s">
        <v>107</v>
      </c>
      <c r="D50" s="19">
        <f t="shared" si="0"/>
        <v>1</v>
      </c>
      <c r="E50" s="19">
        <f t="shared" si="1"/>
        <v>1</v>
      </c>
      <c r="F50" s="19">
        <f t="shared" si="2"/>
        <v>1</v>
      </c>
      <c r="G50" s="19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8">
        <f>VLOOKUP(A50,'תפוקה חודשית מול אשתקד'!A:K,8,0)</f>
        <v>-1064.1012800000026</v>
      </c>
      <c r="M50" s="58">
        <f>VLOOKUP(A50,'תפוקה חודשית מול אשתקד'!A:K,9,0)</f>
        <v>2366.4799999999996</v>
      </c>
      <c r="N50" s="58">
        <f>VLOOKUP(A50,'תפוקה חודשית מול אשתקד'!A:K,10,0)</f>
        <v>7336.8500000000931</v>
      </c>
      <c r="O50" s="58">
        <f>VLOOKUP(A50,'תפוקה חודשית מול אשתקד'!A:K,11,0)</f>
        <v>21832.090000000026</v>
      </c>
    </row>
    <row r="51" spans="1:15" x14ac:dyDescent="0.3">
      <c r="A51" s="26" t="s">
        <v>39</v>
      </c>
      <c r="B51" s="26" t="s">
        <v>56</v>
      </c>
      <c r="C51" s="26" t="s">
        <v>107</v>
      </c>
      <c r="D51" s="19">
        <f t="shared" si="0"/>
        <v>1</v>
      </c>
      <c r="E51" s="19">
        <f t="shared" si="1"/>
        <v>1</v>
      </c>
      <c r="F51" s="19">
        <f t="shared" si="2"/>
        <v>0</v>
      </c>
      <c r="G51" s="19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8">
        <f>VLOOKUP(A51,'תפוקה חודשית מול אשתקד'!A:K,8,0)</f>
        <v>-1641.3199999999997</v>
      </c>
      <c r="M51" s="58">
        <f>VLOOKUP(A51,'תפוקה חודשית מול אשתקד'!A:K,9,0)</f>
        <v>2234.9599999999991</v>
      </c>
      <c r="N51" s="58">
        <f>VLOOKUP(A51,'תפוקה חודשית מול אשתקד'!A:K,10,0)</f>
        <v>0</v>
      </c>
      <c r="O51" s="58">
        <f>VLOOKUP(A51,'תפוקה חודשית מול אשתקד'!A:K,11,0)</f>
        <v>417.56999999997788</v>
      </c>
    </row>
    <row r="52" spans="1:15" x14ac:dyDescent="0.3">
      <c r="A52" s="26" t="s">
        <v>91</v>
      </c>
      <c r="B52" s="26" t="s">
        <v>56</v>
      </c>
      <c r="C52" s="26" t="s">
        <v>107</v>
      </c>
      <c r="D52" s="19">
        <f t="shared" si="0"/>
        <v>1</v>
      </c>
      <c r="E52" s="19">
        <f t="shared" si="1"/>
        <v>1</v>
      </c>
      <c r="F52" s="19">
        <f t="shared" si="2"/>
        <v>1</v>
      </c>
      <c r="G52" s="19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8">
        <f>VLOOKUP(A52,'תפוקה חודשית מול אשתקד'!A:K,8,0)</f>
        <v>1701.8616000000038</v>
      </c>
      <c r="M52" s="58">
        <f>VLOOKUP(A52,'תפוקה חודשית מול אשתקד'!A:K,9,0)</f>
        <v>6864.4849999999997</v>
      </c>
      <c r="N52" s="58">
        <f>VLOOKUP(A52,'תפוקה חודשית מול אשתקד'!A:K,10,0)</f>
        <v>8807.2400000000198</v>
      </c>
      <c r="O52" s="58">
        <f>VLOOKUP(A52,'תפוקה חודשית מול אשתקד'!A:K,11,0)</f>
        <v>367.60999999986961</v>
      </c>
    </row>
    <row r="53" spans="1:15" x14ac:dyDescent="0.3">
      <c r="A53" s="26" t="s">
        <v>41</v>
      </c>
      <c r="B53" s="26" t="s">
        <v>56</v>
      </c>
      <c r="C53" s="26" t="s">
        <v>107</v>
      </c>
      <c r="D53" s="19">
        <f t="shared" si="0"/>
        <v>1</v>
      </c>
      <c r="E53" s="19">
        <f t="shared" si="1"/>
        <v>1</v>
      </c>
      <c r="F53" s="19">
        <f t="shared" si="2"/>
        <v>0</v>
      </c>
      <c r="G53" s="19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8">
        <f>VLOOKUP(A53,'תפוקה חודשית מול אשתקד'!A:K,8,0)</f>
        <v>-6112</v>
      </c>
      <c r="M53" s="58">
        <f>VLOOKUP(A53,'תפוקה חודשית מול אשתקד'!A:K,9,0)</f>
        <v>2.5800000000000409</v>
      </c>
      <c r="N53" s="58">
        <f>VLOOKUP(A53,'תפוקה חודשית מול אשתקד'!A:K,10,0)</f>
        <v>0</v>
      </c>
      <c r="O53" s="58">
        <f>VLOOKUP(A53,'תפוקה חודשית מול אשתקד'!A:K,11,0)</f>
        <v>0</v>
      </c>
    </row>
    <row r="54" spans="1:15" x14ac:dyDescent="0.3">
      <c r="A54" s="26" t="s">
        <v>129</v>
      </c>
      <c r="B54" s="26" t="s">
        <v>108</v>
      </c>
      <c r="C54" s="27" t="s">
        <v>107</v>
      </c>
      <c r="D54" s="19">
        <f t="shared" si="0"/>
        <v>0</v>
      </c>
      <c r="E54" s="19">
        <f t="shared" si="1"/>
        <v>0</v>
      </c>
      <c r="F54" s="19">
        <f t="shared" si="2"/>
        <v>0</v>
      </c>
      <c r="G54" s="19">
        <f t="shared" si="3"/>
        <v>0</v>
      </c>
      <c r="H54" s="12"/>
      <c r="I54" s="12"/>
      <c r="J54" s="12"/>
      <c r="K54" s="12"/>
      <c r="L54" s="58">
        <f>VLOOKUP(A54,'תפוקה חודשית מול אשתקד'!A:K,8,0)</f>
        <v>0</v>
      </c>
      <c r="M54" s="58">
        <f>VLOOKUP(A54,'תפוקה חודשית מול אשתקד'!A:K,9,0)</f>
        <v>0</v>
      </c>
      <c r="N54" s="58">
        <f>VLOOKUP(A54,'תפוקה חודשית מול אשתקד'!A:K,10,0)</f>
        <v>0</v>
      </c>
      <c r="O54" s="58">
        <f>VLOOKUP(A54,'תפוקה חודשית מול אשתקד'!A:K,11,0)</f>
        <v>0</v>
      </c>
    </row>
    <row r="55" spans="1:15" x14ac:dyDescent="0.3">
      <c r="A55" s="26" t="s">
        <v>88</v>
      </c>
      <c r="B55" s="26" t="s">
        <v>56</v>
      </c>
      <c r="C55" s="26" t="s">
        <v>107</v>
      </c>
      <c r="D55" s="19">
        <f t="shared" si="0"/>
        <v>1</v>
      </c>
      <c r="E55" s="19">
        <f t="shared" si="1"/>
        <v>1</v>
      </c>
      <c r="F55" s="19">
        <f t="shared" si="2"/>
        <v>1</v>
      </c>
      <c r="G55" s="19">
        <f t="shared" si="3"/>
        <v>1</v>
      </c>
      <c r="H55" s="12">
        <v>0</v>
      </c>
      <c r="I55" s="12">
        <v>0</v>
      </c>
      <c r="J55" s="12">
        <v>0</v>
      </c>
      <c r="K55" s="12">
        <v>0</v>
      </c>
      <c r="L55" s="58">
        <f>VLOOKUP(A55,'תפוקה חודשית מול אשתקד'!A:K,8,0)</f>
        <v>135960</v>
      </c>
      <c r="M55" s="58">
        <f>VLOOKUP(A55,'תפוקה חודשית מול אשתקד'!A:K,9,0)</f>
        <v>5.25</v>
      </c>
      <c r="N55" s="58">
        <f>VLOOKUP(A55,'תפוקה חודשית מול אשתקד'!A:K,10,0)</f>
        <v>4501</v>
      </c>
      <c r="O55" s="58">
        <f>VLOOKUP(A55,'תפוקה חודשית מול אשתקד'!A:K,11,0)</f>
        <v>158635</v>
      </c>
    </row>
    <row r="56" spans="1:15" ht="21.6" thickBot="1" x14ac:dyDescent="0.35">
      <c r="A56" s="108" t="s">
        <v>115</v>
      </c>
      <c r="B56" s="102"/>
      <c r="C56" s="99"/>
      <c r="D56" s="19">
        <f t="shared" ref="D56" si="6">IF(L56=0,0%,IF(H56=0,100%,L56/H56-1))</f>
        <v>0.19897661443862202</v>
      </c>
      <c r="E56" s="19">
        <f t="shared" ref="E56" si="7">IF(M56=0,0%,IF(I56=0,100%,M56/I56-1))</f>
        <v>0.3636845968908371</v>
      </c>
      <c r="F56" s="19">
        <f t="shared" ref="F56" si="8">IF(N56=0,0%,IF(J56=0,100%,N56/J56-1))</f>
        <v>0.10867561569093476</v>
      </c>
      <c r="G56" s="19">
        <f t="shared" ref="G56" si="9">IF(O56=0,0%,IF(K56=0,100%,O56/K56-1))</f>
        <v>-0.96342784989008612</v>
      </c>
      <c r="H56" s="128">
        <f>SUM(H23:H55)</f>
        <v>930750</v>
      </c>
      <c r="I56" s="128">
        <f t="shared" ref="I56:O56" si="10">SUM(I23:I55)</f>
        <v>166830</v>
      </c>
      <c r="J56" s="128">
        <f t="shared" si="10"/>
        <v>2009000</v>
      </c>
      <c r="K56" s="128">
        <f t="shared" si="10"/>
        <v>1910600</v>
      </c>
      <c r="L56" s="128">
        <f t="shared" si="10"/>
        <v>1115947.4838887474</v>
      </c>
      <c r="M56" s="128">
        <f t="shared" si="10"/>
        <v>227503.50129929834</v>
      </c>
      <c r="N56" s="128">
        <f t="shared" si="10"/>
        <v>2227329.311923088</v>
      </c>
      <c r="O56" s="128">
        <f t="shared" si="10"/>
        <v>69874.750000001368</v>
      </c>
    </row>
    <row r="57" spans="1:15" x14ac:dyDescent="0.3">
      <c r="A57" s="30" t="s">
        <v>33</v>
      </c>
      <c r="B57" s="26" t="s">
        <v>114</v>
      </c>
      <c r="C57" s="26" t="s">
        <v>107</v>
      </c>
      <c r="D57" s="19">
        <f t="shared" ref="D57:G65" si="11">IF(L57=0,0%,IF(H57=0,100%,L57/H57-1))</f>
        <v>-0.60459882352941174</v>
      </c>
      <c r="E57" s="19">
        <f t="shared" si="11"/>
        <v>-0.25712573964807617</v>
      </c>
      <c r="F57" s="19">
        <f t="shared" si="11"/>
        <v>-0.9716676028726362</v>
      </c>
      <c r="G57" s="19">
        <f t="shared" si="11"/>
        <v>-13.701932804878048</v>
      </c>
      <c r="H57" s="12">
        <v>42500</v>
      </c>
      <c r="I57" s="12">
        <v>6640</v>
      </c>
      <c r="J57" s="12">
        <v>574000</v>
      </c>
      <c r="K57" s="12">
        <v>82000</v>
      </c>
      <c r="L57" s="58">
        <f>VLOOKUP(A57,'תפוקה חודשית מול אשתקד'!A:K,8,0)</f>
        <v>16804.550000000003</v>
      </c>
      <c r="M57" s="58">
        <f>VLOOKUP(A57,'תפוקה חודשית מול אשתקד'!A:K,9,0)</f>
        <v>4932.6850887367746</v>
      </c>
      <c r="N57" s="58">
        <f>VLOOKUP(A57,'תפוקה חודשית מול אשתקד'!A:K,10,0)</f>
        <v>16262.795951106818</v>
      </c>
      <c r="O57" s="58">
        <f>VLOOKUP(A57,'תפוקה חודשית מול אשתקד'!A:K,11,0)</f>
        <v>-1041558.49</v>
      </c>
    </row>
    <row r="58" spans="1:15" x14ac:dyDescent="0.3">
      <c r="A58" s="26" t="s">
        <v>37</v>
      </c>
      <c r="B58" s="26" t="s">
        <v>114</v>
      </c>
      <c r="C58" s="27" t="s">
        <v>107</v>
      </c>
      <c r="D58" s="19">
        <f t="shared" si="11"/>
        <v>2.7738529705588233</v>
      </c>
      <c r="E58" s="19">
        <f t="shared" si="11"/>
        <v>2.2862838209982788</v>
      </c>
      <c r="F58" s="19">
        <f t="shared" si="11"/>
        <v>-0.51150609756097554</v>
      </c>
      <c r="G58" s="19">
        <f t="shared" si="11"/>
        <v>-1.4094158231707317</v>
      </c>
      <c r="H58" s="12">
        <v>340000</v>
      </c>
      <c r="I58" s="12">
        <v>29050</v>
      </c>
      <c r="J58" s="12">
        <v>328000</v>
      </c>
      <c r="K58" s="12">
        <v>328000</v>
      </c>
      <c r="L58" s="58">
        <f>VLOOKUP(A58,'תפוקה חודשית מול אשתקד'!A:K,8,0)</f>
        <v>1283110.0099899999</v>
      </c>
      <c r="M58" s="58">
        <f>VLOOKUP(A58,'תפוקה חודשית מול אשתקד'!A:K,9,0)</f>
        <v>95466.544999999998</v>
      </c>
      <c r="N58" s="58">
        <f>VLOOKUP(A58,'תפוקה חודשית מול אשתקד'!A:K,10,0)</f>
        <v>160226</v>
      </c>
      <c r="O58" s="58">
        <f>VLOOKUP(A58,'תפוקה חודשית מול אשתקד'!A:K,11,0)</f>
        <v>-134288.39000000001</v>
      </c>
    </row>
    <row r="59" spans="1:15" x14ac:dyDescent="0.3">
      <c r="A59" s="26" t="s">
        <v>35</v>
      </c>
      <c r="B59" s="26" t="s">
        <v>114</v>
      </c>
      <c r="C59" s="27" t="s">
        <v>107</v>
      </c>
      <c r="D59" s="19">
        <f t="shared" si="11"/>
        <v>1</v>
      </c>
      <c r="E59" s="19">
        <f t="shared" si="11"/>
        <v>0</v>
      </c>
      <c r="F59" s="19">
        <f t="shared" si="11"/>
        <v>1</v>
      </c>
      <c r="G59" s="19">
        <f t="shared" si="11"/>
        <v>0</v>
      </c>
      <c r="H59" s="12">
        <v>0</v>
      </c>
      <c r="I59" s="12">
        <v>3320</v>
      </c>
      <c r="J59" s="12">
        <v>0</v>
      </c>
      <c r="K59" s="12">
        <v>0</v>
      </c>
      <c r="L59" s="58">
        <f>VLOOKUP(A59,'תפוקה חודשית מול אשתקד'!A:K,8,0)</f>
        <v>51361.89</v>
      </c>
      <c r="M59" s="58">
        <f>VLOOKUP(A59,'תפוקה חודשית מול אשתקד'!A:K,9,0)</f>
        <v>0</v>
      </c>
      <c r="N59" s="58">
        <f>VLOOKUP(A59,'תפוקה חודשית מול אשתקד'!A:K,10,0)</f>
        <v>1.7300000000000182</v>
      </c>
      <c r="O59" s="58">
        <f>VLOOKUP(A59,'תפוקה חודשית מול אשתקד'!A:K,11,0)</f>
        <v>0</v>
      </c>
    </row>
    <row r="60" spans="1:15" x14ac:dyDescent="0.3">
      <c r="A60" s="27" t="s">
        <v>86</v>
      </c>
      <c r="B60" s="27" t="s">
        <v>114</v>
      </c>
      <c r="C60" s="27" t="s">
        <v>107</v>
      </c>
      <c r="D60" s="19">
        <f t="shared" si="11"/>
        <v>-0.79603305882352937</v>
      </c>
      <c r="E60" s="19">
        <f t="shared" si="11"/>
        <v>-0.9947771084337349</v>
      </c>
      <c r="F60" s="19">
        <f t="shared" si="11"/>
        <v>-0.97562878048780444</v>
      </c>
      <c r="G60" s="19">
        <f t="shared" si="11"/>
        <v>-0.98433526829268281</v>
      </c>
      <c r="H60" s="12">
        <v>85000</v>
      </c>
      <c r="I60" s="12">
        <v>16600</v>
      </c>
      <c r="J60" s="12">
        <v>205000</v>
      </c>
      <c r="K60" s="12">
        <v>820000</v>
      </c>
      <c r="L60" s="58">
        <f>VLOOKUP(A60,'תפוקה חודשית מול אשתקד'!A:K,8,0)</f>
        <v>17337.190000000002</v>
      </c>
      <c r="M60" s="58">
        <f>VLOOKUP(A60,'תפוקה חודשית מול אשתקד'!A:K,9,0)</f>
        <v>86.700000000000728</v>
      </c>
      <c r="N60" s="58">
        <f>VLOOKUP(A60,'תפוקה חודשית מול אשתקד'!A:K,10,0)</f>
        <v>4996.1000000000931</v>
      </c>
      <c r="O60" s="58">
        <f>VLOOKUP(A60,'תפוקה חודשית מול אשתקד'!A:K,11,0)</f>
        <v>12845.080000000075</v>
      </c>
    </row>
    <row r="61" spans="1:15" x14ac:dyDescent="0.3">
      <c r="A61" s="26" t="s">
        <v>84</v>
      </c>
      <c r="B61" s="26" t="s">
        <v>114</v>
      </c>
      <c r="C61" s="26" t="s">
        <v>107</v>
      </c>
      <c r="D61" s="19">
        <f t="shared" si="11"/>
        <v>0.38741601530627956</v>
      </c>
      <c r="E61" s="19">
        <f t="shared" si="11"/>
        <v>-1.8019884300257893</v>
      </c>
      <c r="F61" s="19">
        <f t="shared" si="11"/>
        <v>-1.581287170731708</v>
      </c>
      <c r="G61" s="19">
        <f t="shared" si="11"/>
        <v>4.3312891056910576</v>
      </c>
      <c r="H61" s="12">
        <v>85000</v>
      </c>
      <c r="I61" s="12">
        <v>8300</v>
      </c>
      <c r="J61" s="12">
        <v>205000</v>
      </c>
      <c r="K61" s="12">
        <v>123000</v>
      </c>
      <c r="L61" s="58">
        <f>VLOOKUP(A61,'תפוקה חודשית מול אשתקד'!A:K,8,0)</f>
        <v>117930.36130103376</v>
      </c>
      <c r="M61" s="58">
        <f>VLOOKUP(A61,'תפוקה חודשית מול אשתקד'!A:K,9,0)</f>
        <v>-6656.5039692140526</v>
      </c>
      <c r="N61" s="58">
        <f>VLOOKUP(A61,'תפוקה חודשית מול אשתקד'!A:K,10,0)</f>
        <v>-119163.87000000011</v>
      </c>
      <c r="O61" s="58">
        <f>VLOOKUP(A61,'תפוקה חודשית מול אשתקד'!A:K,11,0)</f>
        <v>655748.56000000006</v>
      </c>
    </row>
    <row r="62" spans="1:15" x14ac:dyDescent="0.3">
      <c r="A62" s="194" t="s">
        <v>128</v>
      </c>
      <c r="B62" s="26" t="s">
        <v>114</v>
      </c>
      <c r="C62" s="27" t="s">
        <v>107</v>
      </c>
      <c r="D62" s="19">
        <f t="shared" si="11"/>
        <v>0</v>
      </c>
      <c r="E62" s="19">
        <f t="shared" si="11"/>
        <v>0</v>
      </c>
      <c r="F62" s="19">
        <f t="shared" si="11"/>
        <v>0</v>
      </c>
      <c r="G62" s="19">
        <f t="shared" si="11"/>
        <v>0</v>
      </c>
      <c r="H62" s="12">
        <v>85000</v>
      </c>
      <c r="I62" s="12">
        <v>12450</v>
      </c>
      <c r="J62" s="12">
        <v>410000</v>
      </c>
      <c r="K62" s="12">
        <v>164000</v>
      </c>
      <c r="L62" s="58">
        <f>VLOOKUP(A62,'תפוקה חודשית מול אשתקד'!A:K,8,0)</f>
        <v>0</v>
      </c>
      <c r="M62" s="58">
        <f>VLOOKUP(A62,'תפוקה חודשית מול אשתקד'!A:K,9,0)</f>
        <v>0</v>
      </c>
      <c r="N62" s="58">
        <f>VLOOKUP(A62,'תפוקה חודשית מול אשתקד'!A:K,10,0)</f>
        <v>0</v>
      </c>
      <c r="O62" s="58">
        <f>VLOOKUP(A62,'תפוקה חודשית מול אשתקד'!A:K,11,0)</f>
        <v>0</v>
      </c>
    </row>
    <row r="63" spans="1:15" x14ac:dyDescent="0.3">
      <c r="A63" s="107" t="s">
        <v>99</v>
      </c>
      <c r="B63" s="26" t="s">
        <v>114</v>
      </c>
      <c r="C63" s="27" t="s">
        <v>107</v>
      </c>
      <c r="D63" s="19">
        <f t="shared" si="11"/>
        <v>-6.3708870588235271</v>
      </c>
      <c r="E63" s="19">
        <f t="shared" si="11"/>
        <v>-1.0720938238554216</v>
      </c>
      <c r="F63" s="19">
        <f t="shared" si="11"/>
        <v>-0.4820237804878047</v>
      </c>
      <c r="G63" s="19">
        <f t="shared" si="11"/>
        <v>-7.0856698373983731</v>
      </c>
      <c r="H63" s="12">
        <v>8500</v>
      </c>
      <c r="I63" s="12">
        <v>8300</v>
      </c>
      <c r="J63" s="12">
        <v>164000</v>
      </c>
      <c r="K63" s="12">
        <v>123000</v>
      </c>
      <c r="L63" s="58">
        <f>VLOOKUP(A63,'תפוקה חודשית מול אשתקד'!A:K,8,0)</f>
        <v>-45652.539999999979</v>
      </c>
      <c r="M63" s="58">
        <f>VLOOKUP(A63,'תפוקה חודשית מול אשתקד'!A:K,9,0)</f>
        <v>-598.37873799999943</v>
      </c>
      <c r="N63" s="58">
        <f>VLOOKUP(A63,'תפוקה חודשית מול אשתקד'!A:K,10,0)</f>
        <v>84948.100000000035</v>
      </c>
      <c r="O63" s="58">
        <f>VLOOKUP(A63,'תפוקה חודשית מול אשתקד'!A:K,11,0)</f>
        <v>-748537.3899999999</v>
      </c>
    </row>
    <row r="64" spans="1:15" x14ac:dyDescent="0.3">
      <c r="A64" s="199" t="s">
        <v>131</v>
      </c>
      <c r="B64" s="26" t="s">
        <v>114</v>
      </c>
      <c r="C64" s="27" t="s">
        <v>107</v>
      </c>
      <c r="D64" s="19">
        <f t="shared" si="11"/>
        <v>0</v>
      </c>
      <c r="E64" s="19">
        <f t="shared" si="11"/>
        <v>0</v>
      </c>
      <c r="F64" s="19">
        <f t="shared" si="11"/>
        <v>0</v>
      </c>
      <c r="G64" s="19">
        <f t="shared" si="11"/>
        <v>0</v>
      </c>
      <c r="H64" s="12"/>
      <c r="I64" s="12"/>
      <c r="J64" s="12"/>
      <c r="K64" s="12"/>
      <c r="L64" s="58">
        <f>VLOOKUP(A64,'תפוקה חודשית מול אשתקד'!A:K,8,0)</f>
        <v>0</v>
      </c>
      <c r="M64" s="58">
        <f>VLOOKUP(A64,'תפוקה חודשית מול אשתקד'!A:K,9,0)</f>
        <v>0</v>
      </c>
      <c r="N64" s="58">
        <f>VLOOKUP(A64,'תפוקה חודשית מול אשתקד'!A:K,10,0)</f>
        <v>0</v>
      </c>
      <c r="O64" s="58">
        <f>VLOOKUP(A64,'תפוקה חודשית מול אשתקד'!A:K,11,0)</f>
        <v>0</v>
      </c>
    </row>
    <row r="65" spans="1:15" x14ac:dyDescent="0.3">
      <c r="A65" s="30" t="s">
        <v>16</v>
      </c>
      <c r="B65" s="26" t="s">
        <v>114</v>
      </c>
      <c r="C65" s="27" t="s">
        <v>107</v>
      </c>
      <c r="D65" s="19">
        <f t="shared" si="11"/>
        <v>0</v>
      </c>
      <c r="E65" s="19">
        <f t="shared" si="11"/>
        <v>0</v>
      </c>
      <c r="F65" s="19">
        <f t="shared" si="11"/>
        <v>0</v>
      </c>
      <c r="G65" s="19">
        <f t="shared" si="11"/>
        <v>0</v>
      </c>
      <c r="H65" s="12">
        <v>0</v>
      </c>
      <c r="I65" s="12">
        <v>8300</v>
      </c>
      <c r="J65" s="12">
        <v>0</v>
      </c>
      <c r="K65" s="12">
        <v>0</v>
      </c>
      <c r="L65" s="58">
        <f>VLOOKUP(A65,'תפוקה חודשית מול אשתקד'!A:K,8,0)</f>
        <v>0</v>
      </c>
      <c r="M65" s="58">
        <f>VLOOKUP(A65,'תפוקה חודשית מול אשתקד'!A:K,9,0)</f>
        <v>0</v>
      </c>
      <c r="N65" s="58">
        <f>VLOOKUP(A65,'תפוקה חודשית מול אשתקד'!A:K,10,0)</f>
        <v>0</v>
      </c>
      <c r="O65" s="58">
        <f>VLOOKUP(A65,'תפוקה חודשית מול אשתקד'!A:K,11,0)</f>
        <v>0</v>
      </c>
    </row>
    <row r="66" spans="1:15" ht="21.6" thickBot="1" x14ac:dyDescent="0.35">
      <c r="A66" s="108" t="s">
        <v>119</v>
      </c>
      <c r="B66" s="102"/>
      <c r="C66" s="99"/>
      <c r="D66" s="19">
        <f t="shared" si="0"/>
        <v>1.2304821382214142</v>
      </c>
      <c r="E66" s="19">
        <f t="shared" si="1"/>
        <v>2.9157420559673408E-3</v>
      </c>
      <c r="F66" s="19">
        <f t="shared" si="2"/>
        <v>-0.92191365007894654</v>
      </c>
      <c r="G66" s="19">
        <f t="shared" si="3"/>
        <v>-1.7657259939024388</v>
      </c>
      <c r="H66" s="128">
        <f>SUM(H57:H65)</f>
        <v>646000</v>
      </c>
      <c r="I66" s="128">
        <f t="shared" ref="I66:O66" si="12">SUM(I57:I65)</f>
        <v>92960</v>
      </c>
      <c r="J66" s="128">
        <f t="shared" si="12"/>
        <v>1886000</v>
      </c>
      <c r="K66" s="128">
        <f t="shared" si="12"/>
        <v>1640000</v>
      </c>
      <c r="L66" s="128">
        <f t="shared" si="12"/>
        <v>1440891.4612910335</v>
      </c>
      <c r="M66" s="128">
        <f t="shared" si="12"/>
        <v>93231.047381522716</v>
      </c>
      <c r="N66" s="128">
        <f t="shared" si="12"/>
        <v>147270.85595110685</v>
      </c>
      <c r="O66" s="128">
        <f t="shared" si="12"/>
        <v>-1255790.6299999997</v>
      </c>
    </row>
    <row r="67" spans="1:15" x14ac:dyDescent="0.3">
      <c r="A67" s="26" t="s">
        <v>77</v>
      </c>
      <c r="B67" s="26" t="s">
        <v>108</v>
      </c>
      <c r="C67" s="26" t="s">
        <v>102</v>
      </c>
      <c r="D67" s="19">
        <f t="shared" si="0"/>
        <v>0.92659685946484927</v>
      </c>
      <c r="E67" s="19">
        <f t="shared" si="1"/>
        <v>0.52165998712146866</v>
      </c>
      <c r="F67" s="19">
        <f t="shared" si="2"/>
        <v>0.1837387138524389</v>
      </c>
      <c r="G67" s="19">
        <f t="shared" si="3"/>
        <v>0.51104153658536422</v>
      </c>
      <c r="H67" s="12">
        <v>85000</v>
      </c>
      <c r="I67" s="12">
        <v>12450</v>
      </c>
      <c r="J67" s="12">
        <v>820000</v>
      </c>
      <c r="K67" s="12">
        <v>410000</v>
      </c>
      <c r="L67" s="58">
        <f>VLOOKUP(A67,'תפוקה חודשית מול אשתקד'!A:K,8,0)</f>
        <v>163760.73305451218</v>
      </c>
      <c r="M67" s="58">
        <f>VLOOKUP(A67,'תפוקה חודשית מול אשתקד'!A:K,9,0)</f>
        <v>18944.666839662284</v>
      </c>
      <c r="N67" s="58">
        <f>VLOOKUP(A67,'תפוקה חודשית מול אשתקד'!A:K,10,0)</f>
        <v>970665.74535899982</v>
      </c>
      <c r="O67" s="58">
        <f>VLOOKUP(A67,'תפוקה חודשית מול אשתקד'!A:K,11,0)</f>
        <v>619527.02999999933</v>
      </c>
    </row>
    <row r="68" spans="1:15" x14ac:dyDescent="0.3">
      <c r="A68" s="30" t="s">
        <v>40</v>
      </c>
      <c r="B68" s="26" t="s">
        <v>56</v>
      </c>
      <c r="C68" s="26" t="s">
        <v>103</v>
      </c>
      <c r="D68" s="19">
        <f t="shared" si="0"/>
        <v>0.34477329778635357</v>
      </c>
      <c r="E68" s="19">
        <f t="shared" si="1"/>
        <v>0.20948242971887265</v>
      </c>
      <c r="F68" s="19">
        <f t="shared" si="2"/>
        <v>4.5769951219511551E-2</v>
      </c>
      <c r="G68" s="19">
        <f t="shared" si="3"/>
        <v>-0.24476975609755858</v>
      </c>
      <c r="H68" s="12">
        <v>255000.00000000003</v>
      </c>
      <c r="I68" s="12">
        <v>49800</v>
      </c>
      <c r="J68" s="12">
        <v>820000</v>
      </c>
      <c r="K68" s="12">
        <v>492000</v>
      </c>
      <c r="L68" s="58">
        <f>VLOOKUP(A68,'תפוקה חודשית מול אשתקד'!A:K,8,0)</f>
        <v>342917.19093552022</v>
      </c>
      <c r="M68" s="58">
        <f>VLOOKUP(A68,'תפוקה חודשית מול אשתקד'!A:K,9,0)</f>
        <v>60232.22499999986</v>
      </c>
      <c r="N68" s="58">
        <f>VLOOKUP(A68,'תפוקה חודשית מול אשתקד'!A:K,10,0)</f>
        <v>857531.3599999994</v>
      </c>
      <c r="O68" s="58">
        <f>VLOOKUP(A68,'תפוקה חודשית מול אשתקד'!A:K,11,0)</f>
        <v>371573.28000000119</v>
      </c>
    </row>
    <row r="69" spans="1:15" x14ac:dyDescent="0.3">
      <c r="A69" s="26" t="s">
        <v>90</v>
      </c>
      <c r="B69" s="26" t="s">
        <v>108</v>
      </c>
      <c r="C69" s="26" t="s">
        <v>103</v>
      </c>
      <c r="D69" s="19">
        <f t="shared" si="0"/>
        <v>1</v>
      </c>
      <c r="E69" s="19">
        <f t="shared" si="1"/>
        <v>1</v>
      </c>
      <c r="F69" s="19">
        <f t="shared" si="2"/>
        <v>1</v>
      </c>
      <c r="G69" s="19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8">
        <f>VLOOKUP(A69,'תפוקה חודשית מול אשתקד'!A:K,8,0)</f>
        <v>1265.49</v>
      </c>
      <c r="M69" s="58">
        <f>VLOOKUP(A69,'תפוקה חודשית מול אשתקד'!A:K,9,0)</f>
        <v>1526.6532333143168</v>
      </c>
      <c r="N69" s="58">
        <f>VLOOKUP(A69,'תפוקה חודשית מול אשתקד'!A:K,10,0)</f>
        <v>17331.18</v>
      </c>
      <c r="O69" s="58">
        <f>VLOOKUP(A69,'תפוקה חודשית מול אשתקד'!A:K,11,0)</f>
        <v>0</v>
      </c>
    </row>
    <row r="70" spans="1:15" x14ac:dyDescent="0.3">
      <c r="A70" s="26" t="s">
        <v>92</v>
      </c>
      <c r="B70" s="26" t="s">
        <v>56</v>
      </c>
      <c r="C70" s="26" t="s">
        <v>103</v>
      </c>
      <c r="D70" s="19">
        <f t="shared" ref="D70:D76" si="13">IF(L70=0,0%,IF(H70=0,100%,L70/H70-1))</f>
        <v>1</v>
      </c>
      <c r="E70" s="19">
        <f t="shared" ref="E70:E76" si="14">IF(M70=0,0%,IF(I70=0,100%,M70/I70-1))</f>
        <v>1</v>
      </c>
      <c r="F70" s="19">
        <f t="shared" ref="F70:F76" si="15">IF(N70=0,0%,IF(J70=0,100%,N70/J70-1))</f>
        <v>1</v>
      </c>
      <c r="G70" s="19">
        <f t="shared" ref="G70:G76" si="16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8">
        <f>VLOOKUP(A70,'תפוקה חודשית מול אשתקד'!A:K,8,0)</f>
        <v>79316.15737999999</v>
      </c>
      <c r="M70" s="58">
        <f>VLOOKUP(A70,'תפוקה חודשית מול אשתקד'!A:K,9,0)</f>
        <v>-1.3065459306135381</v>
      </c>
      <c r="N70" s="58">
        <f>VLOOKUP(A70,'תפוקה חודשית מול אשתקד'!A:K,10,0)</f>
        <v>32604.629999999997</v>
      </c>
      <c r="O70" s="58">
        <f>VLOOKUP(A70,'תפוקה חודשית מול אשתקד'!A:K,11,0)</f>
        <v>672703.02</v>
      </c>
    </row>
    <row r="71" spans="1:15" x14ac:dyDescent="0.3">
      <c r="A71" s="26" t="s">
        <v>93</v>
      </c>
      <c r="B71" s="26" t="s">
        <v>56</v>
      </c>
      <c r="C71" s="26" t="s">
        <v>103</v>
      </c>
      <c r="D71" s="19">
        <f t="shared" si="13"/>
        <v>0</v>
      </c>
      <c r="E71" s="19">
        <f t="shared" si="14"/>
        <v>-0.69360698795180653</v>
      </c>
      <c r="F71" s="19">
        <f t="shared" si="15"/>
        <v>0</v>
      </c>
      <c r="G71" s="19">
        <f t="shared" si="16"/>
        <v>0</v>
      </c>
      <c r="H71" s="12">
        <v>17000</v>
      </c>
      <c r="I71" s="12">
        <v>8300</v>
      </c>
      <c r="J71" s="12">
        <v>41000</v>
      </c>
      <c r="K71" s="12">
        <v>49200</v>
      </c>
      <c r="L71" s="58">
        <f>VLOOKUP(A71,'תפוקה חודשית מול אשתקד'!A:K,8,0)</f>
        <v>0</v>
      </c>
      <c r="M71" s="58">
        <f>VLOOKUP(A71,'תפוקה חודשית מול אשתקד'!A:K,9,0)</f>
        <v>2543.0620000000054</v>
      </c>
      <c r="N71" s="58">
        <f>VLOOKUP(A71,'תפוקה חודשית מול אשתקד'!A:K,10,0)</f>
        <v>0</v>
      </c>
      <c r="O71" s="58">
        <f>VLOOKUP(A71,'תפוקה חודשית מול אשתקד'!A:K,11,0)</f>
        <v>0</v>
      </c>
    </row>
    <row r="72" spans="1:15" x14ac:dyDescent="0.3">
      <c r="A72" s="26" t="s">
        <v>100</v>
      </c>
      <c r="B72" s="26" t="s">
        <v>56</v>
      </c>
      <c r="C72" s="26" t="s">
        <v>103</v>
      </c>
      <c r="D72" s="19">
        <f t="shared" si="13"/>
        <v>0.86346344519833873</v>
      </c>
      <c r="E72" s="19">
        <f t="shared" si="14"/>
        <v>3.3551091887550122E-2</v>
      </c>
      <c r="F72" s="19">
        <f t="shared" si="15"/>
        <v>-5.1819923780487942E-2</v>
      </c>
      <c r="G72" s="19">
        <f t="shared" si="16"/>
        <v>5.8000787398373994</v>
      </c>
      <c r="H72" s="12">
        <v>85000</v>
      </c>
      <c r="I72" s="12">
        <v>12450</v>
      </c>
      <c r="J72" s="12">
        <v>656000</v>
      </c>
      <c r="K72" s="12">
        <v>492000</v>
      </c>
      <c r="L72" s="58">
        <f>VLOOKUP(A72,'תפוקה חודשית מול אשתקד'!A:K,8,0)</f>
        <v>158394.39284185879</v>
      </c>
      <c r="M72" s="58">
        <f>VLOOKUP(A72,'תפוקה חודשית מול אשתקד'!A:K,9,0)</f>
        <v>12867.711093999998</v>
      </c>
      <c r="N72" s="58">
        <f>VLOOKUP(A72,'תפוקה חודשית מול אשתקד'!A:K,10,0)</f>
        <v>622006.12999999989</v>
      </c>
      <c r="O72" s="58">
        <f>VLOOKUP(A72,'תפוקה חודשית מול אשתקד'!A:K,11,0)</f>
        <v>3345638.7400000007</v>
      </c>
    </row>
    <row r="73" spans="1:15" x14ac:dyDescent="0.3">
      <c r="A73" s="98" t="s">
        <v>101</v>
      </c>
      <c r="B73" s="26" t="s">
        <v>56</v>
      </c>
      <c r="C73" s="26" t="s">
        <v>103</v>
      </c>
      <c r="D73" s="19">
        <f t="shared" si="13"/>
        <v>0.18176237105227555</v>
      </c>
      <c r="E73" s="19">
        <f t="shared" si="14"/>
        <v>-0.15125899908256002</v>
      </c>
      <c r="F73" s="19">
        <f t="shared" si="15"/>
        <v>0.58284713454231074</v>
      </c>
      <c r="G73" s="19">
        <f t="shared" si="16"/>
        <v>3.6826208536585305</v>
      </c>
      <c r="H73" s="12">
        <v>255000.00000000003</v>
      </c>
      <c r="I73" s="12">
        <v>20750</v>
      </c>
      <c r="J73" s="12">
        <v>1640000</v>
      </c>
      <c r="K73" s="12">
        <v>492000</v>
      </c>
      <c r="L73" s="58">
        <f>VLOOKUP(A73,'תפוקה חודשית מול אשתקד'!A:K,8,0)</f>
        <v>301349.4046183303</v>
      </c>
      <c r="M73" s="58">
        <f>VLOOKUP(A73,'תפוקה חודשית מול אשתקד'!A:K,9,0)</f>
        <v>17611.37576903688</v>
      </c>
      <c r="N73" s="58">
        <f>VLOOKUP(A73,'תפוקה חודשית מול אשתקד'!A:K,10,0)</f>
        <v>2595869.3006493896</v>
      </c>
      <c r="O73" s="58">
        <f>VLOOKUP(A73,'תפוקה חודשית מול אשתקד'!A:K,11,0)</f>
        <v>2303849.4599999972</v>
      </c>
    </row>
    <row r="74" spans="1:15" ht="16.2" thickBot="1" x14ac:dyDescent="0.35">
      <c r="A74" s="26" t="s">
        <v>81</v>
      </c>
      <c r="B74" s="26" t="s">
        <v>56</v>
      </c>
      <c r="C74" s="26" t="s">
        <v>103</v>
      </c>
      <c r="D74" s="19">
        <f t="shared" si="13"/>
        <v>-1.4889263529411765</v>
      </c>
      <c r="E74" s="19">
        <f t="shared" si="14"/>
        <v>-0.81719036144578316</v>
      </c>
      <c r="F74" s="19">
        <f t="shared" si="15"/>
        <v>0</v>
      </c>
      <c r="G74" s="19">
        <f t="shared" si="16"/>
        <v>0</v>
      </c>
      <c r="H74" s="12">
        <v>42500</v>
      </c>
      <c r="I74" s="12">
        <v>12450</v>
      </c>
      <c r="J74" s="12">
        <v>82000</v>
      </c>
      <c r="K74" s="12">
        <v>164000</v>
      </c>
      <c r="L74" s="58">
        <f>VLOOKUP(A74,'תפוקה חודשית מול אשתקד'!A:K,8,0)</f>
        <v>-20779.369999999995</v>
      </c>
      <c r="M74" s="58">
        <f>VLOOKUP(A74,'תפוקה חודשית מול אשתקד'!A:K,9,0)</f>
        <v>2275.9799999999996</v>
      </c>
      <c r="N74" s="58">
        <f>VLOOKUP(A74,'תפוקה חודשית מול אשתקד'!A:K,10,0)</f>
        <v>0</v>
      </c>
      <c r="O74" s="58">
        <f>VLOOKUP(A74,'תפוקה חודשית מול אשתקד'!A:K,11,0)</f>
        <v>0</v>
      </c>
    </row>
    <row r="75" spans="1:15" ht="21.6" thickBot="1" x14ac:dyDescent="0.35">
      <c r="A75" s="17" t="s">
        <v>44</v>
      </c>
      <c r="B75" s="147"/>
      <c r="C75" s="166"/>
      <c r="D75" s="19">
        <f t="shared" si="13"/>
        <v>0.38772684087927178</v>
      </c>
      <c r="E75" s="19">
        <f t="shared" si="14"/>
        <v>-1.7180086911985359E-3</v>
      </c>
      <c r="F75" s="19">
        <f t="shared" si="15"/>
        <v>0.25548370189908565</v>
      </c>
      <c r="G75" s="19">
        <f t="shared" si="16"/>
        <v>2.483846955983231</v>
      </c>
      <c r="H75" s="88">
        <f>SUM(H67:H74)</f>
        <v>739500</v>
      </c>
      <c r="I75" s="88">
        <f t="shared" ref="I75:O75" si="17">SUM(I67:I74)</f>
        <v>116200</v>
      </c>
      <c r="J75" s="88">
        <f t="shared" si="17"/>
        <v>4059000</v>
      </c>
      <c r="K75" s="88">
        <f t="shared" si="17"/>
        <v>2099200</v>
      </c>
      <c r="L75" s="88">
        <f t="shared" si="17"/>
        <v>1026223.9988302215</v>
      </c>
      <c r="M75" s="88">
        <f t="shared" si="17"/>
        <v>116000.36739008273</v>
      </c>
      <c r="N75" s="88">
        <f t="shared" si="17"/>
        <v>5096008.3460083883</v>
      </c>
      <c r="O75" s="88">
        <f t="shared" si="17"/>
        <v>7313291.5299999984</v>
      </c>
    </row>
    <row r="76" spans="1:15" ht="21.6" thickBot="1" x14ac:dyDescent="0.35">
      <c r="A76" s="17" t="s">
        <v>45</v>
      </c>
      <c r="B76" s="147"/>
      <c r="C76" s="166"/>
      <c r="D76" s="19">
        <f t="shared" si="13"/>
        <v>-0.13869082007341382</v>
      </c>
      <c r="E76" s="19">
        <f t="shared" si="14"/>
        <v>-3.882081871040044E-2</v>
      </c>
      <c r="F76" s="19">
        <f t="shared" si="15"/>
        <v>-0.30977119020214061</v>
      </c>
      <c r="G76" s="19">
        <f t="shared" si="16"/>
        <v>-0.18013677168788467</v>
      </c>
      <c r="H76" s="88">
        <f>H75+H66+H56+H22+H8</f>
        <v>4679250</v>
      </c>
      <c r="I76" s="88">
        <f t="shared" ref="I76:O76" si="18">I75+I66+I56+I22+I8</f>
        <v>770240</v>
      </c>
      <c r="J76" s="88">
        <f t="shared" si="18"/>
        <v>18614000</v>
      </c>
      <c r="K76" s="88">
        <f t="shared" si="18"/>
        <v>18113800</v>
      </c>
      <c r="L76" s="88">
        <f t="shared" si="18"/>
        <v>4030280.9801714784</v>
      </c>
      <c r="M76" s="88">
        <f t="shared" si="18"/>
        <v>740338.65259650117</v>
      </c>
      <c r="N76" s="88">
        <f t="shared" si="18"/>
        <v>12847919.065577354</v>
      </c>
      <c r="O76" s="88">
        <f t="shared" si="18"/>
        <v>14850838.544999994</v>
      </c>
    </row>
    <row r="77" spans="1:15" x14ac:dyDescent="0.3">
      <c r="D77" s="5"/>
      <c r="E77" s="5"/>
      <c r="F77" s="5"/>
      <c r="G77" s="5"/>
      <c r="H77" s="74"/>
      <c r="I77" s="74"/>
      <c r="J77" s="74"/>
      <c r="K77" s="74"/>
      <c r="L77" s="6"/>
      <c r="M77" s="6"/>
      <c r="N77" s="6"/>
      <c r="O77" s="6"/>
    </row>
    <row r="78" spans="1:15" x14ac:dyDescent="0.3">
      <c r="H78" s="5"/>
      <c r="I78" s="5"/>
      <c r="J78" s="5"/>
      <c r="K78" s="6"/>
      <c r="L78"/>
      <c r="M78"/>
      <c r="N78"/>
      <c r="O78"/>
    </row>
    <row r="79" spans="1:15" x14ac:dyDescent="0.3">
      <c r="B79" s="3"/>
      <c r="C79" s="3"/>
      <c r="H79" s="74"/>
      <c r="I79" s="74"/>
      <c r="J79" s="74"/>
      <c r="K79" s="74"/>
      <c r="L79"/>
      <c r="M79"/>
      <c r="N79"/>
      <c r="O79"/>
    </row>
    <row r="80" spans="1:15" x14ac:dyDescent="0.3">
      <c r="B80" s="3"/>
      <c r="C80" s="3"/>
      <c r="H80" s="10"/>
      <c r="I80" s="10"/>
      <c r="J80" s="10"/>
      <c r="K80" s="10"/>
      <c r="L80"/>
      <c r="M80"/>
      <c r="N80"/>
      <c r="O80"/>
    </row>
    <row r="81" spans="8:15" x14ac:dyDescent="0.3">
      <c r="H81" s="10"/>
      <c r="I81" s="10"/>
      <c r="J81" s="10"/>
      <c r="K81"/>
      <c r="L81"/>
      <c r="M81"/>
      <c r="N81"/>
      <c r="O81"/>
    </row>
    <row r="82" spans="8:15" x14ac:dyDescent="0.3">
      <c r="K82"/>
      <c r="L82" s="9"/>
      <c r="M82" s="9"/>
      <c r="N82" s="9"/>
      <c r="O82" s="9"/>
    </row>
    <row r="83" spans="8:15" x14ac:dyDescent="0.3">
      <c r="K83"/>
      <c r="L83"/>
      <c r="M83"/>
      <c r="N83"/>
      <c r="O83"/>
    </row>
  </sheetData>
  <mergeCells count="3">
    <mergeCell ref="L1:O1"/>
    <mergeCell ref="H1:K1"/>
    <mergeCell ref="D1:G1"/>
  </mergeCells>
  <conditionalFormatting sqref="A14">
    <cfRule type="duplicateValues" dxfId="287" priority="7"/>
    <cfRule type="duplicateValues" dxfId="286" priority="8"/>
  </conditionalFormatting>
  <conditionalFormatting sqref="A20">
    <cfRule type="duplicateValues" dxfId="285" priority="1"/>
    <cfRule type="duplicateValues" dxfId="284" priority="2"/>
  </conditionalFormatting>
  <conditionalFormatting sqref="A54">
    <cfRule type="duplicateValues" dxfId="283" priority="3"/>
    <cfRule type="duplicateValues" dxfId="282" priority="4"/>
  </conditionalFormatting>
  <conditionalFormatting sqref="A57">
    <cfRule type="duplicateValues" dxfId="281" priority="11"/>
    <cfRule type="duplicateValues" dxfId="280" priority="12"/>
  </conditionalFormatting>
  <conditionalFormatting sqref="A60">
    <cfRule type="duplicateValues" dxfId="279" priority="5"/>
    <cfRule type="duplicateValues" dxfId="278" priority="6"/>
  </conditionalFormatting>
  <conditionalFormatting sqref="A61 A58:A59 A7 A23:A53 A65 A55">
    <cfRule type="duplicateValues" dxfId="277" priority="254"/>
    <cfRule type="duplicateValues" dxfId="276" priority="255"/>
  </conditionalFormatting>
  <conditionalFormatting sqref="A67:A74">
    <cfRule type="duplicateValues" dxfId="275" priority="15"/>
    <cfRule type="duplicateValues" dxfId="274" priority="16"/>
  </conditionalFormatting>
  <conditionalFormatting sqref="A75:A76 A1:A6 A8:A13 A15:A19 A56 A66 A21:A22">
    <cfRule type="duplicateValues" dxfId="273" priority="13"/>
    <cfRule type="duplicateValues" dxfId="272" priority="14"/>
  </conditionalFormatting>
  <conditionalFormatting sqref="D1 D2:G78 B79:C80 E79:G80 D81:G1048576">
    <cfRule type="cellIs" dxfId="271" priority="39" operator="lessThan">
      <formula>-0.0001</formula>
    </cfRule>
  </conditionalFormatting>
  <conditionalFormatting sqref="D3:G78 B79:C80 E79:G80 D81:G1048576">
    <cfRule type="cellIs" dxfId="270" priority="32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F69"/>
  <sheetViews>
    <sheetView rightToLeft="1" workbookViewId="0">
      <selection activeCell="H10" sqref="H10"/>
    </sheetView>
  </sheetViews>
  <sheetFormatPr defaultColWidth="21.6640625" defaultRowHeight="15.6" x14ac:dyDescent="0.3"/>
  <cols>
    <col min="1" max="1" width="30" style="8" bestFit="1" customWidth="1"/>
    <col min="2" max="2" width="11.44140625" style="7" customWidth="1"/>
    <col min="3" max="3" width="14.5546875" style="7" bestFit="1" customWidth="1"/>
    <col min="4" max="4" width="26.44140625" style="7" customWidth="1"/>
    <col min="5" max="5" width="27.44140625" style="7" customWidth="1"/>
  </cols>
  <sheetData>
    <row r="1" spans="1:6" ht="42" x14ac:dyDescent="0.3">
      <c r="A1" s="11" t="s">
        <v>0</v>
      </c>
      <c r="B1" s="93" t="s">
        <v>74</v>
      </c>
      <c r="C1" s="92" t="s">
        <v>75</v>
      </c>
      <c r="D1" s="91" t="s">
        <v>117</v>
      </c>
      <c r="E1" s="90" t="s">
        <v>118</v>
      </c>
    </row>
    <row r="2" spans="1:6" x14ac:dyDescent="0.3">
      <c r="A2" s="30" t="s">
        <v>18</v>
      </c>
      <c r="B2" s="19">
        <f t="shared" ref="B2:B65" si="0">IF(D2=0,0%,IF(E2=0,100%,D2/E2-1))</f>
        <v>3.8502620209603933E-3</v>
      </c>
      <c r="C2" s="20">
        <f t="shared" ref="C2:C65" si="1">D2-E2</f>
        <v>191.36833599999227</v>
      </c>
      <c r="D2" s="21">
        <f>VLOOKUP(A2,'תפוקה מצטברת מול אשתקד'!A:K,9,0)</f>
        <v>49894.046999999999</v>
      </c>
      <c r="E2" s="22">
        <f>VLOOKUP(A2,'תפוקה מצטברת מול אשתקד'!A:O,13,0)</f>
        <v>49702.678664000006</v>
      </c>
    </row>
    <row r="3" spans="1:6" x14ac:dyDescent="0.3">
      <c r="A3" s="26" t="s">
        <v>26</v>
      </c>
      <c r="B3" s="19">
        <f t="shared" si="0"/>
        <v>0</v>
      </c>
      <c r="C3" s="20">
        <f t="shared" si="1"/>
        <v>-2399.63</v>
      </c>
      <c r="D3" s="21">
        <f>VLOOKUP(A3,'תפוקה מצטברת מול אשתקד'!A:K,9,0)</f>
        <v>0</v>
      </c>
      <c r="E3" s="22">
        <f>VLOOKUP(A3,'תפוקה מצטברת מול אשתקד'!A:O,13,0)</f>
        <v>2399.63</v>
      </c>
    </row>
    <row r="4" spans="1:6" x14ac:dyDescent="0.3">
      <c r="A4" s="26" t="s">
        <v>32</v>
      </c>
      <c r="B4" s="19">
        <f t="shared" si="0"/>
        <v>0</v>
      </c>
      <c r="C4" s="20">
        <f t="shared" si="1"/>
        <v>0</v>
      </c>
      <c r="D4" s="21">
        <f>VLOOKUP(A4,'תפוקה מצטברת מול אשתקד'!A:K,9,0)</f>
        <v>0</v>
      </c>
      <c r="E4" s="22">
        <f>VLOOKUP(A4,'תפוקה מצטברת מול אשתקד'!A:O,13,0)</f>
        <v>0</v>
      </c>
    </row>
    <row r="5" spans="1:6" x14ac:dyDescent="0.3">
      <c r="A5" s="26" t="s">
        <v>19</v>
      </c>
      <c r="B5" s="19">
        <f t="shared" si="0"/>
        <v>-0.1787686736659746</v>
      </c>
      <c r="C5" s="20">
        <f t="shared" si="1"/>
        <v>-15748.460062999933</v>
      </c>
      <c r="D5" s="21">
        <f>VLOOKUP(A5,'תפוקה מצטברת מול אשתקד'!A:K,9,0)</f>
        <v>72345.61</v>
      </c>
      <c r="E5" s="22">
        <f>VLOOKUP(A5,'תפוקה מצטברת מול אשתקד'!A:O,13,0)</f>
        <v>88094.070062999934</v>
      </c>
    </row>
    <row r="6" spans="1:6" x14ac:dyDescent="0.3">
      <c r="A6" s="26" t="s">
        <v>87</v>
      </c>
      <c r="B6" s="19">
        <f t="shared" si="0"/>
        <v>-1.8862517607832228</v>
      </c>
      <c r="C6" s="20">
        <f t="shared" si="1"/>
        <v>-8610.23</v>
      </c>
      <c r="D6" s="21">
        <f>VLOOKUP(A6,'תפוקה מצטברת מול אשתקד'!A:K,9,0)</f>
        <v>-4045.5</v>
      </c>
      <c r="E6" s="22">
        <f>VLOOKUP(A6,'תפוקה מצטברת מול אשתקד'!A:O,13,0)</f>
        <v>4564.7299999999996</v>
      </c>
      <c r="F6" s="7"/>
    </row>
    <row r="7" spans="1:6" x14ac:dyDescent="0.3">
      <c r="A7" s="26" t="s">
        <v>14</v>
      </c>
      <c r="B7" s="19">
        <f t="shared" si="0"/>
        <v>0</v>
      </c>
      <c r="C7" s="20">
        <f t="shared" si="1"/>
        <v>0</v>
      </c>
      <c r="D7" s="21">
        <f>VLOOKUP(A7,'תפוקה מצטברת מול אשתקד'!A:K,9,0)</f>
        <v>0</v>
      </c>
      <c r="E7" s="22">
        <f>VLOOKUP(A7,'תפוקה מצטברת מול אשתקד'!A:O,13,0)</f>
        <v>0</v>
      </c>
    </row>
    <row r="8" spans="1:6" x14ac:dyDescent="0.3">
      <c r="A8" s="26" t="s">
        <v>105</v>
      </c>
      <c r="B8" s="19">
        <f t="shared" si="0"/>
        <v>1</v>
      </c>
      <c r="C8" s="20">
        <f t="shared" si="1"/>
        <v>40998.678491696315</v>
      </c>
      <c r="D8" s="21">
        <f>VLOOKUP(A8,'תפוקה מצטברת מול אשתקד'!A:K,9,0)</f>
        <v>40998.678491696315</v>
      </c>
      <c r="E8" s="22">
        <f>VLOOKUP(A8,'תפוקה מצטברת מול אשתקד'!A:O,13,0)</f>
        <v>0</v>
      </c>
    </row>
    <row r="9" spans="1:6" x14ac:dyDescent="0.3">
      <c r="A9" s="30" t="s">
        <v>25</v>
      </c>
      <c r="B9" s="19">
        <f t="shared" si="0"/>
        <v>-0.35564596342480159</v>
      </c>
      <c r="C9" s="20">
        <f t="shared" si="1"/>
        <v>-149050.81271087303</v>
      </c>
      <c r="D9" s="21">
        <f>VLOOKUP(A9,'תפוקה מצטברת מול אשתקד'!A:K,9,0)</f>
        <v>270048.03288136324</v>
      </c>
      <c r="E9" s="22">
        <f>VLOOKUP(A9,'תפוקה מצטברת מול אשתקד'!A:O,13,0)</f>
        <v>419098.84559223626</v>
      </c>
    </row>
    <row r="10" spans="1:6" x14ac:dyDescent="0.3">
      <c r="A10" s="26" t="s">
        <v>42</v>
      </c>
      <c r="B10" s="19">
        <f t="shared" si="0"/>
        <v>0.44627074889682494</v>
      </c>
      <c r="C10" s="20">
        <f t="shared" si="1"/>
        <v>73714.772987262433</v>
      </c>
      <c r="D10" s="21">
        <f>VLOOKUP(A10,'תפוקה מצטברת מול אשתקד'!A:K,9,0)</f>
        <v>238894.25913885163</v>
      </c>
      <c r="E10" s="22">
        <f>VLOOKUP(A10,'תפוקה מצטברת מול אשתקד'!A:O,13,0)</f>
        <v>165179.4861515892</v>
      </c>
    </row>
    <row r="11" spans="1:6" x14ac:dyDescent="0.3">
      <c r="A11" s="26" t="s">
        <v>23</v>
      </c>
      <c r="B11" s="19">
        <f t="shared" si="0"/>
        <v>0</v>
      </c>
      <c r="C11" s="20">
        <f t="shared" si="1"/>
        <v>-7.46</v>
      </c>
      <c r="D11" s="21">
        <f>VLOOKUP(A11,'תפוקה מצטברת מול אשתקד'!A:K,9,0)</f>
        <v>0</v>
      </c>
      <c r="E11" s="22">
        <f>VLOOKUP(A11,'תפוקה מצטברת מול אשתקד'!A:O,13,0)</f>
        <v>7.46</v>
      </c>
    </row>
    <row r="12" spans="1:6" x14ac:dyDescent="0.3">
      <c r="A12" s="26" t="s">
        <v>85</v>
      </c>
      <c r="B12" s="19">
        <f t="shared" si="0"/>
        <v>1</v>
      </c>
      <c r="C12" s="20">
        <f t="shared" si="1"/>
        <v>5611.4780000000001</v>
      </c>
      <c r="D12" s="21">
        <f>VLOOKUP(A12,'תפוקה מצטברת מול אשתקד'!A:K,9,0)</f>
        <v>5611.4780000000001</v>
      </c>
      <c r="E12" s="22">
        <f>VLOOKUP(A12,'תפוקה מצטברת מול אשתקד'!A:O,13,0)</f>
        <v>0</v>
      </c>
    </row>
    <row r="13" spans="1:6" x14ac:dyDescent="0.3">
      <c r="A13" s="26" t="s">
        <v>38</v>
      </c>
      <c r="B13" s="19">
        <f t="shared" si="0"/>
        <v>0</v>
      </c>
      <c r="C13" s="20">
        <f t="shared" si="1"/>
        <v>-4120.6830443355484</v>
      </c>
      <c r="D13" s="21">
        <f>VLOOKUP(A13,'תפוקה מצטברת מול אשתקד'!A:K,9,0)</f>
        <v>0</v>
      </c>
      <c r="E13" s="22">
        <f>VLOOKUP(A13,'תפוקה מצטברת מול אשתקד'!A:O,13,0)</f>
        <v>4120.6830443355484</v>
      </c>
    </row>
    <row r="14" spans="1:6" x14ac:dyDescent="0.3">
      <c r="A14" s="26" t="s">
        <v>39</v>
      </c>
      <c r="B14" s="19">
        <f t="shared" si="0"/>
        <v>10.783506275630669</v>
      </c>
      <c r="C14" s="20">
        <f t="shared" si="1"/>
        <v>20825.97</v>
      </c>
      <c r="D14" s="21">
        <f>VLOOKUP(A14,'תפוקה מצטברת מול אשתקד'!A:K,9,0)</f>
        <v>22757.25</v>
      </c>
      <c r="E14" s="22">
        <f>VLOOKUP(A14,'תפוקה מצטברת מול אשתקד'!A:O,13,0)</f>
        <v>1931.28</v>
      </c>
    </row>
    <row r="15" spans="1:6" x14ac:dyDescent="0.3">
      <c r="A15" s="26" t="s">
        <v>77</v>
      </c>
      <c r="B15" s="19">
        <f t="shared" si="0"/>
        <v>2.3530926470945297</v>
      </c>
      <c r="C15" s="20">
        <f t="shared" si="1"/>
        <v>32759.672210198871</v>
      </c>
      <c r="D15" s="21">
        <f>VLOOKUP(A15,'תפוקה מצטברת מול אשתקד'!A:K,9,0)</f>
        <v>46681.636672859837</v>
      </c>
      <c r="E15" s="22">
        <f>VLOOKUP(A15,'תפוקה מצטברת מול אשתקד'!A:O,13,0)</f>
        <v>13921.964462660968</v>
      </c>
    </row>
    <row r="16" spans="1:6" x14ac:dyDescent="0.3">
      <c r="A16" s="26" t="s">
        <v>35</v>
      </c>
      <c r="B16" s="19">
        <f t="shared" si="0"/>
        <v>0</v>
      </c>
      <c r="C16" s="20">
        <f t="shared" si="1"/>
        <v>-2470.2600000000002</v>
      </c>
      <c r="D16" s="21">
        <f>VLOOKUP(A16,'תפוקה מצטברת מול אשתקד'!A:K,9,0)</f>
        <v>0</v>
      </c>
      <c r="E16" s="22">
        <f>VLOOKUP(A16,'תפוקה מצטברת מול אשתקד'!A:O,13,0)</f>
        <v>2470.2600000000002</v>
      </c>
    </row>
    <row r="17" spans="1:5" x14ac:dyDescent="0.3">
      <c r="A17" s="27" t="s">
        <v>97</v>
      </c>
      <c r="B17" s="19">
        <f t="shared" si="0"/>
        <v>0.92990822343013124</v>
      </c>
      <c r="C17" s="20">
        <f t="shared" si="1"/>
        <v>1938.31</v>
      </c>
      <c r="D17" s="21">
        <f>VLOOKUP(A17,'תפוקה מצטברת מול אשתקד'!A:K,9,0)</f>
        <v>4022.72</v>
      </c>
      <c r="E17" s="22">
        <f>VLOOKUP(A17,'תפוקה מצטברת מול אשתקד'!A:O,13,0)</f>
        <v>2084.41</v>
      </c>
    </row>
    <row r="18" spans="1:5" x14ac:dyDescent="0.3">
      <c r="A18" s="26" t="s">
        <v>20</v>
      </c>
      <c r="B18" s="19">
        <f t="shared" si="0"/>
        <v>-5.0821243745244105E-2</v>
      </c>
      <c r="C18" s="20">
        <f t="shared" si="1"/>
        <v>-5241.8754267648619</v>
      </c>
      <c r="D18" s="21">
        <f>VLOOKUP(A18,'תפוקה מצטברת מול אשתקד'!A:K,9,0)</f>
        <v>97901.515810199897</v>
      </c>
      <c r="E18" s="22">
        <f>VLOOKUP(A18,'תפוקה מצטברת מול אשתקד'!A:O,13,0)</f>
        <v>103143.39123696476</v>
      </c>
    </row>
    <row r="19" spans="1:5" x14ac:dyDescent="0.3">
      <c r="A19" s="26" t="s">
        <v>84</v>
      </c>
      <c r="B19" s="19">
        <f t="shared" si="0"/>
        <v>-0.2621476407688702</v>
      </c>
      <c r="C19" s="20">
        <f t="shared" si="1"/>
        <v>-8832.8737432666494</v>
      </c>
      <c r="D19" s="21">
        <f>VLOOKUP(A19,'תפוקה מצטברת מול אשתקד'!A:K,9,0)</f>
        <v>24861.397612218865</v>
      </c>
      <c r="E19" s="22">
        <f>VLOOKUP(A19,'תפוקה מצטברת מול אשתקד'!A:O,13,0)</f>
        <v>33694.271355485515</v>
      </c>
    </row>
    <row r="20" spans="1:5" x14ac:dyDescent="0.3">
      <c r="A20" s="26" t="s">
        <v>88</v>
      </c>
      <c r="B20" s="19">
        <f t="shared" si="0"/>
        <v>-7.3075426702797346</v>
      </c>
      <c r="C20" s="20">
        <f t="shared" si="1"/>
        <v>3791.7866997953815</v>
      </c>
      <c r="D20" s="21">
        <f>VLOOKUP(A20,'תפוקה מצטברת מול אשתקד'!A:K,9,0)</f>
        <v>3272.9</v>
      </c>
      <c r="E20" s="22">
        <f>VLOOKUP(A20,'תפוקה מצטברת מול אשתקד'!A:O,13,0)</f>
        <v>-518.88669979538156</v>
      </c>
    </row>
    <row r="21" spans="1:5" x14ac:dyDescent="0.3">
      <c r="A21" s="26" t="s">
        <v>41</v>
      </c>
      <c r="B21" s="19">
        <f t="shared" si="0"/>
        <v>-1.0712138012925259</v>
      </c>
      <c r="C21" s="20">
        <f t="shared" si="1"/>
        <v>13086.733051874169</v>
      </c>
      <c r="D21" s="21">
        <f>VLOOKUP(A21,'תפוקה מצטברת מול אשתקד'!A:K,9,0)</f>
        <v>870</v>
      </c>
      <c r="E21" s="22">
        <f>VLOOKUP(A21,'תפוקה מצטברת מול אשתקד'!A:O,13,0)</f>
        <v>-12216.733051874169</v>
      </c>
    </row>
    <row r="22" spans="1:5" x14ac:dyDescent="0.3">
      <c r="A22" s="28" t="s">
        <v>130</v>
      </c>
      <c r="B22" s="19">
        <f t="shared" si="0"/>
        <v>1</v>
      </c>
      <c r="C22" s="20">
        <f t="shared" si="1"/>
        <v>8429.59</v>
      </c>
      <c r="D22" s="21">
        <f>VLOOKUP(A22,'תפוקה מצטברת מול אשתקד'!A:K,9,0)</f>
        <v>8429.59</v>
      </c>
      <c r="E22" s="22">
        <f>VLOOKUP(A22,'תפוקה מצטברת מול אשתקד'!A:O,13,0)</f>
        <v>0</v>
      </c>
    </row>
    <row r="23" spans="1:5" x14ac:dyDescent="0.3">
      <c r="A23" s="30" t="s">
        <v>95</v>
      </c>
      <c r="B23" s="19">
        <f t="shared" si="0"/>
        <v>-3.1906896336573065E-2</v>
      </c>
      <c r="C23" s="20">
        <f t="shared" si="1"/>
        <v>-1436.8437184484283</v>
      </c>
      <c r="D23" s="21">
        <f>VLOOKUP(A23,'תפוקה מצטברת מול אשתקד'!A:K,9,0)</f>
        <v>43595.543740730893</v>
      </c>
      <c r="E23" s="22">
        <f>VLOOKUP(A23,'תפוקה מצטברת מול אשתקד'!A:O,13,0)</f>
        <v>45032.387459179321</v>
      </c>
    </row>
    <row r="24" spans="1:5" x14ac:dyDescent="0.3">
      <c r="A24" s="26" t="s">
        <v>43</v>
      </c>
      <c r="B24" s="19">
        <f t="shared" si="0"/>
        <v>-2.4399876833119283E-2</v>
      </c>
      <c r="C24" s="20">
        <f t="shared" si="1"/>
        <v>-3764.4182767899183</v>
      </c>
      <c r="D24" s="21">
        <f>VLOOKUP(A24,'תפוקה מצטברת מול אשתקד'!A:K,9,0)</f>
        <v>150515.79807578854</v>
      </c>
      <c r="E24" s="22">
        <f>VLOOKUP(A24,'תפוקה מצטברת מול אשתקד'!A:O,13,0)</f>
        <v>154280.21635257846</v>
      </c>
    </row>
    <row r="25" spans="1:5" x14ac:dyDescent="0.3">
      <c r="A25" s="26" t="s">
        <v>28</v>
      </c>
      <c r="B25" s="19">
        <f t="shared" si="0"/>
        <v>0</v>
      </c>
      <c r="C25" s="20">
        <f t="shared" si="1"/>
        <v>0</v>
      </c>
      <c r="D25" s="21">
        <f>VLOOKUP(A25,'תפוקה מצטברת מול אשתקד'!A:K,9,0)</f>
        <v>0</v>
      </c>
      <c r="E25" s="22">
        <f>VLOOKUP(A25,'תפוקה מצטברת מול אשתקד'!A:O,13,0)</f>
        <v>0</v>
      </c>
    </row>
    <row r="26" spans="1:5" x14ac:dyDescent="0.3">
      <c r="A26" s="30" t="s">
        <v>40</v>
      </c>
      <c r="B26" s="19">
        <f t="shared" si="0"/>
        <v>9.1606633249038172E-2</v>
      </c>
      <c r="C26" s="20">
        <f t="shared" si="1"/>
        <v>37360.362883717404</v>
      </c>
      <c r="D26" s="21">
        <f>VLOOKUP(A26,'תפוקה מצטברת מול אשתקד'!A:K,9,0)</f>
        <v>445195.05299999996</v>
      </c>
      <c r="E26" s="22">
        <f>VLOOKUP(A26,'תפוקה מצטברת מול אשתקד'!A:O,13,0)</f>
        <v>407834.69011628255</v>
      </c>
    </row>
    <row r="27" spans="1:5" ht="15" x14ac:dyDescent="0.3">
      <c r="A27" s="199" t="s">
        <v>131</v>
      </c>
      <c r="B27" s="19">
        <f t="shared" si="0"/>
        <v>1</v>
      </c>
      <c r="C27" s="20">
        <f t="shared" si="1"/>
        <v>36068.215654416868</v>
      </c>
      <c r="D27" s="21">
        <f>VLOOKUP(A27,'תפוקה מצטברת מול אשתקד'!A:K,9,0)</f>
        <v>36068.215654416868</v>
      </c>
      <c r="E27" s="22">
        <f>VLOOKUP(A27,'תפוקה מצטברת מול אשתקד'!A:O,13,0)</f>
        <v>0</v>
      </c>
    </row>
    <row r="28" spans="1:5" x14ac:dyDescent="0.3">
      <c r="A28" s="26" t="s">
        <v>93</v>
      </c>
      <c r="B28" s="19">
        <f t="shared" si="0"/>
        <v>0.71449725027715583</v>
      </c>
      <c r="C28" s="20">
        <f t="shared" si="1"/>
        <v>32410.979147999991</v>
      </c>
      <c r="D28" s="21">
        <f>VLOOKUP(A28,'תפוקה מצטברת מול אשתקד'!A:K,9,0)</f>
        <v>77772.915999999997</v>
      </c>
      <c r="E28" s="22">
        <f>VLOOKUP(A28,'תפוקה מצטברת מול אשתקד'!A:O,13,0)</f>
        <v>45361.936852000006</v>
      </c>
    </row>
    <row r="29" spans="1:5" x14ac:dyDescent="0.3">
      <c r="A29" s="30" t="s">
        <v>16</v>
      </c>
      <c r="B29" s="19">
        <f t="shared" si="0"/>
        <v>0</v>
      </c>
      <c r="C29" s="20">
        <f t="shared" si="1"/>
        <v>0</v>
      </c>
      <c r="D29" s="21">
        <f>VLOOKUP(A29,'תפוקה מצטברת מול אשתקד'!A:K,9,0)</f>
        <v>0</v>
      </c>
      <c r="E29" s="22">
        <f>VLOOKUP(A29,'תפוקה מצטברת מול אשתקד'!A:O,13,0)</f>
        <v>0</v>
      </c>
    </row>
    <row r="30" spans="1:5" x14ac:dyDescent="0.3">
      <c r="A30" s="26" t="s">
        <v>1</v>
      </c>
      <c r="B30" s="19">
        <f t="shared" si="0"/>
        <v>-0.66207675744603545</v>
      </c>
      <c r="C30" s="20">
        <f t="shared" si="1"/>
        <v>-556719.11448016868</v>
      </c>
      <c r="D30" s="21">
        <f>VLOOKUP(A30,'תפוקה מצטברת מול אשתקד'!A:K,9,0)</f>
        <v>284148.81845817459</v>
      </c>
      <c r="E30" s="22">
        <f>VLOOKUP(A30,'תפוקה מצטברת מול אשתקד'!A:O,13,0)</f>
        <v>840867.93293834326</v>
      </c>
    </row>
    <row r="31" spans="1:5" x14ac:dyDescent="0.3">
      <c r="A31" s="26" t="s">
        <v>81</v>
      </c>
      <c r="B31" s="19">
        <f t="shared" si="0"/>
        <v>2.7622188820707327E-2</v>
      </c>
      <c r="C31" s="20">
        <f t="shared" si="1"/>
        <v>683.64846978139394</v>
      </c>
      <c r="D31" s="21">
        <f>VLOOKUP(A31,'תפוקה מצטברת מול אשתקד'!A:K,9,0)</f>
        <v>25433.623</v>
      </c>
      <c r="E31" s="22">
        <f>VLOOKUP(A31,'תפוקה מצטברת מול אשתקד'!A:O,13,0)</f>
        <v>24749.974530218606</v>
      </c>
    </row>
    <row r="32" spans="1:5" x14ac:dyDescent="0.3">
      <c r="A32" s="26" t="s">
        <v>129</v>
      </c>
      <c r="B32" s="19">
        <f t="shared" si="0"/>
        <v>1</v>
      </c>
      <c r="C32" s="20">
        <f t="shared" si="1"/>
        <v>1144.091330151484</v>
      </c>
      <c r="D32" s="21">
        <f>VLOOKUP(A32,'תפוקה מצטברת מול אשתקד'!A:K,9,0)</f>
        <v>1144.091330151484</v>
      </c>
      <c r="E32" s="22">
        <f>VLOOKUP(A32,'תפוקה מצטברת מול אשתקד'!A:O,13,0)</f>
        <v>0</v>
      </c>
    </row>
    <row r="33" spans="1:5" ht="14.4" x14ac:dyDescent="0.3">
      <c r="A33" s="117" t="s">
        <v>99</v>
      </c>
      <c r="B33" s="19">
        <f t="shared" si="0"/>
        <v>1</v>
      </c>
      <c r="C33" s="20">
        <f t="shared" si="1"/>
        <v>7893.1615000000002</v>
      </c>
      <c r="D33" s="21">
        <f>VLOOKUP(A33,'תפוקה מצטברת מול אשתקד'!A:K,9,0)</f>
        <v>7893.1615000000002</v>
      </c>
      <c r="E33" s="22">
        <f>VLOOKUP(A33,'תפוקה מצטברת מול אשתקד'!A:O,13,0)</f>
        <v>0</v>
      </c>
    </row>
    <row r="34" spans="1:5" x14ac:dyDescent="0.3">
      <c r="A34" s="26" t="s">
        <v>34</v>
      </c>
      <c r="B34" s="19">
        <f t="shared" si="0"/>
        <v>-0.5783905857226711</v>
      </c>
      <c r="C34" s="20">
        <f t="shared" si="1"/>
        <v>-2439.5575049999998</v>
      </c>
      <c r="D34" s="21">
        <f>VLOOKUP(A34,'תפוקה מצטברת מול אשתקד'!A:K,9,0)</f>
        <v>1778.28</v>
      </c>
      <c r="E34" s="22">
        <f>VLOOKUP(A34,'תפוקה מצטברת מול אשתקד'!A:O,13,0)</f>
        <v>4217.8375049999995</v>
      </c>
    </row>
    <row r="35" spans="1:5" x14ac:dyDescent="0.3">
      <c r="A35" s="26" t="s">
        <v>90</v>
      </c>
      <c r="B35" s="19">
        <f t="shared" si="0"/>
        <v>-1.0015344743295782</v>
      </c>
      <c r="C35" s="20">
        <f t="shared" si="1"/>
        <v>-27969.86560815572</v>
      </c>
      <c r="D35" s="21">
        <f>VLOOKUP(A35,'תפוקה מצטברת מול אשתקד'!A:K,9,0)</f>
        <v>-42.853283513977203</v>
      </c>
      <c r="E35" s="22">
        <f>VLOOKUP(A35,'תפוקה מצטברת מול אשתקד'!A:O,13,0)</f>
        <v>27927.012324641742</v>
      </c>
    </row>
    <row r="36" spans="1:5" x14ac:dyDescent="0.3">
      <c r="A36" s="26" t="s">
        <v>29</v>
      </c>
      <c r="B36" s="19">
        <f t="shared" si="0"/>
        <v>2.4360828130134737</v>
      </c>
      <c r="C36" s="20">
        <f t="shared" si="1"/>
        <v>1853.25</v>
      </c>
      <c r="D36" s="21">
        <f>VLOOKUP(A36,'תפוקה מצטברת מול אשתקד'!A:K,9,0)</f>
        <v>2614</v>
      </c>
      <c r="E36" s="22">
        <f>VLOOKUP(A36,'תפוקה מצטברת מול אשתקד'!A:O,13,0)</f>
        <v>760.75</v>
      </c>
    </row>
    <row r="37" spans="1:5" x14ac:dyDescent="0.3">
      <c r="A37" s="26" t="s">
        <v>100</v>
      </c>
      <c r="B37" s="19">
        <f t="shared" si="0"/>
        <v>0.38583133602487107</v>
      </c>
      <c r="C37" s="20">
        <f t="shared" si="1"/>
        <v>20590.840092576109</v>
      </c>
      <c r="D37" s="21">
        <f>VLOOKUP(A37,'תפוקה מצטברת מול אשתקד'!A:K,9,0)</f>
        <v>73958.304499999998</v>
      </c>
      <c r="E37" s="22">
        <f>VLOOKUP(A37,'תפוקה מצטברת מול אשתקד'!A:O,13,0)</f>
        <v>53367.464407423889</v>
      </c>
    </row>
    <row r="38" spans="1:5" x14ac:dyDescent="0.3">
      <c r="A38" s="26" t="s">
        <v>4</v>
      </c>
      <c r="B38" s="19">
        <f t="shared" si="0"/>
        <v>0.67705477200014874</v>
      </c>
      <c r="C38" s="20">
        <f t="shared" si="1"/>
        <v>473.61200000000008</v>
      </c>
      <c r="D38" s="21">
        <f>VLOOKUP(A38,'תפוקה מצטברת מול אשתקד'!A:K,9,0)</f>
        <v>1173.1300000000001</v>
      </c>
      <c r="E38" s="22">
        <f>VLOOKUP(A38,'תפוקה מצטברת מול אשתקד'!A:O,13,0)</f>
        <v>699.51800000000003</v>
      </c>
    </row>
    <row r="39" spans="1:5" x14ac:dyDescent="0.3">
      <c r="A39" s="26" t="s">
        <v>104</v>
      </c>
      <c r="B39" s="19">
        <f t="shared" si="0"/>
        <v>1</v>
      </c>
      <c r="C39" s="20">
        <f t="shared" si="1"/>
        <v>53005.696160464096</v>
      </c>
      <c r="D39" s="21">
        <f>VLOOKUP(A39,'תפוקה מצטברת מול אשתקד'!A:K,9,0)</f>
        <v>53005.696160464096</v>
      </c>
      <c r="E39" s="22">
        <f>VLOOKUP(A39,'תפוקה מצטברת מול אשתקד'!A:O,13,0)</f>
        <v>0</v>
      </c>
    </row>
    <row r="40" spans="1:5" x14ac:dyDescent="0.3">
      <c r="A40" s="26" t="s">
        <v>92</v>
      </c>
      <c r="B40" s="19">
        <f t="shared" si="0"/>
        <v>-1.039838478778041</v>
      </c>
      <c r="C40" s="20">
        <f t="shared" si="1"/>
        <v>-7712.1700525591777</v>
      </c>
      <c r="D40" s="21">
        <f>VLOOKUP(A40,'תפוקה מצטברת מול אשתקד'!A:K,9,0)</f>
        <v>-295.47004582151453</v>
      </c>
      <c r="E40" s="22">
        <f>VLOOKUP(A40,'תפוקה מצטברת מול אשתקד'!A:O,13,0)</f>
        <v>7416.700006737663</v>
      </c>
    </row>
    <row r="41" spans="1:5" x14ac:dyDescent="0.3">
      <c r="A41" s="30" t="s">
        <v>12</v>
      </c>
      <c r="B41" s="19">
        <f t="shared" si="0"/>
        <v>-0.78272640861191789</v>
      </c>
      <c r="C41" s="20">
        <f t="shared" si="1"/>
        <v>-11109.395386976532</v>
      </c>
      <c r="D41" s="21">
        <f>VLOOKUP(A41,'תפוקה מצטברת מול אשתקד'!A:K,9,0)</f>
        <v>3083.8083490234649</v>
      </c>
      <c r="E41" s="22">
        <f>VLOOKUP(A41,'תפוקה מצטברת מול אשתקד'!A:O,13,0)</f>
        <v>14193.203735999998</v>
      </c>
    </row>
    <row r="42" spans="1:5" x14ac:dyDescent="0.3">
      <c r="A42" s="26" t="s">
        <v>86</v>
      </c>
      <c r="B42" s="19">
        <f t="shared" si="0"/>
        <v>-0.76025906677222355</v>
      </c>
      <c r="C42" s="20">
        <f t="shared" si="1"/>
        <v>-92662.864610589197</v>
      </c>
      <c r="D42" s="21">
        <f>VLOOKUP(A42,'תפוקה מצטברת מול אשתקד'!A:K,9,0)</f>
        <v>29220.41</v>
      </c>
      <c r="E42" s="22">
        <f>VLOOKUP(A42,'תפוקה מצטברת מול אשתקד'!A:O,13,0)</f>
        <v>121883.2746105892</v>
      </c>
    </row>
    <row r="43" spans="1:5" x14ac:dyDescent="0.3">
      <c r="A43" s="26" t="s">
        <v>98</v>
      </c>
      <c r="B43" s="19">
        <f t="shared" si="0"/>
        <v>1</v>
      </c>
      <c r="C43" s="20">
        <f t="shared" si="1"/>
        <v>10877.9</v>
      </c>
      <c r="D43" s="21">
        <f>VLOOKUP(A43,'תפוקה מצטברת מול אשתקד'!A:K,9,0)</f>
        <v>10877.9</v>
      </c>
      <c r="E43" s="22">
        <f>VLOOKUP(A43,'תפוקה מצטברת מול אשתקד'!A:O,13,0)</f>
        <v>0</v>
      </c>
    </row>
    <row r="44" spans="1:5" x14ac:dyDescent="0.3">
      <c r="A44" s="26" t="s">
        <v>5</v>
      </c>
      <c r="B44" s="19">
        <f t="shared" si="0"/>
        <v>1.0052489992973506</v>
      </c>
      <c r="C44" s="20">
        <f t="shared" si="1"/>
        <v>512958.44478179049</v>
      </c>
      <c r="D44" s="21">
        <f>VLOOKUP(A44,'תפוקה מצטברת מול אשתקד'!A:K,9,0)</f>
        <v>1023238.4302782579</v>
      </c>
      <c r="E44" s="22">
        <f>VLOOKUP(A44,'תפוקה מצטברת מול אשתקד'!A:O,13,0)</f>
        <v>510279.98549646745</v>
      </c>
    </row>
    <row r="45" spans="1:5" x14ac:dyDescent="0.3">
      <c r="A45" s="26" t="s">
        <v>9</v>
      </c>
      <c r="B45" s="19">
        <f t="shared" si="0"/>
        <v>0.19349143753077147</v>
      </c>
      <c r="C45" s="20">
        <f t="shared" si="1"/>
        <v>7180.6867201966452</v>
      </c>
      <c r="D45" s="21">
        <f>VLOOKUP(A45,'תפוקה מצטברת מול אשתקד'!A:K,9,0)</f>
        <v>44291.821000000004</v>
      </c>
      <c r="E45" s="22">
        <f>VLOOKUP(A45,'תפוקה מצטברת מול אשתקד'!A:O,13,0)</f>
        <v>37111.134279803358</v>
      </c>
    </row>
    <row r="46" spans="1:5" x14ac:dyDescent="0.3">
      <c r="A46" s="27" t="s">
        <v>31</v>
      </c>
      <c r="B46" s="19">
        <f t="shared" si="0"/>
        <v>0</v>
      </c>
      <c r="C46" s="20">
        <f t="shared" si="1"/>
        <v>-552.08504929275614</v>
      </c>
      <c r="D46" s="21">
        <f>VLOOKUP(A46,'תפוקה מצטברת מול אשתקד'!A:K,9,0)</f>
        <v>0</v>
      </c>
      <c r="E46" s="22">
        <f>VLOOKUP(A46,'תפוקה מצטברת מול אשתקד'!A:O,13,0)</f>
        <v>552.08504929275614</v>
      </c>
    </row>
    <row r="47" spans="1:5" x14ac:dyDescent="0.3">
      <c r="A47" s="30" t="s">
        <v>33</v>
      </c>
      <c r="B47" s="19">
        <f t="shared" si="0"/>
        <v>-4.4228108902077281</v>
      </c>
      <c r="C47" s="20">
        <f t="shared" si="1"/>
        <v>12065.284294072004</v>
      </c>
      <c r="D47" s="21">
        <f>VLOOKUP(A47,'תפוקה מצטברת מול אשתקד'!A:K,9,0)</f>
        <v>9337.316810591079</v>
      </c>
      <c r="E47" s="22">
        <f>VLOOKUP(A47,'תפוקה מצטברת מול אשתקד'!A:O,13,0)</f>
        <v>-2727.9674834809248</v>
      </c>
    </row>
    <row r="48" spans="1:5" x14ac:dyDescent="0.3">
      <c r="A48" s="26" t="s">
        <v>83</v>
      </c>
      <c r="B48" s="19">
        <f t="shared" si="0"/>
        <v>-0.41619999045602707</v>
      </c>
      <c r="C48" s="20">
        <f t="shared" si="1"/>
        <v>-15992.651714678006</v>
      </c>
      <c r="D48" s="21">
        <f>VLOOKUP(A48,'תפוקה מצטברת מול אשתקד'!A:K,9,0)</f>
        <v>22432.74973032199</v>
      </c>
      <c r="E48" s="22">
        <f>VLOOKUP(A48,'תפוקה מצטברת מול אשתקד'!A:O,13,0)</f>
        <v>38425.401444999996</v>
      </c>
    </row>
    <row r="49" spans="1:5" ht="14.4" x14ac:dyDescent="0.3">
      <c r="A49" s="118" t="s">
        <v>101</v>
      </c>
      <c r="B49" s="19">
        <f t="shared" si="0"/>
        <v>0.29042855620203367</v>
      </c>
      <c r="C49" s="20">
        <f t="shared" si="1"/>
        <v>48621.218119603669</v>
      </c>
      <c r="D49" s="21">
        <f>VLOOKUP(A49,'תפוקה מצטברת מול אשתקד'!A:K,9,0)</f>
        <v>216033.19287659286</v>
      </c>
      <c r="E49" s="22">
        <f>VLOOKUP(A49,'תפוקה מצטברת מול אשתקד'!A:O,13,0)</f>
        <v>167411.97475698919</v>
      </c>
    </row>
    <row r="50" spans="1:5" x14ac:dyDescent="0.3">
      <c r="A50" s="26" t="s">
        <v>37</v>
      </c>
      <c r="B50" s="19">
        <f t="shared" si="0"/>
        <v>-0.26269046737616775</v>
      </c>
      <c r="C50" s="20">
        <f t="shared" si="1"/>
        <v>-36851.570415000009</v>
      </c>
      <c r="D50" s="21">
        <f>VLOOKUP(A50,'תפוקה מצטברת מול אשתקד'!A:K,9,0)</f>
        <v>103433.575</v>
      </c>
      <c r="E50" s="22">
        <f>VLOOKUP(A50,'תפוקה מצטברת מול אשתקד'!A:O,13,0)</f>
        <v>140285.14541500001</v>
      </c>
    </row>
    <row r="51" spans="1:5" x14ac:dyDescent="0.3">
      <c r="A51" s="26" t="s">
        <v>24</v>
      </c>
      <c r="B51" s="19">
        <f t="shared" si="0"/>
        <v>9.2167420772668613</v>
      </c>
      <c r="C51" s="20">
        <f t="shared" si="1"/>
        <v>5984.7439999999997</v>
      </c>
      <c r="D51" s="21">
        <f>VLOOKUP(A51,'תפוקה מצטברת מול אשתקד'!A:K,9,0)</f>
        <v>6634.0779999999995</v>
      </c>
      <c r="E51" s="22">
        <f>VLOOKUP(A51,'תפוקה מצטברת מול אשתקד'!A:O,13,0)</f>
        <v>649.33399999999995</v>
      </c>
    </row>
    <row r="52" spans="1:5" x14ac:dyDescent="0.3">
      <c r="A52" s="28" t="s">
        <v>11</v>
      </c>
      <c r="B52" s="19">
        <f t="shared" si="0"/>
        <v>-1.5509179025282815E-2</v>
      </c>
      <c r="C52" s="20">
        <f t="shared" si="1"/>
        <v>-1978.5696591675514</v>
      </c>
      <c r="D52" s="21">
        <f>VLOOKUP(A52,'תפוקה מצטברת מול אשתקד'!A:K,9,0)</f>
        <v>125595.537</v>
      </c>
      <c r="E52" s="22">
        <f>VLOOKUP(A52,'תפוקה מצטברת מול אשתקד'!A:O,13,0)</f>
        <v>127574.10665916755</v>
      </c>
    </row>
    <row r="53" spans="1:5" x14ac:dyDescent="0.3">
      <c r="A53" s="28" t="s">
        <v>96</v>
      </c>
      <c r="B53" s="19">
        <f t="shared" si="0"/>
        <v>1.0383482624116871</v>
      </c>
      <c r="C53" s="20">
        <f t="shared" si="1"/>
        <v>20048.962999999996</v>
      </c>
      <c r="D53" s="21">
        <f>VLOOKUP(A53,'תפוקה מצטברת מול אשתקד'!A:K,9,0)</f>
        <v>39357.477999999996</v>
      </c>
      <c r="E53" s="22">
        <f>VLOOKUP(A53,'תפוקה מצטברת מול אשתקד'!A:O,13,0)</f>
        <v>19308.514999999999</v>
      </c>
    </row>
    <row r="54" spans="1:5" x14ac:dyDescent="0.3">
      <c r="A54" s="26" t="s">
        <v>30</v>
      </c>
      <c r="B54" s="19">
        <f t="shared" si="0"/>
        <v>0.15799204559067137</v>
      </c>
      <c r="C54" s="20">
        <f t="shared" si="1"/>
        <v>1289.5696178400594</v>
      </c>
      <c r="D54" s="21">
        <f>VLOOKUP(A54,'תפוקה מצטברת מול אשתקד'!A:K,9,0)</f>
        <v>9451.8135651150988</v>
      </c>
      <c r="E54" s="22">
        <f>VLOOKUP(A54,'תפוקה מצטברת מול אשתקד'!A:O,13,0)</f>
        <v>8162.2439472750393</v>
      </c>
    </row>
    <row r="55" spans="1:5" ht="15" x14ac:dyDescent="0.3">
      <c r="A55" s="194" t="s">
        <v>128</v>
      </c>
      <c r="B55" s="19">
        <f t="shared" si="0"/>
        <v>0</v>
      </c>
      <c r="C55" s="20">
        <f t="shared" si="1"/>
        <v>0</v>
      </c>
      <c r="D55" s="21">
        <f>VLOOKUP(A55,'תפוקה מצטברת מול אשתקד'!A:K,9,0)</f>
        <v>0</v>
      </c>
      <c r="E55" s="22">
        <f>VLOOKUP(A55,'תפוקה מצטברת מול אשתקד'!A:O,13,0)</f>
        <v>0</v>
      </c>
    </row>
    <row r="56" spans="1:5" x14ac:dyDescent="0.3">
      <c r="A56" s="26" t="s">
        <v>94</v>
      </c>
      <c r="B56" s="19">
        <f t="shared" si="0"/>
        <v>6.5547835407673949E-2</v>
      </c>
      <c r="C56" s="20">
        <f t="shared" si="1"/>
        <v>141.82426120228956</v>
      </c>
      <c r="D56" s="21">
        <f>VLOOKUP(A56,'תפוקה מצטברת מול אשתקד'!A:K,9,0)</f>
        <v>2305.5</v>
      </c>
      <c r="E56" s="22">
        <f>VLOOKUP(A56,'תפוקה מצטברת מול אשתקד'!A:O,13,0)</f>
        <v>2163.6757387977104</v>
      </c>
    </row>
    <row r="57" spans="1:5" x14ac:dyDescent="0.3">
      <c r="A57" s="26" t="s">
        <v>7</v>
      </c>
      <c r="B57" s="19">
        <f t="shared" si="0"/>
        <v>39.421965536925804</v>
      </c>
      <c r="C57" s="20">
        <f t="shared" si="1"/>
        <v>15607.234999999999</v>
      </c>
      <c r="D57" s="21">
        <f>VLOOKUP(A57,'תפוקה מצטברת מול אשתקד'!A:K,9,0)</f>
        <v>16003.136999999999</v>
      </c>
      <c r="E57" s="22">
        <f>VLOOKUP(A57,'תפוקה מצטברת מול אשתקד'!A:O,13,0)</f>
        <v>395.90199999999999</v>
      </c>
    </row>
    <row r="58" spans="1:5" x14ac:dyDescent="0.3">
      <c r="A58" s="26" t="s">
        <v>27</v>
      </c>
      <c r="B58" s="19">
        <f t="shared" si="0"/>
        <v>0.20753376966773551</v>
      </c>
      <c r="C58" s="20">
        <f t="shared" si="1"/>
        <v>-593.10891099999981</v>
      </c>
      <c r="D58" s="21">
        <f>VLOOKUP(A58,'תפוקה מצטברת מול אשתקד'!A:K,9,0)</f>
        <v>-3451</v>
      </c>
      <c r="E58" s="22">
        <f>VLOOKUP(A58,'תפוקה מצטברת מול אשתקד'!A:O,13,0)</f>
        <v>-2857.8910890000002</v>
      </c>
    </row>
    <row r="59" spans="1:5" x14ac:dyDescent="0.3">
      <c r="A59" s="26" t="s">
        <v>6</v>
      </c>
      <c r="B59" s="19">
        <f t="shared" si="0"/>
        <v>-0.50106264085208929</v>
      </c>
      <c r="C59" s="20">
        <f t="shared" si="1"/>
        <v>-40769.357382477298</v>
      </c>
      <c r="D59" s="21">
        <f>VLOOKUP(A59,'תפוקה מצטברת מול אשתקד'!A:K,9,0)</f>
        <v>40596.432158619551</v>
      </c>
      <c r="E59" s="22">
        <f>VLOOKUP(A59,'תפוקה מצטברת מול אשתקד'!A:O,13,0)</f>
        <v>81365.789541096849</v>
      </c>
    </row>
    <row r="60" spans="1:5" x14ac:dyDescent="0.3">
      <c r="A60" s="26" t="s">
        <v>91</v>
      </c>
      <c r="B60" s="19">
        <f t="shared" si="0"/>
        <v>-0.14425624563212214</v>
      </c>
      <c r="C60" s="20">
        <f t="shared" si="1"/>
        <v>-2400.1002527664532</v>
      </c>
      <c r="D60" s="21">
        <f>VLOOKUP(A60,'תפוקה מצטברת מול אשתקד'!A:K,9,0)</f>
        <v>14237.655999999999</v>
      </c>
      <c r="E60" s="22">
        <f>VLOOKUP(A60,'תפוקה מצטברת מול אשתקד'!A:O,13,0)</f>
        <v>16637.756252766452</v>
      </c>
    </row>
    <row r="61" spans="1:5" x14ac:dyDescent="0.3">
      <c r="A61" s="26" t="s">
        <v>8</v>
      </c>
      <c r="B61" s="19">
        <f t="shared" si="0"/>
        <v>-0.32909280803565644</v>
      </c>
      <c r="C61" s="20">
        <f t="shared" si="1"/>
        <v>-70133.942243028345</v>
      </c>
      <c r="D61" s="21">
        <f>VLOOKUP(A61,'תפוקה מצטברת מול אשתקד'!A:K,9,0)</f>
        <v>142979.01717305681</v>
      </c>
      <c r="E61" s="22">
        <f>VLOOKUP(A61,'תפוקה מצטברת מול אשתקד'!A:O,13,0)</f>
        <v>213112.95941608516</v>
      </c>
    </row>
    <row r="62" spans="1:5" x14ac:dyDescent="0.3">
      <c r="A62" s="30" t="s">
        <v>13</v>
      </c>
      <c r="B62" s="19">
        <f t="shared" si="0"/>
        <v>-0.43261875149208051</v>
      </c>
      <c r="C62" s="20">
        <f t="shared" si="1"/>
        <v>-9763.1600511041124</v>
      </c>
      <c r="D62" s="21">
        <f>VLOOKUP(A62,'תפוקה מצטברת מול אשתקד'!A:K,9,0)</f>
        <v>12804.424034031957</v>
      </c>
      <c r="E62" s="22">
        <f>VLOOKUP(A62,'תפוקה מצטברת מול אשתקד'!A:O,13,0)</f>
        <v>22567.58408513607</v>
      </c>
    </row>
    <row r="63" spans="1:5" x14ac:dyDescent="0.3">
      <c r="A63" s="26" t="s">
        <v>21</v>
      </c>
      <c r="B63" s="19">
        <f t="shared" si="0"/>
        <v>-0.9944126026977349</v>
      </c>
      <c r="C63" s="20">
        <f t="shared" si="1"/>
        <v>-1738.808</v>
      </c>
      <c r="D63" s="21">
        <f>VLOOKUP(A63,'תפוקה מצטברת מול אשתקד'!A:K,9,0)</f>
        <v>9.77</v>
      </c>
      <c r="E63" s="22">
        <f>VLOOKUP(A63,'תפוקה מצטברת מול אשתקד'!A:O,13,0)</f>
        <v>1748.578</v>
      </c>
    </row>
    <row r="64" spans="1:5" x14ac:dyDescent="0.3">
      <c r="A64" s="26" t="s">
        <v>2</v>
      </c>
      <c r="B64" s="19">
        <f t="shared" si="0"/>
        <v>-0.42272162205271535</v>
      </c>
      <c r="C64" s="20">
        <f t="shared" si="1"/>
        <v>-2893.4092057791704</v>
      </c>
      <c r="D64" s="21">
        <f>VLOOKUP(A64,'תפוקה מצטברת מול אשתקד'!A:K,9,0)</f>
        <v>3951.306216462347</v>
      </c>
      <c r="E64" s="22">
        <f>VLOOKUP(A64,'תפוקה מצטברת מול אשתקד'!A:O,13,0)</f>
        <v>6844.7154222415174</v>
      </c>
    </row>
    <row r="65" spans="1:5" x14ac:dyDescent="0.3">
      <c r="A65" s="30" t="s">
        <v>15</v>
      </c>
      <c r="B65" s="19">
        <f t="shared" si="0"/>
        <v>2.1979059026958847E-2</v>
      </c>
      <c r="C65" s="20">
        <f t="shared" si="1"/>
        <v>2274.8783939999848</v>
      </c>
      <c r="D65" s="21">
        <f>VLOOKUP(A65,'תפוקה מצטברת מול אשתקד'!A:K,9,0)</f>
        <v>105776.9615</v>
      </c>
      <c r="E65" s="22">
        <f>VLOOKUP(A65,'תפוקה מצטברת מול אשתקד'!A:O,13,0)</f>
        <v>103502.08310600002</v>
      </c>
    </row>
    <row r="66" spans="1:5" x14ac:dyDescent="0.3">
      <c r="A66" s="30" t="s">
        <v>17</v>
      </c>
      <c r="B66" s="19">
        <f t="shared" ref="B66:B69" si="2">IF(D66=0,0%,IF(E66=0,100%,D66/E66-1))</f>
        <v>2.5808200207602994E-2</v>
      </c>
      <c r="C66" s="20">
        <f t="shared" ref="C66:C69" si="3">D66-E66</f>
        <v>1463.1415327832437</v>
      </c>
      <c r="D66" s="21">
        <f>VLOOKUP(A66,'תפוקה מצטברת מול אשתקד'!A:K,9,0)</f>
        <v>58156.03452856106</v>
      </c>
      <c r="E66" s="22">
        <f>VLOOKUP(A66,'תפוקה מצטברת מול אשתקד'!A:O,13,0)</f>
        <v>56692.892995777816</v>
      </c>
    </row>
    <row r="67" spans="1:5" x14ac:dyDescent="0.3">
      <c r="A67" s="192" t="s">
        <v>36</v>
      </c>
      <c r="B67" s="19">
        <f t="shared" si="2"/>
        <v>0</v>
      </c>
      <c r="C67" s="20">
        <f t="shared" si="3"/>
        <v>-1133.4596760000002</v>
      </c>
      <c r="D67" s="21">
        <f>VLOOKUP(A67,'תפוקה מצטברת מול אשתקד'!A:K,9,0)</f>
        <v>0</v>
      </c>
      <c r="E67" s="22">
        <f>VLOOKUP(A67,'תפוקה מצטברת מול אשתקד'!A:O,13,0)</f>
        <v>1133.4596760000002</v>
      </c>
    </row>
    <row r="68" spans="1:5" x14ac:dyDescent="0.3">
      <c r="A68" s="26" t="s">
        <v>82</v>
      </c>
      <c r="B68" s="19">
        <f t="shared" si="2"/>
        <v>2.1113937235280402</v>
      </c>
      <c r="C68" s="20">
        <f t="shared" si="3"/>
        <v>21415.847535201399</v>
      </c>
      <c r="D68" s="21">
        <f>VLOOKUP(A68,'תפוקה מצטברת מול אשתקד'!A:K,9,0)</f>
        <v>31558.838535201401</v>
      </c>
      <c r="E68" s="22">
        <f>VLOOKUP(A68,'תפוקה מצטברת מול אשתקד'!A:O,13,0)</f>
        <v>10142.991</v>
      </c>
    </row>
    <row r="69" spans="1:5" x14ac:dyDescent="0.3">
      <c r="A69" s="26" t="s">
        <v>22</v>
      </c>
      <c r="B69" s="19">
        <f t="shared" si="2"/>
        <v>2.2419332407461745E-3</v>
      </c>
      <c r="C69" s="20">
        <f t="shared" si="3"/>
        <v>10.905490513086988</v>
      </c>
      <c r="D69" s="21">
        <f>VLOOKUP(A69,'תפוקה מצטברת מול אשתקד'!A:K,9,0)</f>
        <v>4875.2298668525636</v>
      </c>
      <c r="E69" s="22">
        <f>VLOOKUP(A69,'תפוקה מצטברת מול אשתקד'!A:O,13,0)</f>
        <v>4864.3243763394767</v>
      </c>
    </row>
  </sheetData>
  <autoFilter ref="A1:F69"/>
  <sortState ref="A2:E71">
    <sortCondition ref="B1:B71"/>
  </sortState>
  <conditionalFormatting sqref="A1:A16">
    <cfRule type="duplicateValues" dxfId="269" priority="172"/>
    <cfRule type="duplicateValues" dxfId="268" priority="173"/>
  </conditionalFormatting>
  <conditionalFormatting sqref="A22">
    <cfRule type="duplicateValues" dxfId="267" priority="1"/>
    <cfRule type="duplicateValues" dxfId="266" priority="2"/>
  </conditionalFormatting>
  <conditionalFormatting sqref="A32">
    <cfRule type="duplicateValues" dxfId="265" priority="3"/>
    <cfRule type="duplicateValues" dxfId="264" priority="4"/>
  </conditionalFormatting>
  <conditionalFormatting sqref="A48">
    <cfRule type="duplicateValues" dxfId="263" priority="5"/>
    <cfRule type="duplicateValues" dxfId="262" priority="6"/>
  </conditionalFormatting>
  <conditionalFormatting sqref="A49:A54 A17:A21 A56:A61 A33:A47 A23:A26 A28:A31">
    <cfRule type="duplicateValues" dxfId="261" priority="15"/>
    <cfRule type="duplicateValues" dxfId="260" priority="16"/>
  </conditionalFormatting>
  <conditionalFormatting sqref="A68">
    <cfRule type="duplicateValues" dxfId="259" priority="9"/>
    <cfRule type="duplicateValues" dxfId="258" priority="10"/>
  </conditionalFormatting>
  <conditionalFormatting sqref="A69 A62:A67">
    <cfRule type="duplicateValues" dxfId="257" priority="13"/>
    <cfRule type="duplicateValues" dxfId="256" priority="14"/>
  </conditionalFormatting>
  <conditionalFormatting sqref="B2:B69">
    <cfRule type="cellIs" dxfId="255" priority="28" operator="lessThan">
      <formula>-0.0001</formula>
    </cfRule>
    <cfRule type="cellIs" dxfId="254" priority="29" operator="greaterThan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K78"/>
  <sheetViews>
    <sheetView rightToLeft="1" topLeftCell="A46" workbookViewId="0">
      <selection activeCell="M54" sqref="M54"/>
    </sheetView>
  </sheetViews>
  <sheetFormatPr defaultColWidth="22.44140625" defaultRowHeight="14.4" x14ac:dyDescent="0.3"/>
  <cols>
    <col min="1" max="1" width="30" style="32" bestFit="1" customWidth="1"/>
    <col min="2" max="2" width="10.6640625" style="32" customWidth="1"/>
    <col min="3" max="3" width="11.6640625" style="32" customWidth="1"/>
    <col min="4" max="4" width="14.44140625" customWidth="1"/>
    <col min="5" max="5" width="14.6640625" customWidth="1"/>
    <col min="6" max="6" width="15.44140625" customWidth="1"/>
    <col min="7" max="7" width="19" customWidth="1"/>
    <col min="8" max="8" width="14.44140625" style="3" bestFit="1" customWidth="1"/>
    <col min="9" max="9" width="14.6640625" style="3" bestFit="1" customWidth="1"/>
    <col min="10" max="10" width="15.44140625" style="3" bestFit="1" customWidth="1"/>
    <col min="11" max="11" width="19" bestFit="1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3622</v>
      </c>
      <c r="F3" s="14"/>
      <c r="G3" s="14"/>
      <c r="H3" s="96"/>
      <c r="I3" s="96">
        <v>17911</v>
      </c>
      <c r="J3" s="96">
        <v>200000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6"/>
      <c r="I6" s="116"/>
      <c r="J6" s="116"/>
      <c r="K6" s="11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">
      <c r="A8" s="122" t="s">
        <v>3</v>
      </c>
      <c r="B8" s="121"/>
      <c r="C8" s="121"/>
      <c r="D8" s="176">
        <f>SUM(D3:D7)</f>
        <v>0</v>
      </c>
      <c r="E8" s="176">
        <f t="shared" ref="E8:K8" si="0">SUM(E3:E7)</f>
        <v>3622</v>
      </c>
      <c r="F8" s="176">
        <f t="shared" si="0"/>
        <v>0</v>
      </c>
      <c r="G8" s="176">
        <f t="shared" si="0"/>
        <v>0</v>
      </c>
      <c r="H8" s="176">
        <f t="shared" si="0"/>
        <v>0</v>
      </c>
      <c r="I8" s="176">
        <f t="shared" si="0"/>
        <v>17911</v>
      </c>
      <c r="J8" s="176">
        <f t="shared" si="0"/>
        <v>200000</v>
      </c>
      <c r="K8" s="176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19"/>
      <c r="I9" s="119"/>
      <c r="J9" s="119"/>
      <c r="K9" s="119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116"/>
      <c r="I20" s="116"/>
      <c r="J20" s="116"/>
      <c r="K20" s="11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116"/>
      <c r="I21" s="116"/>
      <c r="J21" s="116"/>
      <c r="K21" s="116"/>
    </row>
    <row r="22" spans="1:11" ht="21.6" thickBot="1" x14ac:dyDescent="0.35">
      <c r="A22" s="122" t="s">
        <v>10</v>
      </c>
      <c r="B22" s="121"/>
      <c r="C22" s="121"/>
      <c r="D22" s="120">
        <f>SUM(D9:D21)</f>
        <v>0</v>
      </c>
      <c r="E22" s="120">
        <f t="shared" ref="E22:K22" si="1">SUM(E9:E21)</f>
        <v>0</v>
      </c>
      <c r="F22" s="120">
        <f t="shared" si="1"/>
        <v>0</v>
      </c>
      <c r="G22" s="120">
        <f>SUM(G9:G21)</f>
        <v>0</v>
      </c>
      <c r="H22" s="120">
        <f t="shared" si="1"/>
        <v>0</v>
      </c>
      <c r="I22" s="120">
        <f t="shared" si="1"/>
        <v>0</v>
      </c>
      <c r="J22" s="120">
        <f t="shared" si="1"/>
        <v>0</v>
      </c>
      <c r="K22" s="120">
        <f t="shared" si="1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119"/>
      <c r="I23" s="119"/>
      <c r="J23" s="119"/>
      <c r="K23" s="119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31.2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1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31.2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31.2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1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1" ht="31.2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1" ht="31.2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1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1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1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1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1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1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116"/>
      <c r="I54" s="116"/>
      <c r="J54" s="116"/>
      <c r="K54" s="116"/>
    </row>
    <row r="55" spans="1:11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116"/>
      <c r="I55" s="116"/>
      <c r="J55" s="116"/>
      <c r="K55" s="116"/>
    </row>
    <row r="56" spans="1:11" ht="21.6" thickBot="1" x14ac:dyDescent="0.35">
      <c r="A56" s="123" t="s">
        <v>115</v>
      </c>
      <c r="B56" s="121"/>
      <c r="C56" s="121"/>
      <c r="D56" s="120">
        <f t="shared" ref="D56:K56" ca="1" si="2">SUM(D22:D58)</f>
        <v>0</v>
      </c>
      <c r="E56" s="120">
        <f t="shared" ca="1" si="2"/>
        <v>0</v>
      </c>
      <c r="F56" s="120">
        <f t="shared" ca="1" si="2"/>
        <v>0</v>
      </c>
      <c r="G56" s="120">
        <f t="shared" ca="1" si="2"/>
        <v>0</v>
      </c>
      <c r="H56" s="120">
        <f t="shared" ca="1" si="2"/>
        <v>0</v>
      </c>
      <c r="I56" s="120">
        <f t="shared" ca="1" si="2"/>
        <v>0</v>
      </c>
      <c r="J56" s="120">
        <f t="shared" ca="1" si="2"/>
        <v>0</v>
      </c>
      <c r="K56" s="120">
        <f t="shared" ca="1" si="2"/>
        <v>0</v>
      </c>
    </row>
    <row r="57" spans="1:11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1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1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</row>
    <row r="60" spans="1:11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1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1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1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1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1" ht="15.75" customHeight="1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35">
      <c r="A66" s="123" t="s">
        <v>116</v>
      </c>
      <c r="B66" s="121"/>
      <c r="C66" s="121"/>
      <c r="D66" s="120">
        <f t="shared" ref="D66:K66" si="3">SUM(D23:D55)</f>
        <v>0</v>
      </c>
      <c r="E66" s="120">
        <f t="shared" si="3"/>
        <v>0</v>
      </c>
      <c r="F66" s="120">
        <f t="shared" si="3"/>
        <v>0</v>
      </c>
      <c r="G66" s="120">
        <f t="shared" si="3"/>
        <v>0</v>
      </c>
      <c r="H66" s="120">
        <f t="shared" si="3"/>
        <v>0</v>
      </c>
      <c r="I66" s="120">
        <f t="shared" si="3"/>
        <v>0</v>
      </c>
      <c r="J66" s="120">
        <f t="shared" si="3"/>
        <v>0</v>
      </c>
      <c r="K66" s="120">
        <f t="shared" si="3"/>
        <v>0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119"/>
      <c r="I67" s="119"/>
      <c r="J67" s="119"/>
      <c r="K67" s="119"/>
    </row>
    <row r="68" spans="1:11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1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1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1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1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1" ht="16.2" thickBot="1" x14ac:dyDescent="0.35">
      <c r="A74" s="28" t="s">
        <v>81</v>
      </c>
      <c r="B74" s="28" t="s">
        <v>56</v>
      </c>
      <c r="C74" s="28" t="s">
        <v>103</v>
      </c>
      <c r="D74" s="15"/>
      <c r="E74" s="15"/>
      <c r="F74" s="15"/>
      <c r="G74" s="15"/>
      <c r="H74" s="116"/>
      <c r="I74" s="116"/>
      <c r="J74" s="116"/>
      <c r="K74" s="116"/>
    </row>
    <row r="75" spans="1:11" ht="21.6" thickBot="1" x14ac:dyDescent="0.35">
      <c r="A75" s="122" t="s">
        <v>44</v>
      </c>
      <c r="B75" s="121"/>
      <c r="C75" s="121"/>
      <c r="D75" s="131">
        <f t="shared" ref="D75:K75" si="4">SUM(D67:D74)</f>
        <v>0</v>
      </c>
      <c r="E75" s="131">
        <f t="shared" si="4"/>
        <v>0</v>
      </c>
      <c r="F75" s="131">
        <f t="shared" si="4"/>
        <v>0</v>
      </c>
      <c r="G75" s="131">
        <f t="shared" si="4"/>
        <v>0</v>
      </c>
      <c r="H75" s="131">
        <f t="shared" si="4"/>
        <v>0</v>
      </c>
      <c r="I75" s="131">
        <f t="shared" si="4"/>
        <v>0</v>
      </c>
      <c r="J75" s="131">
        <f t="shared" si="4"/>
        <v>0</v>
      </c>
      <c r="K75" s="131">
        <f t="shared" si="4"/>
        <v>0</v>
      </c>
    </row>
    <row r="76" spans="1:11" ht="21.6" thickBot="1" x14ac:dyDescent="0.45">
      <c r="A76" s="122" t="s">
        <v>45</v>
      </c>
      <c r="B76" s="121"/>
      <c r="C76" s="121"/>
      <c r="D76" s="175">
        <f t="shared" ref="D76:K76" si="5">D75+D66+D22+D8</f>
        <v>0</v>
      </c>
      <c r="E76" s="175">
        <f t="shared" si="5"/>
        <v>3622</v>
      </c>
      <c r="F76" s="175">
        <f t="shared" si="5"/>
        <v>0</v>
      </c>
      <c r="G76" s="175">
        <f t="shared" si="5"/>
        <v>0</v>
      </c>
      <c r="H76" s="175">
        <f t="shared" si="5"/>
        <v>0</v>
      </c>
      <c r="I76" s="175">
        <f t="shared" si="5"/>
        <v>17911</v>
      </c>
      <c r="J76" s="132">
        <f t="shared" si="5"/>
        <v>200000</v>
      </c>
      <c r="K76" s="132">
        <f t="shared" si="5"/>
        <v>0</v>
      </c>
    </row>
    <row r="77" spans="1:11" x14ac:dyDescent="0.3">
      <c r="H77" s="10"/>
      <c r="I77" s="10"/>
      <c r="J77" s="10"/>
    </row>
    <row r="78" spans="1:11" x14ac:dyDescent="0.3">
      <c r="F78" s="6"/>
    </row>
  </sheetData>
  <mergeCells count="2">
    <mergeCell ref="D1:G1"/>
    <mergeCell ref="H1:K1"/>
  </mergeCells>
  <conditionalFormatting sqref="A14">
    <cfRule type="duplicateValues" dxfId="253" priority="7"/>
    <cfRule type="duplicateValues" dxfId="252" priority="8"/>
  </conditionalFormatting>
  <conditionalFormatting sqref="A20">
    <cfRule type="duplicateValues" dxfId="251" priority="1"/>
    <cfRule type="duplicateValues" dxfId="250" priority="2"/>
  </conditionalFormatting>
  <conditionalFormatting sqref="A54">
    <cfRule type="duplicateValues" dxfId="249" priority="3"/>
    <cfRule type="duplicateValues" dxfId="248" priority="4"/>
  </conditionalFormatting>
  <conditionalFormatting sqref="A57">
    <cfRule type="duplicateValues" dxfId="247" priority="11"/>
    <cfRule type="duplicateValues" dxfId="246" priority="12"/>
  </conditionalFormatting>
  <conditionalFormatting sqref="A58:A60 A7 A23:A53 A62 A55">
    <cfRule type="duplicateValues" dxfId="245" priority="268"/>
    <cfRule type="duplicateValues" dxfId="244" priority="269"/>
  </conditionalFormatting>
  <conditionalFormatting sqref="A61">
    <cfRule type="duplicateValues" dxfId="243" priority="5"/>
    <cfRule type="duplicateValues" dxfId="242" priority="6"/>
  </conditionalFormatting>
  <conditionalFormatting sqref="A67:A74">
    <cfRule type="duplicateValues" dxfId="241" priority="15"/>
    <cfRule type="duplicateValues" dxfId="240" priority="16"/>
  </conditionalFormatting>
  <conditionalFormatting sqref="A75:A76 A1:A6 A8:A13 A15:A19 A56 A66 A21:A22">
    <cfRule type="duplicateValues" dxfId="239" priority="13"/>
    <cfRule type="duplicateValues" dxfId="238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0"/>
  <sheetViews>
    <sheetView rightToLeft="1" zoomScaleNormal="100" workbookViewId="0">
      <pane ySplit="3" topLeftCell="A51" activePane="bottomLeft" state="frozen"/>
      <selection pane="bottomLeft" activeCell="L16" sqref="L16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8" width="16.88671875" style="3" customWidth="1"/>
    <col min="9" max="9" width="15.109375" style="3" customWidth="1"/>
    <col min="10" max="10" width="16.88671875" style="3" customWidth="1"/>
    <col min="11" max="11" width="19" customWidth="1"/>
    <col min="12" max="12" width="30.5546875" customWidth="1"/>
  </cols>
  <sheetData>
    <row r="1" spans="1:13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3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3" ht="15.6" x14ac:dyDescent="0.3">
      <c r="A3" s="26" t="s">
        <v>1</v>
      </c>
      <c r="B3" s="26" t="s">
        <v>108</v>
      </c>
      <c r="C3" s="26" t="s">
        <v>58</v>
      </c>
      <c r="D3" s="195">
        <f>6924535.48-494-182.29-D4-D6-D16-D51-D52-D55-D70-D74</f>
        <v>6000900.2199999997</v>
      </c>
      <c r="E3" s="195">
        <f>192244.82-1689-E4-E5-E6-E16-E51-E52-E55-E70-E71-E74</f>
        <v>101061.03000000001</v>
      </c>
      <c r="F3" s="195">
        <f>5255895.08-185743-F4-F16-F52</f>
        <v>3922647.5</v>
      </c>
      <c r="G3" s="195">
        <f>63594921.18-G4-G6-G16-G51-G52-G70</f>
        <v>58098918</v>
      </c>
      <c r="H3" s="96">
        <v>2090214.9400000004</v>
      </c>
      <c r="I3" s="96">
        <v>215084.96000000002</v>
      </c>
      <c r="J3" s="96">
        <v>4786190.43</v>
      </c>
      <c r="K3" s="96">
        <v>15482469.359999999</v>
      </c>
    </row>
    <row r="4" spans="1:13" ht="15.6" x14ac:dyDescent="0.3">
      <c r="A4" s="26" t="s">
        <v>2</v>
      </c>
      <c r="B4" s="26" t="s">
        <v>108</v>
      </c>
      <c r="C4" s="26" t="s">
        <v>58</v>
      </c>
      <c r="D4" s="195">
        <v>312906.90000000002</v>
      </c>
      <c r="E4" s="195">
        <v>6.36</v>
      </c>
      <c r="F4" s="195">
        <v>1021459.13</v>
      </c>
      <c r="G4" s="195">
        <v>2380417.9300000002</v>
      </c>
      <c r="H4" s="96">
        <v>230490.4</v>
      </c>
      <c r="I4" s="96">
        <v>1479.1699999999998</v>
      </c>
      <c r="J4" s="96">
        <v>1621754.36</v>
      </c>
      <c r="K4" s="96">
        <v>1992484.25</v>
      </c>
      <c r="L4" s="6"/>
    </row>
    <row r="5" spans="1:13" ht="15.6" x14ac:dyDescent="0.3">
      <c r="A5" s="26" t="s">
        <v>104</v>
      </c>
      <c r="B5" s="26" t="s">
        <v>108</v>
      </c>
      <c r="C5" s="26" t="s">
        <v>58</v>
      </c>
      <c r="D5" s="195"/>
      <c r="E5" s="195">
        <v>5083.76</v>
      </c>
      <c r="F5" s="195"/>
      <c r="G5" s="195"/>
      <c r="H5" s="96"/>
      <c r="I5" s="96"/>
      <c r="J5" s="96"/>
      <c r="K5" s="96"/>
      <c r="M5" s="6"/>
    </row>
    <row r="6" spans="1:13" ht="15.6" x14ac:dyDescent="0.3">
      <c r="A6" s="28" t="s">
        <v>105</v>
      </c>
      <c r="B6" s="26" t="s">
        <v>108</v>
      </c>
      <c r="C6" s="28" t="s">
        <v>58</v>
      </c>
      <c r="D6" s="195">
        <v>97641.35</v>
      </c>
      <c r="E6" s="195">
        <v>3895.66</v>
      </c>
      <c r="F6" s="195"/>
      <c r="G6" s="195">
        <v>860814.44</v>
      </c>
      <c r="H6" s="96"/>
      <c r="I6" s="96"/>
      <c r="J6" s="96"/>
      <c r="K6" s="96"/>
    </row>
    <row r="7" spans="1:13" ht="16.2" thickBot="1" x14ac:dyDescent="0.35">
      <c r="A7" s="26" t="s">
        <v>34</v>
      </c>
      <c r="B7" s="26" t="s">
        <v>108</v>
      </c>
      <c r="C7" s="26" t="s">
        <v>58</v>
      </c>
      <c r="D7" s="195">
        <v>8288.5499999999993</v>
      </c>
      <c r="E7" s="195">
        <v>400.28</v>
      </c>
      <c r="F7" s="195">
        <v>12228.97</v>
      </c>
      <c r="G7" s="195">
        <v>53154.27</v>
      </c>
      <c r="H7" s="96">
        <v>39717.919999999998</v>
      </c>
      <c r="I7" s="96">
        <v>0</v>
      </c>
      <c r="J7" s="96">
        <v>10547.45</v>
      </c>
      <c r="K7" s="96">
        <v>105819.08</v>
      </c>
    </row>
    <row r="8" spans="1:13" ht="21.6" thickBot="1" x14ac:dyDescent="0.45">
      <c r="A8" s="122" t="s">
        <v>3</v>
      </c>
      <c r="B8" s="121"/>
      <c r="C8" s="121"/>
      <c r="D8" s="174">
        <f>SUM(D3:D7)</f>
        <v>6419737.0199999996</v>
      </c>
      <c r="E8" s="174">
        <f t="shared" ref="E8:G8" si="0">SUM(E3:E7)</f>
        <v>110447.09000000001</v>
      </c>
      <c r="F8" s="174">
        <f t="shared" si="0"/>
        <v>4956335.5999999996</v>
      </c>
      <c r="G8" s="174">
        <f t="shared" si="0"/>
        <v>61393304.640000001</v>
      </c>
      <c r="H8" s="174">
        <f>SUM(H3:H7)</f>
        <v>2360423.2600000002</v>
      </c>
      <c r="I8" s="174">
        <f t="shared" ref="I8:K8" si="1">SUM(I3:I7)</f>
        <v>216564.13000000003</v>
      </c>
      <c r="J8" s="174">
        <f t="shared" si="1"/>
        <v>6418492.2400000002</v>
      </c>
      <c r="K8" s="174">
        <f t="shared" si="1"/>
        <v>17580772.689999998</v>
      </c>
    </row>
    <row r="9" spans="1:13" ht="15.6" x14ac:dyDescent="0.3">
      <c r="A9" s="27" t="s">
        <v>4</v>
      </c>
      <c r="B9" s="26" t="s">
        <v>108</v>
      </c>
      <c r="C9" s="27" t="s">
        <v>106</v>
      </c>
      <c r="D9" s="18">
        <v>131.32</v>
      </c>
      <c r="E9" s="18">
        <v>27.63</v>
      </c>
      <c r="F9" s="18"/>
      <c r="G9" s="18"/>
      <c r="H9" s="96">
        <v>0</v>
      </c>
      <c r="I9" s="96">
        <v>81.89</v>
      </c>
      <c r="J9" s="96">
        <v>0</v>
      </c>
      <c r="K9" s="96">
        <v>0</v>
      </c>
    </row>
    <row r="10" spans="1:13" ht="15.6" x14ac:dyDescent="0.3">
      <c r="A10" s="26" t="s">
        <v>5</v>
      </c>
      <c r="B10" s="26" t="s">
        <v>108</v>
      </c>
      <c r="C10" s="26" t="s">
        <v>106</v>
      </c>
      <c r="D10" s="14">
        <v>1943.89</v>
      </c>
      <c r="E10" s="14">
        <v>61206.19</v>
      </c>
      <c r="F10" s="14"/>
      <c r="G10" s="14">
        <v>132402.76</v>
      </c>
      <c r="H10" s="96">
        <v>154.65</v>
      </c>
      <c r="I10" s="96">
        <v>32.069999999999538</v>
      </c>
      <c r="J10" s="96">
        <v>140.94</v>
      </c>
      <c r="K10" s="96">
        <v>28980.240000000002</v>
      </c>
    </row>
    <row r="11" spans="1:13" ht="15.6" x14ac:dyDescent="0.3">
      <c r="A11" s="26" t="s">
        <v>6</v>
      </c>
      <c r="B11" s="26" t="s">
        <v>108</v>
      </c>
      <c r="C11" s="26" t="s">
        <v>106</v>
      </c>
      <c r="D11" s="195">
        <v>48456.72</v>
      </c>
      <c r="E11" s="195">
        <v>4067.32</v>
      </c>
      <c r="F11" s="195">
        <v>270264.07</v>
      </c>
      <c r="G11" s="195">
        <v>568183.63</v>
      </c>
      <c r="H11" s="96">
        <v>42168.06</v>
      </c>
      <c r="I11" s="96">
        <v>6126.11</v>
      </c>
      <c r="J11" s="96">
        <v>61433.760000000002</v>
      </c>
      <c r="K11" s="96">
        <v>248424.95</v>
      </c>
      <c r="M11" s="137"/>
    </row>
    <row r="12" spans="1:13" ht="15.6" x14ac:dyDescent="0.3">
      <c r="A12" s="26" t="s">
        <v>7</v>
      </c>
      <c r="B12" s="26" t="s">
        <v>108</v>
      </c>
      <c r="C12" s="26" t="s">
        <v>106</v>
      </c>
      <c r="D12" s="195">
        <v>225037.92</v>
      </c>
      <c r="E12" s="195">
        <v>5647.16</v>
      </c>
      <c r="F12" s="195">
        <v>146436.74</v>
      </c>
      <c r="G12" s="204">
        <v>604897.65</v>
      </c>
      <c r="H12" s="96">
        <v>138.44999999999999</v>
      </c>
      <c r="I12" s="96">
        <v>311.68</v>
      </c>
      <c r="J12" s="96">
        <v>0</v>
      </c>
      <c r="K12" s="96">
        <v>0</v>
      </c>
    </row>
    <row r="13" spans="1:13" ht="15.6" x14ac:dyDescent="0.3">
      <c r="A13" s="26" t="s">
        <v>8</v>
      </c>
      <c r="B13" s="26" t="s">
        <v>108</v>
      </c>
      <c r="C13" s="26" t="s">
        <v>106</v>
      </c>
      <c r="D13" s="195">
        <v>51151.56</v>
      </c>
      <c r="E13" s="195">
        <v>3377.1</v>
      </c>
      <c r="F13" s="195"/>
      <c r="G13" s="195"/>
      <c r="H13" s="96">
        <v>0</v>
      </c>
      <c r="I13" s="96">
        <v>8901.2800000000007</v>
      </c>
      <c r="J13" s="96">
        <v>798884.86</v>
      </c>
      <c r="K13" s="96">
        <v>109652.72</v>
      </c>
    </row>
    <row r="14" spans="1:13" ht="15.6" x14ac:dyDescent="0.3">
      <c r="A14" s="26" t="s">
        <v>9</v>
      </c>
      <c r="B14" s="26" t="s">
        <v>108</v>
      </c>
      <c r="C14" s="26" t="s">
        <v>106</v>
      </c>
      <c r="D14" s="195">
        <v>71952.850000000006</v>
      </c>
      <c r="E14" s="195">
        <v>445.58</v>
      </c>
      <c r="F14" s="195">
        <v>246923.96</v>
      </c>
      <c r="G14" s="195">
        <v>605629.71</v>
      </c>
      <c r="H14" s="96">
        <v>341881.62000000005</v>
      </c>
      <c r="I14" s="96">
        <v>5124.63</v>
      </c>
      <c r="J14" s="96">
        <v>235598.40000000002</v>
      </c>
      <c r="K14" s="96">
        <v>1924359.06</v>
      </c>
    </row>
    <row r="15" spans="1:13" ht="15.6" x14ac:dyDescent="0.3">
      <c r="A15" s="26" t="s">
        <v>31</v>
      </c>
      <c r="B15" s="26" t="s">
        <v>108</v>
      </c>
      <c r="C15" s="26" t="s">
        <v>106</v>
      </c>
      <c r="D15" s="195">
        <v>122818.49</v>
      </c>
      <c r="E15" s="195"/>
      <c r="F15" s="195">
        <v>266565.67</v>
      </c>
      <c r="G15" s="195">
        <v>113981.56</v>
      </c>
      <c r="H15" s="96">
        <v>23737.15</v>
      </c>
      <c r="I15" s="96">
        <v>0</v>
      </c>
      <c r="J15" s="96">
        <v>0</v>
      </c>
      <c r="K15" s="96">
        <v>0</v>
      </c>
    </row>
    <row r="16" spans="1:13" ht="15.6" x14ac:dyDescent="0.3">
      <c r="A16" s="26" t="s">
        <v>96</v>
      </c>
      <c r="B16" s="26" t="s">
        <v>108</v>
      </c>
      <c r="C16" s="26" t="s">
        <v>106</v>
      </c>
      <c r="D16" s="195">
        <v>53589.36</v>
      </c>
      <c r="E16" s="195">
        <v>33615.1</v>
      </c>
      <c r="F16" s="195">
        <v>25369.24</v>
      </c>
      <c r="G16" s="195">
        <v>73591.56</v>
      </c>
      <c r="H16" s="96">
        <v>0</v>
      </c>
      <c r="I16" s="96">
        <v>10476.369999999999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360259.23</v>
      </c>
      <c r="E17" s="195">
        <v>27249.55</v>
      </c>
      <c r="F17" s="195">
        <v>760570.96</v>
      </c>
      <c r="G17" s="195">
        <v>2974616.24</v>
      </c>
      <c r="H17" s="96">
        <v>402518.00999999983</v>
      </c>
      <c r="I17" s="96">
        <v>10104.719999999999</v>
      </c>
      <c r="J17" s="96">
        <v>451327.86999999988</v>
      </c>
      <c r="K17" s="96">
        <v>1440527.4000000001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341694.9</v>
      </c>
      <c r="E18" s="195">
        <v>13587.13</v>
      </c>
      <c r="F18" s="195">
        <v>1252462.5900000001</v>
      </c>
      <c r="G18" s="195">
        <v>1804294.22</v>
      </c>
      <c r="H18" s="96">
        <v>31033.010000000002</v>
      </c>
      <c r="I18" s="96">
        <v>11014.215</v>
      </c>
      <c r="J18" s="96">
        <v>2115057.27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>
        <v>470.84</v>
      </c>
      <c r="E19" s="195"/>
      <c r="F19" s="195"/>
      <c r="G19" s="195"/>
      <c r="H19" s="96">
        <v>589.6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5">
        <v>36232.36</v>
      </c>
      <c r="E20" s="195">
        <v>8429.59</v>
      </c>
      <c r="F20" s="195">
        <v>31348.799999999999</v>
      </c>
      <c r="G20" s="195">
        <v>43942.64</v>
      </c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1103.835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1313739.4400000002</v>
      </c>
      <c r="E22" s="174">
        <f t="shared" ref="E22:G22" si="2">SUM(E9:E21)</f>
        <v>157652.35</v>
      </c>
      <c r="F22" s="174">
        <f t="shared" si="2"/>
        <v>2999942.03</v>
      </c>
      <c r="G22" s="174">
        <f t="shared" si="2"/>
        <v>6921539.9699999997</v>
      </c>
      <c r="H22" s="174">
        <f>SUM(H9:H21)</f>
        <v>842220.54999999993</v>
      </c>
      <c r="I22" s="174">
        <f t="shared" ref="I22:K22" si="3">SUM(I9:I21)</f>
        <v>53276.799999999996</v>
      </c>
      <c r="J22" s="174">
        <f t="shared" si="3"/>
        <v>3662443.0999999996</v>
      </c>
      <c r="K22" s="174">
        <f t="shared" si="3"/>
        <v>3751944.37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29103.72</v>
      </c>
      <c r="E23" s="18">
        <v>73.61</v>
      </c>
      <c r="F23" s="18"/>
      <c r="G23" s="18"/>
      <c r="H23" s="96">
        <v>280303.43</v>
      </c>
      <c r="I23" s="96">
        <v>26988.69</v>
      </c>
      <c r="J23" s="96">
        <v>441560.38</v>
      </c>
      <c r="K23" s="96">
        <v>1984371.54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112.1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>
        <v>16.54</v>
      </c>
      <c r="F25" s="14"/>
      <c r="G25" s="14"/>
      <c r="H25" s="96">
        <v>10.98</v>
      </c>
      <c r="I25" s="96">
        <v>2961.52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47882.27</v>
      </c>
      <c r="E27" s="14">
        <v>1374.55</v>
      </c>
      <c r="F27" s="14">
        <v>367199.37</v>
      </c>
      <c r="G27" s="14">
        <v>44652.98</v>
      </c>
      <c r="H27" s="96">
        <v>157923.23000000001</v>
      </c>
      <c r="I27" s="96">
        <v>24511.199999999997</v>
      </c>
      <c r="J27" s="96">
        <v>686877.39999999991</v>
      </c>
      <c r="K27" s="96">
        <v>566013.75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27454.89</v>
      </c>
      <c r="E29" s="14">
        <v>3457.78</v>
      </c>
      <c r="F29" s="14">
        <v>51702.77</v>
      </c>
      <c r="G29" s="14">
        <v>59103.61</v>
      </c>
      <c r="H29" s="96">
        <v>106811.95999999999</v>
      </c>
      <c r="I29" s="96">
        <v>4061.91</v>
      </c>
      <c r="J29" s="96">
        <v>7899.84</v>
      </c>
      <c r="K29" s="96">
        <v>264260.94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455769.03</v>
      </c>
      <c r="E30" s="14">
        <v>54935.11</v>
      </c>
      <c r="F30" s="14">
        <v>1094828.1599999999</v>
      </c>
      <c r="G30" s="14">
        <v>862390.64</v>
      </c>
      <c r="H30" s="96">
        <v>1336792.4199999992</v>
      </c>
      <c r="I30" s="96">
        <v>67048.409999999945</v>
      </c>
      <c r="J30" s="96">
        <v>841103.05999999994</v>
      </c>
      <c r="K30" s="96">
        <v>4600219.7399999993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511708.65</v>
      </c>
      <c r="E31" s="14">
        <v>24060.02</v>
      </c>
      <c r="F31" s="14"/>
      <c r="G31" s="14">
        <v>3446414.49</v>
      </c>
      <c r="H31" s="96">
        <v>109053.17</v>
      </c>
      <c r="I31" s="96">
        <v>7223.2899999999991</v>
      </c>
      <c r="J31" s="96">
        <v>23057.9</v>
      </c>
      <c r="K31" s="96">
        <v>328621.15000000002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>
        <v>9.77</v>
      </c>
      <c r="F32" s="14"/>
      <c r="G32" s="14"/>
      <c r="H32" s="96">
        <v>0</v>
      </c>
      <c r="I32" s="96">
        <v>7.99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>
        <v>39249.25</v>
      </c>
      <c r="E33" s="14"/>
      <c r="F33" s="14">
        <v>16172.88</v>
      </c>
      <c r="G33" s="14"/>
      <c r="H33" s="96">
        <v>1026.48</v>
      </c>
      <c r="I33" s="96">
        <v>3757.25</v>
      </c>
      <c r="J33" s="96">
        <v>0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7.46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>
        <v>212.74</v>
      </c>
      <c r="F36" s="14">
        <v>17621.79</v>
      </c>
      <c r="G36" s="14"/>
      <c r="H36" s="96">
        <v>1719.12</v>
      </c>
      <c r="I36" s="96">
        <v>396.42000000000007</v>
      </c>
      <c r="J36" s="96">
        <v>35661.279999999999</v>
      </c>
      <c r="K36" s="96">
        <v>0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5074.01</v>
      </c>
      <c r="I37" s="96">
        <v>2399.63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>
        <v>23585.8</v>
      </c>
      <c r="E40" s="14">
        <v>2614</v>
      </c>
      <c r="F40" s="14">
        <v>246259.19</v>
      </c>
      <c r="G40" s="14">
        <v>230013.85</v>
      </c>
      <c r="H40" s="96">
        <v>8544.09</v>
      </c>
      <c r="I40" s="96">
        <v>760.75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>
        <v>30045.09</v>
      </c>
      <c r="E41" s="14">
        <v>10877.9</v>
      </c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126.32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4">
        <v>182817.06</v>
      </c>
      <c r="E43" s="14"/>
      <c r="F43" s="6">
        <v>148526.84</v>
      </c>
      <c r="G43" s="14">
        <v>945488.33</v>
      </c>
      <c r="H43" s="96">
        <v>90085.16</v>
      </c>
      <c r="I43" s="96">
        <v>0</v>
      </c>
      <c r="J43" s="96">
        <v>0</v>
      </c>
      <c r="K43" s="96">
        <v>527920.04999999993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>
        <v>0</v>
      </c>
      <c r="K44" s="96">
        <v>0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>
        <v>43.21</v>
      </c>
      <c r="E45" s="14">
        <v>622.02</v>
      </c>
      <c r="F45" s="14"/>
      <c r="G45" s="14">
        <v>42925.26</v>
      </c>
      <c r="H45" s="96">
        <v>0</v>
      </c>
      <c r="I45" s="96">
        <v>121.72000000000003</v>
      </c>
      <c r="J45" s="96">
        <v>0</v>
      </c>
      <c r="K45" s="96">
        <v>0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95"/>
      <c r="E46" s="195"/>
      <c r="F46" s="195"/>
      <c r="G46" s="195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/>
      <c r="H47" s="96">
        <v>11.43</v>
      </c>
      <c r="I47" s="96">
        <v>42.25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2" ht="15.6" x14ac:dyDescent="0.3">
      <c r="A49" s="26" t="s">
        <v>87</v>
      </c>
      <c r="B49" s="26" t="s">
        <v>56</v>
      </c>
      <c r="C49" s="26" t="s">
        <v>107</v>
      </c>
      <c r="D49" s="195">
        <v>924.4</v>
      </c>
      <c r="E49" s="195"/>
      <c r="F49" s="195">
        <v>20960.689999999999</v>
      </c>
      <c r="G49" s="195"/>
      <c r="H49" s="96">
        <v>14012.16</v>
      </c>
      <c r="I49" s="96">
        <v>470.67</v>
      </c>
      <c r="J49" s="96">
        <v>250696.53</v>
      </c>
      <c r="K49" s="96">
        <v>0</v>
      </c>
    </row>
    <row r="50" spans="1:12" ht="15.6" x14ac:dyDescent="0.3">
      <c r="A50" s="26" t="s">
        <v>97</v>
      </c>
      <c r="B50" s="26" t="s">
        <v>56</v>
      </c>
      <c r="C50" s="26" t="s">
        <v>107</v>
      </c>
      <c r="D50" s="195">
        <v>41367.79</v>
      </c>
      <c r="E50" s="195">
        <v>4022.72</v>
      </c>
      <c r="F50" s="195">
        <v>29055.119999999999</v>
      </c>
      <c r="G50" s="195">
        <v>371302.28</v>
      </c>
      <c r="H50" s="96">
        <v>28295.08</v>
      </c>
      <c r="I50" s="96">
        <v>2084.41</v>
      </c>
      <c r="J50" s="96">
        <v>150945.15</v>
      </c>
      <c r="K50" s="96">
        <v>517245.9</v>
      </c>
    </row>
    <row r="51" spans="1:12" ht="15.6" x14ac:dyDescent="0.3">
      <c r="A51" s="26" t="s">
        <v>39</v>
      </c>
      <c r="B51" s="26" t="s">
        <v>56</v>
      </c>
      <c r="C51" s="26" t="s">
        <v>107</v>
      </c>
      <c r="D51" s="195">
        <v>23762.05</v>
      </c>
      <c r="E51" s="195">
        <v>16130.25</v>
      </c>
      <c r="F51" s="195"/>
      <c r="G51" s="195">
        <v>140806.85999999999</v>
      </c>
      <c r="H51" s="96">
        <v>99308.09</v>
      </c>
      <c r="I51" s="96">
        <v>760.75</v>
      </c>
      <c r="J51" s="96">
        <v>18377.04</v>
      </c>
      <c r="K51" s="96">
        <v>0</v>
      </c>
    </row>
    <row r="52" spans="1:12" ht="15.6" x14ac:dyDescent="0.3">
      <c r="A52" s="26" t="s">
        <v>91</v>
      </c>
      <c r="B52" s="26" t="s">
        <v>56</v>
      </c>
      <c r="C52" s="26" t="s">
        <v>107</v>
      </c>
      <c r="D52" s="195">
        <v>74214.8</v>
      </c>
      <c r="E52" s="195">
        <v>726.24</v>
      </c>
      <c r="F52" s="195">
        <v>100676.21</v>
      </c>
      <c r="G52" s="195">
        <v>123963.14</v>
      </c>
      <c r="H52" s="96">
        <v>89067.069999999978</v>
      </c>
      <c r="I52" s="96">
        <v>6244.3999999999987</v>
      </c>
      <c r="J52" s="96">
        <v>160393.97</v>
      </c>
      <c r="K52" s="96">
        <v>1357285.18</v>
      </c>
    </row>
    <row r="53" spans="1:12" ht="15.6" x14ac:dyDescent="0.3">
      <c r="A53" s="26" t="s">
        <v>41</v>
      </c>
      <c r="B53" s="26" t="s">
        <v>56</v>
      </c>
      <c r="C53" s="26" t="s">
        <v>107</v>
      </c>
      <c r="D53" s="195"/>
      <c r="E53" s="195"/>
      <c r="F53" s="195"/>
      <c r="G53" s="195"/>
      <c r="H53" s="96">
        <v>0</v>
      </c>
      <c r="I53" s="96">
        <v>1043</v>
      </c>
      <c r="J53" s="96">
        <v>0</v>
      </c>
      <c r="K53" s="96">
        <v>0</v>
      </c>
    </row>
    <row r="54" spans="1:12" ht="15.6" x14ac:dyDescent="0.3">
      <c r="A54" s="26" t="s">
        <v>129</v>
      </c>
      <c r="B54" s="26" t="s">
        <v>108</v>
      </c>
      <c r="C54" s="27" t="s">
        <v>107</v>
      </c>
      <c r="D54" s="195"/>
      <c r="E54" s="195"/>
      <c r="F54" s="195"/>
      <c r="G54" s="195"/>
      <c r="H54" s="96"/>
      <c r="I54" s="96"/>
      <c r="J54" s="96"/>
      <c r="K54" s="96"/>
    </row>
    <row r="55" spans="1:12" ht="16.2" thickBot="1" x14ac:dyDescent="0.35">
      <c r="A55" s="28" t="s">
        <v>88</v>
      </c>
      <c r="B55" s="28" t="s">
        <v>56</v>
      </c>
      <c r="C55" s="28" t="s">
        <v>107</v>
      </c>
      <c r="D55" s="195">
        <v>129942</v>
      </c>
      <c r="E55" s="195">
        <v>1769.9</v>
      </c>
      <c r="F55" s="195"/>
      <c r="G55" s="195"/>
      <c r="H55" s="96">
        <v>17437.71</v>
      </c>
      <c r="I55" s="96">
        <v>0</v>
      </c>
      <c r="J55" s="96">
        <v>0</v>
      </c>
      <c r="K55" s="96">
        <v>0</v>
      </c>
    </row>
    <row r="56" spans="1:12" ht="21.6" thickBot="1" x14ac:dyDescent="0.45">
      <c r="A56" s="123" t="s">
        <v>115</v>
      </c>
      <c r="B56" s="121"/>
      <c r="C56" s="121"/>
      <c r="D56" s="174">
        <f>SUM(D23:D55)</f>
        <v>1617870.0100000002</v>
      </c>
      <c r="E56" s="174">
        <f t="shared" ref="E56:G56" si="4">SUM(E23:E55)</f>
        <v>120903.15000000001</v>
      </c>
      <c r="F56" s="174">
        <f t="shared" si="4"/>
        <v>2093003.0199999998</v>
      </c>
      <c r="G56" s="174">
        <f t="shared" si="4"/>
        <v>6267061.4400000004</v>
      </c>
      <c r="H56" s="174">
        <f>SUM(H23:H55)</f>
        <v>2345601.9099999992</v>
      </c>
      <c r="I56" s="174">
        <f t="shared" ref="I56:K56" si="5">SUM(I23:I55)</f>
        <v>150891.71999999994</v>
      </c>
      <c r="J56" s="174">
        <f t="shared" si="5"/>
        <v>2616684.65</v>
      </c>
      <c r="K56" s="174">
        <f t="shared" si="5"/>
        <v>10145938.249999998</v>
      </c>
    </row>
    <row r="57" spans="1:12" ht="15.6" x14ac:dyDescent="0.3">
      <c r="A57" s="30" t="s">
        <v>33</v>
      </c>
      <c r="B57" s="26" t="s">
        <v>114</v>
      </c>
      <c r="C57" s="26" t="s">
        <v>107</v>
      </c>
      <c r="D57" s="14">
        <v>91933.31</v>
      </c>
      <c r="E57" s="14">
        <v>3666.27</v>
      </c>
      <c r="F57" s="14">
        <v>974618.66</v>
      </c>
      <c r="G57" s="14">
        <v>415550.44</v>
      </c>
      <c r="H57" s="96">
        <v>58739.55000000001</v>
      </c>
      <c r="I57" s="96">
        <v>6947.1200000000008</v>
      </c>
      <c r="J57" s="96">
        <v>1455447.2099999997</v>
      </c>
      <c r="K57" s="96">
        <v>117153.66999999998</v>
      </c>
    </row>
    <row r="58" spans="1:12" ht="15.6" x14ac:dyDescent="0.3">
      <c r="A58" s="26" t="s">
        <v>84</v>
      </c>
      <c r="B58" s="26" t="s">
        <v>114</v>
      </c>
      <c r="C58" s="26" t="s">
        <v>107</v>
      </c>
      <c r="D58" s="14">
        <v>621657.26</v>
      </c>
      <c r="E58" s="14">
        <v>13025.36</v>
      </c>
      <c r="F58" s="14">
        <v>2643758.4</v>
      </c>
      <c r="G58" s="14">
        <v>2114823.06</v>
      </c>
      <c r="H58" s="96">
        <v>631712.57999999984</v>
      </c>
      <c r="I58" s="96">
        <v>4249.87</v>
      </c>
      <c r="J58" s="96">
        <v>846120.38</v>
      </c>
      <c r="K58" s="96">
        <v>1783081.6400000001</v>
      </c>
    </row>
    <row r="59" spans="1:12" ht="15.6" x14ac:dyDescent="0.3">
      <c r="A59" s="26" t="s">
        <v>37</v>
      </c>
      <c r="B59" s="26" t="s">
        <v>114</v>
      </c>
      <c r="C59" s="26" t="s">
        <v>107</v>
      </c>
      <c r="D59" s="14">
        <v>21760.11</v>
      </c>
      <c r="E59" s="14">
        <v>10976.5</v>
      </c>
      <c r="F59" s="14"/>
      <c r="G59" s="14"/>
      <c r="H59" s="96">
        <v>5158.2700000000004</v>
      </c>
      <c r="I59" s="96">
        <v>527.66</v>
      </c>
      <c r="J59" s="96">
        <v>1020.95</v>
      </c>
      <c r="K59" s="96">
        <v>0</v>
      </c>
      <c r="L59" s="133"/>
    </row>
    <row r="60" spans="1:12" ht="15.6" x14ac:dyDescent="0.3">
      <c r="A60" s="26" t="s">
        <v>35</v>
      </c>
      <c r="B60" s="26" t="s">
        <v>114</v>
      </c>
      <c r="C60" s="26" t="s">
        <v>107</v>
      </c>
      <c r="D60" s="14">
        <v>68824.19</v>
      </c>
      <c r="E60" s="14"/>
      <c r="F60" s="14">
        <v>584.49</v>
      </c>
      <c r="G60" s="14"/>
      <c r="H60" s="96">
        <v>52827.289999999994</v>
      </c>
      <c r="I60" s="96">
        <v>2470.2600000000002</v>
      </c>
      <c r="J60" s="96">
        <v>137563.79999999999</v>
      </c>
      <c r="K60" s="96">
        <v>0</v>
      </c>
      <c r="L60" s="133"/>
    </row>
    <row r="61" spans="1:12" ht="15.6" x14ac:dyDescent="0.3">
      <c r="A61" s="27" t="s">
        <v>86</v>
      </c>
      <c r="B61" s="27" t="s">
        <v>114</v>
      </c>
      <c r="C61" s="27" t="s">
        <v>107</v>
      </c>
      <c r="D61" s="14">
        <v>488531.88</v>
      </c>
      <c r="E61" s="14">
        <v>29220.41</v>
      </c>
      <c r="F61" s="14">
        <v>2083497.31</v>
      </c>
      <c r="G61" s="14">
        <v>4331481.6399999997</v>
      </c>
      <c r="H61" s="96">
        <v>642924.22</v>
      </c>
      <c r="I61" s="96">
        <v>4078.1099999999997</v>
      </c>
      <c r="J61" s="96">
        <v>768427</v>
      </c>
      <c r="K61" s="96">
        <v>1238655.1199999999</v>
      </c>
      <c r="L61" s="133"/>
    </row>
    <row r="62" spans="1:12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2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2" ht="15.6" x14ac:dyDescent="0.3">
      <c r="A64" s="199" t="s">
        <v>131</v>
      </c>
      <c r="B64" s="26" t="s">
        <v>114</v>
      </c>
      <c r="C64" s="27" t="s">
        <v>107</v>
      </c>
      <c r="D64" s="14">
        <v>194836.13</v>
      </c>
      <c r="E64" s="14">
        <v>604.54</v>
      </c>
      <c r="F64" s="14"/>
      <c r="G64" s="14">
        <v>643683.06999999995</v>
      </c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>
        <v>136758.07</v>
      </c>
      <c r="E65" s="14">
        <v>3399.79</v>
      </c>
      <c r="F65" s="14">
        <v>392982.39</v>
      </c>
      <c r="G65" s="14">
        <v>825422.16</v>
      </c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1624300.95</v>
      </c>
      <c r="E66" s="174">
        <f t="shared" ref="E66:G66" si="6">SUM(E57:E65)</f>
        <v>60892.87</v>
      </c>
      <c r="F66" s="174">
        <f t="shared" si="6"/>
        <v>6095441.25</v>
      </c>
      <c r="G66" s="174">
        <f t="shared" si="6"/>
        <v>8330960.3700000001</v>
      </c>
      <c r="H66" s="174">
        <f>SUM(H57:H65)</f>
        <v>1391361.91</v>
      </c>
      <c r="I66" s="174">
        <f t="shared" ref="I66:K66" si="7">SUM(I57:I65)</f>
        <v>18273.02</v>
      </c>
      <c r="J66" s="174">
        <f t="shared" si="7"/>
        <v>3208579.34</v>
      </c>
      <c r="K66" s="174">
        <f t="shared" si="7"/>
        <v>3138890.4299999997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>
        <f>327692.13+494</f>
        <v>328186.13</v>
      </c>
      <c r="E67" s="195">
        <f>7130+1689</f>
        <v>8819</v>
      </c>
      <c r="F67" s="195">
        <f>2433170.54+185743</f>
        <v>2618913.54</v>
      </c>
      <c r="G67" s="195">
        <v>2546391.06</v>
      </c>
      <c r="H67" s="96">
        <v>107992.44000000002</v>
      </c>
      <c r="I67" s="96">
        <v>4851.0600000000013</v>
      </c>
      <c r="J67" s="96">
        <v>438717.02</v>
      </c>
      <c r="K67" s="96">
        <v>117267.98</v>
      </c>
      <c r="L67" s="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1420947.3</v>
      </c>
      <c r="E68" s="195">
        <v>134052.76999999999</v>
      </c>
      <c r="F68" s="195">
        <v>3481241.78</v>
      </c>
      <c r="G68" s="195">
        <v>7733751.6500000004</v>
      </c>
      <c r="H68" s="96">
        <v>1010968.26</v>
      </c>
      <c r="I68" s="96">
        <v>42066.790000000015</v>
      </c>
      <c r="J68" s="96">
        <v>1434631.18</v>
      </c>
      <c r="K68" s="96">
        <v>5865839.71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>
        <f>1083.2+182.29</f>
        <v>1265.49</v>
      </c>
      <c r="E69" s="195">
        <v>1534.55</v>
      </c>
      <c r="F69" s="195"/>
      <c r="G69" s="195"/>
      <c r="H69" s="96">
        <v>74811.849999999977</v>
      </c>
      <c r="I69" s="96">
        <v>1753.3</v>
      </c>
      <c r="J69" s="96">
        <v>0</v>
      </c>
      <c r="K69" s="96">
        <v>791095.68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157590.19</v>
      </c>
      <c r="E70" s="195">
        <v>184.5</v>
      </c>
      <c r="F70" s="195"/>
      <c r="G70" s="195">
        <v>1916409.25</v>
      </c>
      <c r="H70" s="96">
        <v>0</v>
      </c>
      <c r="I70" s="96">
        <v>0</v>
      </c>
      <c r="J70" s="96">
        <v>0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20880.990000000002</v>
      </c>
      <c r="F71" s="195"/>
      <c r="G71" s="195"/>
      <c r="H71" s="96">
        <v>0</v>
      </c>
      <c r="I71" s="96">
        <v>0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568279.57999999996</v>
      </c>
      <c r="E72" s="195">
        <v>40466.639999999999</v>
      </c>
      <c r="F72" s="195">
        <v>4405564.22</v>
      </c>
      <c r="G72" s="195">
        <v>5007503.4400000004</v>
      </c>
      <c r="H72" s="96">
        <v>229844.65000000002</v>
      </c>
      <c r="I72" s="96">
        <v>30501.260000000002</v>
      </c>
      <c r="J72" s="96">
        <v>2553567.3099999996</v>
      </c>
      <c r="K72" s="96">
        <v>2413890.4300000002</v>
      </c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1531335.07</v>
      </c>
      <c r="E73" s="195">
        <v>25863.119999999999</v>
      </c>
      <c r="F73" s="195">
        <v>12770478.689999999</v>
      </c>
      <c r="G73" s="195">
        <v>12511690.18</v>
      </c>
      <c r="H73" s="96">
        <v>1094750.45</v>
      </c>
      <c r="I73" s="96">
        <v>19831.21</v>
      </c>
      <c r="J73" s="96">
        <v>5258836.59</v>
      </c>
      <c r="K73" s="96">
        <v>6453588.2300000004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>
        <v>73312.320000000007</v>
      </c>
      <c r="E74" s="195">
        <v>7202.03</v>
      </c>
      <c r="F74" s="195"/>
      <c r="G74" s="195"/>
      <c r="H74" s="96">
        <v>0</v>
      </c>
      <c r="I74" s="96">
        <v>1543.88</v>
      </c>
      <c r="J74" s="96">
        <v>0</v>
      </c>
      <c r="K74" s="96">
        <v>0</v>
      </c>
    </row>
    <row r="75" spans="1:12" ht="21.6" thickBot="1" x14ac:dyDescent="0.35">
      <c r="A75" s="177" t="s">
        <v>44</v>
      </c>
      <c r="B75" s="178"/>
      <c r="C75" s="178"/>
      <c r="D75" s="179">
        <f>SUM(D67:D74)</f>
        <v>4080916.0799999996</v>
      </c>
      <c r="E75" s="179">
        <f t="shared" ref="E75:G75" si="8">SUM(E67:E74)</f>
        <v>239003.59999999995</v>
      </c>
      <c r="F75" s="179">
        <f t="shared" si="8"/>
        <v>23276198.229999997</v>
      </c>
      <c r="G75" s="179">
        <f t="shared" si="8"/>
        <v>29715745.580000002</v>
      </c>
      <c r="H75" s="179">
        <f>SUM(H67:H74)</f>
        <v>2518367.6499999994</v>
      </c>
      <c r="I75" s="179">
        <f t="shared" ref="I75:K75" si="9">SUM(I67:I74)</f>
        <v>100547.50000000003</v>
      </c>
      <c r="J75" s="179">
        <f t="shared" si="9"/>
        <v>9685752.0999999996</v>
      </c>
      <c r="K75" s="179">
        <f t="shared" si="9"/>
        <v>15641682.030000001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15056563.499999998</v>
      </c>
      <c r="E76" s="131">
        <f t="shared" ref="E76:G76" si="10">E75+E66+E56+E22+E8</f>
        <v>688899.05999999994</v>
      </c>
      <c r="F76" s="131">
        <f t="shared" si="10"/>
        <v>39420920.129999995</v>
      </c>
      <c r="G76" s="131">
        <f t="shared" si="10"/>
        <v>112628612</v>
      </c>
      <c r="H76" s="131">
        <f>H75+H66+H56+H22+H8</f>
        <v>9457975.2799999993</v>
      </c>
      <c r="I76" s="131">
        <f t="shared" ref="I76:K76" si="11">I75+I66+I56+I22+I8</f>
        <v>539553.17000000004</v>
      </c>
      <c r="J76" s="131">
        <f t="shared" si="11"/>
        <v>25591951.43</v>
      </c>
      <c r="K76" s="131">
        <f t="shared" si="11"/>
        <v>50259227.769999996</v>
      </c>
    </row>
    <row r="78" spans="1:12" x14ac:dyDescent="0.3">
      <c r="D78" s="6"/>
      <c r="E78" s="6"/>
      <c r="F78" s="6"/>
      <c r="G78" s="6"/>
    </row>
    <row r="79" spans="1:12" x14ac:dyDescent="0.3">
      <c r="F79" s="6"/>
      <c r="G79" s="6"/>
    </row>
    <row r="80" spans="1:12" x14ac:dyDescent="0.3">
      <c r="E80" s="9"/>
      <c r="F80" s="9"/>
    </row>
  </sheetData>
  <mergeCells count="2">
    <mergeCell ref="D1:G1"/>
    <mergeCell ref="H1:K1"/>
  </mergeCells>
  <conditionalFormatting sqref="A1">
    <cfRule type="duplicateValues" dxfId="237" priority="27"/>
    <cfRule type="duplicateValues" dxfId="236" priority="28"/>
  </conditionalFormatting>
  <conditionalFormatting sqref="A14">
    <cfRule type="duplicateValues" dxfId="235" priority="9"/>
    <cfRule type="duplicateValues" dxfId="234" priority="10"/>
  </conditionalFormatting>
  <conditionalFormatting sqref="A20">
    <cfRule type="duplicateValues" dxfId="233" priority="1"/>
    <cfRule type="duplicateValues" dxfId="232" priority="2"/>
  </conditionalFormatting>
  <conditionalFormatting sqref="A41">
    <cfRule type="duplicateValues" dxfId="231" priority="5"/>
    <cfRule type="duplicateValues" dxfId="230" priority="6"/>
  </conditionalFormatting>
  <conditionalFormatting sqref="A54">
    <cfRule type="duplicateValues" dxfId="229" priority="3"/>
    <cfRule type="duplicateValues" dxfId="228" priority="4"/>
  </conditionalFormatting>
  <conditionalFormatting sqref="A57">
    <cfRule type="duplicateValues" dxfId="227" priority="11"/>
    <cfRule type="duplicateValues" dxfId="226" priority="12"/>
  </conditionalFormatting>
  <conditionalFormatting sqref="A58:A60 A7 A23:A40 A62 A42:A53 A55">
    <cfRule type="duplicateValues" dxfId="225" priority="17"/>
    <cfRule type="duplicateValues" dxfId="224" priority="18"/>
  </conditionalFormatting>
  <conditionalFormatting sqref="A61">
    <cfRule type="duplicateValues" dxfId="223" priority="7"/>
    <cfRule type="duplicateValues" dxfId="222" priority="8"/>
  </conditionalFormatting>
  <conditionalFormatting sqref="A67:A74">
    <cfRule type="duplicateValues" dxfId="221" priority="15"/>
    <cfRule type="duplicateValues" dxfId="220" priority="16"/>
  </conditionalFormatting>
  <conditionalFormatting sqref="A75:A76 A2:A6 A8:A13 A15:A19 A56 A66 A21:A22">
    <cfRule type="duplicateValues" dxfId="219" priority="13"/>
    <cfRule type="duplicateValues" dxfId="218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K81"/>
  <sheetViews>
    <sheetView rightToLeft="1" zoomScaleNormal="100" workbookViewId="0">
      <pane ySplit="3" topLeftCell="A54" activePane="bottomLeft" state="frozen"/>
      <selection pane="bottomLeft" activeCell="G83" sqref="G83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8" width="16.88671875" style="3" customWidth="1"/>
    <col min="9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423472.864977036-D4-D5-D6</f>
        <v>465783.70202038321</v>
      </c>
      <c r="E3" s="195">
        <f>58170.5929974618-E4-E5-E6-E69-E70</f>
        <v>54541.219458174528</v>
      </c>
      <c r="F3" s="195">
        <f>-44003.6928234209-F4</f>
        <v>-56239.909986293045</v>
      </c>
      <c r="G3" s="195">
        <f>-4074218+78708-G4-G6</f>
        <v>-3864800.47</v>
      </c>
      <c r="H3" s="96">
        <v>473857.16333102598</v>
      </c>
      <c r="I3" s="96">
        <v>144259.34151434319</v>
      </c>
      <c r="J3" s="96">
        <v>21149.323918158487</v>
      </c>
      <c r="K3" s="96">
        <v>2931071.94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>
        <v>64993.831916171868</v>
      </c>
      <c r="E4" s="195">
        <v>3944.9462164623469</v>
      </c>
      <c r="F4" s="195">
        <v>12236.21716287215</v>
      </c>
      <c r="G4" s="195">
        <v>-5103.53</v>
      </c>
      <c r="H4" s="96">
        <v>47854.89329240036</v>
      </c>
      <c r="I4" s="96">
        <v>3678.6054222415182</v>
      </c>
      <c r="J4" s="96">
        <v>0</v>
      </c>
      <c r="K4" s="96">
        <v>566732.81000000006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>
        <v>0</v>
      </c>
      <c r="E5" s="195">
        <v>2050.9361604640931</v>
      </c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>
        <v>-107304.66895951908</v>
      </c>
      <c r="E6" s="196">
        <v>1763.5774916963201</v>
      </c>
      <c r="F6" s="196">
        <v>0</v>
      </c>
      <c r="G6" s="196">
        <v>-125606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423472.86497703596</v>
      </c>
      <c r="E8" s="174">
        <f t="shared" ref="E8:G8" si="0">SUM(E3:E7)</f>
        <v>62300.67932679729</v>
      </c>
      <c r="F8" s="174">
        <f t="shared" si="0"/>
        <v>-44003.692823420897</v>
      </c>
      <c r="G8" s="174">
        <f t="shared" si="0"/>
        <v>-3995510</v>
      </c>
      <c r="H8" s="174">
        <f>SUM(H3:H7)</f>
        <v>521712.05662342632</v>
      </c>
      <c r="I8" s="174">
        <f t="shared" ref="I8:K8" si="1">SUM(I3:I7)</f>
        <v>147937.94693658472</v>
      </c>
      <c r="J8" s="174">
        <f t="shared" si="1"/>
        <v>21149.323918158487</v>
      </c>
      <c r="K8" s="174">
        <f t="shared" si="1"/>
        <v>3497804.75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>
        <v>37842.624991582707</v>
      </c>
      <c r="E9" s="18">
        <v>0</v>
      </c>
      <c r="F9" s="18">
        <v>0</v>
      </c>
      <c r="G9" s="133">
        <v>-111611</v>
      </c>
      <c r="H9" s="96">
        <v>2710.6846193182355</v>
      </c>
      <c r="I9" s="96">
        <v>0</v>
      </c>
      <c r="J9" s="96">
        <v>0</v>
      </c>
      <c r="K9" s="96">
        <v>-41153.03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604979.75065215083</v>
      </c>
      <c r="E10" s="14">
        <v>375591.46227825806</v>
      </c>
      <c r="F10" s="14">
        <v>9079.6402213660258</v>
      </c>
      <c r="G10" s="14">
        <v>979681</v>
      </c>
      <c r="H10" s="96">
        <v>419167.08039274422</v>
      </c>
      <c r="I10" s="96">
        <v>28076.781889467467</v>
      </c>
      <c r="J10" s="96">
        <v>86304.811436974094</v>
      </c>
      <c r="K10" s="96">
        <v>103065.27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>
        <v>91346.253806819543</v>
      </c>
      <c r="E11" s="14">
        <v>21427.451158619551</v>
      </c>
      <c r="F11" s="14">
        <v>467675.41266723431</v>
      </c>
      <c r="G11" s="14">
        <v>-492811</v>
      </c>
      <c r="H11" s="96">
        <v>126369.10383904626</v>
      </c>
      <c r="I11" s="96">
        <v>48446.430801096845</v>
      </c>
      <c r="J11" s="96">
        <v>130965.255010664</v>
      </c>
      <c r="K11" s="96">
        <v>-625080.66000000015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>
        <v>472.34701986754959</v>
      </c>
      <c r="E12" s="14">
        <v>0</v>
      </c>
      <c r="F12" s="14">
        <v>0</v>
      </c>
      <c r="G12" s="14"/>
      <c r="H12" s="96">
        <v>0</v>
      </c>
      <c r="I12" s="96">
        <v>0</v>
      </c>
      <c r="J12" s="96">
        <v>0</v>
      </c>
      <c r="K12" s="96">
        <v>-233653.23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>
        <v>0</v>
      </c>
      <c r="E13" s="14">
        <v>86.209673056814225</v>
      </c>
      <c r="F13" s="14">
        <v>0</v>
      </c>
      <c r="G13" s="14"/>
      <c r="H13" s="96">
        <v>0</v>
      </c>
      <c r="I13" s="96">
        <v>4677.3113130851434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17162.646847481508</v>
      </c>
      <c r="E14" s="14">
        <v>0</v>
      </c>
      <c r="F14" s="14">
        <v>0</v>
      </c>
      <c r="G14" s="14">
        <v>-645825</v>
      </c>
      <c r="H14" s="96">
        <v>986.610578573064</v>
      </c>
      <c r="I14" s="96">
        <v>18029.250279803357</v>
      </c>
      <c r="J14" s="96">
        <v>-37242.652986441921</v>
      </c>
      <c r="K14" s="96">
        <v>-853383.07000000007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552.08504929275614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84874.527039344772</v>
      </c>
      <c r="E17" s="14">
        <v>54397.49513885162</v>
      </c>
      <c r="F17" s="14">
        <v>51176.859952541912</v>
      </c>
      <c r="G17" s="14">
        <v>-1182248</v>
      </c>
      <c r="H17" s="96">
        <v>63625.476281889627</v>
      </c>
      <c r="I17" s="96">
        <v>93222.459153589225</v>
      </c>
      <c r="J17" s="96">
        <v>0</v>
      </c>
      <c r="K17" s="96">
        <v>561446.12999999989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106321.58435919871</v>
      </c>
      <c r="E18" s="14">
        <v>16622.750075788521</v>
      </c>
      <c r="F18" s="14">
        <v>732750.34125361871</v>
      </c>
      <c r="G18" s="14">
        <f>151623-190732</f>
        <v>-39109</v>
      </c>
      <c r="H18" s="96">
        <v>111427.64952913806</v>
      </c>
      <c r="I18" s="96">
        <v>62758.500767578436</v>
      </c>
      <c r="J18" s="96">
        <v>858484.92147684144</v>
      </c>
      <c r="K18" s="96">
        <v>-891029.53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>
        <v>8219.9236035026261</v>
      </c>
      <c r="E19" s="14">
        <v>9451.8135651150988</v>
      </c>
      <c r="F19" s="14">
        <v>0</v>
      </c>
      <c r="G19" s="14">
        <v>-190731.89499999999</v>
      </c>
      <c r="H19" s="96">
        <v>689.89407492795374</v>
      </c>
      <c r="I19" s="96">
        <v>7819.6569252750396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>
        <v>29604.2177483591</v>
      </c>
      <c r="E20" s="15">
        <v>0</v>
      </c>
      <c r="F20" s="15">
        <v>0</v>
      </c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2438.2218488355479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980823.87606830732</v>
      </c>
      <c r="E22" s="174">
        <f t="shared" ref="E22:G22" si="2">SUM(E9:E21)</f>
        <v>477577.18188968964</v>
      </c>
      <c r="F22" s="174">
        <f t="shared" si="2"/>
        <v>1260682.2540947609</v>
      </c>
      <c r="G22" s="174">
        <f t="shared" si="2"/>
        <v>-1682654.895</v>
      </c>
      <c r="H22" s="174">
        <f>SUM(H9:H21)</f>
        <v>724976.49931563728</v>
      </c>
      <c r="I22" s="174">
        <f t="shared" ref="I22:K22" si="3">SUM(I9:I21)</f>
        <v>266020.69802802376</v>
      </c>
      <c r="J22" s="174">
        <f t="shared" si="3"/>
        <v>1038512.3349380377</v>
      </c>
      <c r="K22" s="174">
        <f t="shared" si="3"/>
        <v>-1979788.1200000003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-10355.32677338816</v>
      </c>
      <c r="I23" s="96">
        <v>554.52327816757327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>
        <v>0</v>
      </c>
      <c r="E24" s="14">
        <v>3083.8083490234649</v>
      </c>
      <c r="F24" s="14">
        <v>0</v>
      </c>
      <c r="G24" s="14">
        <v>-11711.17</v>
      </c>
      <c r="H24" s="96">
        <v>-1762.099103401667</v>
      </c>
      <c r="I24" s="96">
        <v>0</v>
      </c>
      <c r="J24" s="96">
        <v>0</v>
      </c>
      <c r="K24" s="96">
        <v>-1062917.76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>
        <v>28190.67325139153</v>
      </c>
      <c r="E25" s="14">
        <v>926.88403403195684</v>
      </c>
      <c r="F25" s="14">
        <v>3976.649296051708</v>
      </c>
      <c r="G25" s="14">
        <v>-14017.99</v>
      </c>
      <c r="H25" s="96">
        <v>14108.554601010059</v>
      </c>
      <c r="I25" s="96">
        <v>9045.9588001360698</v>
      </c>
      <c r="J25" s="96">
        <v>42827.771516142377</v>
      </c>
      <c r="K25" s="96">
        <v>-5866.4599999999991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39137.03234004046</v>
      </c>
      <c r="E27" s="14">
        <v>0</v>
      </c>
      <c r="F27" s="14">
        <v>0</v>
      </c>
      <c r="G27" s="14"/>
      <c r="H27" s="96">
        <v>0</v>
      </c>
      <c r="I27" s="96">
        <v>0</v>
      </c>
      <c r="J27" s="96">
        <v>0</v>
      </c>
      <c r="K27" s="96">
        <v>-316054.63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>
        <v>102321.92694652559</v>
      </c>
      <c r="E28" s="14">
        <v>58156.03452856106</v>
      </c>
      <c r="F28" s="14">
        <v>592.29237319095125</v>
      </c>
      <c r="G28" s="14">
        <v>190698</v>
      </c>
      <c r="H28" s="96">
        <v>-1242.842334592217</v>
      </c>
      <c r="I28" s="96">
        <v>4873.2440567778103</v>
      </c>
      <c r="J28" s="96">
        <v>1149.683869004492</v>
      </c>
      <c r="K28" s="96">
        <v>-202711.06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25999.996979706171</v>
      </c>
      <c r="E30" s="14">
        <v>0</v>
      </c>
      <c r="F30" s="14">
        <v>0</v>
      </c>
      <c r="G30" s="14">
        <v>83007.679999999993</v>
      </c>
      <c r="H30" s="96">
        <v>2703.3055302593671</v>
      </c>
      <c r="I30" s="96">
        <v>0</v>
      </c>
      <c r="J30" s="96">
        <v>0</v>
      </c>
      <c r="K30" s="96">
        <v>-482691.81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13346.695131770075</v>
      </c>
      <c r="E31" s="14">
        <v>23967.057810199898</v>
      </c>
      <c r="F31" s="14">
        <v>0</v>
      </c>
      <c r="G31" s="14">
        <v>-1755866</v>
      </c>
      <c r="H31" s="96">
        <v>11150.601602157931</v>
      </c>
      <c r="I31" s="96">
        <v>27593.603523964772</v>
      </c>
      <c r="J31" s="96">
        <v>0</v>
      </c>
      <c r="K31" s="96">
        <v>-193883.53999999998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>
        <v>1804.57691577482</v>
      </c>
      <c r="E33" s="14">
        <v>3983.2298668525632</v>
      </c>
      <c r="F33" s="14">
        <v>29412.803609235889</v>
      </c>
      <c r="G33" s="14">
        <v>14254.46</v>
      </c>
      <c r="H33" s="96">
        <v>-33056.633057661711</v>
      </c>
      <c r="I33" s="96">
        <v>1107.0743763394771</v>
      </c>
      <c r="J33" s="96">
        <v>66156.55851321615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>
        <v>1882975.5690769358</v>
      </c>
      <c r="E36" s="14">
        <v>269835.29288136325</v>
      </c>
      <c r="F36" s="14">
        <v>2750631.586482455</v>
      </c>
      <c r="G36" s="14">
        <v>2952942</v>
      </c>
      <c r="H36" s="96">
        <v>1923932.4485276104</v>
      </c>
      <c r="I36" s="96">
        <v>418900.42559223628</v>
      </c>
      <c r="J36" s="96">
        <v>5706623.6778442683</v>
      </c>
      <c r="K36" s="96">
        <v>15649166.470000006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>
        <v>63754.879654273449</v>
      </c>
      <c r="E39" s="14">
        <v>0</v>
      </c>
      <c r="F39" s="14">
        <v>0</v>
      </c>
      <c r="G39" s="14"/>
      <c r="H39" s="96">
        <v>-20390.746847988568</v>
      </c>
      <c r="I39" s="96">
        <v>0</v>
      </c>
      <c r="J39" s="96">
        <v>0</v>
      </c>
      <c r="K39" s="96">
        <v>623322.27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-1499.2340315133749</v>
      </c>
      <c r="I40" s="96">
        <v>0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-52867.72</v>
      </c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33">
        <v>206234.29079207749</v>
      </c>
      <c r="E43" s="133">
        <v>23340.080240730891</v>
      </c>
      <c r="F43" s="133">
        <v>686432.62726859422</v>
      </c>
      <c r="G43" s="14">
        <v>650780</v>
      </c>
      <c r="H43" s="96">
        <v>231867.5497566429</v>
      </c>
      <c r="I43" s="96">
        <v>32841.196811179325</v>
      </c>
      <c r="J43" s="96">
        <v>449736.10031642491</v>
      </c>
      <c r="K43" s="96">
        <v>3109130.2199999988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>
        <v>0</v>
      </c>
      <c r="E44" s="14">
        <v>5261.7087303219914</v>
      </c>
      <c r="F44" s="14">
        <v>0</v>
      </c>
      <c r="G44" s="14"/>
      <c r="H44" s="96">
        <v>0</v>
      </c>
      <c r="I44" s="96">
        <v>0</v>
      </c>
      <c r="J44" s="96">
        <v>0</v>
      </c>
      <c r="K44" s="96">
        <v>-36599.060000000005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>
        <v>1889.3025204903679</v>
      </c>
      <c r="E45" s="14">
        <v>13654.384535201401</v>
      </c>
      <c r="F45" s="14">
        <v>0</v>
      </c>
      <c r="G45" s="14">
        <v>-601281.25</v>
      </c>
      <c r="H45" s="96">
        <v>0</v>
      </c>
      <c r="I45" s="96">
        <v>0</v>
      </c>
      <c r="J45" s="96">
        <v>0</v>
      </c>
      <c r="K45" s="96">
        <v>-54719.83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>
        <v>872.98899579771034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0</v>
      </c>
      <c r="J48" s="96">
        <v>0</v>
      </c>
      <c r="K48" s="96">
        <v>0</v>
      </c>
    </row>
    <row r="49" spans="1:11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>
        <v>0</v>
      </c>
      <c r="K49" s="96">
        <v>0</v>
      </c>
    </row>
    <row r="50" spans="1:11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34817.207942395813</v>
      </c>
      <c r="K50" s="96">
        <v>0</v>
      </c>
    </row>
    <row r="51" spans="1:11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>
        <v>0</v>
      </c>
      <c r="K51" s="96">
        <v>0</v>
      </c>
    </row>
    <row r="52" spans="1:11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-1191.5667472335469</v>
      </c>
      <c r="J52" s="96">
        <v>0</v>
      </c>
      <c r="K52" s="96">
        <v>0</v>
      </c>
    </row>
    <row r="53" spans="1:11" ht="15.6" x14ac:dyDescent="0.3">
      <c r="A53" s="26" t="s">
        <v>129</v>
      </c>
      <c r="B53" s="26" t="s">
        <v>108</v>
      </c>
      <c r="C53" s="26" t="s">
        <v>107</v>
      </c>
      <c r="D53" s="195">
        <v>0</v>
      </c>
      <c r="E53" s="195">
        <v>1144.091330151484</v>
      </c>
      <c r="F53" s="195">
        <v>0</v>
      </c>
      <c r="G53" s="195">
        <v>-59363.66</v>
      </c>
      <c r="H53" s="96"/>
      <c r="I53" s="96"/>
      <c r="J53" s="96"/>
      <c r="K53" s="96"/>
    </row>
    <row r="54" spans="1:11" ht="15.6" x14ac:dyDescent="0.3">
      <c r="A54" s="26" t="s">
        <v>41</v>
      </c>
      <c r="B54" s="26" t="s">
        <v>56</v>
      </c>
      <c r="C54" s="26" t="s">
        <v>107</v>
      </c>
      <c r="D54" s="14"/>
      <c r="E54" s="14"/>
      <c r="F54" s="14"/>
      <c r="G54" s="14"/>
      <c r="H54" s="96">
        <v>0</v>
      </c>
      <c r="I54" s="96">
        <v>-13259.733051874169</v>
      </c>
      <c r="J54" s="96">
        <v>0</v>
      </c>
      <c r="K54" s="96">
        <v>0</v>
      </c>
    </row>
    <row r="55" spans="1:11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-662.88669979538156</v>
      </c>
      <c r="J55" s="96">
        <v>0</v>
      </c>
      <c r="K55" s="96">
        <v>0</v>
      </c>
    </row>
    <row r="56" spans="1:11" ht="21.6" thickBot="1" x14ac:dyDescent="0.45">
      <c r="A56" s="123" t="s">
        <v>115</v>
      </c>
      <c r="B56" s="121"/>
      <c r="C56" s="121"/>
      <c r="D56" s="174">
        <f>SUM(D23:D55)</f>
        <v>2365654.9436089853</v>
      </c>
      <c r="E56" s="174">
        <f t="shared" ref="E56:G56" si="4">SUM(E23:E55)</f>
        <v>403352.572306438</v>
      </c>
      <c r="F56" s="174">
        <f t="shared" si="4"/>
        <v>3471045.9590295278</v>
      </c>
      <c r="G56" s="174">
        <f t="shared" si="4"/>
        <v>1449442.07</v>
      </c>
      <c r="H56" s="174">
        <f>SUM(H23:H55)</f>
        <v>2115455.577869135</v>
      </c>
      <c r="I56" s="174">
        <f t="shared" ref="I56:K56" si="5">SUM(I23:I55)</f>
        <v>480674.82893569593</v>
      </c>
      <c r="J56" s="174">
        <f t="shared" si="5"/>
        <v>6301311.0000014519</v>
      </c>
      <c r="K56" s="174">
        <f t="shared" si="5"/>
        <v>16973307.090000007</v>
      </c>
    </row>
    <row r="57" spans="1:11" ht="15.6" x14ac:dyDescent="0.3">
      <c r="A57" s="30" t="s">
        <v>33</v>
      </c>
      <c r="B57" s="26" t="s">
        <v>114</v>
      </c>
      <c r="C57" s="26" t="s">
        <v>107</v>
      </c>
      <c r="D57" s="14">
        <v>0</v>
      </c>
      <c r="E57" s="14">
        <v>5671.0468105910786</v>
      </c>
      <c r="F57" s="14">
        <v>33287.999719836989</v>
      </c>
      <c r="G57" s="14">
        <v>-1182418</v>
      </c>
      <c r="H57" s="96">
        <v>-3942.4736055499852</v>
      </c>
      <c r="I57" s="96">
        <v>2984.0546335190752</v>
      </c>
      <c r="J57" s="96">
        <v>23629.091886820301</v>
      </c>
      <c r="K57" s="96">
        <v>-139635.32</v>
      </c>
    </row>
    <row r="58" spans="1:11" ht="15.6" x14ac:dyDescent="0.3">
      <c r="A58" s="26" t="s">
        <v>84</v>
      </c>
      <c r="B58" s="26" t="s">
        <v>114</v>
      </c>
      <c r="C58" s="26" t="s">
        <v>107</v>
      </c>
      <c r="D58" s="14">
        <v>6386.9729237321744</v>
      </c>
      <c r="E58" s="14">
        <v>2357.4611122188667</v>
      </c>
      <c r="F58" s="14">
        <v>0</v>
      </c>
      <c r="G58" s="14">
        <v>11414</v>
      </c>
      <c r="H58" s="96">
        <v>-56844.195063296254</v>
      </c>
      <c r="I58" s="96">
        <v>11293.703962485513</v>
      </c>
      <c r="J58" s="96">
        <v>-101088.2285773718</v>
      </c>
      <c r="K58" s="96">
        <v>-326472.56000000006</v>
      </c>
    </row>
    <row r="59" spans="1:11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>
        <v>0</v>
      </c>
      <c r="K59" s="96">
        <v>0</v>
      </c>
    </row>
    <row r="60" spans="1:11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1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>
        <v>277472.67875428539</v>
      </c>
      <c r="I61" s="96">
        <v>91162.601722589199</v>
      </c>
      <c r="J61" s="96">
        <v>1287113.440289747</v>
      </c>
      <c r="K61" s="96">
        <v>3730294.1999999993</v>
      </c>
    </row>
    <row r="62" spans="1:11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1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1" ht="15.6" x14ac:dyDescent="0.3">
      <c r="A64" s="199" t="s">
        <v>131</v>
      </c>
      <c r="B64" s="26" t="s">
        <v>114</v>
      </c>
      <c r="C64" s="27" t="s">
        <v>107</v>
      </c>
      <c r="D64" s="14">
        <v>0</v>
      </c>
      <c r="E64" s="14">
        <v>16373.52665441687</v>
      </c>
      <c r="F64" s="14">
        <v>0</v>
      </c>
      <c r="G64" s="14"/>
      <c r="H64" s="96"/>
      <c r="I64" s="96"/>
      <c r="J64" s="96"/>
      <c r="K64" s="96"/>
    </row>
    <row r="65" spans="1:11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45">
      <c r="A66" s="123" t="s">
        <v>116</v>
      </c>
      <c r="B66" s="121"/>
      <c r="C66" s="121"/>
      <c r="D66" s="174">
        <f>SUM(D57:D65)</f>
        <v>6386.9729237321744</v>
      </c>
      <c r="E66" s="174">
        <f t="shared" ref="E66:G66" si="6">SUM(E57:E65)</f>
        <v>24402.034577226816</v>
      </c>
      <c r="F66" s="174">
        <f t="shared" si="6"/>
        <v>33287.999719836989</v>
      </c>
      <c r="G66" s="174">
        <f t="shared" si="6"/>
        <v>-1171004</v>
      </c>
      <c r="H66" s="174">
        <f>SUM(H57:H65)</f>
        <v>216686.01008543913</v>
      </c>
      <c r="I66" s="174">
        <f t="shared" ref="I66:K66" si="7">SUM(I57:I65)</f>
        <v>105440.36031859378</v>
      </c>
      <c r="J66" s="174">
        <f t="shared" si="7"/>
        <v>1209654.3035991956</v>
      </c>
      <c r="K66" s="174">
        <f t="shared" si="7"/>
        <v>3264186.3199999994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97">
        <v>1244.870486687882</v>
      </c>
      <c r="E67" s="197">
        <v>3413.0156728598354</v>
      </c>
      <c r="F67" s="197">
        <v>4079.2387241815368</v>
      </c>
      <c r="G67" s="197"/>
      <c r="H67" s="96">
        <v>0</v>
      </c>
      <c r="I67" s="96">
        <v>-1123.180674339033</v>
      </c>
      <c r="J67" s="96">
        <v>12308.676064525511</v>
      </c>
      <c r="K67" s="96">
        <v>0</v>
      </c>
    </row>
    <row r="68" spans="1:11" ht="15.6" x14ac:dyDescent="0.3">
      <c r="A68" s="30" t="s">
        <v>40</v>
      </c>
      <c r="B68" s="26" t="s">
        <v>56</v>
      </c>
      <c r="C68" s="26" t="s">
        <v>103</v>
      </c>
      <c r="D68" s="195">
        <v>13280.181031233909</v>
      </c>
      <c r="E68" s="195">
        <v>0</v>
      </c>
      <c r="F68" s="195">
        <v>0</v>
      </c>
      <c r="G68" s="195">
        <v>-432482</v>
      </c>
      <c r="H68" s="96">
        <v>98783.732425178707</v>
      </c>
      <c r="I68" s="96">
        <v>26852.490347282568</v>
      </c>
      <c r="J68" s="96">
        <v>0</v>
      </c>
      <c r="K68" s="96">
        <v>-476370.12</v>
      </c>
    </row>
    <row r="69" spans="1:11" ht="15.6" x14ac:dyDescent="0.3">
      <c r="A69" s="26" t="s">
        <v>90</v>
      </c>
      <c r="B69" s="26" t="s">
        <v>108</v>
      </c>
      <c r="C69" s="26" t="s">
        <v>103</v>
      </c>
      <c r="D69" s="195">
        <v>0</v>
      </c>
      <c r="E69" s="195">
        <v>-3650.1162835139771</v>
      </c>
      <c r="F69" s="195"/>
      <c r="G69" s="195"/>
      <c r="H69" s="96">
        <v>0</v>
      </c>
      <c r="I69" s="96">
        <v>6467.9210746417448</v>
      </c>
      <c r="J69" s="96">
        <v>0</v>
      </c>
      <c r="K69" s="96">
        <v>0</v>
      </c>
    </row>
    <row r="70" spans="1:11" ht="15.6" x14ac:dyDescent="0.3">
      <c r="A70" s="26" t="s">
        <v>92</v>
      </c>
      <c r="B70" s="26" t="s">
        <v>56</v>
      </c>
      <c r="C70" s="26" t="s">
        <v>103</v>
      </c>
      <c r="D70" s="195"/>
      <c r="E70" s="195">
        <v>-479.97004582151453</v>
      </c>
      <c r="F70" s="195"/>
      <c r="G70" s="195"/>
      <c r="H70" s="96">
        <v>0</v>
      </c>
      <c r="I70" s="96">
        <v>5545.6240547376628</v>
      </c>
      <c r="J70" s="96">
        <v>0</v>
      </c>
      <c r="K70" s="96">
        <v>0</v>
      </c>
    </row>
    <row r="71" spans="1:11" ht="15.6" x14ac:dyDescent="0.3">
      <c r="A71" s="26" t="s">
        <v>93</v>
      </c>
      <c r="B71" s="26" t="s">
        <v>56</v>
      </c>
      <c r="C71" s="26" t="s">
        <v>103</v>
      </c>
      <c r="D71" s="195"/>
      <c r="E71" s="195"/>
      <c r="F71" s="195"/>
      <c r="G71" s="195"/>
      <c r="H71" s="96">
        <v>0</v>
      </c>
      <c r="I71" s="96">
        <v>0</v>
      </c>
      <c r="J71" s="96">
        <v>0</v>
      </c>
      <c r="K71" s="96">
        <v>0</v>
      </c>
    </row>
    <row r="72" spans="1:11" ht="15.6" x14ac:dyDescent="0.3">
      <c r="A72" s="26" t="s">
        <v>100</v>
      </c>
      <c r="B72" s="26" t="s">
        <v>56</v>
      </c>
      <c r="C72" s="26" t="s">
        <v>103</v>
      </c>
      <c r="D72" s="195">
        <v>5865.7591681888434</v>
      </c>
      <c r="E72" s="195">
        <v>0</v>
      </c>
      <c r="F72" s="195">
        <v>0</v>
      </c>
      <c r="G72" s="195">
        <f>6233-78708</f>
        <v>-72475</v>
      </c>
      <c r="H72" s="96">
        <v>-8859.9916928713792</v>
      </c>
      <c r="I72" s="96">
        <v>2474.4453184238801</v>
      </c>
      <c r="J72" s="96">
        <v>0</v>
      </c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95">
        <v>21085.722133145475</v>
      </c>
      <c r="E73" s="195">
        <v>11402.999376592867</v>
      </c>
      <c r="F73" s="195">
        <v>105954.8523656742</v>
      </c>
      <c r="G73" s="195"/>
      <c r="H73" s="96">
        <v>159.96968273141306</v>
      </c>
      <c r="I73" s="96">
        <v>38478.813356989187</v>
      </c>
      <c r="J73" s="96">
        <v>0</v>
      </c>
      <c r="K73" s="96">
        <v>-176906.7</v>
      </c>
    </row>
    <row r="74" spans="1:11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1255.0715302186029</v>
      </c>
      <c r="J74" s="96">
        <v>0</v>
      </c>
      <c r="K74" s="96">
        <v>0</v>
      </c>
    </row>
    <row r="75" spans="1:11" ht="21.6" thickBot="1" x14ac:dyDescent="0.35">
      <c r="A75" s="177" t="s">
        <v>44</v>
      </c>
      <c r="B75" s="178"/>
      <c r="C75" s="178"/>
      <c r="D75" s="179">
        <f>SUM(D67:D74)</f>
        <v>41476.532819256114</v>
      </c>
      <c r="E75" s="179">
        <f t="shared" ref="E75:G75" si="8">SUM(E67:E74)</f>
        <v>10685.92872011721</v>
      </c>
      <c r="F75" s="179">
        <f t="shared" si="8"/>
        <v>110034.09108985573</v>
      </c>
      <c r="G75" s="179">
        <f t="shared" si="8"/>
        <v>-504957</v>
      </c>
      <c r="H75" s="179">
        <f>SUM(H67:H74)</f>
        <v>90083.710415038746</v>
      </c>
      <c r="I75" s="179">
        <f t="shared" ref="I75:K75" si="9">SUM(I67:I74)</f>
        <v>79951.185007954613</v>
      </c>
      <c r="J75" s="179">
        <f t="shared" si="9"/>
        <v>12308.676064525511</v>
      </c>
      <c r="K75" s="179">
        <f t="shared" si="9"/>
        <v>-653276.82000000007</v>
      </c>
    </row>
    <row r="76" spans="1:11" ht="21.6" thickBot="1" x14ac:dyDescent="0.35">
      <c r="A76" s="122" t="s">
        <v>45</v>
      </c>
      <c r="B76" s="121"/>
      <c r="C76" s="121"/>
      <c r="D76" s="131">
        <f>D75+D66+D56+D22+D8</f>
        <v>3817815.1903973171</v>
      </c>
      <c r="E76" s="131">
        <f t="shared" ref="E76:G76" si="10">E75+E66+E56+E22+E8</f>
        <v>978318.39682026894</v>
      </c>
      <c r="F76" s="131">
        <f t="shared" si="10"/>
        <v>4831046.6111105606</v>
      </c>
      <c r="G76" s="131">
        <f t="shared" si="10"/>
        <v>-5904683.8250000002</v>
      </c>
      <c r="H76" s="131">
        <f>H75+H66+H56+H22+H8</f>
        <v>3668913.8543086764</v>
      </c>
      <c r="I76" s="131">
        <f t="shared" ref="I76:K76" si="11">I75+I66+I56+I22+I8</f>
        <v>1080025.0192268528</v>
      </c>
      <c r="J76" s="131">
        <f t="shared" si="11"/>
        <v>8582935.6385213695</v>
      </c>
      <c r="K76" s="131">
        <f t="shared" si="11"/>
        <v>21102233.220000006</v>
      </c>
    </row>
    <row r="78" spans="1:11" x14ac:dyDescent="0.3">
      <c r="D78" s="6"/>
      <c r="E78" s="6"/>
      <c r="F78" s="6"/>
      <c r="G78" s="6"/>
    </row>
    <row r="79" spans="1:11" x14ac:dyDescent="0.3">
      <c r="D79" s="6"/>
      <c r="E79" s="6"/>
      <c r="F79" s="6"/>
    </row>
    <row r="80" spans="1:11" x14ac:dyDescent="0.3">
      <c r="G80" s="9"/>
    </row>
    <row r="81" spans="7:7" x14ac:dyDescent="0.3">
      <c r="G81" s="9"/>
    </row>
  </sheetData>
  <mergeCells count="2">
    <mergeCell ref="D1:G1"/>
    <mergeCell ref="H1:K1"/>
  </mergeCells>
  <conditionalFormatting sqref="A1">
    <cfRule type="duplicateValues" dxfId="217" priority="17"/>
    <cfRule type="duplicateValues" dxfId="216" priority="18"/>
  </conditionalFormatting>
  <conditionalFormatting sqref="A14">
    <cfRule type="duplicateValues" dxfId="215" priority="7"/>
    <cfRule type="duplicateValues" dxfId="214" priority="8"/>
  </conditionalFormatting>
  <conditionalFormatting sqref="A20">
    <cfRule type="duplicateValues" dxfId="213" priority="1"/>
    <cfRule type="duplicateValues" dxfId="212" priority="2"/>
  </conditionalFormatting>
  <conditionalFormatting sqref="A41">
    <cfRule type="duplicateValues" dxfId="211" priority="3"/>
    <cfRule type="duplicateValues" dxfId="210" priority="4"/>
  </conditionalFormatting>
  <conditionalFormatting sqref="A57">
    <cfRule type="duplicateValues" dxfId="209" priority="9"/>
    <cfRule type="duplicateValues" dxfId="208" priority="10"/>
  </conditionalFormatting>
  <conditionalFormatting sqref="A58:A60 A7 A23:A40 A62 A42:A55">
    <cfRule type="duplicateValues" dxfId="207" priority="15"/>
    <cfRule type="duplicateValues" dxfId="206" priority="16"/>
  </conditionalFormatting>
  <conditionalFormatting sqref="A61">
    <cfRule type="duplicateValues" dxfId="205" priority="5"/>
    <cfRule type="duplicateValues" dxfId="204" priority="6"/>
  </conditionalFormatting>
  <conditionalFormatting sqref="A67:A74">
    <cfRule type="duplicateValues" dxfId="203" priority="13"/>
    <cfRule type="duplicateValues" dxfId="202" priority="14"/>
  </conditionalFormatting>
  <conditionalFormatting sqref="A75:A76 A2:A6 A8:A13 A15:A19 A56 A66 A21:A22">
    <cfRule type="duplicateValues" dxfId="201" priority="11"/>
    <cfRule type="duplicateValues" dxfId="200" priority="1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1"/>
  <sheetViews>
    <sheetView rightToLeft="1" zoomScaleNormal="100" workbookViewId="0">
      <pane ySplit="3" topLeftCell="A4" activePane="bottomLeft" state="frozen"/>
      <selection pane="bottomLeft" activeCell="L18" sqref="L18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2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2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2" ht="15.6" x14ac:dyDescent="0.3">
      <c r="A3" s="26" t="s">
        <v>1</v>
      </c>
      <c r="B3" s="26" t="s">
        <v>108</v>
      </c>
      <c r="C3" s="26" t="s">
        <v>58</v>
      </c>
      <c r="D3" s="14"/>
      <c r="E3" s="196">
        <f>140671-322-668-E5-E6-E51-E71</f>
        <v>52765</v>
      </c>
      <c r="F3" s="14"/>
      <c r="G3" s="14"/>
      <c r="H3" s="96">
        <v>0</v>
      </c>
      <c r="I3" s="96">
        <v>231146.52</v>
      </c>
      <c r="J3" s="96"/>
      <c r="K3" s="96"/>
    </row>
    <row r="4" spans="1:12" ht="15.6" x14ac:dyDescent="0.3">
      <c r="A4" s="26" t="s">
        <v>2</v>
      </c>
      <c r="B4" s="26" t="s">
        <v>108</v>
      </c>
      <c r="C4" s="26" t="s">
        <v>58</v>
      </c>
      <c r="D4" s="195"/>
      <c r="E4" s="196"/>
      <c r="F4" s="195"/>
      <c r="G4" s="14"/>
      <c r="H4" s="96">
        <v>0</v>
      </c>
      <c r="I4" s="96">
        <v>0</v>
      </c>
      <c r="J4" s="96"/>
      <c r="K4" s="96"/>
    </row>
    <row r="5" spans="1:12" ht="15.6" x14ac:dyDescent="0.3">
      <c r="A5" s="26" t="s">
        <v>104</v>
      </c>
      <c r="B5" s="26" t="s">
        <v>108</v>
      </c>
      <c r="C5" s="26" t="s">
        <v>58</v>
      </c>
      <c r="D5" s="195"/>
      <c r="E5" s="196">
        <v>44798</v>
      </c>
      <c r="F5" s="195"/>
      <c r="G5" s="14"/>
      <c r="H5" s="96"/>
      <c r="I5" s="96"/>
      <c r="J5" s="96"/>
      <c r="K5" s="96"/>
      <c r="L5" s="133"/>
    </row>
    <row r="6" spans="1:12" ht="15.6" x14ac:dyDescent="0.3">
      <c r="A6" s="28" t="s">
        <v>105</v>
      </c>
      <c r="B6" s="26" t="s">
        <v>108</v>
      </c>
      <c r="C6" s="28" t="s">
        <v>58</v>
      </c>
      <c r="D6" s="196"/>
      <c r="E6" s="196">
        <v>25789</v>
      </c>
      <c r="F6" s="196"/>
      <c r="G6" s="15"/>
      <c r="H6" s="96"/>
      <c r="I6" s="96"/>
      <c r="J6" s="96"/>
      <c r="K6" s="96"/>
      <c r="L6" s="133"/>
    </row>
    <row r="7" spans="1:12" ht="16.2" thickBot="1" x14ac:dyDescent="0.35">
      <c r="A7" s="26" t="s">
        <v>34</v>
      </c>
      <c r="B7" s="26" t="s">
        <v>108</v>
      </c>
      <c r="C7" s="26" t="s">
        <v>58</v>
      </c>
      <c r="D7" s="14"/>
      <c r="E7" s="196">
        <v>1378</v>
      </c>
      <c r="F7" s="14"/>
      <c r="G7" s="14"/>
      <c r="H7" s="96">
        <v>0</v>
      </c>
      <c r="I7" s="96">
        <v>2079.09</v>
      </c>
      <c r="J7" s="96"/>
      <c r="K7" s="96"/>
    </row>
    <row r="8" spans="1:12" ht="21.6" thickBot="1" x14ac:dyDescent="0.45">
      <c r="A8" s="122" t="s">
        <v>3</v>
      </c>
      <c r="B8" s="121"/>
      <c r="C8" s="121"/>
      <c r="D8" s="174">
        <f>SUM(D3:D7)</f>
        <v>0</v>
      </c>
      <c r="E8" s="174">
        <f>SUM(E3:E7)</f>
        <v>124730</v>
      </c>
      <c r="F8" s="174">
        <f t="shared" ref="F8:G8" si="0">SUM(F3:F7)</f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233225.61</v>
      </c>
      <c r="J8" s="174">
        <f t="shared" si="1"/>
        <v>0</v>
      </c>
      <c r="K8" s="174">
        <f t="shared" si="1"/>
        <v>0</v>
      </c>
    </row>
    <row r="9" spans="1:12" ht="15.6" x14ac:dyDescent="0.3">
      <c r="A9" s="27" t="s">
        <v>4</v>
      </c>
      <c r="B9" s="26" t="s">
        <v>108</v>
      </c>
      <c r="C9" s="27" t="s">
        <v>106</v>
      </c>
      <c r="D9" s="18"/>
      <c r="E9" s="196"/>
      <c r="F9" s="18"/>
      <c r="G9" s="18"/>
      <c r="H9" s="96">
        <v>0</v>
      </c>
      <c r="I9" s="96">
        <v>0</v>
      </c>
      <c r="J9" s="96"/>
      <c r="K9" s="96"/>
    </row>
    <row r="10" spans="1:12" ht="15.6" x14ac:dyDescent="0.3">
      <c r="A10" s="26" t="s">
        <v>5</v>
      </c>
      <c r="B10" s="26" t="s">
        <v>108</v>
      </c>
      <c r="C10" s="26" t="s">
        <v>106</v>
      </c>
      <c r="D10" s="14"/>
      <c r="E10" s="196"/>
      <c r="F10" s="14"/>
      <c r="G10" s="14"/>
      <c r="H10" s="96">
        <v>0</v>
      </c>
      <c r="I10" s="96">
        <v>0</v>
      </c>
      <c r="J10" s="96"/>
      <c r="K10" s="96"/>
    </row>
    <row r="11" spans="1:12" ht="15.6" x14ac:dyDescent="0.3">
      <c r="A11" s="26" t="s">
        <v>6</v>
      </c>
      <c r="B11" s="26" t="s">
        <v>108</v>
      </c>
      <c r="C11" s="26" t="s">
        <v>106</v>
      </c>
      <c r="D11" s="14"/>
      <c r="E11" s="196"/>
      <c r="F11" s="14"/>
      <c r="G11" s="14"/>
      <c r="H11" s="96">
        <v>0</v>
      </c>
      <c r="I11" s="96">
        <v>14637.27</v>
      </c>
      <c r="J11" s="96"/>
      <c r="K11" s="96"/>
    </row>
    <row r="12" spans="1:12" ht="15.6" x14ac:dyDescent="0.3">
      <c r="A12" s="26" t="s">
        <v>7</v>
      </c>
      <c r="B12" s="26" t="s">
        <v>108</v>
      </c>
      <c r="C12" s="26" t="s">
        <v>106</v>
      </c>
      <c r="D12" s="14"/>
      <c r="E12" s="196"/>
      <c r="F12" s="14"/>
      <c r="G12" s="14"/>
      <c r="H12" s="96">
        <v>0</v>
      </c>
      <c r="I12" s="96">
        <v>0</v>
      </c>
      <c r="J12" s="96"/>
      <c r="K12" s="96"/>
    </row>
    <row r="13" spans="1:12" ht="15.6" x14ac:dyDescent="0.3">
      <c r="A13" s="26" t="s">
        <v>8</v>
      </c>
      <c r="B13" s="26" t="s">
        <v>108</v>
      </c>
      <c r="C13" s="26" t="s">
        <v>106</v>
      </c>
      <c r="D13" s="14"/>
      <c r="E13" s="196">
        <v>35130</v>
      </c>
      <c r="F13" s="14"/>
      <c r="G13" s="14"/>
      <c r="H13" s="96">
        <v>0</v>
      </c>
      <c r="I13" s="96">
        <v>12772.970000000001</v>
      </c>
      <c r="J13" s="96"/>
      <c r="K13" s="96"/>
    </row>
    <row r="14" spans="1:12" ht="15.6" x14ac:dyDescent="0.3">
      <c r="A14" s="26" t="s">
        <v>9</v>
      </c>
      <c r="B14" s="26" t="s">
        <v>108</v>
      </c>
      <c r="C14" s="26" t="s">
        <v>106</v>
      </c>
      <c r="D14" s="14"/>
      <c r="E14" s="196">
        <v>20829</v>
      </c>
      <c r="F14" s="14"/>
      <c r="G14" s="14"/>
      <c r="H14" s="96">
        <v>0</v>
      </c>
      <c r="I14" s="96">
        <v>14771.4</v>
      </c>
      <c r="J14" s="96"/>
      <c r="K14" s="96"/>
    </row>
    <row r="15" spans="1:12" ht="15.6" x14ac:dyDescent="0.3">
      <c r="A15" s="26" t="s">
        <v>31</v>
      </c>
      <c r="B15" s="26" t="s">
        <v>108</v>
      </c>
      <c r="C15" s="26" t="s">
        <v>106</v>
      </c>
      <c r="D15" s="14"/>
      <c r="E15" s="196"/>
      <c r="F15" s="14"/>
      <c r="G15" s="14"/>
      <c r="H15" s="96">
        <v>0</v>
      </c>
      <c r="I15" s="96">
        <v>0</v>
      </c>
      <c r="J15" s="96"/>
      <c r="K15" s="96"/>
    </row>
    <row r="16" spans="1:12" ht="15.6" x14ac:dyDescent="0.3">
      <c r="A16" s="26" t="s">
        <v>96</v>
      </c>
      <c r="B16" s="26" t="s">
        <v>108</v>
      </c>
      <c r="C16" s="26" t="s">
        <v>106</v>
      </c>
      <c r="D16" s="14"/>
      <c r="E16" s="196"/>
      <c r="F16" s="14"/>
      <c r="G16" s="14"/>
      <c r="H16" s="96">
        <v>0</v>
      </c>
      <c r="I16" s="96">
        <v>0</v>
      </c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96">
        <v>92904</v>
      </c>
      <c r="F17" s="14"/>
      <c r="G17" s="14"/>
      <c r="H17" s="96">
        <v>0</v>
      </c>
      <c r="I17" s="96">
        <v>42132.51999999999</v>
      </c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516</v>
      </c>
      <c r="E18" s="196">
        <v>23634</v>
      </c>
      <c r="F18" s="14"/>
      <c r="G18" s="14"/>
      <c r="H18" s="96">
        <v>529.51</v>
      </c>
      <c r="I18" s="96">
        <v>5383.28</v>
      </c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96"/>
      <c r="F19" s="14"/>
      <c r="G19" s="14"/>
      <c r="H19" s="96">
        <v>0</v>
      </c>
      <c r="I19" s="96">
        <v>0</v>
      </c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96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96"/>
      <c r="F21" s="15"/>
      <c r="G21" s="15"/>
      <c r="H21" s="96">
        <v>0</v>
      </c>
      <c r="I21" s="96">
        <v>0</v>
      </c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516</v>
      </c>
      <c r="E22" s="174">
        <f t="shared" ref="E22:G22" si="2">SUM(E9:E21)</f>
        <v>172497</v>
      </c>
      <c r="F22" s="174">
        <f t="shared" si="2"/>
        <v>0</v>
      </c>
      <c r="G22" s="174">
        <f t="shared" si="2"/>
        <v>0</v>
      </c>
      <c r="H22" s="174">
        <f>SUM(H9:H21)</f>
        <v>529.51</v>
      </c>
      <c r="I22" s="174">
        <f t="shared" ref="I22:K22" si="3">SUM(I9:I21)</f>
        <v>89697.439999999988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96"/>
      <c r="F23" s="18"/>
      <c r="G23" s="18"/>
      <c r="H23" s="96">
        <v>0</v>
      </c>
      <c r="I23" s="96">
        <v>0</v>
      </c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96"/>
      <c r="F24" s="14"/>
      <c r="G24" s="14"/>
      <c r="H24" s="96">
        <v>0</v>
      </c>
      <c r="I24" s="96">
        <v>0</v>
      </c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96"/>
      <c r="F25" s="14"/>
      <c r="G25" s="14"/>
      <c r="H25" s="96">
        <v>0</v>
      </c>
      <c r="I25" s="96">
        <v>0</v>
      </c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96"/>
      <c r="F26" s="14"/>
      <c r="G26" s="14"/>
      <c r="H26" s="96">
        <v>0</v>
      </c>
      <c r="I26" s="96">
        <v>0</v>
      </c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729</v>
      </c>
      <c r="E27" s="196">
        <v>22877</v>
      </c>
      <c r="F27" s="14"/>
      <c r="G27" s="14"/>
      <c r="H27" s="96">
        <v>608.49</v>
      </c>
      <c r="I27" s="96">
        <v>65846.610000000015</v>
      </c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96"/>
      <c r="F28" s="14"/>
      <c r="G28" s="14"/>
      <c r="H28" s="96">
        <v>0</v>
      </c>
      <c r="I28" s="96">
        <v>0</v>
      </c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96"/>
      <c r="F29" s="14"/>
      <c r="G29" s="14"/>
      <c r="H29" s="96">
        <v>0</v>
      </c>
      <c r="I29" s="96">
        <v>0</v>
      </c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96"/>
      <c r="F30" s="14"/>
      <c r="G30" s="14"/>
      <c r="H30" s="96">
        <v>0</v>
      </c>
      <c r="I30" s="96">
        <v>0</v>
      </c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96"/>
      <c r="F31" s="14"/>
      <c r="G31" s="14"/>
      <c r="H31" s="96">
        <v>0</v>
      </c>
      <c r="I31" s="96">
        <v>0</v>
      </c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96"/>
      <c r="F32" s="14"/>
      <c r="G32" s="14"/>
      <c r="H32" s="96">
        <v>0</v>
      </c>
      <c r="I32" s="96">
        <v>0</v>
      </c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96">
        <v>892</v>
      </c>
      <c r="F33" s="14"/>
      <c r="G33" s="14"/>
      <c r="H33" s="96">
        <v>0</v>
      </c>
      <c r="I33" s="96">
        <v>0</v>
      </c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96"/>
      <c r="F34" s="14"/>
      <c r="G34" s="14"/>
      <c r="H34" s="96">
        <v>0</v>
      </c>
      <c r="I34" s="96">
        <v>0</v>
      </c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96"/>
      <c r="F35" s="14"/>
      <c r="G35" s="14"/>
      <c r="H35" s="96">
        <v>0</v>
      </c>
      <c r="I35" s="96">
        <v>0</v>
      </c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96"/>
      <c r="F36" s="14"/>
      <c r="G36" s="14"/>
      <c r="H36" s="96">
        <v>0</v>
      </c>
      <c r="I36" s="96">
        <v>0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96"/>
      <c r="F37" s="14"/>
      <c r="G37" s="14"/>
      <c r="H37" s="96">
        <v>0</v>
      </c>
      <c r="I37" s="96">
        <v>0</v>
      </c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96"/>
      <c r="F38" s="14"/>
      <c r="G38" s="14"/>
      <c r="H38" s="96">
        <v>0</v>
      </c>
      <c r="I38" s="96">
        <v>0</v>
      </c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96"/>
      <c r="F39" s="14"/>
      <c r="G39" s="14"/>
      <c r="H39" s="96">
        <v>0</v>
      </c>
      <c r="I39" s="96">
        <v>0</v>
      </c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96"/>
      <c r="F40" s="14"/>
      <c r="G40" s="14"/>
      <c r="H40" s="96">
        <v>0</v>
      </c>
      <c r="I40" s="96">
        <v>0</v>
      </c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96"/>
      <c r="F41" s="14"/>
      <c r="G41" s="14"/>
      <c r="H41" s="96">
        <v>0</v>
      </c>
      <c r="I41" s="96">
        <v>0</v>
      </c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96"/>
      <c r="F42" s="14"/>
      <c r="G42" s="14"/>
      <c r="H42" s="96">
        <v>0</v>
      </c>
      <c r="I42" s="96">
        <v>0</v>
      </c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96"/>
      <c r="F43" s="14"/>
      <c r="G43" s="14"/>
      <c r="H43" s="96">
        <v>0</v>
      </c>
      <c r="I43" s="96">
        <v>0</v>
      </c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96"/>
      <c r="F44" s="14"/>
      <c r="G44" s="14"/>
      <c r="H44" s="96">
        <v>0</v>
      </c>
      <c r="I44" s="96">
        <v>0</v>
      </c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96"/>
      <c r="F45" s="14"/>
      <c r="G45" s="14"/>
      <c r="H45" s="96">
        <v>0</v>
      </c>
      <c r="I45" s="96">
        <v>0</v>
      </c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96"/>
      <c r="F46" s="14"/>
      <c r="G46" s="14"/>
      <c r="H46" s="96">
        <v>0</v>
      </c>
      <c r="I46" s="96">
        <v>0</v>
      </c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96"/>
      <c r="F47" s="14"/>
      <c r="G47" s="14"/>
      <c r="H47" s="96">
        <v>0</v>
      </c>
      <c r="I47" s="96">
        <v>0</v>
      </c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96"/>
      <c r="F48" s="14"/>
      <c r="G48" s="14"/>
      <c r="H48" s="96">
        <v>0</v>
      </c>
      <c r="I48" s="96">
        <v>0</v>
      </c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96"/>
      <c r="F49" s="14"/>
      <c r="G49" s="14"/>
      <c r="H49" s="96">
        <v>0</v>
      </c>
      <c r="I49" s="96">
        <v>4094.06</v>
      </c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96"/>
      <c r="F50" s="14"/>
      <c r="G50" s="14"/>
      <c r="H50" s="96">
        <v>0</v>
      </c>
      <c r="I50" s="96">
        <v>0</v>
      </c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96">
        <v>6627</v>
      </c>
      <c r="F51" s="14"/>
      <c r="G51" s="14"/>
      <c r="H51" s="96">
        <v>0</v>
      </c>
      <c r="I51" s="96">
        <v>1170.53</v>
      </c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96"/>
      <c r="F52" s="14"/>
      <c r="G52" s="14"/>
      <c r="H52" s="96">
        <v>0</v>
      </c>
      <c r="I52" s="96">
        <v>0</v>
      </c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96"/>
      <c r="F53" s="14"/>
      <c r="G53" s="14"/>
      <c r="H53" s="96">
        <v>0</v>
      </c>
      <c r="I53" s="96">
        <v>0</v>
      </c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96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729</v>
      </c>
      <c r="E56" s="174">
        <f t="shared" ref="E56:G56" si="4">SUM(E23:E55)</f>
        <v>30396</v>
      </c>
      <c r="F56" s="174">
        <f t="shared" si="4"/>
        <v>0</v>
      </c>
      <c r="G56" s="174">
        <f t="shared" si="4"/>
        <v>0</v>
      </c>
      <c r="H56" s="174">
        <f>SUM(H23:H55)</f>
        <v>608.49</v>
      </c>
      <c r="I56" s="174">
        <f t="shared" ref="I56:K56" si="5">SUM(I23:I55)</f>
        <v>71111.200000000012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>
        <v>3198</v>
      </c>
      <c r="F58" s="14"/>
      <c r="G58" s="14"/>
      <c r="H58" s="96">
        <v>0</v>
      </c>
      <c r="I58" s="96">
        <v>7355.590000000002</v>
      </c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>
        <v>0</v>
      </c>
      <c r="I61" s="96">
        <v>0</v>
      </c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3198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7355.590000000002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/>
      <c r="E67" s="197">
        <f>10733+322+668</f>
        <v>11723</v>
      </c>
      <c r="F67" s="197"/>
      <c r="G67" s="197"/>
      <c r="H67" s="96">
        <v>0</v>
      </c>
      <c r="I67" s="96">
        <v>7541.27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/>
      <c r="E68" s="195"/>
      <c r="F68" s="195"/>
      <c r="G68" s="195"/>
      <c r="H68" s="96">
        <v>0</v>
      </c>
      <c r="I68" s="96">
        <v>0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/>
      <c r="G69" s="195"/>
      <c r="H69" s="96">
        <v>0</v>
      </c>
      <c r="I69" s="96">
        <v>1953.47</v>
      </c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/>
      <c r="E70" s="195"/>
      <c r="F70" s="195"/>
      <c r="G70" s="195"/>
      <c r="H70" s="96">
        <v>0</v>
      </c>
      <c r="I70" s="96">
        <v>0</v>
      </c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9702</v>
      </c>
      <c r="F71" s="195"/>
      <c r="G71" s="195"/>
      <c r="H71" s="96">
        <v>0</v>
      </c>
      <c r="I71" s="96">
        <v>10354.76</v>
      </c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/>
      <c r="E72" s="195">
        <v>12723</v>
      </c>
      <c r="F72" s="195"/>
      <c r="G72" s="195"/>
      <c r="H72" s="96"/>
      <c r="I72" s="96">
        <v>8147.8599999999988</v>
      </c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/>
      <c r="E73" s="195"/>
      <c r="F73" s="195"/>
      <c r="G73" s="195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0</v>
      </c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34148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27997.360000000001</v>
      </c>
      <c r="J75" s="179">
        <f t="shared" si="9"/>
        <v>0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1245</v>
      </c>
      <c r="E76" s="131">
        <f t="shared" ref="E76:G76" si="10">E75+E66+E56+E22+E8</f>
        <v>364969</v>
      </c>
      <c r="F76" s="131">
        <f t="shared" si="10"/>
        <v>0</v>
      </c>
      <c r="G76" s="131">
        <f t="shared" si="10"/>
        <v>0</v>
      </c>
      <c r="H76" s="131">
        <f>H75+H66+H56+H22+H8</f>
        <v>1138</v>
      </c>
      <c r="I76" s="131">
        <f t="shared" ref="I76:K76" si="11">I75+I66+I56+I22+I8</f>
        <v>429387.2</v>
      </c>
      <c r="J76" s="131">
        <f t="shared" si="11"/>
        <v>0</v>
      </c>
      <c r="K76" s="131">
        <f t="shared" si="11"/>
        <v>0</v>
      </c>
    </row>
    <row r="78" spans="1:12" x14ac:dyDescent="0.3">
      <c r="D78" s="6">
        <v>1246</v>
      </c>
      <c r="E78" s="133">
        <v>364970</v>
      </c>
    </row>
    <row r="81" spans="5:5" x14ac:dyDescent="0.3">
      <c r="E81" s="9"/>
    </row>
  </sheetData>
  <mergeCells count="2">
    <mergeCell ref="D1:G1"/>
    <mergeCell ref="H1:K1"/>
  </mergeCells>
  <conditionalFormatting sqref="A1">
    <cfRule type="duplicateValues" dxfId="199" priority="19"/>
    <cfRule type="duplicateValues" dxfId="198" priority="20"/>
  </conditionalFormatting>
  <conditionalFormatting sqref="A14">
    <cfRule type="duplicateValues" dxfId="197" priority="9"/>
    <cfRule type="duplicateValues" dxfId="196" priority="10"/>
  </conditionalFormatting>
  <conditionalFormatting sqref="A20">
    <cfRule type="duplicateValues" dxfId="195" priority="1"/>
    <cfRule type="duplicateValues" dxfId="194" priority="2"/>
  </conditionalFormatting>
  <conditionalFormatting sqref="A41">
    <cfRule type="duplicateValues" dxfId="193" priority="5"/>
    <cfRule type="duplicateValues" dxfId="192" priority="6"/>
  </conditionalFormatting>
  <conditionalFormatting sqref="A54">
    <cfRule type="duplicateValues" dxfId="191" priority="3"/>
    <cfRule type="duplicateValues" dxfId="190" priority="4"/>
  </conditionalFormatting>
  <conditionalFormatting sqref="A57">
    <cfRule type="duplicateValues" dxfId="189" priority="11"/>
    <cfRule type="duplicateValues" dxfId="188" priority="12"/>
  </conditionalFormatting>
  <conditionalFormatting sqref="A58:A60 A7 A23:A40 A62 A42:A53 A55">
    <cfRule type="duplicateValues" dxfId="187" priority="17"/>
    <cfRule type="duplicateValues" dxfId="186" priority="18"/>
  </conditionalFormatting>
  <conditionalFormatting sqref="A61">
    <cfRule type="duplicateValues" dxfId="185" priority="7"/>
    <cfRule type="duplicateValues" dxfId="184" priority="8"/>
  </conditionalFormatting>
  <conditionalFormatting sqref="A67:A74">
    <cfRule type="duplicateValues" dxfId="183" priority="15"/>
    <cfRule type="duplicateValues" dxfId="182" priority="16"/>
  </conditionalFormatting>
  <conditionalFormatting sqref="A75:A76 A2:A6 A8:A13 A15:A19 A56 A66 A21:A22">
    <cfRule type="duplicateValues" dxfId="181" priority="13"/>
    <cfRule type="duplicateValues" dxfId="180" priority="1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1"/>
  <sheetViews>
    <sheetView rightToLeft="1" zoomScaleNormal="100" workbookViewId="0">
      <pane ySplit="3" topLeftCell="A4" activePane="bottomLeft" state="frozen"/>
      <selection pane="bottomLeft" activeCell="L14" sqref="L14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131755-D16-D52-D53-D55</f>
        <v>59663</v>
      </c>
      <c r="E3" s="195">
        <f>28727-E16-E52-E55-E65-E71-E73-E74</f>
        <v>2936</v>
      </c>
      <c r="F3" s="195">
        <f>308732-F4-F52-F55-F65-F69-F73</f>
        <v>6276</v>
      </c>
      <c r="G3" s="195">
        <f>-2399906-G16-G52-G55-G65-G73</f>
        <v>-515755</v>
      </c>
      <c r="H3" s="96">
        <v>67241.188434000025</v>
      </c>
      <c r="I3" s="96">
        <v>28819.884926999999</v>
      </c>
      <c r="J3" s="96">
        <v>255164.48774099999</v>
      </c>
      <c r="K3" s="96">
        <v>26512.832934000013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71103</v>
      </c>
      <c r="G4" s="195"/>
      <c r="H4" s="96">
        <v>3034.8836220000003</v>
      </c>
      <c r="I4" s="96">
        <v>0</v>
      </c>
      <c r="J4" s="96">
        <v>0</v>
      </c>
      <c r="K4" s="96"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E6">
        <v>2314</v>
      </c>
      <c r="F6">
        <v>351101</v>
      </c>
      <c r="G6" s="19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86"/>
      <c r="E7" s="186"/>
      <c r="F7" s="206"/>
      <c r="G7" s="195"/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59663</v>
      </c>
      <c r="E8" s="174">
        <f t="shared" ref="E8:G8" si="0">SUM(E3:E7)</f>
        <v>5250</v>
      </c>
      <c r="F8" s="174">
        <f t="shared" si="0"/>
        <v>428480</v>
      </c>
      <c r="G8" s="174">
        <f t="shared" si="0"/>
        <v>-515755</v>
      </c>
      <c r="H8" s="174">
        <f>SUM(H3:H7)</f>
        <v>70276.072056000019</v>
      </c>
      <c r="I8" s="174">
        <f t="shared" ref="I8:K8" si="1">SUM(I3:I7)</f>
        <v>28819.884926999999</v>
      </c>
      <c r="J8" s="174">
        <f t="shared" si="1"/>
        <v>255164.48774099999</v>
      </c>
      <c r="K8" s="174">
        <f t="shared" si="1"/>
        <v>26512.832934000013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7"/>
      <c r="E9" s="197"/>
      <c r="F9" s="197"/>
      <c r="G9" s="195"/>
      <c r="H9" s="96">
        <v>0</v>
      </c>
      <c r="I9" s="96">
        <v>0</v>
      </c>
      <c r="J9" s="96">
        <v>0</v>
      </c>
      <c r="K9" s="96">
        <v>16220.286905999999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13630</v>
      </c>
      <c r="E10" s="195">
        <v>137002</v>
      </c>
      <c r="F10" s="195"/>
      <c r="G10" s="195">
        <v>151580</v>
      </c>
      <c r="H10" s="96">
        <v>0</v>
      </c>
      <c r="I10" s="96">
        <v>147439.18760699997</v>
      </c>
      <c r="J10" s="96">
        <v>12011.124012</v>
      </c>
      <c r="K10" s="96"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/>
      <c r="E11" s="195"/>
      <c r="F11" s="195"/>
      <c r="G11" s="195"/>
      <c r="H11" s="96">
        <v>0</v>
      </c>
      <c r="I11" s="96">
        <v>150.08360400000001</v>
      </c>
      <c r="J11" s="96">
        <v>621.50221199999999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>
        <v>0</v>
      </c>
      <c r="E12" s="195">
        <v>7328</v>
      </c>
      <c r="F12" s="195">
        <v>141011</v>
      </c>
      <c r="G12" s="195">
        <v>-62877</v>
      </c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/>
      <c r="E13" s="195">
        <v>3062</v>
      </c>
      <c r="F13" s="195"/>
      <c r="G13" s="195"/>
      <c r="H13" s="96">
        <v>0</v>
      </c>
      <c r="I13" s="96">
        <v>16520.552373000002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>
        <v>0</v>
      </c>
      <c r="E14" s="195">
        <v>0</v>
      </c>
      <c r="F14" s="195">
        <v>81495</v>
      </c>
      <c r="G14" s="195">
        <v>-377678</v>
      </c>
      <c r="H14" s="96">
        <v>0</v>
      </c>
      <c r="I14" s="96">
        <v>0</v>
      </c>
      <c r="J14" s="96">
        <v>21299.729762999999</v>
      </c>
      <c r="K14" s="96">
        <v>3264.7535339999999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30973</v>
      </c>
      <c r="E16" s="195">
        <v>3096</v>
      </c>
      <c r="F16" s="195"/>
      <c r="G16" s="195">
        <v>20009</v>
      </c>
      <c r="H16" s="96">
        <v>101204.931153</v>
      </c>
      <c r="I16" s="96">
        <v>0</v>
      </c>
      <c r="J16" s="96">
        <v>23098.206351000001</v>
      </c>
      <c r="K16" s="96">
        <v>6686.9179859999995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19726</v>
      </c>
      <c r="E17" s="195">
        <v>7652</v>
      </c>
      <c r="F17" s="195">
        <v>0</v>
      </c>
      <c r="G17" s="195">
        <v>31824</v>
      </c>
      <c r="H17" s="96">
        <v>0</v>
      </c>
      <c r="I17" s="96">
        <v>6623.4847829999999</v>
      </c>
      <c r="J17" s="96">
        <v>40707.664962000003</v>
      </c>
      <c r="K17" s="96">
        <v>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/>
      <c r="E18" s="195"/>
      <c r="F18" s="195"/>
      <c r="G18" s="195"/>
      <c r="H18" s="96">
        <v>0</v>
      </c>
      <c r="I18" s="96">
        <v>2152.322107</v>
      </c>
      <c r="J18" s="96">
        <v>231593.59854000001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/>
      <c r="E19" s="195"/>
      <c r="F19" s="195"/>
      <c r="G19" s="195"/>
      <c r="H19" s="96">
        <v>0</v>
      </c>
      <c r="I19" s="96">
        <v>342.58702199999999</v>
      </c>
      <c r="J19" s="96">
        <v>101702.641062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5"/>
      <c r="H21" s="96">
        <v>0</v>
      </c>
      <c r="I21" s="96">
        <v>578.62619549999999</v>
      </c>
      <c r="J21" s="96">
        <v>147099.02898600002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64329</v>
      </c>
      <c r="E22" s="174">
        <f t="shared" ref="E22:G22" si="2">SUM(E9:E21)</f>
        <v>158140</v>
      </c>
      <c r="F22" s="174">
        <f t="shared" si="2"/>
        <v>222506</v>
      </c>
      <c r="G22" s="174">
        <f t="shared" si="2"/>
        <v>-237142</v>
      </c>
      <c r="H22" s="174">
        <f>SUM(H9:H21)</f>
        <v>101204.931153</v>
      </c>
      <c r="I22" s="174">
        <f t="shared" ref="I22:K22" si="3">SUM(I9:I21)</f>
        <v>173806.84369149999</v>
      </c>
      <c r="J22" s="174">
        <f t="shared" si="3"/>
        <v>578133.495888</v>
      </c>
      <c r="K22" s="174">
        <f t="shared" si="3"/>
        <v>26171.958426000001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97">
        <v>541584</v>
      </c>
      <c r="E23" s="197">
        <v>47324</v>
      </c>
      <c r="F23" s="197">
        <v>245790</v>
      </c>
      <c r="G23" s="195">
        <v>888800</v>
      </c>
      <c r="H23" s="96">
        <v>710796.46791300003</v>
      </c>
      <c r="I23" s="96">
        <v>99742.893380999973</v>
      </c>
      <c r="J23" s="96">
        <v>950384.32134600007</v>
      </c>
      <c r="K23" s="96">
        <v>1894584.6142679998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95"/>
      <c r="E24" s="195"/>
      <c r="F24" s="195"/>
      <c r="G24" s="195"/>
      <c r="H24" s="96">
        <v>93831.940754999989</v>
      </c>
      <c r="I24" s="96">
        <v>14193.203735999998</v>
      </c>
      <c r="J24" s="96">
        <v>237911.80755900004</v>
      </c>
      <c r="K24" s="96">
        <v>6928.5930150000004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95"/>
      <c r="E25" s="195">
        <v>11861</v>
      </c>
      <c r="F25" s="195"/>
      <c r="G25" s="195"/>
      <c r="H25" s="96">
        <v>0</v>
      </c>
      <c r="I25" s="96">
        <v>10560.105285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95"/>
      <c r="E26" s="195"/>
      <c r="F26" s="195"/>
      <c r="G26" s="195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95">
        <v>14085</v>
      </c>
      <c r="E27" s="195">
        <v>17627</v>
      </c>
      <c r="F27" s="195">
        <v>88720</v>
      </c>
      <c r="G27" s="195"/>
      <c r="H27" s="96">
        <v>0</v>
      </c>
      <c r="I27" s="96">
        <v>9549.0763230000011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95"/>
      <c r="E28" s="195"/>
      <c r="F28" s="195"/>
      <c r="G28" s="195"/>
      <c r="H28" s="96">
        <v>243659.39757900001</v>
      </c>
      <c r="I28" s="96">
        <v>10329.168561</v>
      </c>
      <c r="J28" s="96">
        <v>20119.246136999998</v>
      </c>
      <c r="K28" s="96">
        <v>350672.67088799999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95"/>
      <c r="E29" s="195">
        <v>42516</v>
      </c>
      <c r="F29" s="195"/>
      <c r="G29" s="195"/>
      <c r="H29" s="96">
        <v>0</v>
      </c>
      <c r="I29" s="96">
        <v>32707.220664000004</v>
      </c>
      <c r="J29" s="96">
        <v>3823.3278749999999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95">
        <v>0</v>
      </c>
      <c r="E30" s="195">
        <v>14757</v>
      </c>
      <c r="F30" s="195">
        <v>20374</v>
      </c>
      <c r="G30" s="195">
        <v>-34396</v>
      </c>
      <c r="H30" s="96">
        <v>0</v>
      </c>
      <c r="I30" s="96">
        <v>19150.665063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95">
        <v>357418</v>
      </c>
      <c r="E31" s="195">
        <v>40015</v>
      </c>
      <c r="F31" s="195">
        <v>1025507</v>
      </c>
      <c r="G31" s="195">
        <v>-628650</v>
      </c>
      <c r="H31" s="96">
        <v>538964.82044399995</v>
      </c>
      <c r="I31" s="96">
        <v>45195.616713000003</v>
      </c>
      <c r="J31" s="96">
        <v>1570363.869771</v>
      </c>
      <c r="K31" s="96">
        <v>1528892.788527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95"/>
      <c r="E32" s="195"/>
      <c r="F32" s="195"/>
      <c r="G32" s="195"/>
      <c r="H32" s="96">
        <v>0</v>
      </c>
      <c r="I32" s="96">
        <v>0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95"/>
      <c r="E33" s="195"/>
      <c r="F33" s="195"/>
      <c r="G33" s="195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95"/>
      <c r="E34" s="195"/>
      <c r="F34" s="195"/>
      <c r="G34" s="195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95"/>
      <c r="E35" s="195">
        <v>3630</v>
      </c>
      <c r="F35" s="195"/>
      <c r="G35" s="195"/>
      <c r="H35" s="96">
        <v>0</v>
      </c>
      <c r="I35" s="96">
        <v>0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95"/>
      <c r="E36" s="195"/>
      <c r="F36" s="195"/>
      <c r="G36" s="195"/>
      <c r="H36" s="96">
        <v>0</v>
      </c>
      <c r="I36" s="96">
        <v>0</v>
      </c>
      <c r="J36" s="96">
        <v>0</v>
      </c>
      <c r="K36" s="96"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95"/>
      <c r="E37" s="195"/>
      <c r="F37" s="195"/>
      <c r="G37" s="195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95"/>
      <c r="E38" s="195"/>
      <c r="F38" s="195"/>
      <c r="G38" s="195"/>
      <c r="H38" s="96">
        <v>18014.94543</v>
      </c>
      <c r="I38" s="96">
        <v>2616.5389110000001</v>
      </c>
      <c r="J38" s="96">
        <v>0</v>
      </c>
      <c r="K38" s="96">
        <v>4013.5432620000001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95"/>
      <c r="E39" s="195"/>
      <c r="F39" s="195"/>
      <c r="G39" s="195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95"/>
      <c r="E40" s="195"/>
      <c r="F40" s="195"/>
      <c r="G40" s="195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95"/>
      <c r="E41" s="195"/>
      <c r="F41" s="195"/>
      <c r="G41" s="195"/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95"/>
      <c r="E42" s="195"/>
      <c r="F42" s="195"/>
      <c r="G42" s="195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5"/>
      <c r="E43" s="195"/>
      <c r="F43" s="195"/>
      <c r="G43" s="195"/>
      <c r="H43" s="96">
        <v>82323.930896999998</v>
      </c>
      <c r="I43" s="96">
        <v>2663.1698249999995</v>
      </c>
      <c r="J43" s="96">
        <v>324157.49377499998</v>
      </c>
      <c r="K43" s="96">
        <v>99813.90656399999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5"/>
      <c r="E44" s="195"/>
      <c r="F44" s="195"/>
      <c r="G44" s="195"/>
      <c r="H44" s="96">
        <v>144613.96061699998</v>
      </c>
      <c r="I44" s="96">
        <v>22178.249444999998</v>
      </c>
      <c r="J44" s="96">
        <v>0</v>
      </c>
      <c r="K44" s="96">
        <v>82522.961520000012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5"/>
      <c r="E45" s="195"/>
      <c r="F45" s="195"/>
      <c r="G45" s="195"/>
      <c r="H45" s="96">
        <v>0</v>
      </c>
      <c r="I45" s="96">
        <v>0</v>
      </c>
      <c r="J45" s="96">
        <v>0</v>
      </c>
      <c r="K45" s="96">
        <v>0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5"/>
      <c r="E46" s="195"/>
      <c r="F46" s="195"/>
      <c r="G46" s="195"/>
      <c r="H46" s="96">
        <v>10129.702791</v>
      </c>
      <c r="I46" s="96">
        <v>1133.4596760000002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/>
      <c r="H47" s="96">
        <v>0</v>
      </c>
      <c r="I47" s="96">
        <v>0</v>
      </c>
      <c r="J47" s="96">
        <v>0</v>
      </c>
      <c r="K47" s="96"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5"/>
      <c r="E49" s="195"/>
      <c r="F49" s="195"/>
      <c r="G49" s="195"/>
      <c r="H49" s="96">
        <v>0</v>
      </c>
      <c r="I49" s="96">
        <v>0</v>
      </c>
      <c r="J49" s="96">
        <v>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5"/>
      <c r="E50" s="195"/>
      <c r="F50" s="195"/>
      <c r="G50" s="195"/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5"/>
      <c r="E51" s="195"/>
      <c r="F51" s="195"/>
      <c r="G51" s="195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5">
        <v>29083</v>
      </c>
      <c r="E52" s="195">
        <v>10390</v>
      </c>
      <c r="F52" s="195">
        <v>40582</v>
      </c>
      <c r="G52" s="195">
        <v>81351</v>
      </c>
      <c r="H52" s="96">
        <v>40594.372335</v>
      </c>
      <c r="I52" s="96">
        <v>0</v>
      </c>
      <c r="J52" s="96">
        <v>81155.19623999999</v>
      </c>
      <c r="K52" s="96">
        <v>151623.266382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5">
        <v>6018</v>
      </c>
      <c r="E53" s="195"/>
      <c r="F53" s="195"/>
      <c r="G53" s="195"/>
      <c r="H53" s="96">
        <v>0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96">
        <v>6018</v>
      </c>
      <c r="E55" s="196">
        <v>1503</v>
      </c>
      <c r="F55" s="196">
        <v>4501</v>
      </c>
      <c r="G55" s="195">
        <v>156597</v>
      </c>
      <c r="H55" s="96">
        <v>0</v>
      </c>
      <c r="I55" s="96">
        <v>0</v>
      </c>
      <c r="J55" s="96">
        <v>406.80629699999997</v>
      </c>
      <c r="K55" s="96">
        <v>4799.0958929999997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954206</v>
      </c>
      <c r="E56" s="174">
        <f t="shared" ref="E56:G56" si="4">SUM(E23:E55)</f>
        <v>189623</v>
      </c>
      <c r="F56" s="174">
        <f t="shared" si="4"/>
        <v>1425474</v>
      </c>
      <c r="G56" s="174">
        <f t="shared" si="4"/>
        <v>463702</v>
      </c>
      <c r="H56" s="174">
        <f>SUM(H23:H55)</f>
        <v>1882929.5387610001</v>
      </c>
      <c r="I56" s="174">
        <f t="shared" ref="I56:K56" si="5">SUM(I23:I55)</f>
        <v>270019.36758299998</v>
      </c>
      <c r="J56" s="174">
        <f t="shared" si="5"/>
        <v>3188322.0690000001</v>
      </c>
      <c r="K56" s="174">
        <f t="shared" si="5"/>
        <v>4123851.4403189993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95"/>
      <c r="H57" s="96">
        <v>0</v>
      </c>
      <c r="I57" s="96">
        <v>240.860883</v>
      </c>
      <c r="J57" s="96">
        <v>0</v>
      </c>
      <c r="K57" s="96">
        <v>2364.9116490000001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>
        <v>3852</v>
      </c>
      <c r="E58" s="14">
        <v>2010</v>
      </c>
      <c r="F58" s="14">
        <v>47974</v>
      </c>
      <c r="G58" s="195"/>
      <c r="H58" s="96">
        <v>0</v>
      </c>
      <c r="I58" s="96">
        <v>3874.6331100000002</v>
      </c>
      <c r="J58" s="96">
        <v>12281.785446000002</v>
      </c>
      <c r="K58" s="96">
        <v>0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95"/>
      <c r="H59" s="96">
        <v>217509.49128000002</v>
      </c>
      <c r="I59" s="96">
        <v>13290.161414999999</v>
      </c>
      <c r="J59" s="96">
        <v>1586.0125559999997</v>
      </c>
      <c r="K59" s="96">
        <v>62392.471745999996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95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95"/>
      <c r="E61" s="195"/>
      <c r="F61" s="195"/>
      <c r="G61" s="195"/>
      <c r="H61" s="96">
        <v>0</v>
      </c>
      <c r="I61" s="96">
        <v>26642.562888</v>
      </c>
      <c r="J61" s="96">
        <v>0</v>
      </c>
      <c r="K61" s="96">
        <v>5186.0398349999996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95"/>
      <c r="E62" s="195"/>
      <c r="F62" s="195"/>
      <c r="G62" s="195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95"/>
      <c r="E63" s="195"/>
      <c r="F63" s="195"/>
      <c r="G63" s="195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96"/>
      <c r="E64" s="196"/>
      <c r="F64" s="196"/>
      <c r="G64" s="195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96"/>
      <c r="E65" s="196">
        <v>2126</v>
      </c>
      <c r="F65" s="196">
        <v>88873</v>
      </c>
      <c r="G65" s="195">
        <v>-838907</v>
      </c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3852</v>
      </c>
      <c r="E66" s="174">
        <f>SUM(E57:E65)</f>
        <v>4136</v>
      </c>
      <c r="F66" s="174">
        <f>SUM(F57:F65)</f>
        <v>136847</v>
      </c>
      <c r="G66" s="174">
        <f>SUM(G57:G65)</f>
        <v>-838907</v>
      </c>
      <c r="H66" s="174">
        <f>SUM(H57:H65)</f>
        <v>217509.49128000002</v>
      </c>
      <c r="I66" s="174">
        <f t="shared" ref="I66:K66" si="6">SUM(I57:I65)</f>
        <v>44048.218295999999</v>
      </c>
      <c r="J66" s="174">
        <f t="shared" si="6"/>
        <v>13867.798002000001</v>
      </c>
      <c r="K66" s="174">
        <f t="shared" si="6"/>
        <v>69943.42323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>
        <v>10688</v>
      </c>
      <c r="E67" s="197">
        <v>0</v>
      </c>
      <c r="F67" s="197"/>
      <c r="G67" s="195">
        <v>992</v>
      </c>
      <c r="H67" s="96">
        <v>0</v>
      </c>
      <c r="I67" s="96">
        <v>0</v>
      </c>
      <c r="J67" s="96">
        <v>1793108.0812020001</v>
      </c>
      <c r="K67" s="96">
        <v>57576.545489999997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226368</v>
      </c>
      <c r="E68" s="195">
        <v>102471</v>
      </c>
      <c r="F68" s="195">
        <v>263360</v>
      </c>
      <c r="G68" s="195">
        <v>-411875</v>
      </c>
      <c r="H68" s="96">
        <v>444237.41734800005</v>
      </c>
      <c r="I68" s="96">
        <v>310302.93180600001</v>
      </c>
      <c r="J68" s="96">
        <v>1897793.177691</v>
      </c>
      <c r="K68" s="96">
        <v>1144649.031921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>
        <v>20815</v>
      </c>
      <c r="G69" s="195"/>
      <c r="H69" s="96">
        <v>0</v>
      </c>
      <c r="I69" s="96">
        <v>3568.9072500000002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/>
      <c r="E70" s="195"/>
      <c r="F70" s="195"/>
      <c r="G70" s="195"/>
      <c r="H70" s="96">
        <v>40030.674488999997</v>
      </c>
      <c r="I70" s="96">
        <v>1871.0759519999997</v>
      </c>
      <c r="J70" s="96">
        <v>18889.408418999999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7689</v>
      </c>
      <c r="F71" s="195"/>
      <c r="G71" s="195"/>
      <c r="H71" s="96">
        <v>9608.9020169999985</v>
      </c>
      <c r="I71" s="96">
        <v>18149.784852000004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/>
      <c r="E72" s="195">
        <v>5468</v>
      </c>
      <c r="F72" s="195">
        <v>98224</v>
      </c>
      <c r="G72" s="195"/>
      <c r="H72" s="96"/>
      <c r="I72" s="96">
        <v>2460.2649900000001</v>
      </c>
      <c r="J72" s="96">
        <v>182602.30775400001</v>
      </c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0</v>
      </c>
      <c r="E73" s="195">
        <v>-7618</v>
      </c>
      <c r="F73" s="195">
        <v>76582</v>
      </c>
      <c r="G73" s="195">
        <v>-1303201</v>
      </c>
      <c r="H73" s="96"/>
      <c r="I73" s="96">
        <v>-2707.3442639999998</v>
      </c>
      <c r="J73" s="96">
        <v>18422.116688999999</v>
      </c>
      <c r="K73" s="96">
        <v>4425.6976560000003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>
        <v>8605</v>
      </c>
      <c r="F74" s="195"/>
      <c r="G74" s="195"/>
      <c r="H74" s="96">
        <v>0</v>
      </c>
      <c r="I74" s="96">
        <v>0</v>
      </c>
      <c r="J74" s="96">
        <v>0</v>
      </c>
      <c r="K74" s="96">
        <v>0</v>
      </c>
    </row>
    <row r="75" spans="1:12" ht="21.6" thickBot="1" x14ac:dyDescent="0.35">
      <c r="A75" s="177" t="s">
        <v>44</v>
      </c>
      <c r="B75" s="178"/>
      <c r="C75" s="178"/>
      <c r="D75" s="179">
        <f>SUM(D67:D74)</f>
        <v>237056</v>
      </c>
      <c r="E75" s="179">
        <f t="shared" ref="E75:G75" si="7">SUM(E67:E74)</f>
        <v>116615</v>
      </c>
      <c r="F75" s="179">
        <f t="shared" si="7"/>
        <v>458981</v>
      </c>
      <c r="G75" s="179">
        <f t="shared" si="7"/>
        <v>-1714084</v>
      </c>
      <c r="H75" s="179">
        <f>SUM(H67:H74)</f>
        <v>493876.99385400006</v>
      </c>
      <c r="I75" s="179">
        <f t="shared" ref="I75:K75" si="8">SUM(I67:I74)</f>
        <v>333645.62058599998</v>
      </c>
      <c r="J75" s="179">
        <f t="shared" si="8"/>
        <v>3910815.0917549999</v>
      </c>
      <c r="K75" s="179">
        <f t="shared" si="8"/>
        <v>1206651.275067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1319106</v>
      </c>
      <c r="E76" s="131">
        <f t="shared" ref="E76:G76" si="9">E75+E66+E56+E22+E8</f>
        <v>473764</v>
      </c>
      <c r="F76" s="131">
        <f t="shared" si="9"/>
        <v>2672288</v>
      </c>
      <c r="G76" s="131">
        <f t="shared" si="9"/>
        <v>-2842186</v>
      </c>
      <c r="H76" s="131">
        <f>H75+H66+H56+H22+H8</f>
        <v>2765797.0271040001</v>
      </c>
      <c r="I76" s="131">
        <f t="shared" ref="I76:K76" si="10">I75+I66+I56+I22+I8</f>
        <v>850339.93508349999</v>
      </c>
      <c r="J76" s="131">
        <f t="shared" si="10"/>
        <v>7946302.9423860004</v>
      </c>
      <c r="K76" s="131">
        <f t="shared" si="10"/>
        <v>5453130.9299759986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153"/>
      <c r="E79" s="153"/>
      <c r="F79" s="153"/>
      <c r="G79" s="153"/>
    </row>
    <row r="80" spans="1:12" x14ac:dyDescent="0.3">
      <c r="D80" s="153"/>
      <c r="E80" s="137"/>
      <c r="F80" s="137"/>
      <c r="G80" s="137"/>
    </row>
    <row r="81" spans="4:7" x14ac:dyDescent="0.3">
      <c r="D81" s="153"/>
      <c r="E81" s="153"/>
      <c r="F81" s="153"/>
      <c r="G81" s="153"/>
    </row>
  </sheetData>
  <mergeCells count="2">
    <mergeCell ref="D1:G1"/>
    <mergeCell ref="H1:K1"/>
  </mergeCells>
  <conditionalFormatting sqref="A1">
    <cfRule type="duplicateValues" dxfId="179" priority="19"/>
    <cfRule type="duplicateValues" dxfId="178" priority="20"/>
  </conditionalFormatting>
  <conditionalFormatting sqref="A14">
    <cfRule type="duplicateValues" dxfId="177" priority="9"/>
    <cfRule type="duplicateValues" dxfId="176" priority="10"/>
  </conditionalFormatting>
  <conditionalFormatting sqref="A20">
    <cfRule type="duplicateValues" dxfId="175" priority="1"/>
    <cfRule type="duplicateValues" dxfId="174" priority="2"/>
  </conditionalFormatting>
  <conditionalFormatting sqref="A41">
    <cfRule type="duplicateValues" dxfId="173" priority="5"/>
    <cfRule type="duplicateValues" dxfId="172" priority="6"/>
  </conditionalFormatting>
  <conditionalFormatting sqref="A54">
    <cfRule type="duplicateValues" dxfId="171" priority="3"/>
    <cfRule type="duplicateValues" dxfId="170" priority="4"/>
  </conditionalFormatting>
  <conditionalFormatting sqref="A57">
    <cfRule type="duplicateValues" dxfId="169" priority="11"/>
    <cfRule type="duplicateValues" dxfId="168" priority="12"/>
  </conditionalFormatting>
  <conditionalFormatting sqref="A58:A60 A7 A23:A40 A62 A42:A53 A55">
    <cfRule type="duplicateValues" dxfId="167" priority="17"/>
    <cfRule type="duplicateValues" dxfId="166" priority="18"/>
  </conditionalFormatting>
  <conditionalFormatting sqref="A61">
    <cfRule type="duplicateValues" dxfId="165" priority="7"/>
    <cfRule type="duplicateValues" dxfId="164" priority="8"/>
  </conditionalFormatting>
  <conditionalFormatting sqref="A67:A74">
    <cfRule type="duplicateValues" dxfId="163" priority="15"/>
    <cfRule type="duplicateValues" dxfId="162" priority="16"/>
  </conditionalFormatting>
  <conditionalFormatting sqref="A75:A76 A2:A6 A8:A13 A15:A19 A56 A66 A21:A22">
    <cfRule type="duplicateValues" dxfId="161" priority="13"/>
    <cfRule type="duplicateValues" dxfId="160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3"/>
  <sheetViews>
    <sheetView rightToLeft="1" zoomScaleNormal="100" workbookViewId="0">
      <pane ySplit="3" topLeftCell="A6" activePane="bottomLeft" state="frozen"/>
      <selection pane="bottomLeft" activeCell="H17" sqref="H17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1043295.46-D6-D16-D52-D70</f>
        <v>881103.88300000003</v>
      </c>
      <c r="E3" s="195">
        <f>9721.447-E6</f>
        <v>6266.0680000000002</v>
      </c>
      <c r="F3" s="195">
        <f>5890021.404-282314-F4-F6-F69-F70</f>
        <v>4536159.9397999998</v>
      </c>
      <c r="G3" s="195">
        <f>5392198-G16-G52-G70</f>
        <v>5269309</v>
      </c>
      <c r="H3" s="96">
        <v>535357.67640600004</v>
      </c>
      <c r="I3" s="96">
        <v>141571.30049699999</v>
      </c>
      <c r="J3" s="96">
        <v>942246.69000000018</v>
      </c>
      <c r="K3" s="96">
        <v>569969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580360.94949999999</v>
      </c>
      <c r="G4" s="195"/>
      <c r="H4" s="96">
        <v>0</v>
      </c>
      <c r="I4" s="96">
        <v>0</v>
      </c>
      <c r="J4" s="96">
        <v>961268.30999999994</v>
      </c>
      <c r="K4" s="96"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>
        <v>40149.209499999997</v>
      </c>
      <c r="E6" s="196">
        <v>3455.3789999999999</v>
      </c>
      <c r="F6" s="196">
        <v>434669.34470000002</v>
      </c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>
        <v>0</v>
      </c>
      <c r="I7" s="96">
        <v>2138.7475049999998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921253.09250000003</v>
      </c>
      <c r="E8" s="174">
        <f t="shared" ref="E8:G8" si="0">SUM(E3:E7)</f>
        <v>9721.4470000000001</v>
      </c>
      <c r="F8" s="174">
        <f t="shared" si="0"/>
        <v>5551190.2340000002</v>
      </c>
      <c r="G8" s="174">
        <f t="shared" si="0"/>
        <v>5269309</v>
      </c>
      <c r="H8" s="174">
        <f>SUM(H3:H7)</f>
        <v>535357.67640600004</v>
      </c>
      <c r="I8" s="174">
        <f t="shared" ref="I8:K8" si="1">SUM(I3:I7)</f>
        <v>143710.048002</v>
      </c>
      <c r="J8" s="174">
        <f t="shared" si="1"/>
        <v>1903515</v>
      </c>
      <c r="K8" s="174">
        <f t="shared" si="1"/>
        <v>569969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7"/>
      <c r="E9" s="197"/>
      <c r="F9" s="197"/>
      <c r="G9" s="197"/>
      <c r="H9" s="96">
        <v>0</v>
      </c>
      <c r="I9" s="96">
        <v>0</v>
      </c>
      <c r="J9" s="96">
        <v>0</v>
      </c>
      <c r="K9" s="96"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24059.3135</v>
      </c>
      <c r="E10" s="195"/>
      <c r="F10" s="195"/>
      <c r="G10" s="195"/>
      <c r="H10" s="96">
        <v>4579.2343619999992</v>
      </c>
      <c r="I10" s="96">
        <v>0</v>
      </c>
      <c r="J10" s="96">
        <v>0</v>
      </c>
      <c r="K10" s="96">
        <v>1639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/>
      <c r="E11" s="195"/>
      <c r="F11" s="195"/>
      <c r="G11" s="195">
        <v>5959</v>
      </c>
      <c r="H11" s="96">
        <v>0</v>
      </c>
      <c r="I11" s="96">
        <v>2208.4131360000001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/>
      <c r="E12" s="195">
        <v>4260.4769999999999</v>
      </c>
      <c r="F12" s="195">
        <v>1526823.37</v>
      </c>
      <c r="G12" s="195"/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>
        <v>4615.4224999999997</v>
      </c>
      <c r="E13" s="195">
        <v>15176.0335</v>
      </c>
      <c r="F13" s="195">
        <v>2349.83</v>
      </c>
      <c r="G13" s="195"/>
      <c r="H13" s="96">
        <v>0</v>
      </c>
      <c r="I13" s="96">
        <v>43645.103729999995</v>
      </c>
      <c r="J13" s="96">
        <v>179450.72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/>
      <c r="E14" s="195"/>
      <c r="F14" s="195"/>
      <c r="G14" s="195"/>
      <c r="H14" s="96">
        <v>0</v>
      </c>
      <c r="I14" s="96">
        <v>0</v>
      </c>
      <c r="J14" s="96">
        <v>0</v>
      </c>
      <c r="K14" s="96"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45925.748500000002</v>
      </c>
      <c r="E16" s="195"/>
      <c r="F16" s="195"/>
      <c r="G16" s="195">
        <v>24906</v>
      </c>
      <c r="H16" s="96">
        <v>25797.675858000002</v>
      </c>
      <c r="I16" s="96">
        <v>0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24149.648499999999</v>
      </c>
      <c r="E17" s="195">
        <v>3873.9650000000001</v>
      </c>
      <c r="F17" s="195"/>
      <c r="G17" s="195">
        <v>79670</v>
      </c>
      <c r="H17" s="96">
        <v>24.017306999999999</v>
      </c>
      <c r="I17" s="96">
        <v>1209.9192150000001</v>
      </c>
      <c r="J17" s="96">
        <v>568839.43000000005</v>
      </c>
      <c r="K17" s="96">
        <v>277600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126452.325</v>
      </c>
      <c r="E18" s="195">
        <v>30423.957999999999</v>
      </c>
      <c r="F18" s="195">
        <v>3912648.0070000002</v>
      </c>
      <c r="G18" s="195">
        <v>387211</v>
      </c>
      <c r="H18" s="96">
        <v>32817.439187999997</v>
      </c>
      <c r="I18" s="96">
        <v>20495.339478000005</v>
      </c>
      <c r="J18" s="96">
        <v>2870715.4900000007</v>
      </c>
      <c r="K18" s="96">
        <v>2679106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/>
      <c r="E19" s="195"/>
      <c r="F19" s="195"/>
      <c r="G19" s="195"/>
      <c r="H19" s="96">
        <v>0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6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6"/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225202.45799999998</v>
      </c>
      <c r="E22" s="174">
        <f t="shared" ref="E22:G22" si="2">SUM(E9:E21)</f>
        <v>53734.433499999999</v>
      </c>
      <c r="F22" s="174">
        <f t="shared" si="2"/>
        <v>5441821.2070000004</v>
      </c>
      <c r="G22" s="174">
        <f t="shared" si="2"/>
        <v>497746</v>
      </c>
      <c r="H22" s="174">
        <f>SUM(H9:H21)</f>
        <v>63218.366714999996</v>
      </c>
      <c r="I22" s="174">
        <f t="shared" ref="I22:K22" si="3">SUM(I9:I21)</f>
        <v>67558.775559000002</v>
      </c>
      <c r="J22" s="174">
        <f t="shared" si="3"/>
        <v>3619005.6400000006</v>
      </c>
      <c r="K22" s="174">
        <f t="shared" si="3"/>
        <v>2958345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17536.691500000001</v>
      </c>
      <c r="E23" s="18"/>
      <c r="F23" s="18"/>
      <c r="G23" s="18">
        <v>71286</v>
      </c>
      <c r="H23" s="96">
        <v>0</v>
      </c>
      <c r="I23" s="96">
        <v>0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902175.52899999998</v>
      </c>
      <c r="E27" s="14">
        <v>63898.411500000002</v>
      </c>
      <c r="F27" s="14">
        <v>387626.36440000002</v>
      </c>
      <c r="G27" s="14">
        <v>2084722</v>
      </c>
      <c r="H27" s="96">
        <v>939152.93864700047</v>
      </c>
      <c r="I27" s="96">
        <v>3595.1967829999999</v>
      </c>
      <c r="J27" s="96">
        <v>0</v>
      </c>
      <c r="K27" s="96">
        <v>421389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>
        <v>200000</v>
      </c>
      <c r="G28" s="14">
        <v>206</v>
      </c>
      <c r="H28" s="96">
        <v>14947.917077999999</v>
      </c>
      <c r="I28" s="96">
        <v>39160.338378000008</v>
      </c>
      <c r="J28" s="96">
        <v>4473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>
        <v>487.49</v>
      </c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0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>
        <v>110917</v>
      </c>
      <c r="H31" s="96">
        <v>0</v>
      </c>
      <c r="I31" s="96">
        <v>0</v>
      </c>
      <c r="J31" s="96">
        <v>10506</v>
      </c>
      <c r="K31" s="96">
        <v>0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>
        <v>0</v>
      </c>
      <c r="K36" s="96"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5">
        <v>25286.955999999998</v>
      </c>
      <c r="E43" s="195">
        <v>8165.3995000000004</v>
      </c>
      <c r="F43" s="195"/>
      <c r="G43" s="195"/>
      <c r="H43" s="96">
        <v>0</v>
      </c>
      <c r="I43" s="96">
        <v>9528.0208229999989</v>
      </c>
      <c r="J43" s="96">
        <v>0</v>
      </c>
      <c r="K43" s="96"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5"/>
      <c r="E44" s="195"/>
      <c r="F44" s="195">
        <v>9373.58</v>
      </c>
      <c r="G44" s="195"/>
      <c r="H44" s="96">
        <v>0</v>
      </c>
      <c r="I44" s="96">
        <v>0</v>
      </c>
      <c r="J44" s="96">
        <v>30000</v>
      </c>
      <c r="K44" s="96">
        <v>0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5"/>
      <c r="E45" s="203">
        <v>998.93399999999997</v>
      </c>
      <c r="F45" s="195"/>
      <c r="G45" s="195"/>
      <c r="H45" s="96">
        <v>0</v>
      </c>
      <c r="I45" s="96">
        <v>0</v>
      </c>
      <c r="J45" s="96">
        <v>118723.02</v>
      </c>
      <c r="K45" s="96">
        <v>43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5"/>
      <c r="E46" s="195"/>
      <c r="F46" s="195"/>
      <c r="G46" s="195"/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/>
      <c r="H47" s="96">
        <v>105.09501900000001</v>
      </c>
      <c r="I47" s="96">
        <v>1248.436743</v>
      </c>
      <c r="J47" s="96">
        <v>0</v>
      </c>
      <c r="K47" s="96"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5">
        <v>6119.9859999999999</v>
      </c>
      <c r="E49" s="195"/>
      <c r="F49" s="195">
        <v>79000</v>
      </c>
      <c r="G49" s="195"/>
      <c r="H49" s="96">
        <v>0</v>
      </c>
      <c r="I49" s="96">
        <v>0</v>
      </c>
      <c r="J49" s="96">
        <v>79000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5">
        <v>78266.4905</v>
      </c>
      <c r="E50" s="195"/>
      <c r="F50" s="195">
        <v>1467836.26</v>
      </c>
      <c r="G50" s="195">
        <v>28995</v>
      </c>
      <c r="H50" s="96">
        <v>62438.569254000002</v>
      </c>
      <c r="I50" s="96">
        <v>0</v>
      </c>
      <c r="J50" s="96">
        <v>0</v>
      </c>
      <c r="K50" s="96">
        <v>918674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5"/>
      <c r="E51" s="195"/>
      <c r="F51" s="195"/>
      <c r="G51" s="195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5">
        <v>22331.420999999998</v>
      </c>
      <c r="E52" s="195"/>
      <c r="F52" s="195"/>
      <c r="G52" s="195">
        <v>81567</v>
      </c>
      <c r="H52" s="96">
        <v>9176.8150829999995</v>
      </c>
      <c r="I52" s="96">
        <v>0</v>
      </c>
      <c r="J52" s="96">
        <v>0</v>
      </c>
      <c r="K52" s="96">
        <v>55089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5"/>
      <c r="E53" s="195"/>
      <c r="F53" s="195"/>
      <c r="G53" s="195"/>
      <c r="H53" s="96">
        <v>0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6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>
        <v>0</v>
      </c>
      <c r="K55" s="96">
        <v>0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1051717.074</v>
      </c>
      <c r="E56" s="174">
        <f t="shared" ref="E56:G56" si="4">SUM(E23:E55)</f>
        <v>73550.235000000001</v>
      </c>
      <c r="F56" s="174">
        <f t="shared" si="4"/>
        <v>2143836.2044000002</v>
      </c>
      <c r="G56" s="174">
        <f t="shared" si="4"/>
        <v>2377693</v>
      </c>
      <c r="H56" s="174">
        <f>SUM(H23:H55)</f>
        <v>1025821.3350810005</v>
      </c>
      <c r="I56" s="174">
        <f t="shared" ref="I56:K56" si="5">SUM(I23:I55)</f>
        <v>53531.992727000004</v>
      </c>
      <c r="J56" s="174">
        <f t="shared" si="5"/>
        <v>242702.02000000002</v>
      </c>
      <c r="K56" s="174">
        <f t="shared" si="5"/>
        <v>1395195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0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>
        <v>25784.19</v>
      </c>
      <c r="E58" s="14">
        <v>3676.5765000000001</v>
      </c>
      <c r="F58" s="198">
        <v>69349.509999999995</v>
      </c>
      <c r="G58" s="14">
        <v>770</v>
      </c>
      <c r="H58" s="96">
        <v>0</v>
      </c>
      <c r="I58" s="96">
        <v>327.89028300000001</v>
      </c>
      <c r="J58" s="96">
        <v>0</v>
      </c>
      <c r="K58" s="96">
        <v>5816.4975459999996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>
        <v>26917.741999999998</v>
      </c>
      <c r="E59" s="14"/>
      <c r="F59" s="14"/>
      <c r="G59" s="14"/>
      <c r="H59" s="96">
        <v>0</v>
      </c>
      <c r="I59" s="96">
        <v>0</v>
      </c>
      <c r="J59" s="96">
        <v>0</v>
      </c>
      <c r="K59" s="96">
        <v>0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>
        <v>2361</v>
      </c>
      <c r="H61" s="96">
        <v>0</v>
      </c>
      <c r="I61" s="96">
        <v>0</v>
      </c>
      <c r="J61" s="96">
        <v>24478.618967999999</v>
      </c>
      <c r="K61" s="96">
        <v>1937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>
        <v>19090.149000000001</v>
      </c>
      <c r="F64" s="14">
        <v>495002.41</v>
      </c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>
        <v>2367.3715000000002</v>
      </c>
      <c r="F65">
        <v>33500</v>
      </c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52701.932000000001</v>
      </c>
      <c r="E66" s="174">
        <f t="shared" ref="E66:G66" si="6">SUM(E57:E65)</f>
        <v>25134.097000000002</v>
      </c>
      <c r="F66" s="174">
        <f t="shared" si="6"/>
        <v>597851.91999999993</v>
      </c>
      <c r="G66" s="174">
        <f t="shared" si="6"/>
        <v>3131</v>
      </c>
      <c r="H66" s="174">
        <f>SUM(H57:H65)</f>
        <v>0</v>
      </c>
      <c r="I66" s="174">
        <f t="shared" ref="I66:K66" si="7">SUM(I57:I65)</f>
        <v>327.89028300000001</v>
      </c>
      <c r="J66" s="174">
        <f t="shared" si="7"/>
        <v>24478.618967999999</v>
      </c>
      <c r="K66" s="174">
        <f t="shared" si="7"/>
        <v>7753.4975459999996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>
        <v>1366.6395</v>
      </c>
      <c r="E67" s="197">
        <v>6079.7340000000004</v>
      </c>
      <c r="F67" s="197">
        <f>1130580.58+282314</f>
        <v>1412894.58</v>
      </c>
      <c r="G67" s="197"/>
      <c r="H67" s="96">
        <v>57147.883583999996</v>
      </c>
      <c r="I67" s="96">
        <v>341.11313699999999</v>
      </c>
      <c r="J67" s="96">
        <v>1808514.2310249999</v>
      </c>
      <c r="K67" s="96">
        <v>262685</v>
      </c>
      <c r="L67" s="133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22386.579000000002</v>
      </c>
      <c r="E68" s="195"/>
      <c r="F68" s="195">
        <v>7101.83</v>
      </c>
      <c r="G68" s="195">
        <v>304417</v>
      </c>
      <c r="H68" s="96">
        <v>4173.8458019999998</v>
      </c>
      <c r="I68" s="96">
        <v>1235.2419629999999</v>
      </c>
      <c r="J68" s="96">
        <v>0</v>
      </c>
      <c r="K68" s="96">
        <v>129995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>
        <v>7048.54</v>
      </c>
      <c r="G69" s="195"/>
      <c r="H69" s="96">
        <v>0</v>
      </c>
      <c r="I69" s="96">
        <v>0</v>
      </c>
      <c r="J69" s="96">
        <v>77999.75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53785.197999999997</v>
      </c>
      <c r="E70" s="195"/>
      <c r="F70" s="195">
        <v>49468.63</v>
      </c>
      <c r="G70" s="195">
        <v>16416</v>
      </c>
      <c r="H70" s="96">
        <v>0</v>
      </c>
      <c r="I70" s="96">
        <v>0</v>
      </c>
      <c r="J70" s="96">
        <v>0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/>
      <c r="F71" s="195"/>
      <c r="G71" s="195"/>
      <c r="H71" s="96">
        <v>0</v>
      </c>
      <c r="I71" s="96">
        <v>0</v>
      </c>
      <c r="J71" s="96">
        <v>0</v>
      </c>
      <c r="K71" s="96">
        <v>90372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36751.932000000001</v>
      </c>
      <c r="E72" s="195">
        <v>3891.8434999999999</v>
      </c>
      <c r="F72" s="195">
        <v>374396.27</v>
      </c>
      <c r="G72" s="195"/>
      <c r="H72" s="96">
        <v>7951.4270939999997</v>
      </c>
      <c r="I72" s="96">
        <v>243.219099</v>
      </c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7801.4205000000002</v>
      </c>
      <c r="E73" s="195">
        <v>2298.0904999999998</v>
      </c>
      <c r="F73" s="195">
        <v>1642871.37</v>
      </c>
      <c r="G73" s="195"/>
      <c r="H73" s="96">
        <v>44118.389258999996</v>
      </c>
      <c r="I73" s="96">
        <v>6219.4016639999991</v>
      </c>
      <c r="J73" s="96">
        <v>692210.02</v>
      </c>
      <c r="K73" s="96">
        <v>16052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0</v>
      </c>
      <c r="J74" s="96">
        <v>0</v>
      </c>
      <c r="K74" s="96">
        <v>0</v>
      </c>
    </row>
    <row r="75" spans="1:12" ht="21.6" thickBot="1" x14ac:dyDescent="0.35">
      <c r="A75" s="177" t="s">
        <v>44</v>
      </c>
      <c r="B75" s="178"/>
      <c r="C75" s="178"/>
      <c r="D75" s="179">
        <f>SUM(D67:D74)</f>
        <v>122091.769</v>
      </c>
      <c r="E75" s="179">
        <f t="shared" ref="E75:G75" si="8">SUM(E67:E74)</f>
        <v>12269.668</v>
      </c>
      <c r="F75" s="179">
        <f t="shared" si="8"/>
        <v>3493781.22</v>
      </c>
      <c r="G75" s="179">
        <f t="shared" si="8"/>
        <v>320833</v>
      </c>
      <c r="H75" s="179">
        <f>SUM(H67:H74)</f>
        <v>113391.54573899999</v>
      </c>
      <c r="I75" s="179">
        <f t="shared" ref="I75:K75" si="9">SUM(I67:I74)</f>
        <v>8038.9758629999988</v>
      </c>
      <c r="J75" s="179">
        <f t="shared" si="9"/>
        <v>2578724.0010249997</v>
      </c>
      <c r="K75" s="179">
        <f t="shared" si="9"/>
        <v>499104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2372966.3255000003</v>
      </c>
      <c r="E76" s="131">
        <f t="shared" ref="E76:G76" si="10">E75+E66+E56+E22+E8</f>
        <v>174409.88049999997</v>
      </c>
      <c r="F76" s="131">
        <f t="shared" si="10"/>
        <v>17228480.785399999</v>
      </c>
      <c r="G76" s="131">
        <f t="shared" si="10"/>
        <v>8468712</v>
      </c>
      <c r="H76" s="131">
        <f>H75+H66+H56+H22+H8</f>
        <v>1737788.9239410006</v>
      </c>
      <c r="I76" s="131">
        <f t="shared" ref="I76:K76" si="11">I75+I66+I56+I22+I8</f>
        <v>273167.68243400002</v>
      </c>
      <c r="J76" s="131">
        <f t="shared" si="11"/>
        <v>8368425.2799930004</v>
      </c>
      <c r="K76" s="131">
        <f t="shared" si="11"/>
        <v>5430366.4975460004</v>
      </c>
    </row>
    <row r="78" spans="1:12" x14ac:dyDescent="0.3">
      <c r="D78" s="6"/>
      <c r="E78" s="6"/>
      <c r="F78" s="6"/>
      <c r="G78" s="6"/>
    </row>
    <row r="80" spans="1:12" x14ac:dyDescent="0.3">
      <c r="G80" s="138"/>
    </row>
    <row r="83" spans="7:7" x14ac:dyDescent="0.3">
      <c r="G83" s="6"/>
    </row>
  </sheetData>
  <mergeCells count="2">
    <mergeCell ref="D1:G1"/>
    <mergeCell ref="H1:K1"/>
  </mergeCells>
  <conditionalFormatting sqref="A1">
    <cfRule type="duplicateValues" dxfId="159" priority="19"/>
    <cfRule type="duplicateValues" dxfId="158" priority="20"/>
  </conditionalFormatting>
  <conditionalFormatting sqref="A14">
    <cfRule type="duplicateValues" dxfId="157" priority="9"/>
    <cfRule type="duplicateValues" dxfId="156" priority="10"/>
  </conditionalFormatting>
  <conditionalFormatting sqref="A20">
    <cfRule type="duplicateValues" dxfId="155" priority="1"/>
    <cfRule type="duplicateValues" dxfId="154" priority="2"/>
  </conditionalFormatting>
  <conditionalFormatting sqref="A41">
    <cfRule type="duplicateValues" dxfId="153" priority="5"/>
    <cfRule type="duplicateValues" dxfId="152" priority="6"/>
  </conditionalFormatting>
  <conditionalFormatting sqref="A54">
    <cfRule type="duplicateValues" dxfId="151" priority="3"/>
    <cfRule type="duplicateValues" dxfId="150" priority="4"/>
  </conditionalFormatting>
  <conditionalFormatting sqref="A57">
    <cfRule type="duplicateValues" dxfId="149" priority="11"/>
    <cfRule type="duplicateValues" dxfId="148" priority="12"/>
  </conditionalFormatting>
  <conditionalFormatting sqref="A58:A60 A7 A23:A40 A62 A42:A53 A55">
    <cfRule type="duplicateValues" dxfId="147" priority="17"/>
    <cfRule type="duplicateValues" dxfId="146" priority="18"/>
  </conditionalFormatting>
  <conditionalFormatting sqref="A61">
    <cfRule type="duplicateValues" dxfId="145" priority="7"/>
    <cfRule type="duplicateValues" dxfId="144" priority="8"/>
  </conditionalFormatting>
  <conditionalFormatting sqref="A67:A74">
    <cfRule type="duplicateValues" dxfId="143" priority="15"/>
    <cfRule type="duplicateValues" dxfId="142" priority="16"/>
  </conditionalFormatting>
  <conditionalFormatting sqref="A75:A76 A2:A6 A8:A13 A15:A19 A56 A66 A21:A22">
    <cfRule type="duplicateValues" dxfId="141" priority="13"/>
    <cfRule type="duplicateValues" dxfId="140" priority="1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0"/>
  <sheetViews>
    <sheetView rightToLeft="1" zoomScaleNormal="100" workbookViewId="0">
      <pane ySplit="3" topLeftCell="A68" activePane="bottomLeft" state="frozen"/>
      <selection pane="bottomLeft" activeCell="H93" sqref="H93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717234.24-D4-D5-D16-D52-D53-D69-D70-D71-D74-D6</f>
        <v>536132.39999999991</v>
      </c>
      <c r="E3" s="195">
        <f>121351.589-E4-E5-E16-E52-E53-E69-E70-E71-E74-E6</f>
        <v>58659.501000000018</v>
      </c>
      <c r="F3" s="195">
        <f>1408647-F4-F5-F52</f>
        <v>717463</v>
      </c>
      <c r="G3" s="195">
        <f>-8890268.98+108008-G4-G6-G52-G70</f>
        <v>-8233185.9800000004</v>
      </c>
      <c r="H3" s="96">
        <v>1362493.56</v>
      </c>
      <c r="I3" s="96">
        <v>60832.926000000007</v>
      </c>
      <c r="J3" s="96">
        <v>1204268.5699999996</v>
      </c>
      <c r="K3" s="96">
        <v>6987149.3699999982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>
        <v>52468.92</v>
      </c>
      <c r="E4" s="195">
        <v>0</v>
      </c>
      <c r="F4" s="195">
        <f>200000+186684</f>
        <v>386684</v>
      </c>
      <c r="G4" s="195">
        <v>-1333480.22</v>
      </c>
      <c r="H4" s="96">
        <v>485459.16</v>
      </c>
      <c r="I4" s="96">
        <v>1686.94</v>
      </c>
      <c r="J4" s="96">
        <v>2750423.5700000003</v>
      </c>
      <c r="K4" s="96">
        <v>3788307.2000000011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>
        <v>0</v>
      </c>
      <c r="E5" s="195">
        <v>1073</v>
      </c>
      <c r="F5" s="195">
        <v>300000</v>
      </c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5">
        <v>63744</v>
      </c>
      <c r="E6" s="195">
        <v>3781.0619999999999</v>
      </c>
      <c r="F6" s="195"/>
      <c r="G6" s="195">
        <v>202054.22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>
        <v>11100</v>
      </c>
      <c r="E7" s="195">
        <v>0</v>
      </c>
      <c r="F7" s="195"/>
      <c r="G7" s="195"/>
      <c r="H7" s="96">
        <v>0</v>
      </c>
      <c r="I7" s="96">
        <v>0</v>
      </c>
      <c r="J7" s="96">
        <v>0</v>
      </c>
      <c r="K7" s="96">
        <v>0</v>
      </c>
    </row>
    <row r="8" spans="1:11" ht="22.5" customHeight="1" thickBot="1" x14ac:dyDescent="0.45">
      <c r="A8" s="122" t="s">
        <v>3</v>
      </c>
      <c r="B8" s="121"/>
      <c r="C8" s="121"/>
      <c r="D8" s="174">
        <f>SUM(D3:D7)</f>
        <v>663445.31999999995</v>
      </c>
      <c r="E8" s="174">
        <f t="shared" ref="E8:G8" si="0">SUM(E3:E7)</f>
        <v>63513.563000000016</v>
      </c>
      <c r="F8" s="174">
        <f t="shared" si="0"/>
        <v>1404147</v>
      </c>
      <c r="G8" s="174">
        <f t="shared" si="0"/>
        <v>-9364611.9800000004</v>
      </c>
      <c r="H8" s="174">
        <f>SUM(H3:H7)</f>
        <v>1847952.72</v>
      </c>
      <c r="I8" s="174">
        <f t="shared" ref="I8:K8" si="1">SUM(I3:I7)</f>
        <v>62519.866000000009</v>
      </c>
      <c r="J8" s="174">
        <f t="shared" si="1"/>
        <v>3954692.1399999997</v>
      </c>
      <c r="K8" s="174">
        <f t="shared" si="1"/>
        <v>10775456.57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205">
        <v>0</v>
      </c>
      <c r="E9" s="205">
        <v>1145.5</v>
      </c>
      <c r="F9" s="197"/>
      <c r="G9" s="195">
        <v>-209547.48</v>
      </c>
      <c r="H9" s="96">
        <v>0</v>
      </c>
      <c r="I9" s="96">
        <v>617.62800000000004</v>
      </c>
      <c r="J9" s="96">
        <v>0</v>
      </c>
      <c r="K9" s="96">
        <v>-767234.83000000007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158017.56</v>
      </c>
      <c r="E10" s="195">
        <v>449438.77799999999</v>
      </c>
      <c r="F10" s="195">
        <v>327814</v>
      </c>
      <c r="G10" s="195">
        <v>224388.08</v>
      </c>
      <c r="H10" s="96">
        <v>361901.4</v>
      </c>
      <c r="I10" s="96">
        <v>334731.946</v>
      </c>
      <c r="J10" s="96">
        <v>167308.04</v>
      </c>
      <c r="K10" s="96">
        <v>794581.83000000007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>
        <v>0</v>
      </c>
      <c r="E11" s="195">
        <v>15101.661</v>
      </c>
      <c r="F11" s="195"/>
      <c r="G11" s="195"/>
      <c r="H11" s="96">
        <v>61680</v>
      </c>
      <c r="I11" s="96">
        <v>9797.482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>
        <v>0</v>
      </c>
      <c r="E12" s="195">
        <v>-1232.5</v>
      </c>
      <c r="F12" s="195"/>
      <c r="G12" s="195"/>
      <c r="H12" s="96">
        <v>0</v>
      </c>
      <c r="I12" s="96">
        <v>84.221999999999994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>
        <v>10740</v>
      </c>
      <c r="E13" s="195">
        <v>86147.673999999999</v>
      </c>
      <c r="F13" s="195"/>
      <c r="G13" s="195">
        <v>-4433.24</v>
      </c>
      <c r="H13" s="96">
        <v>0</v>
      </c>
      <c r="I13" s="96">
        <v>126595.742</v>
      </c>
      <c r="J13" s="96">
        <v>1200</v>
      </c>
      <c r="K13" s="96">
        <v>51558.84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>
        <v>86130.96</v>
      </c>
      <c r="E14" s="195">
        <v>23017.241000000002</v>
      </c>
      <c r="F14" s="195">
        <v>170200</v>
      </c>
      <c r="G14" s="195">
        <v>705593.62</v>
      </c>
      <c r="H14" s="96">
        <v>295213.8</v>
      </c>
      <c r="I14" s="96">
        <v>-814.14599999999996</v>
      </c>
      <c r="J14" s="96">
        <v>101712</v>
      </c>
      <c r="K14" s="96">
        <v>4458140.0000000009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0</v>
      </c>
      <c r="E16" s="195">
        <v>2646.3780000000002</v>
      </c>
      <c r="F16" s="195"/>
      <c r="G16" s="195"/>
      <c r="H16" s="96">
        <v>0</v>
      </c>
      <c r="I16" s="96">
        <v>8832.1450000000004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0</v>
      </c>
      <c r="E17" s="195">
        <v>52817.249000000003</v>
      </c>
      <c r="F17" s="195">
        <v>69319.48</v>
      </c>
      <c r="G17" s="195">
        <v>-1063959.48</v>
      </c>
      <c r="H17" s="96">
        <v>16415.759999999998</v>
      </c>
      <c r="I17" s="96">
        <v>11886.383000000002</v>
      </c>
      <c r="J17" s="96">
        <v>47200.800000000003</v>
      </c>
      <c r="K17" s="96">
        <v>4779.4099999999889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249802.32</v>
      </c>
      <c r="E18" s="195">
        <v>66247.960000000006</v>
      </c>
      <c r="F18" s="195">
        <v>1689754</v>
      </c>
      <c r="G18" s="195">
        <f>2061776.52-14201</f>
        <v>2047575.52</v>
      </c>
      <c r="H18" s="96">
        <v>466815.83999999997</v>
      </c>
      <c r="I18" s="96">
        <v>52476.559000000001</v>
      </c>
      <c r="J18" s="96">
        <v>2832480.8</v>
      </c>
      <c r="K18" s="96">
        <v>6476123.9299999988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/>
      <c r="E19" s="195"/>
      <c r="F19" s="195"/>
      <c r="G19" s="195">
        <v>-14201.174999999999</v>
      </c>
      <c r="H19" s="96">
        <v>0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5"/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504690.84</v>
      </c>
      <c r="E22" s="174">
        <f t="shared" ref="E22:K22" si="2">SUM(E9:E21)</f>
        <v>695329.94099999999</v>
      </c>
      <c r="F22" s="174">
        <f t="shared" si="2"/>
        <v>2257087.48</v>
      </c>
      <c r="G22" s="174">
        <f t="shared" si="2"/>
        <v>1685415.845</v>
      </c>
      <c r="H22" s="174">
        <f t="shared" si="2"/>
        <v>1202026.7999999998</v>
      </c>
      <c r="I22" s="174">
        <f t="shared" si="2"/>
        <v>544207.96100000001</v>
      </c>
      <c r="J22" s="174">
        <f t="shared" si="2"/>
        <v>3149901.6399999997</v>
      </c>
      <c r="K22" s="174">
        <f t="shared" si="2"/>
        <v>11017949.18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221661.6</v>
      </c>
      <c r="E23" s="18">
        <v>77189.926999999996</v>
      </c>
      <c r="F23" s="18">
        <v>85074.84</v>
      </c>
      <c r="G23" s="195">
        <v>1894156.49</v>
      </c>
      <c r="H23" s="96">
        <v>0</v>
      </c>
      <c r="I23" s="96">
        <v>0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95"/>
      <c r="H24" s="96">
        <v>0</v>
      </c>
      <c r="I24" s="96">
        <v>0</v>
      </c>
      <c r="J24" s="96">
        <v>0</v>
      </c>
      <c r="K24" s="96">
        <v>605320.94000000006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95"/>
      <c r="H25" s="96">
        <v>0</v>
      </c>
      <c r="I25" s="96">
        <v>0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95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95">
        <v>-1795.59</v>
      </c>
      <c r="H27" s="96">
        <v>11248.2</v>
      </c>
      <c r="I27" s="96">
        <v>0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95"/>
      <c r="H28" s="96">
        <v>0</v>
      </c>
      <c r="I28" s="96">
        <v>2330.1419999999998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0</v>
      </c>
      <c r="E29" s="14">
        <v>3432.777</v>
      </c>
      <c r="F29" s="14">
        <v>173481.28</v>
      </c>
      <c r="G29" s="195"/>
      <c r="H29" s="96">
        <v>0</v>
      </c>
      <c r="I29" s="96">
        <v>12933.547999999999</v>
      </c>
      <c r="J29" s="96">
        <v>115731.21000000002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0</v>
      </c>
      <c r="E30" s="14">
        <v>2653.5</v>
      </c>
      <c r="F30" s="14"/>
      <c r="G30" s="195"/>
      <c r="H30" s="96">
        <v>0</v>
      </c>
      <c r="I30" s="96">
        <v>1894.9949999999999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0</v>
      </c>
      <c r="E31" s="14">
        <v>8599.4380000000001</v>
      </c>
      <c r="F31" s="14">
        <v>122699</v>
      </c>
      <c r="G31" s="195">
        <v>-1553507.79</v>
      </c>
      <c r="H31" s="96">
        <v>153330.23999999999</v>
      </c>
      <c r="I31" s="96">
        <v>23130.881000000001</v>
      </c>
      <c r="J31" s="96">
        <v>86574.44</v>
      </c>
      <c r="K31" s="96">
        <v>2167577.7999999998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95"/>
      <c r="H32" s="96">
        <v>0</v>
      </c>
      <c r="I32" s="96">
        <v>1740.588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95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95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>
        <v>0</v>
      </c>
      <c r="E35" s="14">
        <v>3004.078</v>
      </c>
      <c r="F35" s="14"/>
      <c r="G35" s="195"/>
      <c r="H35" s="96">
        <v>0</v>
      </c>
      <c r="I35" s="96">
        <v>649.33399999999995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>
        <v>71232.960000000006</v>
      </c>
      <c r="E36" s="14">
        <v>0</v>
      </c>
      <c r="F36" s="14"/>
      <c r="G36" s="195">
        <v>-103331.13</v>
      </c>
      <c r="H36" s="96">
        <v>0</v>
      </c>
      <c r="I36" s="96">
        <v>0</v>
      </c>
      <c r="J36" s="96">
        <v>0</v>
      </c>
      <c r="K36" s="96">
        <v>-289206.26000000007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>
        <v>2262</v>
      </c>
      <c r="E37" s="14">
        <v>0</v>
      </c>
      <c r="F37" s="14"/>
      <c r="G37" s="195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>
        <v>44755.199999999997</v>
      </c>
      <c r="E38" s="14">
        <v>-3451</v>
      </c>
      <c r="F38" s="201">
        <v>24102.44</v>
      </c>
      <c r="G38" s="195">
        <v>-580576.23</v>
      </c>
      <c r="H38" s="96">
        <v>18288</v>
      </c>
      <c r="I38" s="96">
        <v>-5474.43</v>
      </c>
      <c r="J38" s="96">
        <v>17809.560000000001</v>
      </c>
      <c r="K38" s="96">
        <v>-194000.42000000004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95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95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95"/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95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4">
        <v>0</v>
      </c>
      <c r="E43" s="14">
        <v>12090.064</v>
      </c>
      <c r="F43" s="14"/>
      <c r="G43" s="195">
        <v>-1203.1199999999999</v>
      </c>
      <c r="H43" s="96">
        <v>0</v>
      </c>
      <c r="I43" s="96">
        <v>0</v>
      </c>
      <c r="J43" s="96">
        <v>0</v>
      </c>
      <c r="K43" s="96"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4">
        <v>9990</v>
      </c>
      <c r="E44" s="14">
        <v>17171.040999999997</v>
      </c>
      <c r="F44" s="14"/>
      <c r="G44" s="195"/>
      <c r="H44" s="96">
        <v>99417.600000000006</v>
      </c>
      <c r="I44" s="96">
        <v>16247.152</v>
      </c>
      <c r="J44" s="96">
        <v>11200</v>
      </c>
      <c r="K44" s="96">
        <v>85019.91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4">
        <v>5141.88</v>
      </c>
      <c r="E45" s="14">
        <v>16283.5</v>
      </c>
      <c r="F45" s="14">
        <v>604514</v>
      </c>
      <c r="G45" s="195">
        <v>736975.22</v>
      </c>
      <c r="H45" s="96">
        <v>0</v>
      </c>
      <c r="I45" s="96">
        <v>10021.271000000001</v>
      </c>
      <c r="J45" s="96">
        <v>8400</v>
      </c>
      <c r="K45" s="96">
        <v>3214977.7500000005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95"/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4">
        <v>0</v>
      </c>
      <c r="E47" s="14">
        <v>2305.5</v>
      </c>
      <c r="F47" s="14"/>
      <c r="G47" s="195"/>
      <c r="H47" s="96">
        <v>0</v>
      </c>
      <c r="I47" s="96">
        <v>0</v>
      </c>
      <c r="J47" s="96">
        <v>0</v>
      </c>
      <c r="K47" s="96">
        <v>-115261.94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>
        <v>0</v>
      </c>
      <c r="E48" s="14">
        <v>5611.4780000000001</v>
      </c>
      <c r="F48" s="14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4">
        <v>3349.2</v>
      </c>
      <c r="E49" s="14">
        <v>-4045.5</v>
      </c>
      <c r="F49" s="14">
        <v>959126</v>
      </c>
      <c r="G49" s="14">
        <v>955923.42</v>
      </c>
      <c r="H49" s="96">
        <v>0</v>
      </c>
      <c r="I49" s="96">
        <v>0</v>
      </c>
      <c r="J49" s="96">
        <v>214495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4">
        <v>54528</v>
      </c>
      <c r="E52" s="14">
        <v>3121.4160000000002</v>
      </c>
      <c r="F52" s="14">
        <v>4500</v>
      </c>
      <c r="G52" s="14">
        <v>329702.56</v>
      </c>
      <c r="H52" s="96">
        <v>0</v>
      </c>
      <c r="I52" s="96">
        <v>11584.923000000001</v>
      </c>
      <c r="J52" s="96">
        <v>104000.43999999999</v>
      </c>
      <c r="K52" s="96">
        <v>0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4">
        <v>0</v>
      </c>
      <c r="E53" s="14">
        <v>870</v>
      </c>
      <c r="F53" s="14"/>
      <c r="G53" s="14"/>
      <c r="H53" s="96">
        <v>28684.560000000001</v>
      </c>
      <c r="I53" s="96">
        <v>0</v>
      </c>
      <c r="J53" s="96">
        <v>0</v>
      </c>
      <c r="K53" s="96">
        <v>909374.59000000008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95"/>
      <c r="H55" s="96">
        <v>0</v>
      </c>
      <c r="I55" s="96">
        <v>0</v>
      </c>
      <c r="J55" s="96">
        <v>0</v>
      </c>
      <c r="K55" s="96">
        <v>0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412920.84</v>
      </c>
      <c r="E56" s="174">
        <f t="shared" ref="E56:G56" si="3">SUM(E23:E55)</f>
        <v>144836.21899999998</v>
      </c>
      <c r="F56" s="174">
        <f t="shared" si="3"/>
        <v>1973497.56</v>
      </c>
      <c r="G56" s="174">
        <f t="shared" si="3"/>
        <v>1676343.83</v>
      </c>
      <c r="H56" s="174">
        <f>SUM(H23:H55)</f>
        <v>310968.60000000003</v>
      </c>
      <c r="I56" s="174">
        <f t="shared" ref="I56:K56" si="4">SUM(I23:I55)</f>
        <v>75058.40400000001</v>
      </c>
      <c r="J56" s="174">
        <f t="shared" si="4"/>
        <v>558210.65</v>
      </c>
      <c r="K56" s="174">
        <f t="shared" si="4"/>
        <v>6383802.3700000001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95"/>
      <c r="H57" s="96">
        <v>0</v>
      </c>
      <c r="I57" s="96">
        <v>-12900.003000000001</v>
      </c>
      <c r="J57" s="96">
        <v>0</v>
      </c>
      <c r="K57" s="96">
        <v>-13208.32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95">
        <v>68346.13</v>
      </c>
      <c r="H58" s="96">
        <v>113251.8</v>
      </c>
      <c r="I58" s="96">
        <v>6592.5839999999998</v>
      </c>
      <c r="J58" s="96">
        <v>580896.89999999991</v>
      </c>
      <c r="K58" s="96">
        <v>487887.02000000008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>
        <v>1266813.72</v>
      </c>
      <c r="E59" s="14">
        <v>92457.074999999997</v>
      </c>
      <c r="F59" s="14">
        <v>1264127</v>
      </c>
      <c r="G59" s="195">
        <v>255444.06</v>
      </c>
      <c r="H59" s="96">
        <v>913777.2</v>
      </c>
      <c r="I59" s="96">
        <v>126467.32400000001</v>
      </c>
      <c r="J59" s="96">
        <v>1167914.6000000003</v>
      </c>
      <c r="K59" s="96">
        <v>-812148.11000000034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95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95">
        <v>-285711.37</v>
      </c>
      <c r="H61" s="96">
        <v>0</v>
      </c>
      <c r="I61" s="96">
        <v>0</v>
      </c>
      <c r="J61" s="96">
        <v>0</v>
      </c>
      <c r="K61" s="96">
        <v>-221733.92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95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95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95">
        <v>439063.23</v>
      </c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95"/>
      <c r="E65" s="195"/>
      <c r="F65" s="14"/>
      <c r="G65" s="195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1266813.72</v>
      </c>
      <c r="E66" s="174">
        <f t="shared" ref="E66:G66" si="5">SUM(E57:E65)</f>
        <v>92457.074999999997</v>
      </c>
      <c r="F66" s="174">
        <f t="shared" si="5"/>
        <v>1264127</v>
      </c>
      <c r="G66" s="174">
        <f t="shared" si="5"/>
        <v>477142.05</v>
      </c>
      <c r="H66" s="174">
        <f>SUM(H57:H65)</f>
        <v>1027029</v>
      </c>
      <c r="I66" s="174">
        <f t="shared" ref="I66:K66" si="6">SUM(I57:I65)</f>
        <v>120159.90500000001</v>
      </c>
      <c r="J66" s="174">
        <f t="shared" si="6"/>
        <v>1748811.5000000002</v>
      </c>
      <c r="K66" s="174">
        <f t="shared" si="6"/>
        <v>-559203.33000000031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>
        <v>160033.79999999999</v>
      </c>
      <c r="E67" s="195">
        <v>13496.886999999999</v>
      </c>
      <c r="F67" s="195"/>
      <c r="G67" s="195">
        <f>2332078.87-108008</f>
        <v>2224070.87</v>
      </c>
      <c r="H67" s="96">
        <v>33995.519999999997</v>
      </c>
      <c r="I67" s="96">
        <v>1879.702</v>
      </c>
      <c r="J67" s="96">
        <v>77991.8</v>
      </c>
      <c r="K67" s="96">
        <v>251451.33999999985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367110.36000000004</v>
      </c>
      <c r="E68" s="195">
        <v>199602.283</v>
      </c>
      <c r="F68" s="195">
        <v>1244155</v>
      </c>
      <c r="G68" s="195">
        <v>1357736.04</v>
      </c>
      <c r="H68" s="96">
        <v>317943.12</v>
      </c>
      <c r="I68" s="96">
        <v>25955.236000000001</v>
      </c>
      <c r="J68" s="96">
        <v>411132.01000000007</v>
      </c>
      <c r="K68" s="96">
        <v>4024117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>
        <v>0</v>
      </c>
      <c r="E69" s="195">
        <v>2072.7130000000002</v>
      </c>
      <c r="F69" s="195"/>
      <c r="G69" s="195"/>
      <c r="H69" s="96">
        <v>0</v>
      </c>
      <c r="I69" s="96">
        <v>14183.414000000001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10360.92</v>
      </c>
      <c r="E70" s="195">
        <v>0</v>
      </c>
      <c r="F70" s="195"/>
      <c r="G70" s="195">
        <v>252648.44</v>
      </c>
      <c r="H70" s="96">
        <v>19613.04</v>
      </c>
      <c r="I70" s="96">
        <v>0</v>
      </c>
      <c r="J70" s="96">
        <v>0</v>
      </c>
      <c r="K70" s="96">
        <v>357632.39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>
        <v>0</v>
      </c>
      <c r="E71" s="195">
        <v>39500.925999999999</v>
      </c>
      <c r="F71" s="195"/>
      <c r="G71" s="195"/>
      <c r="H71" s="96">
        <v>0</v>
      </c>
      <c r="I71" s="96">
        <v>16857.392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126482.88</v>
      </c>
      <c r="E72" s="195">
        <v>11408.821</v>
      </c>
      <c r="F72" s="195">
        <v>810636.25</v>
      </c>
      <c r="G72" s="195">
        <v>2103704.83</v>
      </c>
      <c r="H72" s="96">
        <v>305369.76</v>
      </c>
      <c r="I72" s="96">
        <v>9540.4150000000009</v>
      </c>
      <c r="J72" s="96">
        <v>1568357.3000000003</v>
      </c>
      <c r="K72" s="96">
        <v>1520837.6599999997</v>
      </c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642585.72</v>
      </c>
      <c r="E73" s="195">
        <v>183582.98300000001</v>
      </c>
      <c r="F73" s="195">
        <v>7792283</v>
      </c>
      <c r="G73" s="195">
        <v>7892736.3799999999</v>
      </c>
      <c r="H73" s="96">
        <v>452641.32</v>
      </c>
      <c r="I73" s="96">
        <v>105445.894</v>
      </c>
      <c r="J73" s="96">
        <v>3216783.1240000008</v>
      </c>
      <c r="K73" s="96">
        <v>4119016.120000001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>
        <v>0</v>
      </c>
      <c r="E74" s="195">
        <v>9626.5930000000008</v>
      </c>
      <c r="F74" s="195"/>
      <c r="G74" s="195"/>
      <c r="H74" s="96">
        <v>20280</v>
      </c>
      <c r="I74" s="96">
        <v>21951.023000000001</v>
      </c>
      <c r="J74" s="96">
        <v>0</v>
      </c>
      <c r="K74" s="96">
        <v>0</v>
      </c>
    </row>
    <row r="75" spans="1:12" ht="21.6" thickBot="1" x14ac:dyDescent="0.35">
      <c r="A75" s="177" t="s">
        <v>44</v>
      </c>
      <c r="B75" s="178"/>
      <c r="C75" s="178"/>
      <c r="D75" s="179">
        <f>SUM(D67:D74)</f>
        <v>1306573.6800000002</v>
      </c>
      <c r="E75" s="179">
        <f t="shared" ref="E75:G75" si="7">SUM(E67:E74)</f>
        <v>459291.20600000001</v>
      </c>
      <c r="F75" s="179">
        <f t="shared" si="7"/>
        <v>9847074.25</v>
      </c>
      <c r="G75" s="179">
        <f t="shared" si="7"/>
        <v>13830896.559999999</v>
      </c>
      <c r="H75" s="179">
        <f>SUM(H67:H74)</f>
        <v>1149842.76</v>
      </c>
      <c r="I75" s="179">
        <f t="shared" ref="I75:K75" si="8">SUM(I67:I74)</f>
        <v>195813.076</v>
      </c>
      <c r="J75" s="179">
        <f t="shared" si="8"/>
        <v>5274264.2340000011</v>
      </c>
      <c r="K75" s="179">
        <f t="shared" si="8"/>
        <v>10273054.51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4154444.4</v>
      </c>
      <c r="E76" s="131">
        <f t="shared" ref="E76:G76" si="9">E75+E66+E56+E22+E8</f>
        <v>1455428.0040000002</v>
      </c>
      <c r="F76" s="131">
        <f t="shared" si="9"/>
        <v>16745933.290000001</v>
      </c>
      <c r="G76" s="131">
        <f t="shared" si="9"/>
        <v>8305186.3049999997</v>
      </c>
      <c r="H76" s="131">
        <f>H75+H66+H56+H22+H8</f>
        <v>5537819.8799999999</v>
      </c>
      <c r="I76" s="131">
        <f t="shared" ref="I76:K76" si="10">I75+I66+I56+I22+I8</f>
        <v>997759.21200000006</v>
      </c>
      <c r="J76" s="131">
        <f t="shared" si="10"/>
        <v>14685880.164000001</v>
      </c>
      <c r="K76" s="131">
        <f t="shared" si="10"/>
        <v>37891059.299999997</v>
      </c>
    </row>
    <row r="78" spans="1:12" x14ac:dyDescent="0.3">
      <c r="D78" s="6"/>
      <c r="E78" s="6"/>
      <c r="F78" s="133"/>
      <c r="G78" s="6"/>
    </row>
    <row r="80" spans="1:12" x14ac:dyDescent="0.3">
      <c r="D80" s="9"/>
      <c r="E80" s="9"/>
      <c r="F80" s="9"/>
    </row>
  </sheetData>
  <mergeCells count="2">
    <mergeCell ref="D1:G1"/>
    <mergeCell ref="H1:K1"/>
  </mergeCells>
  <conditionalFormatting sqref="A1">
    <cfRule type="duplicateValues" dxfId="139" priority="19"/>
    <cfRule type="duplicateValues" dxfId="138" priority="20"/>
  </conditionalFormatting>
  <conditionalFormatting sqref="A14">
    <cfRule type="duplicateValues" dxfId="137" priority="9"/>
    <cfRule type="duplicateValues" dxfId="136" priority="10"/>
  </conditionalFormatting>
  <conditionalFormatting sqref="A20">
    <cfRule type="duplicateValues" dxfId="135" priority="1"/>
    <cfRule type="duplicateValues" dxfId="134" priority="2"/>
  </conditionalFormatting>
  <conditionalFormatting sqref="A41">
    <cfRule type="duplicateValues" dxfId="133" priority="5"/>
    <cfRule type="duplicateValues" dxfId="132" priority="6"/>
  </conditionalFormatting>
  <conditionalFormatting sqref="A54">
    <cfRule type="duplicateValues" dxfId="131" priority="3"/>
    <cfRule type="duplicateValues" dxfId="130" priority="4"/>
  </conditionalFormatting>
  <conditionalFormatting sqref="A57">
    <cfRule type="duplicateValues" dxfId="129" priority="11"/>
    <cfRule type="duplicateValues" dxfId="128" priority="12"/>
  </conditionalFormatting>
  <conditionalFormatting sqref="A58:A60 A7 A23:A40 A62 A42:A53 A55">
    <cfRule type="duplicateValues" dxfId="127" priority="17"/>
    <cfRule type="duplicateValues" dxfId="126" priority="18"/>
  </conditionalFormatting>
  <conditionalFormatting sqref="A61">
    <cfRule type="duplicateValues" dxfId="125" priority="7"/>
    <cfRule type="duplicateValues" dxfId="124" priority="8"/>
  </conditionalFormatting>
  <conditionalFormatting sqref="A67:A74">
    <cfRule type="duplicateValues" dxfId="123" priority="15"/>
    <cfRule type="duplicateValues" dxfId="122" priority="16"/>
  </conditionalFormatting>
  <conditionalFormatting sqref="A75:A76 A2:A6 A8:A13 A15:A19 A56 A66 A21:A22">
    <cfRule type="duplicateValues" dxfId="121" priority="13"/>
    <cfRule type="duplicateValues" dxfId="120" priority="1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2"/>
  <sheetViews>
    <sheetView rightToLeft="1" workbookViewId="0">
      <pane ySplit="3" topLeftCell="A53" activePane="bottomLeft" state="frozen"/>
      <selection pane="bottomLeft" activeCell="F78" sqref="F78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/>
      <c r="E3" s="195"/>
      <c r="F3" s="200">
        <f>192815-F4</f>
        <v>110815</v>
      </c>
      <c r="G3" s="195"/>
      <c r="H3" s="96"/>
      <c r="I3" s="96"/>
      <c r="J3" s="96">
        <v>173715.33999999997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82000</v>
      </c>
      <c r="G4" s="195"/>
      <c r="H4" s="96"/>
      <c r="I4" s="96"/>
      <c r="J4" s="96">
        <v>149399.24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/>
      <c r="E6" s="196"/>
      <c r="F6" s="196"/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/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192815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323114.57999999996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200">
        <v>161700</v>
      </c>
      <c r="G11" s="14"/>
      <c r="H11" s="96"/>
      <c r="I11" s="96"/>
      <c r="J11" s="96">
        <v>79000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200">
        <v>719905.92999999993</v>
      </c>
      <c r="G17" s="14"/>
      <c r="H17" s="96"/>
      <c r="I17" s="96"/>
      <c r="J17" s="96">
        <v>1963406.86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200">
        <v>248463.53000000003</v>
      </c>
      <c r="G18" s="14"/>
      <c r="H18" s="96"/>
      <c r="I18" s="96"/>
      <c r="J18" s="96">
        <v>318852.25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200">
        <v>79298.28</v>
      </c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1209367.74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2361259.1100000003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200">
        <v>130880.8</v>
      </c>
      <c r="G31" s="14"/>
      <c r="H31" s="96"/>
      <c r="I31" s="96"/>
      <c r="J31" s="96">
        <v>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>
        <v>0</v>
      </c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>
        <v>0</v>
      </c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130880.8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200">
        <v>169023.62</v>
      </c>
      <c r="G58" s="14"/>
      <c r="H58" s="96"/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>
        <v>30000</v>
      </c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>
        <v>559461.71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169023.62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589461.71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>
        <v>0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200">
        <v>12055.51</v>
      </c>
      <c r="G68" s="14"/>
      <c r="H68" s="96"/>
      <c r="I68" s="96"/>
      <c r="J68" s="96">
        <v>383100.49000000005</v>
      </c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>
        <v>0</v>
      </c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>
        <v>0</v>
      </c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>
        <v>0</v>
      </c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200">
        <v>36400</v>
      </c>
      <c r="G73" s="14"/>
      <c r="H73" s="96"/>
      <c r="I73" s="96"/>
      <c r="J73" s="96">
        <v>389003.38</v>
      </c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>
        <v>0</v>
      </c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48455.51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772103.87000000011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1750542.67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4045939.2700000005</v>
      </c>
      <c r="K76" s="131">
        <f t="shared" si="11"/>
        <v>0</v>
      </c>
    </row>
    <row r="78" spans="1:12" x14ac:dyDescent="0.3">
      <c r="F78" s="6"/>
    </row>
    <row r="80" spans="1:12" x14ac:dyDescent="0.3">
      <c r="F80" s="133"/>
    </row>
    <row r="81" spans="6:6" x14ac:dyDescent="0.3">
      <c r="F81" s="133"/>
    </row>
    <row r="82" spans="6:6" x14ac:dyDescent="0.3">
      <c r="F82" s="133"/>
    </row>
  </sheetData>
  <mergeCells count="2">
    <mergeCell ref="D1:G1"/>
    <mergeCell ref="H1:K1"/>
  </mergeCells>
  <conditionalFormatting sqref="A1">
    <cfRule type="duplicateValues" dxfId="119" priority="19"/>
    <cfRule type="duplicateValues" dxfId="118" priority="20"/>
  </conditionalFormatting>
  <conditionalFormatting sqref="A14">
    <cfRule type="duplicateValues" dxfId="117" priority="9"/>
    <cfRule type="duplicateValues" dxfId="116" priority="10"/>
  </conditionalFormatting>
  <conditionalFormatting sqref="A20">
    <cfRule type="duplicateValues" dxfId="115" priority="1"/>
    <cfRule type="duplicateValues" dxfId="114" priority="2"/>
  </conditionalFormatting>
  <conditionalFormatting sqref="A41">
    <cfRule type="duplicateValues" dxfId="113" priority="5"/>
    <cfRule type="duplicateValues" dxfId="112" priority="6"/>
  </conditionalFormatting>
  <conditionalFormatting sqref="A54">
    <cfRule type="duplicateValues" dxfId="111" priority="3"/>
    <cfRule type="duplicateValues" dxfId="110" priority="4"/>
  </conditionalFormatting>
  <conditionalFormatting sqref="A57">
    <cfRule type="duplicateValues" dxfId="109" priority="11"/>
    <cfRule type="duplicateValues" dxfId="108" priority="12"/>
  </conditionalFormatting>
  <conditionalFormatting sqref="A58:A60 A7 A23:A40 A62 A42:A53 A55">
    <cfRule type="duplicateValues" dxfId="107" priority="17"/>
    <cfRule type="duplicateValues" dxfId="106" priority="18"/>
  </conditionalFormatting>
  <conditionalFormatting sqref="A61">
    <cfRule type="duplicateValues" dxfId="105" priority="7"/>
    <cfRule type="duplicateValues" dxfId="104" priority="8"/>
  </conditionalFormatting>
  <conditionalFormatting sqref="A67:A74">
    <cfRule type="duplicateValues" dxfId="103" priority="15"/>
    <cfRule type="duplicateValues" dxfId="102" priority="16"/>
  </conditionalFormatting>
  <conditionalFormatting sqref="A75:A76 A2:A6 A8:A13 A15:A19 A56 A66 A21:A22">
    <cfRule type="duplicateValues" dxfId="101" priority="13"/>
    <cfRule type="duplicateValues" dxfId="100" priority="14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79"/>
  <sheetViews>
    <sheetView rightToLeft="1" zoomScaleNormal="100" workbookViewId="0">
      <pane ySplit="3" topLeftCell="A59" activePane="bottomLeft" state="frozen"/>
      <selection pane="bottomLeft" activeCell="D62" sqref="D62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>
        <v>7400</v>
      </c>
      <c r="G3" s="14"/>
      <c r="H3" s="96"/>
      <c r="I3" s="96"/>
      <c r="J3" s="96">
        <v>10150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7400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10150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>
        <v>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142226</v>
      </c>
      <c r="G17" s="14"/>
      <c r="H17" s="96"/>
      <c r="I17" s="96"/>
      <c r="J17" s="96">
        <v>75700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>
        <v>65900</v>
      </c>
      <c r="G18" s="14"/>
      <c r="H18" s="96"/>
      <c r="I18" s="96"/>
      <c r="J18" s="96">
        <v>11000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208126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86700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1600</v>
      </c>
      <c r="G31" s="14"/>
      <c r="H31" s="96"/>
      <c r="I31" s="96"/>
      <c r="J31" s="96">
        <v>1400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>
        <v>0</v>
      </c>
      <c r="K55" s="96"/>
    </row>
    <row r="56" spans="1:13" ht="21.6" thickBot="1" x14ac:dyDescent="0.45">
      <c r="A56" s="123" t="s">
        <v>115</v>
      </c>
      <c r="B56" s="121"/>
      <c r="C56" s="121"/>
      <c r="D56" s="174">
        <f t="shared" ref="D56:K56" si="4">SUM(D23:D55)</f>
        <v>0</v>
      </c>
      <c r="E56" s="174">
        <f t="shared" si="4"/>
        <v>0</v>
      </c>
      <c r="F56" s="174">
        <f t="shared" si="4"/>
        <v>1600</v>
      </c>
      <c r="G56" s="174">
        <f t="shared" si="4"/>
        <v>0</v>
      </c>
      <c r="H56" s="174">
        <f t="shared" si="4"/>
        <v>0</v>
      </c>
      <c r="I56" s="174">
        <f t="shared" si="4"/>
        <v>0</v>
      </c>
      <c r="J56" s="174">
        <f t="shared" si="4"/>
        <v>1400</v>
      </c>
      <c r="K56" s="174">
        <f t="shared" si="4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>
        <v>2800</v>
      </c>
      <c r="G59" s="14"/>
      <c r="H59" s="96"/>
      <c r="I59" s="96"/>
      <c r="J59" s="96">
        <v>2050</v>
      </c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>
        <v>0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5">SUM(E57:E65)</f>
        <v>0</v>
      </c>
      <c r="F66" s="174">
        <f t="shared" si="5"/>
        <v>2800</v>
      </c>
      <c r="G66" s="174">
        <f t="shared" si="5"/>
        <v>0</v>
      </c>
      <c r="H66" s="174">
        <f>SUM(H57:H65)</f>
        <v>0</v>
      </c>
      <c r="I66" s="174">
        <f t="shared" ref="I66:K66" si="6">SUM(I57:I65)</f>
        <v>0</v>
      </c>
      <c r="J66" s="174">
        <f t="shared" si="6"/>
        <v>2050</v>
      </c>
      <c r="K66" s="174">
        <f t="shared" si="6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>
        <v>12000</v>
      </c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12000</v>
      </c>
      <c r="E75" s="179">
        <f t="shared" ref="E75:G75" si="7">SUM(E67:E74)</f>
        <v>0</v>
      </c>
      <c r="F75" s="179">
        <f t="shared" si="7"/>
        <v>0</v>
      </c>
      <c r="G75" s="179">
        <f t="shared" si="7"/>
        <v>0</v>
      </c>
      <c r="H75" s="179">
        <f>SUM(H67:H74)</f>
        <v>0</v>
      </c>
      <c r="I75" s="179">
        <f t="shared" ref="I75:K75" si="8">SUM(I67:I74)</f>
        <v>0</v>
      </c>
      <c r="J75" s="179">
        <f t="shared" si="8"/>
        <v>0</v>
      </c>
      <c r="K75" s="179">
        <f t="shared" si="8"/>
        <v>0</v>
      </c>
    </row>
    <row r="76" spans="1:12" ht="21.6" thickBot="1" x14ac:dyDescent="0.35">
      <c r="A76" s="122" t="s">
        <v>45</v>
      </c>
      <c r="B76" s="121"/>
      <c r="C76" s="121"/>
      <c r="D76" s="131">
        <f t="shared" ref="D76:K76" si="9">D75+D66+D56+D22+D8</f>
        <v>12000</v>
      </c>
      <c r="E76" s="131">
        <f t="shared" si="9"/>
        <v>0</v>
      </c>
      <c r="F76" s="131">
        <f t="shared" si="9"/>
        <v>219926</v>
      </c>
      <c r="G76" s="131">
        <f t="shared" si="9"/>
        <v>0</v>
      </c>
      <c r="H76" s="131">
        <f t="shared" si="9"/>
        <v>0</v>
      </c>
      <c r="I76" s="131">
        <f t="shared" si="9"/>
        <v>0</v>
      </c>
      <c r="J76" s="131">
        <f t="shared" si="9"/>
        <v>100300</v>
      </c>
      <c r="K76" s="131">
        <f t="shared" si="9"/>
        <v>0</v>
      </c>
    </row>
    <row r="78" spans="1:12" x14ac:dyDescent="0.3">
      <c r="F78" s="133"/>
    </row>
    <row r="79" spans="1:12" x14ac:dyDescent="0.3">
      <c r="F79" s="6"/>
    </row>
  </sheetData>
  <mergeCells count="2">
    <mergeCell ref="D1:G1"/>
    <mergeCell ref="H1:K1"/>
  </mergeCells>
  <conditionalFormatting sqref="A1">
    <cfRule type="duplicateValues" dxfId="99" priority="19"/>
    <cfRule type="duplicateValues" dxfId="98" priority="20"/>
  </conditionalFormatting>
  <conditionalFormatting sqref="A14">
    <cfRule type="duplicateValues" dxfId="97" priority="9"/>
    <cfRule type="duplicateValues" dxfId="96" priority="10"/>
  </conditionalFormatting>
  <conditionalFormatting sqref="A20">
    <cfRule type="duplicateValues" dxfId="95" priority="1"/>
    <cfRule type="duplicateValues" dxfId="94" priority="2"/>
  </conditionalFormatting>
  <conditionalFormatting sqref="A41">
    <cfRule type="duplicateValues" dxfId="93" priority="5"/>
    <cfRule type="duplicateValues" dxfId="92" priority="6"/>
  </conditionalFormatting>
  <conditionalFormatting sqref="A54">
    <cfRule type="duplicateValues" dxfId="91" priority="3"/>
    <cfRule type="duplicateValues" dxfId="90" priority="4"/>
  </conditionalFormatting>
  <conditionalFormatting sqref="A57">
    <cfRule type="duplicateValues" dxfId="89" priority="11"/>
    <cfRule type="duplicateValues" dxfId="88" priority="12"/>
  </conditionalFormatting>
  <conditionalFormatting sqref="A58:A60 A7 A23:A40 A62 A42:A53 A55">
    <cfRule type="duplicateValues" dxfId="87" priority="17"/>
    <cfRule type="duplicateValues" dxfId="86" priority="18"/>
  </conditionalFormatting>
  <conditionalFormatting sqref="A61">
    <cfRule type="duplicateValues" dxfId="85" priority="7"/>
    <cfRule type="duplicateValues" dxfId="84" priority="8"/>
  </conditionalFormatting>
  <conditionalFormatting sqref="A67:A74">
    <cfRule type="duplicateValues" dxfId="83" priority="15"/>
    <cfRule type="duplicateValues" dxfId="82" priority="16"/>
  </conditionalFormatting>
  <conditionalFormatting sqref="A75:A76 A2:A6 A8:A13 A15:A19 A56 A66 A21:A22">
    <cfRule type="duplicateValues" dxfId="81" priority="13"/>
    <cfRule type="duplicateValues" dxfId="8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78"/>
  <sheetViews>
    <sheetView rightToLeft="1" topLeftCell="A58" workbookViewId="0">
      <selection activeCell="F78" sqref="F78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6.886718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4298</v>
      </c>
      <c r="F3" s="14"/>
      <c r="G3" s="14"/>
      <c r="H3" s="96"/>
      <c r="I3" s="96">
        <v>1242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4298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1242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>
        <v>1008</v>
      </c>
      <c r="F23" s="18"/>
      <c r="G23" s="18"/>
      <c r="H23" s="96"/>
      <c r="I23" s="96">
        <v>288</v>
      </c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>
        <v>1260</v>
      </c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>
        <v>-198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>
        <v>144</v>
      </c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2268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234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>
        <v>594</v>
      </c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594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>
        <v>3150</v>
      </c>
      <c r="F67" s="18"/>
      <c r="G67" s="18"/>
      <c r="H67" s="96"/>
      <c r="I67" s="96">
        <v>432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>
        <v>9069</v>
      </c>
      <c r="F68" s="14"/>
      <c r="G68" s="14"/>
      <c r="H68" s="96"/>
      <c r="I68" s="96">
        <v>1422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>
        <v>504</v>
      </c>
      <c r="F73" s="14"/>
      <c r="G73" s="14"/>
      <c r="H73" s="96"/>
      <c r="I73" s="96">
        <v>144</v>
      </c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12723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1998</v>
      </c>
      <c r="J75" s="179">
        <f t="shared" si="9"/>
        <v>0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19883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3474</v>
      </c>
      <c r="J76" s="131">
        <f t="shared" si="11"/>
        <v>0</v>
      </c>
      <c r="K76" s="131">
        <f t="shared" si="11"/>
        <v>0</v>
      </c>
    </row>
    <row r="78" spans="1:12" x14ac:dyDescent="0.3">
      <c r="E78" s="6"/>
    </row>
  </sheetData>
  <mergeCells count="2">
    <mergeCell ref="D1:G1"/>
    <mergeCell ref="H1:K1"/>
  </mergeCells>
  <conditionalFormatting sqref="A1">
    <cfRule type="duplicateValues" dxfId="79" priority="19"/>
    <cfRule type="duplicateValues" dxfId="78" priority="20"/>
  </conditionalFormatting>
  <conditionalFormatting sqref="A14">
    <cfRule type="duplicateValues" dxfId="77" priority="9"/>
    <cfRule type="duplicateValues" dxfId="76" priority="10"/>
  </conditionalFormatting>
  <conditionalFormatting sqref="A20">
    <cfRule type="duplicateValues" dxfId="75" priority="1"/>
    <cfRule type="duplicateValues" dxfId="74" priority="2"/>
  </conditionalFormatting>
  <conditionalFormatting sqref="A41">
    <cfRule type="duplicateValues" dxfId="73" priority="5"/>
    <cfRule type="duplicateValues" dxfId="72" priority="6"/>
  </conditionalFormatting>
  <conditionalFormatting sqref="A54">
    <cfRule type="duplicateValues" dxfId="71" priority="3"/>
    <cfRule type="duplicateValues" dxfId="70" priority="4"/>
  </conditionalFormatting>
  <conditionalFormatting sqref="A57">
    <cfRule type="duplicateValues" dxfId="69" priority="11"/>
    <cfRule type="duplicateValues" dxfId="68" priority="12"/>
  </conditionalFormatting>
  <conditionalFormatting sqref="A58:A60 A7 A23:A40 A62 A42:A53 A55">
    <cfRule type="duplicateValues" dxfId="67" priority="17"/>
    <cfRule type="duplicateValues" dxfId="66" priority="18"/>
  </conditionalFormatting>
  <conditionalFormatting sqref="A61">
    <cfRule type="duplicateValues" dxfId="65" priority="7"/>
    <cfRule type="duplicateValues" dxfId="64" priority="8"/>
  </conditionalFormatting>
  <conditionalFormatting sqref="A67:A74">
    <cfRule type="duplicateValues" dxfId="63" priority="15"/>
    <cfRule type="duplicateValues" dxfId="62" priority="16"/>
  </conditionalFormatting>
  <conditionalFormatting sqref="A75:A76 A2:A6 A8:A13 A15:A19 A56 A66 A21:A22">
    <cfRule type="duplicateValues" dxfId="61" priority="13"/>
    <cfRule type="duplicateValues" dxfId="60" priority="1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2"/>
  <sheetViews>
    <sheetView rightToLeft="1" topLeftCell="A72" workbookViewId="0">
      <selection activeCell="G89" sqref="G89"/>
    </sheetView>
  </sheetViews>
  <sheetFormatPr defaultColWidth="30.109375" defaultRowHeight="14.4" x14ac:dyDescent="0.3"/>
  <cols>
    <col min="1" max="1" width="30" style="32" bestFit="1" customWidth="1"/>
    <col min="2" max="2" width="11.44140625" style="32" customWidth="1"/>
    <col min="3" max="3" width="11.6640625" style="32" customWidth="1"/>
    <col min="4" max="4" width="16.88671875" customWidth="1"/>
    <col min="5" max="5" width="15.109375" customWidth="1"/>
    <col min="6" max="6" width="17.109375" customWidth="1"/>
    <col min="7" max="7" width="19" customWidth="1"/>
    <col min="8" max="9" width="15.109375" style="3" customWidth="1"/>
    <col min="10" max="10" width="16.88671875" style="3" customWidth="1"/>
    <col min="11" max="11" width="19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/>
      <c r="E3" s="195"/>
      <c r="F3" s="196">
        <f>10883768.29-42206-F4-F70</f>
        <v>10047375.979999999</v>
      </c>
      <c r="G3" s="195"/>
      <c r="H3" s="96"/>
      <c r="I3" s="96"/>
      <c r="J3" s="96">
        <f>10349503.95-J4-J67</f>
        <v>8342586.2199999988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6">
        <v>766081.68</v>
      </c>
      <c r="G4" s="195"/>
      <c r="H4" s="96"/>
      <c r="I4" s="96"/>
      <c r="J4" s="96">
        <v>289505.83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6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/>
      <c r="E6" s="196"/>
      <c r="F6" s="196"/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10813457.659999998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8632092.0499999989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95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95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95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95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95">
        <v>483446.19</v>
      </c>
      <c r="G14" s="14"/>
      <c r="H14" s="96"/>
      <c r="I14" s="96"/>
      <c r="J14" s="96">
        <v>1283067.1599999999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95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95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95">
        <v>1692004.87</v>
      </c>
      <c r="G17" s="14"/>
      <c r="H17" s="96"/>
      <c r="I17" s="96"/>
      <c r="J17" s="96">
        <v>3280838.87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95">
        <v>566224.25</v>
      </c>
      <c r="G18" s="14"/>
      <c r="H18" s="96"/>
      <c r="I18" s="96"/>
      <c r="J18" s="96">
        <v>4386478.1399999997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95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2741675.31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8950384.1699999999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1122023.23</v>
      </c>
      <c r="G31" s="14"/>
      <c r="H31" s="96"/>
      <c r="I31" s="96"/>
      <c r="J31" s="96">
        <v>695607.29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1122023.23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695607.29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>
        <v>406786.68</v>
      </c>
      <c r="G58" s="14"/>
      <c r="H58" s="96"/>
      <c r="I58" s="96"/>
      <c r="J58" s="96">
        <v>51110.38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95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95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95">
        <v>1492362.88</v>
      </c>
      <c r="G61" s="14"/>
      <c r="H61" s="96"/>
      <c r="I61" s="96"/>
      <c r="J61" s="96">
        <v>5999358.1799999997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95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95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1899149.5599999998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6050468.5599999996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97">
        <f>1025035.55+42206</f>
        <v>1067241.55</v>
      </c>
      <c r="G67" s="18"/>
      <c r="H67" s="96"/>
      <c r="I67" s="96"/>
      <c r="J67" s="96">
        <v>1717411.9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95">
        <v>217015.57</v>
      </c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95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95">
        <v>28104.63</v>
      </c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95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95">
        <v>54675.26</v>
      </c>
      <c r="G72" s="14"/>
      <c r="H72" s="96"/>
      <c r="I72" s="96"/>
      <c r="J72" s="96">
        <v>257295.97</v>
      </c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95">
        <v>173195.4</v>
      </c>
      <c r="G73" s="14"/>
      <c r="H73" s="96"/>
      <c r="I73" s="96"/>
      <c r="J73" s="96">
        <v>4440218.12</v>
      </c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95"/>
      <c r="G74" s="14"/>
      <c r="H74" s="96"/>
      <c r="I74" s="96"/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1540232.41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6414925.9900000002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18116538.169999998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30743478.059999995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  <c r="J78" s="202"/>
    </row>
    <row r="79" spans="1:12" x14ac:dyDescent="0.3">
      <c r="D79" s="137"/>
      <c r="E79" s="137"/>
      <c r="F79" s="181"/>
      <c r="G79" s="137"/>
      <c r="J79" s="5"/>
    </row>
    <row r="80" spans="1:12" x14ac:dyDescent="0.3">
      <c r="D80" s="153"/>
      <c r="E80" s="153"/>
      <c r="F80" s="153"/>
      <c r="G80" s="153"/>
    </row>
    <row r="81" spans="4:10" x14ac:dyDescent="0.3">
      <c r="D81" s="153"/>
      <c r="E81" s="137"/>
      <c r="F81" s="137"/>
      <c r="G81" s="137"/>
      <c r="J81" s="10"/>
    </row>
    <row r="82" spans="4:10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59" priority="19"/>
    <cfRule type="duplicateValues" dxfId="58" priority="20"/>
  </conditionalFormatting>
  <conditionalFormatting sqref="A14">
    <cfRule type="duplicateValues" dxfId="57" priority="9"/>
    <cfRule type="duplicateValues" dxfId="56" priority="10"/>
  </conditionalFormatting>
  <conditionalFormatting sqref="A20">
    <cfRule type="duplicateValues" dxfId="55" priority="1"/>
    <cfRule type="duplicateValues" dxfId="54" priority="2"/>
  </conditionalFormatting>
  <conditionalFormatting sqref="A41">
    <cfRule type="duplicateValues" dxfId="53" priority="5"/>
    <cfRule type="duplicateValues" dxfId="52" priority="6"/>
  </conditionalFormatting>
  <conditionalFormatting sqref="A54">
    <cfRule type="duplicateValues" dxfId="51" priority="3"/>
    <cfRule type="duplicateValues" dxfId="50" priority="4"/>
  </conditionalFormatting>
  <conditionalFormatting sqref="A57">
    <cfRule type="duplicateValues" dxfId="49" priority="11"/>
    <cfRule type="duplicateValues" dxfId="48" priority="12"/>
  </conditionalFormatting>
  <conditionalFormatting sqref="A58:A60 A7 A23:A40 A62 A42:A53 A55">
    <cfRule type="duplicateValues" dxfId="47" priority="17"/>
    <cfRule type="duplicateValues" dxfId="46" priority="18"/>
  </conditionalFormatting>
  <conditionalFormatting sqref="A61">
    <cfRule type="duplicateValues" dxfId="45" priority="7"/>
    <cfRule type="duplicateValues" dxfId="44" priority="8"/>
  </conditionalFormatting>
  <conditionalFormatting sqref="A67:A74">
    <cfRule type="duplicateValues" dxfId="43" priority="15"/>
    <cfRule type="duplicateValues" dxfId="42" priority="16"/>
  </conditionalFormatting>
  <conditionalFormatting sqref="A75:A76 A2:A6 A8:A13 A15:A19 A56 A66 A21:A22">
    <cfRule type="duplicateValues" dxfId="41" priority="13"/>
    <cfRule type="duplicateValues" dxfId="40" priority="14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76"/>
  <sheetViews>
    <sheetView rightToLeft="1" topLeftCell="A12" workbookViewId="0">
      <selection activeCell="A27" sqref="A27"/>
    </sheetView>
  </sheetViews>
  <sheetFormatPr defaultColWidth="30.109375" defaultRowHeight="14.4" x14ac:dyDescent="0.3"/>
  <cols>
    <col min="1" max="1" width="30" style="32" bestFit="1" customWidth="1"/>
    <col min="2" max="2" width="11.44140625" style="32" bestFit="1" customWidth="1"/>
    <col min="3" max="3" width="11.6640625" style="32" bestFit="1" customWidth="1"/>
    <col min="4" max="4" width="16.88671875" bestFit="1" customWidth="1"/>
    <col min="5" max="5" width="15.109375" bestFit="1" customWidth="1"/>
    <col min="6" max="6" width="16.88671875" bestFit="1" customWidth="1"/>
    <col min="7" max="7" width="19" bestFit="1" customWidth="1"/>
    <col min="8" max="9" width="15.109375" style="3" bestFit="1" customWidth="1"/>
    <col min="10" max="10" width="16.88671875" style="3" bestFit="1" customWidth="1"/>
    <col min="11" max="11" width="19" bestFit="1" customWidth="1"/>
  </cols>
  <sheetData>
    <row r="1" spans="1:11" ht="21" x14ac:dyDescent="0.3">
      <c r="A1" s="26"/>
      <c r="B1" s="26"/>
      <c r="C1" s="26"/>
      <c r="D1" s="242">
        <v>2025</v>
      </c>
      <c r="E1" s="242"/>
      <c r="F1" s="242"/>
      <c r="G1" s="242"/>
      <c r="H1" s="243">
        <v>2024</v>
      </c>
      <c r="I1" s="243"/>
      <c r="J1" s="243"/>
      <c r="K1" s="243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</sheetData>
  <mergeCells count="2">
    <mergeCell ref="D1:G1"/>
    <mergeCell ref="H1:K1"/>
  </mergeCells>
  <conditionalFormatting sqref="A1">
    <cfRule type="duplicateValues" dxfId="39" priority="19"/>
    <cfRule type="duplicateValues" dxfId="38" priority="20"/>
  </conditionalFormatting>
  <conditionalFormatting sqref="A14">
    <cfRule type="duplicateValues" dxfId="37" priority="9"/>
    <cfRule type="duplicateValues" dxfId="36" priority="10"/>
  </conditionalFormatting>
  <conditionalFormatting sqref="A20">
    <cfRule type="duplicateValues" dxfId="35" priority="1"/>
    <cfRule type="duplicateValues" dxfId="34" priority="2"/>
  </conditionalFormatting>
  <conditionalFormatting sqref="A41">
    <cfRule type="duplicateValues" dxfId="33" priority="5"/>
    <cfRule type="duplicateValues" dxfId="32" priority="6"/>
  </conditionalFormatting>
  <conditionalFormatting sqref="A54">
    <cfRule type="duplicateValues" dxfId="31" priority="3"/>
    <cfRule type="duplicateValues" dxfId="30" priority="4"/>
  </conditionalFormatting>
  <conditionalFormatting sqref="A57">
    <cfRule type="duplicateValues" dxfId="29" priority="11"/>
    <cfRule type="duplicateValues" dxfId="28" priority="12"/>
  </conditionalFormatting>
  <conditionalFormatting sqref="A58:A60 A7 A23:A40 A62 A42:A53 A55">
    <cfRule type="duplicateValues" dxfId="27" priority="17"/>
    <cfRule type="duplicateValues" dxfId="26" priority="18"/>
  </conditionalFormatting>
  <conditionalFormatting sqref="A61">
    <cfRule type="duplicateValues" dxfId="25" priority="7"/>
    <cfRule type="duplicateValues" dxfId="24" priority="8"/>
  </conditionalFormatting>
  <conditionalFormatting sqref="A67:A74">
    <cfRule type="duplicateValues" dxfId="23" priority="15"/>
    <cfRule type="duplicateValues" dxfId="22" priority="16"/>
  </conditionalFormatting>
  <conditionalFormatting sqref="A75:A76 A2:A6 A8:A13 A15:A19 A56 A66 A21:A22">
    <cfRule type="duplicateValues" dxfId="21" priority="13"/>
    <cfRule type="duplicateValues" dxfId="20" priority="14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82"/>
  <sheetViews>
    <sheetView rightToLeft="1" workbookViewId="0">
      <selection activeCell="A27" sqref="A27"/>
    </sheetView>
  </sheetViews>
  <sheetFormatPr defaultColWidth="30.109375" defaultRowHeight="14.4" x14ac:dyDescent="0.3"/>
  <cols>
    <col min="1" max="1" width="30" style="32" bestFit="1" customWidth="1"/>
    <col min="2" max="2" width="11.44140625" style="32" bestFit="1" customWidth="1"/>
    <col min="3" max="3" width="11.6640625" style="32" bestFit="1" customWidth="1"/>
    <col min="4" max="4" width="16.88671875" bestFit="1" customWidth="1"/>
    <col min="5" max="5" width="15.109375" bestFit="1" customWidth="1"/>
    <col min="6" max="6" width="16.88671875" bestFit="1" customWidth="1"/>
    <col min="7" max="7" width="19" bestFit="1" customWidth="1"/>
    <col min="8" max="9" width="15.109375" style="3" customWidth="1"/>
    <col min="10" max="10" width="16.88671875" style="3" customWidth="1"/>
    <col min="11" max="11" width="19" customWidth="1"/>
    <col min="12" max="12" width="30.109375" customWidth="1"/>
  </cols>
  <sheetData>
    <row r="1" spans="1:11" ht="21" x14ac:dyDescent="0.3">
      <c r="A1" s="26"/>
      <c r="B1" s="26"/>
      <c r="C1" s="26"/>
      <c r="D1" s="244">
        <v>2025</v>
      </c>
      <c r="E1" s="245"/>
      <c r="F1" s="245"/>
      <c r="G1" s="246"/>
      <c r="H1" s="247">
        <v>2024</v>
      </c>
      <c r="I1" s="248"/>
      <c r="J1" s="248"/>
      <c r="K1" s="249"/>
    </row>
    <row r="2" spans="1:11" ht="21" x14ac:dyDescent="0.3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5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5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137"/>
      <c r="E79" s="137"/>
      <c r="F79" s="137"/>
      <c r="G79" s="137"/>
    </row>
    <row r="80" spans="1:12" x14ac:dyDescent="0.3">
      <c r="D80" s="153"/>
      <c r="E80" s="153"/>
      <c r="F80" s="153"/>
      <c r="G80" s="153"/>
    </row>
    <row r="81" spans="4:7" x14ac:dyDescent="0.3">
      <c r="D81" s="153"/>
      <c r="E81" s="137"/>
      <c r="F81" s="137"/>
      <c r="G81" s="137"/>
    </row>
    <row r="82" spans="4:7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19" priority="19"/>
    <cfRule type="duplicateValues" dxfId="18" priority="20"/>
  </conditionalFormatting>
  <conditionalFormatting sqref="A14">
    <cfRule type="duplicateValues" dxfId="17" priority="17"/>
    <cfRule type="duplicateValues" dxfId="16" priority="17"/>
  </conditionalFormatting>
  <conditionalFormatting sqref="A20">
    <cfRule type="duplicateValues" dxfId="15" priority="1"/>
    <cfRule type="duplicateValues" dxfId="14" priority="2"/>
  </conditionalFormatting>
  <conditionalFormatting sqref="A41">
    <cfRule type="duplicateValues" dxfId="13" priority="5"/>
    <cfRule type="duplicateValues" dxfId="12" priority="6"/>
  </conditionalFormatting>
  <conditionalFormatting sqref="A54">
    <cfRule type="duplicateValues" dxfId="11" priority="3"/>
    <cfRule type="duplicateValues" dxfId="10" priority="4"/>
  </conditionalFormatting>
  <conditionalFormatting sqref="A57">
    <cfRule type="duplicateValues" dxfId="9" priority="15"/>
    <cfRule type="duplicateValues" dxfId="8" priority="15"/>
  </conditionalFormatting>
  <conditionalFormatting sqref="A58:A60 A7 A23:A40 A62 A42:A53 A55">
    <cfRule type="duplicateValues" dxfId="7" priority="18"/>
    <cfRule type="duplicateValues" dxfId="6" priority="21"/>
  </conditionalFormatting>
  <conditionalFormatting sqref="A61">
    <cfRule type="duplicateValues" dxfId="5" priority="11"/>
    <cfRule type="duplicateValues" dxfId="4" priority="11"/>
  </conditionalFormatting>
  <conditionalFormatting sqref="A67:A74">
    <cfRule type="duplicateValues" dxfId="3" priority="16"/>
    <cfRule type="duplicateValues" dxfId="2" priority="22"/>
  </conditionalFormatting>
  <conditionalFormatting sqref="A75:A76 A2:A6 A8:A13 A15:A19 A56 A66 A21:A22">
    <cfRule type="duplicateValues" dxfId="1" priority="13"/>
    <cfRule type="duplicateValues" dxfId="0" priority="1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דוח הנהלה</vt:lpstr>
      <vt:lpstr>תפוקה מצטברת מול אשתקד</vt:lpstr>
      <vt:lpstr>תפוקה חודשית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Alona</cp:lastModifiedBy>
  <cp:lastPrinted>2024-04-20T19:16:09Z</cp:lastPrinted>
  <dcterms:created xsi:type="dcterms:W3CDTF">2023-08-01T07:26:23Z</dcterms:created>
  <dcterms:modified xsi:type="dcterms:W3CDTF">2025-09-17T11:53:05Z</dcterms:modified>
</cp:coreProperties>
</file>