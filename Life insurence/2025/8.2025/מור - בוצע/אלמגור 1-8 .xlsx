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U:\מפקחות\עוז\דוח תפוקה\"/>
    </mc:Choice>
  </mc:AlternateContent>
  <xr:revisionPtr revIDLastSave="0" documentId="8_{13292296-0C10-4EB4-876D-05CEF4C1A6F9}" xr6:coauthVersionLast="47" xr6:coauthVersionMax="47" xr10:uidLastSave="{00000000-0000-0000-0000-000000000000}"/>
  <bookViews>
    <workbookView xWindow="-110" yWindow="-110" windowWidth="19420" windowHeight="10420" xr2:uid="{60282CA5-11C6-4171-BDF9-CDE4C608CBC3}"/>
  </bookViews>
  <sheets>
    <sheet name="גיליון2" sheetId="2" r:id="rId1"/>
    <sheet name="גיליון1" sheetId="1" r:id="rId2"/>
  </sheet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<sst xmlns="http://schemas.openxmlformats.org/spreadsheetml/2006/main" count="1636" uniqueCount="179">
  <si>
    <t>ת.זהות</t>
  </si>
  <si>
    <t>שם עמית</t>
  </si>
  <si>
    <t>מספר קופה</t>
  </si>
  <si>
    <t>תאריך פתיחת קופה</t>
  </si>
  <si>
    <t>סוג מוצר</t>
  </si>
  <si>
    <t>תאריך קבלת טפסים תקינים</t>
  </si>
  <si>
    <t>סוג תנועה</t>
  </si>
  <si>
    <t>תאריך ערך</t>
  </si>
  <si>
    <t>תאריך הזרמה</t>
  </si>
  <si>
    <t>סכום תנועה</t>
  </si>
  <si>
    <t>סוכן מפקח</t>
  </si>
  <si>
    <t>מספר סוכן מתוגמל</t>
  </si>
  <si>
    <t>מספר רשיון סוכן מתוגמל</t>
  </si>
  <si>
    <t>שם סוכן מתוגמל</t>
  </si>
  <si>
    <t>סוג סוכן מתוגמל</t>
  </si>
  <si>
    <t>עמודה1</t>
  </si>
  <si>
    <t>עמודה2</t>
  </si>
  <si>
    <t>מספר רשיון בית סוכן מתוגמל</t>
  </si>
  <si>
    <t>שם בית סוכן מתוגמל</t>
  </si>
  <si>
    <t>חודש גיוס</t>
  </si>
  <si>
    <t>מפקח</t>
  </si>
  <si>
    <t>ערוץ הפצה</t>
  </si>
  <si>
    <t>יעד חודשי</t>
  </si>
  <si>
    <t>ח.פ מעסיק</t>
  </si>
  <si>
    <t>שם מעסיק</t>
  </si>
  <si>
    <t>מתמ</t>
  </si>
  <si>
    <t>קבוצה</t>
  </si>
  <si>
    <t>שם בית סוכן היררכיה שנייה</t>
  </si>
  <si>
    <t>301356010</t>
  </si>
  <si>
    <t>סיון  שחר</t>
  </si>
  <si>
    <t>קרן השתלמות</t>
  </si>
  <si>
    <t>הפקדה</t>
  </si>
  <si>
    <t>Oz Erlan</t>
  </si>
  <si>
    <t>038094645</t>
  </si>
  <si>
    <t xml:space="preserve">אורן רכס </t>
  </si>
  <si>
    <t>סוכנים</t>
  </si>
  <si>
    <t>514188952</t>
  </si>
  <si>
    <t xml:space="preserve">גל אלמגור- סוכנות לביטוח (2008) בע"מ </t>
  </si>
  <si>
    <t/>
  </si>
  <si>
    <t>ללא</t>
  </si>
  <si>
    <t>057449720</t>
  </si>
  <si>
    <t>אריאלה יעל  שטינמץ</t>
  </si>
  <si>
    <t>קופת גמל תגמולים ופיצויים</t>
  </si>
  <si>
    <t>הפקדה ניוד חיצוני</t>
  </si>
  <si>
    <t>513871517</t>
  </si>
  <si>
    <t>עולם המים של אורי סלע</t>
  </si>
  <si>
    <t>026519876</t>
  </si>
  <si>
    <t>ליאור  חן</t>
  </si>
  <si>
    <t>קופת גמל להשקעה</t>
  </si>
  <si>
    <t>318933603</t>
  </si>
  <si>
    <t>שיר  כהן</t>
  </si>
  <si>
    <t>516210572</t>
  </si>
  <si>
    <t xml:space="preserve">אלרם סוכנות לביטוח (2020) בע"מ </t>
  </si>
  <si>
    <t>313586067</t>
  </si>
  <si>
    <t>אלישר  סתיו</t>
  </si>
  <si>
    <t>312358187</t>
  </si>
  <si>
    <t>דניאל אסתר  שגב קפוזה</t>
  </si>
  <si>
    <t>207961541</t>
  </si>
  <si>
    <t>דולב  אסרף</t>
  </si>
  <si>
    <t>059262121</t>
  </si>
  <si>
    <t>גלית אסתר  בלומפילד</t>
  </si>
  <si>
    <t>515009116</t>
  </si>
  <si>
    <t>א.ג. איזן - אדריכלים ובוני ערים בע״מ</t>
  </si>
  <si>
    <t>050484856</t>
  </si>
  <si>
    <t>פנחס  כצמן</t>
  </si>
  <si>
    <t>589906114</t>
  </si>
  <si>
    <t xml:space="preserve">שירותי בריאות כללית </t>
  </si>
  <si>
    <t>יקירה ערגי</t>
  </si>
  <si>
    <t>034725770</t>
  </si>
  <si>
    <t>איילה  מזרחי</t>
  </si>
  <si>
    <t>500501952</t>
  </si>
  <si>
    <t xml:space="preserve">תאגיד השידור הישראלי </t>
  </si>
  <si>
    <t>כרמית לוי</t>
  </si>
  <si>
    <t>033399767</t>
  </si>
  <si>
    <t>הדס דייזי  אור</t>
  </si>
  <si>
    <t>023611510</t>
  </si>
  <si>
    <t>רן  גולן</t>
  </si>
  <si>
    <t>324544030</t>
  </si>
  <si>
    <t>מיכאל  לניבצב</t>
  </si>
  <si>
    <t>322054883</t>
  </si>
  <si>
    <t>אנה גלידר</t>
  </si>
  <si>
    <t>314406158</t>
  </si>
  <si>
    <t>דיאנה  רינזברג</t>
  </si>
  <si>
    <t>309660637</t>
  </si>
  <si>
    <t>הלנה  אבראמוב</t>
  </si>
  <si>
    <t>305975674</t>
  </si>
  <si>
    <t>בנימין  פילטובסקי</t>
  </si>
  <si>
    <t>514611383</t>
  </si>
  <si>
    <t>מעבדות אנאפורנה בע"מ</t>
  </si>
  <si>
    <t>יובל לוי</t>
  </si>
  <si>
    <t>324035989</t>
  </si>
  <si>
    <t>אופיר סימי  סויסה</t>
  </si>
  <si>
    <t>300732815</t>
  </si>
  <si>
    <t>דורון דוד  בלו</t>
  </si>
  <si>
    <t>200551778</t>
  </si>
  <si>
    <t>אורן  פיטוסי</t>
  </si>
  <si>
    <t>058950684</t>
  </si>
  <si>
    <t>יוסי  אביב</t>
  </si>
  <si>
    <t>038100996</t>
  </si>
  <si>
    <t>רועי  פולק</t>
  </si>
  <si>
    <t>029980539</t>
  </si>
  <si>
    <t>זיו  קזז</t>
  </si>
  <si>
    <t>319122263</t>
  </si>
  <si>
    <t>דניאל  נובק</t>
  </si>
  <si>
    <t>301649083</t>
  </si>
  <si>
    <t>מרדכי חג'ג</t>
  </si>
  <si>
    <t>317205672</t>
  </si>
  <si>
    <t>ילנה  נובק</t>
  </si>
  <si>
    <t>315478875</t>
  </si>
  <si>
    <t>אליהו  דהן</t>
  </si>
  <si>
    <t>500000000</t>
  </si>
  <si>
    <t>שכיר כללי</t>
  </si>
  <si>
    <t>203243969</t>
  </si>
  <si>
    <t>תם  בן יוסף</t>
  </si>
  <si>
    <t>066027103</t>
  </si>
  <si>
    <t>סוזי שלומית  בבליאן</t>
  </si>
  <si>
    <t>512905423</t>
  </si>
  <si>
    <t xml:space="preserve">מקס איט פיננסים בע"מ </t>
  </si>
  <si>
    <t>058438904</t>
  </si>
  <si>
    <t>אברהם  זיקרי</t>
  </si>
  <si>
    <t>038101648</t>
  </si>
  <si>
    <t>רן   סבג</t>
  </si>
  <si>
    <t>036871705</t>
  </si>
  <si>
    <t>רומי  חרצק</t>
  </si>
  <si>
    <t>033763780</t>
  </si>
  <si>
    <t>עינת  גרשוני</t>
  </si>
  <si>
    <t>027753110</t>
  </si>
  <si>
    <t>דנה  רוקסה</t>
  </si>
  <si>
    <t>038553608</t>
  </si>
  <si>
    <t>קרן  אביטן</t>
  </si>
  <si>
    <t>066234949</t>
  </si>
  <si>
    <t xml:space="preserve">אורטל לנג </t>
  </si>
  <si>
    <t>514135862</t>
  </si>
  <si>
    <t xml:space="preserve">מאזני שקל 2008 בע"מ </t>
  </si>
  <si>
    <t>309801868</t>
  </si>
  <si>
    <t>לריסה  גדלקין</t>
  </si>
  <si>
    <t>304062540</t>
  </si>
  <si>
    <t>מרינה רפלוביץ'</t>
  </si>
  <si>
    <t>304260292</t>
  </si>
  <si>
    <t>אלנה  פרי</t>
  </si>
  <si>
    <t>022654149</t>
  </si>
  <si>
    <t>ורד  וייס</t>
  </si>
  <si>
    <t>514507458</t>
  </si>
  <si>
    <t xml:space="preserve">גל אלמגור - וייס סוכנות לביטוח (2010) בע"מ </t>
  </si>
  <si>
    <t>016596678</t>
  </si>
  <si>
    <t>מיכאל  בוסיק</t>
  </si>
  <si>
    <t>036565760</t>
  </si>
  <si>
    <t>עמית  פדידה</t>
  </si>
  <si>
    <t>302623566</t>
  </si>
  <si>
    <t>שלי מזרחי</t>
  </si>
  <si>
    <t>513910703</t>
  </si>
  <si>
    <t xml:space="preserve">איי.די.איי. חברה לביטוח בע"מ </t>
  </si>
  <si>
    <t>211621552</t>
  </si>
  <si>
    <t>טמיר  נזרי</t>
  </si>
  <si>
    <t>206056566</t>
  </si>
  <si>
    <t>שירלי בוכריס</t>
  </si>
  <si>
    <t>013106794</t>
  </si>
  <si>
    <t>קורין  קונסטנטינו</t>
  </si>
  <si>
    <t>500283007</t>
  </si>
  <si>
    <t xml:space="preserve">עיריית ראשון לציון </t>
  </si>
  <si>
    <t>301119947</t>
  </si>
  <si>
    <t>רוית  מנחם</t>
  </si>
  <si>
    <t>300356912</t>
  </si>
  <si>
    <t xml:space="preserve">סיון קליין </t>
  </si>
  <si>
    <t>515127793</t>
  </si>
  <si>
    <t>ביקאם פתרונות טכנולוגים בע"מ</t>
  </si>
  <si>
    <t>515595577</t>
  </si>
  <si>
    <t>די-איידנטיפקטיון בע"מ</t>
  </si>
  <si>
    <t>215974312</t>
  </si>
  <si>
    <t>יובל  טייכטל</t>
  </si>
  <si>
    <t>211610258</t>
  </si>
  <si>
    <t>לינור  כספי</t>
  </si>
  <si>
    <t>516664521</t>
  </si>
  <si>
    <t xml:space="preserve">לנג ביט סוכנות לביטוח פנסיוני ( 2022 ) בע"מ </t>
  </si>
  <si>
    <t>סכום של סכום תנועה</t>
  </si>
  <si>
    <t>תוויות שורה</t>
  </si>
  <si>
    <t>(ריק)</t>
  </si>
  <si>
    <t>סכום כולל</t>
  </si>
  <si>
    <t>תוויות עמודה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</si>
</sst>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 * #,##0_ ;_ * \-#,##0_ ;_ * &quot;-&quot;??_ ;_ @_ "/>
  </numFmts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1" xfId="0" applyBorder="1" applyAlignment="1">
      <alignment horizontal="right"/>
    </xf>
    <xf numFmtId="166" fontId="0" fillId="0" borderId="1" xfId="0" applyNumberFormat="1" applyBorder="1"/>
  </cellXfs>
  <cellStyles count="1">
    <cellStyle name="Normal" xfId="0" builtinId="0"/>
  </cellStyles>
  <dxfs count="17">
    <dxf>
      <numFmt numFmtId="166" formatCode="_ * #,##0_ ;_ * \-#,##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 * #,##0.0_ ;_ * \-#,##0.0_ ;_ * &quot;-&quot;??_ ;_ @_ "/>
    </dxf>
    <dxf>
      <numFmt numFmtId="166" formatCode="_ * #,##0_ ;_ * \-#,##0_ ;_ * &quot;-&quot;??_ ;_ @_ "/>
    </dxf>
    <dxf>
      <numFmt numFmtId="165" formatCode="_ * #,##0.0_ ;_ * \-#,##0.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4" formatCode="_ * #,##0.000_ ;_ * \-#,##0.000_ ;_ * &quot;-&quot;??_ ;_ @_ "/>
    </dxf>
    <dxf>
      <numFmt numFmtId="164" formatCode="_ * #,##0.000_ ;_ * \-#,##0.0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z Erlan" refreshedDate="45914.049634606483" createdVersion="8" refreshedVersion="8" minRefreshableVersion="3" recordCount="99" xr:uid="{C8E7ED8F-E458-4AEF-AB75-35AA218217DE}">
  <cacheSource type="worksheet">
    <worksheetSource name="טבלה1"/>
  </cacheSource>
  <cacheFields count="30">
    <cacheField name="ת.זהות" numFmtId="0">
      <sharedItems containsBlank="1"/>
    </cacheField>
    <cacheField name="שם עמית" numFmtId="0">
      <sharedItems containsBlank="1"/>
    </cacheField>
    <cacheField name="מספר קופה" numFmtId="0">
      <sharedItems containsString="0" containsBlank="1" containsNumber="1" containsInteger="1" minValue="204195" maxValue="1321937"/>
    </cacheField>
    <cacheField name="תאריך פתיחת קופה" numFmtId="0">
      <sharedItems containsNonDate="0" containsDate="1" containsString="0" containsBlank="1" minDate="2020-09-22T15:21:21" maxDate="2025-09-01T09:28:24"/>
    </cacheField>
    <cacheField name="סוג מוצר" numFmtId="0">
      <sharedItems containsBlank="1"/>
    </cacheField>
    <cacheField name="תאריך קבלת טפסים תקינים" numFmtId="0">
      <sharedItems containsNonDate="0" containsDate="1" containsString="0" containsBlank="1" minDate="2020-09-22T00:00:00" maxDate="2025-09-02T00:00:00"/>
    </cacheField>
    <cacheField name="סוג תנועה" numFmtId="0">
      <sharedItems containsBlank="1"/>
    </cacheField>
    <cacheField name="תאריך ערך" numFmtId="0">
      <sharedItems containsNonDate="0" containsDate="1" containsString="0" containsBlank="1" minDate="2025-01-07T00:00:00" maxDate="2025-09-01T00:00:00"/>
    </cacheField>
    <cacheField name="תאריך הזרמה" numFmtId="0">
      <sharedItems containsNonDate="0" containsDate="1" containsString="0" containsBlank="1" minDate="2025-01-08T00:00:00" maxDate="2025-09-03T00:00:00"/>
    </cacheField>
    <cacheField name="סכום תנועה" numFmtId="0">
      <sharedItems containsString="0" containsBlank="1" containsNumber="1" minValue="670.13" maxValue="338417.27"/>
    </cacheField>
    <cacheField name="סוכן מפקח" numFmtId="0">
      <sharedItems containsBlank="1"/>
    </cacheField>
    <cacheField name="מספר סוכן מתוגמל" numFmtId="0">
      <sharedItems containsString="0" containsBlank="1" containsNumber="1" containsInteger="1" minValue="7671" maxValue="24765"/>
    </cacheField>
    <cacheField name="מספר רשיון סוכן מתוגמל" numFmtId="0">
      <sharedItems containsBlank="1"/>
    </cacheField>
    <cacheField name="שם סוכן מתוגמל" numFmtId="0">
      <sharedItems containsBlank="1" count="13">
        <s v="אורן רכס "/>
        <s v="אלרם סוכנות לביטוח (2020) בע&quot;מ "/>
        <s v="אנה גלידר"/>
        <s v="גל אלמגור- סוכנות לביטוח (2008) בע&quot;מ "/>
        <s v="מרדכי חג'ג"/>
        <s v="אורטל לנג "/>
        <s v="מרינה רפלוביץ'"/>
        <s v="גל אלמגור - וייס סוכנות לביטוח (2010) בע&quot;מ "/>
        <s v="שלי מזרחי"/>
        <s v="שירלי בוכריס"/>
        <s v="סיון קליין "/>
        <s v="לנג ביט סוכנות לביטוח פנסיוני ( 2022 ) בע&quot;מ "/>
        <m/>
      </sharedItems>
    </cacheField>
    <cacheField name="סוג סוכן מתוגמל" numFmtId="0">
      <sharedItems containsBlank="1"/>
    </cacheField>
    <cacheField name="עמודה1" numFmtId="0">
      <sharedItems containsBlank="1"/>
    </cacheField>
    <cacheField name="עמודה2" numFmtId="0">
      <sharedItems containsBlank="1"/>
    </cacheField>
    <cacheField name="מספר רשיון בית סוכן מתוגמל" numFmtId="0">
      <sharedItems/>
    </cacheField>
    <cacheField name="שם בית סוכן מתוגמל" numFmtId="0">
      <sharedItems/>
    </cacheField>
    <cacheField name="חודש גיוס" numFmtId="14">
      <sharedItems containsSemiMixedTypes="0" containsNonDate="0" containsDate="1" containsString="0" minDate="2025-01-01T00:00:00" maxDate="2025-08-02T00:00:00" count="8">
        <d v="2025-05-01T00:00:00"/>
        <d v="2025-02-01T00:00:00"/>
        <d v="2025-08-01T00:00:00"/>
        <d v="2025-07-01T00:00:00"/>
        <d v="2025-06-01T00:00:00"/>
        <d v="2025-04-01T00:00:00"/>
        <d v="2025-01-01T00:00:00"/>
        <d v="2025-03-01T00:00:00"/>
      </sharedItems>
      <fieldGroup par="29"/>
    </cacheField>
    <cacheField name="מפקח" numFmtId="0">
      <sharedItems/>
    </cacheField>
    <cacheField name="ערוץ הפצה" numFmtId="0">
      <sharedItems/>
    </cacheField>
    <cacheField name="יעד חודשי" numFmtId="0">
      <sharedItems containsString="0" containsBlank="1" containsNumber="1" minValue="81000" maxValue="787203.76375051227"/>
    </cacheField>
    <cacheField name="ח.פ מעסיק" numFmtId="0">
      <sharedItems containsBlank="1"/>
    </cacheField>
    <cacheField name="שם מעסיק" numFmtId="0">
      <sharedItems containsBlank="1"/>
    </cacheField>
    <cacheField name="מתמ" numFmtId="0">
      <sharedItems containsBlank="1"/>
    </cacheField>
    <cacheField name="קבוצה" numFmtId="0">
      <sharedItems containsBlank="1"/>
    </cacheField>
    <cacheField name="שם בית סוכן היררכיה שנייה" numFmtId="0">
      <sharedItems containsBlank="1"/>
    </cacheField>
    <cacheField name="ימים (חודש גיוס)" numFmtId="0" databaseField="0">
      <fieldGroup base="19">
        <rangePr groupBy="days" startDate="2025-01-01T00:00:00" endDate="2025-08-02T00:00:00"/>
        <groupItems count="368">
          <s v="&lt;01/01/2025"/>
          <s v="01-ינו"/>
          <s v="02-ינו"/>
          <s v="03-ינו"/>
          <s v="04-ינו"/>
          <s v="05-ינו"/>
          <s v="06-ינו"/>
          <s v="07-ינו"/>
          <s v="08-ינו"/>
          <s v="09-ינו"/>
          <s v="10-ינו"/>
          <s v="11-ינו"/>
          <s v="12-ינו"/>
          <s v="13-ינו"/>
          <s v="14-ינו"/>
          <s v="15-ינו"/>
          <s v="16-ינו"/>
          <s v="17-ינו"/>
          <s v="18-ינו"/>
          <s v="19-ינו"/>
          <s v="20-ינו"/>
          <s v="21-ינו"/>
          <s v="22-ינו"/>
          <s v="23-ינו"/>
          <s v="24-ינו"/>
          <s v="25-ינו"/>
          <s v="26-ינו"/>
          <s v="27-ינו"/>
          <s v="28-ינו"/>
          <s v="29-ינו"/>
          <s v="30-ינו"/>
          <s v="31-ינו"/>
          <s v="01-פבר"/>
          <s v="02-פבר"/>
          <s v="03-פבר"/>
          <s v="04-פבר"/>
          <s v="05-פבר"/>
          <s v="06-פבר"/>
          <s v="07-פבר"/>
          <s v="08-פבר"/>
          <s v="09-פבר"/>
          <s v="10-פבר"/>
          <s v="11-פבר"/>
          <s v="12-פבר"/>
          <s v="13-פבר"/>
          <s v="14-פבר"/>
          <s v="15-פבר"/>
          <s v="16-פבר"/>
          <s v="17-פבר"/>
          <s v="18-פבר"/>
          <s v="19-פבר"/>
          <s v="20-פבר"/>
          <s v="21-פבר"/>
          <s v="22-פבר"/>
          <s v="23-פבר"/>
          <s v="24-פבר"/>
          <s v="25-פבר"/>
          <s v="26-פבר"/>
          <s v="27-פבר"/>
          <s v="28-פבר"/>
          <s v="29-פבר"/>
          <s v="01-מרץ"/>
          <s v="02-מרץ"/>
          <s v="03-מרץ"/>
          <s v="04-מרץ"/>
          <s v="05-מרץ"/>
          <s v="06-מרץ"/>
          <s v="07-מרץ"/>
          <s v="08-מרץ"/>
          <s v="09-מרץ"/>
          <s v="10-מרץ"/>
          <s v="11-מרץ"/>
          <s v="12-מרץ"/>
          <s v="13-מרץ"/>
          <s v="14-מרץ"/>
          <s v="15-מרץ"/>
          <s v="16-מרץ"/>
          <s v="17-מרץ"/>
          <s v="18-מרץ"/>
          <s v="19-מרץ"/>
          <s v="20-מרץ"/>
          <s v="21-מרץ"/>
          <s v="22-מרץ"/>
          <s v="23-מרץ"/>
          <s v="24-מרץ"/>
          <s v="25-מרץ"/>
          <s v="26-מרץ"/>
          <s v="27-מרץ"/>
          <s v="28-מרץ"/>
          <s v="29-מרץ"/>
          <s v="30-מרץ"/>
          <s v="31-מרץ"/>
          <s v="01-אפר"/>
          <s v="02-אפר"/>
          <s v="03-אפר"/>
          <s v="04-אפר"/>
          <s v="05-אפר"/>
          <s v="06-אפר"/>
          <s v="07-אפר"/>
          <s v="08-אפר"/>
          <s v="09-אפר"/>
          <s v="10-אפר"/>
          <s v="11-אפר"/>
          <s v="12-אפר"/>
          <s v="13-אפר"/>
          <s v="14-אפר"/>
          <s v="15-אפר"/>
          <s v="16-אפר"/>
          <s v="17-אפר"/>
          <s v="18-אפר"/>
          <s v="19-אפר"/>
          <s v="20-אפר"/>
          <s v="21-אפר"/>
          <s v="22-אפר"/>
          <s v="23-אפר"/>
          <s v="24-אפר"/>
          <s v="25-אפר"/>
          <s v="26-אפר"/>
          <s v="27-אפר"/>
          <s v="28-אפר"/>
          <s v="29-אפר"/>
          <s v="30-אפר"/>
          <s v="01-מאי"/>
          <s v="02-מאי"/>
          <s v="03-מאי"/>
          <s v="04-מאי"/>
          <s v="05-מאי"/>
          <s v="06-מאי"/>
          <s v="07-מאי"/>
          <s v="08-מאי"/>
          <s v="09-מאי"/>
          <s v="10-מאי"/>
          <s v="11-מאי"/>
          <s v="12-מאי"/>
          <s v="13-מאי"/>
          <s v="14-מאי"/>
          <s v="15-מאי"/>
          <s v="16-מאי"/>
          <s v="17-מאי"/>
          <s v="18-מאי"/>
          <s v="19-מאי"/>
          <s v="20-מאי"/>
          <s v="21-מאי"/>
          <s v="22-מאי"/>
          <s v="23-מאי"/>
          <s v="24-מאי"/>
          <s v="25-מאי"/>
          <s v="26-מאי"/>
          <s v="27-מאי"/>
          <s v="28-מאי"/>
          <s v="29-מאי"/>
          <s v="30-מאי"/>
          <s v="31-מאי"/>
          <s v="01-יונ"/>
          <s v="02-יונ"/>
          <s v="03-יונ"/>
          <s v="04-יונ"/>
          <s v="05-יונ"/>
          <s v="06-יונ"/>
          <s v="07-יונ"/>
          <s v="08-יונ"/>
          <s v="09-יונ"/>
          <s v="10-יונ"/>
          <s v="11-יונ"/>
          <s v="12-יונ"/>
          <s v="13-יונ"/>
          <s v="14-יונ"/>
          <s v="15-יונ"/>
          <s v="16-יונ"/>
          <s v="17-יונ"/>
          <s v="18-יונ"/>
          <s v="19-יונ"/>
          <s v="20-יונ"/>
          <s v="21-יונ"/>
          <s v="22-יונ"/>
          <s v="23-יונ"/>
          <s v="24-יונ"/>
          <s v="25-יונ"/>
          <s v="26-יונ"/>
          <s v="27-יונ"/>
          <s v="28-יונ"/>
          <s v="29-יונ"/>
          <s v="30-יונ"/>
          <s v="01-יול"/>
          <s v="02-יול"/>
          <s v="03-יול"/>
          <s v="04-יול"/>
          <s v="05-יול"/>
          <s v="06-יול"/>
          <s v="07-יול"/>
          <s v="08-יול"/>
          <s v="09-יול"/>
          <s v="10-יול"/>
          <s v="11-יול"/>
          <s v="12-יול"/>
          <s v="13-יול"/>
          <s v="14-יול"/>
          <s v="15-יול"/>
          <s v="16-יול"/>
          <s v="17-יול"/>
          <s v="18-יול"/>
          <s v="19-יול"/>
          <s v="20-יול"/>
          <s v="21-יול"/>
          <s v="22-יול"/>
          <s v="23-יול"/>
          <s v="24-יול"/>
          <s v="25-יול"/>
          <s v="26-יול"/>
          <s v="27-יול"/>
          <s v="28-יול"/>
          <s v="29-יול"/>
          <s v="30-יול"/>
          <s v="31-יול"/>
          <s v="01-אוג"/>
          <s v="02-אוג"/>
          <s v="03-אוג"/>
          <s v="04-אוג"/>
          <s v="05-אוג"/>
          <s v="06-אוג"/>
          <s v="07-אוג"/>
          <s v="08-אוג"/>
          <s v="09-אוג"/>
          <s v="10-אוג"/>
          <s v="11-אוג"/>
          <s v="12-אוג"/>
          <s v="13-אוג"/>
          <s v="14-אוג"/>
          <s v="15-אוג"/>
          <s v="16-אוג"/>
          <s v="17-אוג"/>
          <s v="18-אוג"/>
          <s v="19-אוג"/>
          <s v="20-אוג"/>
          <s v="21-אוג"/>
          <s v="22-אוג"/>
          <s v="23-אוג"/>
          <s v="24-אוג"/>
          <s v="25-אוג"/>
          <s v="26-אוג"/>
          <s v="27-אוג"/>
          <s v="28-אוג"/>
          <s v="29-אוג"/>
          <s v="30-אוג"/>
          <s v="31-אוג"/>
          <s v="01-ספט"/>
          <s v="02-ספט"/>
          <s v="03-ספט"/>
          <s v="04-ספט"/>
          <s v="05-ספט"/>
          <s v="06-ספט"/>
          <s v="07-ספט"/>
          <s v="08-ספט"/>
          <s v="09-ספט"/>
          <s v="10-ספט"/>
          <s v="11-ספט"/>
          <s v="12-ספט"/>
          <s v="13-ספט"/>
          <s v="14-ספט"/>
          <s v="15-ספט"/>
          <s v="16-ספט"/>
          <s v="17-ספט"/>
          <s v="18-ספט"/>
          <s v="19-ספט"/>
          <s v="20-ספט"/>
          <s v="21-ספט"/>
          <s v="22-ספט"/>
          <s v="23-ספט"/>
          <s v="24-ספט"/>
          <s v="25-ספט"/>
          <s v="26-ספט"/>
          <s v="27-ספט"/>
          <s v="28-ספט"/>
          <s v="29-ספט"/>
          <s v="30-ספט"/>
          <s v="01-אוק"/>
          <s v="02-אוק"/>
          <s v="03-אוק"/>
          <s v="04-אוק"/>
          <s v="05-אוק"/>
          <s v="06-אוק"/>
          <s v="07-אוק"/>
          <s v="08-אוק"/>
          <s v="09-אוק"/>
          <s v="10-אוק"/>
          <s v="11-אוק"/>
          <s v="12-אוק"/>
          <s v="13-אוק"/>
          <s v="14-אוק"/>
          <s v="15-אוק"/>
          <s v="16-אוק"/>
          <s v="17-אוק"/>
          <s v="18-אוק"/>
          <s v="19-אוק"/>
          <s v="20-אוק"/>
          <s v="21-אוק"/>
          <s v="22-אוק"/>
          <s v="23-אוק"/>
          <s v="24-אוק"/>
          <s v="25-אוק"/>
          <s v="26-אוק"/>
          <s v="27-אוק"/>
          <s v="28-אוק"/>
          <s v="29-אוק"/>
          <s v="30-אוק"/>
          <s v="31-אוק"/>
          <s v="01-נוב"/>
          <s v="02-נוב"/>
          <s v="03-נוב"/>
          <s v="04-נוב"/>
          <s v="05-נוב"/>
          <s v="06-נוב"/>
          <s v="07-נוב"/>
          <s v="08-נוב"/>
          <s v="09-נוב"/>
          <s v="10-נוב"/>
          <s v="11-נוב"/>
          <s v="12-נוב"/>
          <s v="13-נוב"/>
          <s v="14-נוב"/>
          <s v="15-נוב"/>
          <s v="16-נוב"/>
          <s v="17-נוב"/>
          <s v="18-נוב"/>
          <s v="19-נוב"/>
          <s v="20-נוב"/>
          <s v="21-נוב"/>
          <s v="22-נוב"/>
          <s v="23-נוב"/>
          <s v="24-נוב"/>
          <s v="25-נוב"/>
          <s v="26-נוב"/>
          <s v="27-נוב"/>
          <s v="28-נוב"/>
          <s v="29-נוב"/>
          <s v="30-נוב"/>
          <s v="01-דצמ"/>
          <s v="02-דצמ"/>
          <s v="03-דצמ"/>
          <s v="04-דצמ"/>
          <s v="05-דצמ"/>
          <s v="06-דצמ"/>
          <s v="07-דצמ"/>
          <s v="08-דצמ"/>
          <s v="09-דצמ"/>
          <s v="10-דצמ"/>
          <s v="11-דצמ"/>
          <s v="12-דצמ"/>
          <s v="13-דצמ"/>
          <s v="14-דצמ"/>
          <s v="15-דצמ"/>
          <s v="16-דצמ"/>
          <s v="17-דצמ"/>
          <s v="18-דצמ"/>
          <s v="19-דצמ"/>
          <s v="20-דצמ"/>
          <s v="21-דצמ"/>
          <s v="22-דצמ"/>
          <s v="23-דצמ"/>
          <s v="24-דצמ"/>
          <s v="25-דצמ"/>
          <s v="26-דצמ"/>
          <s v="27-דצמ"/>
          <s v="28-דצמ"/>
          <s v="29-דצמ"/>
          <s v="30-דצמ"/>
          <s v="31-דצמ"/>
          <s v="&gt;02/08/2025"/>
        </groupItems>
      </fieldGroup>
    </cacheField>
    <cacheField name="חודשים (חודש גיוס)" numFmtId="0" databaseField="0">
      <fieldGroup base="19">
        <rangePr groupBy="months" startDate="2025-01-01T00:00:00" endDate="2025-08-02T00:00:00"/>
        <groupItems count="14">
          <s v="&lt;01/01/2025"/>
          <s v="ינו"/>
          <s v="פבר"/>
          <s v="מרץ"/>
          <s v="אפר"/>
          <s v="מאי"/>
          <s v="יונ"/>
          <s v="יול"/>
          <s v="אוג"/>
          <s v="ספט"/>
          <s v="אוק"/>
          <s v="נוב"/>
          <s v="דצמ"/>
          <s v="&gt;02/08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s v="301356010"/>
    <s v="סיון  שחר"/>
    <n v="655928"/>
    <d v="2022-08-14T15:07:17"/>
    <s v="קרן השתלמות"/>
    <d v="2022-08-10T00:00:00"/>
    <s v="הפקדה"/>
    <d v="2025-05-08T00:00:00"/>
    <d v="2025-05-11T00:00:00"/>
    <n v="37000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m/>
    <m/>
    <s v=""/>
    <s v="ללא"/>
  </r>
  <r>
    <s v="057449720"/>
    <s v="אריאלה יעל  שטינמץ"/>
    <n v="1170173"/>
    <d v="2025-02-09T12:01:59"/>
    <s v="קופת גמל תגמולים ופיצויים"/>
    <d v="2025-02-09T00:00:00"/>
    <s v="הפקדה ניוד חיצוני"/>
    <d v="2025-02-23T00:00:00"/>
    <d v="2025-02-27T00:00:00"/>
    <n v="996.67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s v="513871517"/>
    <s v="עולם המים של אורי סלע"/>
    <m/>
    <s v=""/>
    <s v="ללא"/>
  </r>
  <r>
    <s v="057449720"/>
    <s v="אריאלה יעל  שטינמץ"/>
    <n v="1167474"/>
    <d v="2025-02-03T07:28:51"/>
    <s v="קופת גמל תגמולים ופיצויים"/>
    <d v="2025-02-02T00:00:00"/>
    <s v="הפקדה ניוד חיצוני"/>
    <d v="2025-02-17T00:00:00"/>
    <d v="2025-02-18T00:00:00"/>
    <n v="24092.41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s v="513871517"/>
    <s v="עולם המים של אורי סלע"/>
    <m/>
    <s v=""/>
    <s v="ללא"/>
  </r>
  <r>
    <s v="057449720"/>
    <s v="אריאלה יעל  שטינמץ"/>
    <n v="1167225"/>
    <d v="2025-02-02T13:40:26"/>
    <s v="קרן השתלמות"/>
    <d v="2025-02-02T00:00:00"/>
    <s v="הפקדה ניוד חיצוני"/>
    <d v="2025-02-16T00:00:00"/>
    <d v="2025-02-17T00:00:00"/>
    <n v="27660.720000000001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s v="513871517"/>
    <s v="עולם המים של אורי סלע"/>
    <m/>
    <s v=""/>
    <s v="ללא"/>
  </r>
  <r>
    <s v="057449720"/>
    <s v="אריאלה יעל  שטינמץ"/>
    <n v="1167222"/>
    <d v="2025-02-02T13:36:52"/>
    <s v="קרן השתלמות"/>
    <d v="2025-02-02T00:00:00"/>
    <s v="הפקדה ניוד חיצוני"/>
    <d v="2025-02-16T00:00:00"/>
    <d v="2025-02-17T00:00:00"/>
    <n v="158713.73000000001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s v="513871517"/>
    <s v="עולם המים של אורי סלע"/>
    <m/>
    <s v=""/>
    <s v="ללא"/>
  </r>
  <r>
    <s v="026519876"/>
    <s v="ליאור  חן"/>
    <n v="810930"/>
    <d v="2023-01-12T16:14:08"/>
    <s v="קופת גמל להשקעה"/>
    <d v="2023-01-12T00:00:00"/>
    <s v="הפקדה"/>
    <d v="2025-08-13T00:00:00"/>
    <d v="2025-09-01T00:00:00"/>
    <n v="20000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m/>
    <m/>
    <s v=""/>
    <s v="ללא"/>
  </r>
  <r>
    <s v="318933603"/>
    <s v="שיר  כהן"/>
    <n v="1082658"/>
    <d v="2024-07-25T11:22:58"/>
    <s v="קרן השתלמות"/>
    <d v="2024-07-24T00:00:00"/>
    <s v="הפקדה"/>
    <d v="2025-07-06T00:00:00"/>
    <d v="2025-07-07T00:00:00"/>
    <n v="15000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m/>
    <m/>
    <s v=""/>
    <s v="ללא"/>
  </r>
  <r>
    <s v="313586067"/>
    <s v="אלישר  סתיו"/>
    <n v="1282451"/>
    <d v="2025-07-20T09:25:25"/>
    <s v="קופת גמל להשקעה"/>
    <d v="2025-07-20T00:00:00"/>
    <s v="הפקדה"/>
    <d v="2025-07-13T00:00:00"/>
    <d v="2025-07-27T00:00:00"/>
    <n v="81000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m/>
    <m/>
    <s v=""/>
    <s v="ללא"/>
  </r>
  <r>
    <s v="312358187"/>
    <s v="דניאל אסתר  שגב קפוזה"/>
    <n v="1233524"/>
    <d v="2025-05-25T09:58:13"/>
    <s v="קופת גמל להשקעה"/>
    <d v="2025-05-26T00:00:00"/>
    <s v="הפקדה"/>
    <d v="2025-06-09T00:00:00"/>
    <d v="2025-06-10T00:00:00"/>
    <n v="10000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4"/>
    <s v="Oz Erlan"/>
    <s v="סוכנים"/>
    <m/>
    <m/>
    <m/>
    <m/>
    <s v=""/>
    <s v="ללא"/>
  </r>
  <r>
    <s v="312358187"/>
    <s v="דניאל אסתר  שגב קפוזה"/>
    <n v="1233524"/>
    <d v="2025-05-25T09:58:13"/>
    <s v="קופת גמל להשקעה"/>
    <d v="2025-05-26T00:00:00"/>
    <s v="הפקדה"/>
    <d v="2025-05-27T00:00:00"/>
    <d v="2025-06-01T00:00:00"/>
    <n v="8000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m/>
    <m/>
    <s v=""/>
    <s v="ללא"/>
  </r>
  <r>
    <s v="207961541"/>
    <s v="דולב  אסרף"/>
    <n v="1224697"/>
    <d v="2025-05-14T10:43:02"/>
    <s v="קופת גמל להשקעה"/>
    <d v="2025-05-12T00:00:00"/>
    <s v="הפקדה"/>
    <d v="2025-05-08T00:00:00"/>
    <d v="2025-05-15T00:00:00"/>
    <n v="30000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m/>
    <m/>
    <s v=""/>
    <s v="ללא"/>
  </r>
  <r>
    <s v="059262121"/>
    <s v="גלית אסתר  בלומפילד"/>
    <n v="1187451"/>
    <d v="2025-03-13T12:25:26"/>
    <s v="קרן השתלמות"/>
    <d v="2025-03-11T00:00:00"/>
    <s v="הפקדה ניוד חיצוני"/>
    <d v="2025-04-28T00:00:00"/>
    <d v="2025-04-29T00:00:00"/>
    <n v="87773.35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5"/>
    <s v="Oz Erlan"/>
    <s v="סוכנים"/>
    <m/>
    <s v="515009116"/>
    <s v="א.ג. איזן - אדריכלים ובוני ערים בע״מ"/>
    <m/>
    <s v=""/>
    <s v="ללא"/>
  </r>
  <r>
    <s v="050484856"/>
    <s v="פנחס  כצמן"/>
    <n v="1216539"/>
    <d v="2025-05-04T10:43:23"/>
    <s v="קרן השתלמות"/>
    <d v="2025-04-29T00:00:00"/>
    <s v="הפקדה ניוד חיצוני"/>
    <d v="2025-05-18T00:00:00"/>
    <d v="2025-05-19T00:00:00"/>
    <n v="121715.31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s v="589906114"/>
    <s v="שירותי בריאות כללית "/>
    <s v="יקירה ערגי"/>
    <s v=""/>
    <s v="ללא"/>
  </r>
  <r>
    <s v="034725770"/>
    <s v="איילה  מזרחי"/>
    <n v="1155164"/>
    <d v="2025-01-12T15:22:11"/>
    <s v="קרן השתלמות"/>
    <d v="2025-01-12T00:00:00"/>
    <s v="הפקדה ניוד חיצוני"/>
    <d v="2025-02-19T00:00:00"/>
    <d v="2025-02-24T00:00:00"/>
    <n v="338417.27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s v="500501952"/>
    <s v="תאגיד השידור הישראלי "/>
    <s v="כרמית לוי"/>
    <s v=""/>
    <s v="ללא"/>
  </r>
  <r>
    <s v="033399767"/>
    <s v="הדס דייזי  אור"/>
    <n v="1163358"/>
    <d v="2025-01-22T14:33:06"/>
    <s v="קופת גמל להשקעה"/>
    <m/>
    <s v="הפקדה"/>
    <d v="2025-01-14T00:00:00"/>
    <d v="2025-01-23T00:00:00"/>
    <n v="28000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6"/>
    <s v="Oz Erlan"/>
    <s v="סוכנים"/>
    <m/>
    <m/>
    <m/>
    <m/>
    <s v=""/>
    <s v="ללא"/>
  </r>
  <r>
    <s v="023611510"/>
    <s v="רן  גולן"/>
    <n v="1313660"/>
    <d v="2025-08-20T15:27:05"/>
    <s v="קופת גמל להשקעה"/>
    <d v="2025-08-20T00:00:00"/>
    <s v="הפקדה"/>
    <d v="2025-08-19T00:00:00"/>
    <d v="2025-08-21T00:00:00"/>
    <n v="60000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m/>
    <m/>
    <s v=""/>
    <s v="ללא"/>
  </r>
  <r>
    <s v="324544030"/>
    <s v="מיכאל  לניבצב"/>
    <n v="221896"/>
    <d v="2020-11-10T11:22:39"/>
    <s v="קרן השתלמות"/>
    <d v="2020-11-10T00:00:00"/>
    <s v="הפקדה"/>
    <d v="2025-01-14T00:00:00"/>
    <d v="2025-01-16T00:00:00"/>
    <n v="20520"/>
    <s v="Oz Erlan"/>
    <n v="7733"/>
    <s v="322054883"/>
    <x v="2"/>
    <s v="סוכנים"/>
    <s v="514188952"/>
    <s v="גל אלמגור- סוכנות לביטוח (2008) בע&quot;מ "/>
    <s v="514188952"/>
    <s v="גל אלמגור- סוכנות לביטוח (2008) בע&quot;מ "/>
    <x v="6"/>
    <s v="Oz Erlan"/>
    <s v="סוכנים"/>
    <m/>
    <m/>
    <m/>
    <m/>
    <s v=""/>
    <s v="ללא"/>
  </r>
  <r>
    <s v="314406158"/>
    <s v="דיאנה  רינזברג"/>
    <n v="238569"/>
    <d v="2020-12-15T10:49:15"/>
    <s v="קרן השתלמות"/>
    <d v="2020-12-15T00:00:00"/>
    <s v="הפקדה"/>
    <d v="2025-01-21T00:00:00"/>
    <d v="2025-02-04T00:00:00"/>
    <n v="10000"/>
    <s v="Oz Erlan"/>
    <n v="7733"/>
    <s v="322054883"/>
    <x v="2"/>
    <s v="סוכנים"/>
    <s v="514188952"/>
    <s v="גל אלמגור- סוכנות לביטוח (2008) בע&quot;מ "/>
    <s v="514188952"/>
    <s v="גל אלמגור- סוכנות לביטוח (2008) בע&quot;מ "/>
    <x v="6"/>
    <s v="Oz Erlan"/>
    <s v="סוכנים"/>
    <m/>
    <m/>
    <m/>
    <m/>
    <s v=""/>
    <s v="ללא"/>
  </r>
  <r>
    <s v="309660637"/>
    <s v="הלנה  אבראמוב"/>
    <n v="358658"/>
    <d v="2021-06-17T11:54:19"/>
    <s v="קרן השתלמות"/>
    <d v="2021-06-15T00:00:00"/>
    <s v="הפקדה"/>
    <d v="2025-01-30T00:00:00"/>
    <d v="2025-02-03T00:00:00"/>
    <n v="10000"/>
    <s v="Oz Erlan"/>
    <n v="7733"/>
    <s v="322054883"/>
    <x v="2"/>
    <s v="סוכנים"/>
    <s v="514188952"/>
    <s v="גל אלמגור- סוכנות לביטוח (2008) בע&quot;מ "/>
    <s v="514188952"/>
    <s v="גל אלמגור- סוכנות לביטוח (2008) בע&quot;מ "/>
    <x v="6"/>
    <s v="Oz Erlan"/>
    <s v="סוכנים"/>
    <m/>
    <m/>
    <m/>
    <m/>
    <s v=""/>
    <s v="ללא"/>
  </r>
  <r>
    <s v="305975674"/>
    <s v="בנימין  פילטובסקי"/>
    <n v="227745"/>
    <d v="2020-11-23T17:02:21"/>
    <s v="קרן השתלמות"/>
    <d v="2020-11-23T00:00:00"/>
    <s v="הפקדה"/>
    <d v="2025-08-04T00:00:00"/>
    <d v="2025-08-10T00:00:00"/>
    <n v="6289.33"/>
    <s v="Oz Erlan"/>
    <n v="7733"/>
    <s v="322054883"/>
    <x v="2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s v="514611383"/>
    <s v="מעבדות אנאפורנה בע&quot;מ"/>
    <s v="יובל לוי"/>
    <s v=""/>
    <s v="ללא"/>
  </r>
  <r>
    <s v="305975674"/>
    <s v="בנימין  פילטובסקי"/>
    <n v="227745"/>
    <d v="2020-11-23T17:02:21"/>
    <s v="קרן השתלמות"/>
    <d v="2020-11-23T00:00:00"/>
    <s v="הפקדה"/>
    <d v="2025-07-03T00:00:00"/>
    <d v="2025-07-10T00:00:00"/>
    <n v="6289.33"/>
    <s v="Oz Erlan"/>
    <n v="7733"/>
    <s v="322054883"/>
    <x v="2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s v="514611383"/>
    <s v="מעבדות אנאפורנה בע&quot;מ"/>
    <s v="יובל לוי"/>
    <s v=""/>
    <s v="ללא"/>
  </r>
  <r>
    <s v="305975674"/>
    <s v="בנימין  פילטובסקי"/>
    <n v="227745"/>
    <d v="2020-11-23T17:02:21"/>
    <s v="קרן השתלמות"/>
    <d v="2020-11-23T00:00:00"/>
    <s v="הפקדה"/>
    <d v="2025-06-03T00:00:00"/>
    <d v="2025-06-09T00:00:00"/>
    <n v="6289.33"/>
    <s v="Oz Erlan"/>
    <n v="7733"/>
    <s v="322054883"/>
    <x v="2"/>
    <s v="סוכנים"/>
    <s v="514188952"/>
    <s v="גל אלמגור- סוכנות לביטוח (2008) בע&quot;מ "/>
    <s v="514188952"/>
    <s v="גל אלמגור- סוכנות לביטוח (2008) בע&quot;מ "/>
    <x v="4"/>
    <s v="Oz Erlan"/>
    <s v="סוכנים"/>
    <m/>
    <s v="514611383"/>
    <s v="מעבדות אנאפורנה בע&quot;מ"/>
    <s v="יובל לוי"/>
    <s v=""/>
    <s v="ללא"/>
  </r>
  <r>
    <s v="305975674"/>
    <s v="בנימין  פילטובסקי"/>
    <n v="227745"/>
    <d v="2020-11-23T17:02:21"/>
    <s v="קרן השתלמות"/>
    <d v="2020-11-23T00:00:00"/>
    <s v="הפקדה"/>
    <d v="2025-05-05T00:00:00"/>
    <d v="2025-05-11T00:00:00"/>
    <n v="6289.33"/>
    <s v="Oz Erlan"/>
    <n v="7733"/>
    <s v="322054883"/>
    <x v="2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s v="514611383"/>
    <s v="מעבדות אנאפורנה בע&quot;מ"/>
    <s v="יובל לוי"/>
    <s v=""/>
    <s v="ללא"/>
  </r>
  <r>
    <s v="305975674"/>
    <s v="בנימין  פילטובסקי"/>
    <n v="227745"/>
    <d v="2020-11-23T17:02:21"/>
    <s v="קרן השתלמות"/>
    <d v="2020-11-23T00:00:00"/>
    <s v="הפקדה"/>
    <d v="2025-04-03T00:00:00"/>
    <d v="2025-04-09T00:00:00"/>
    <n v="6289.33"/>
    <s v="Oz Erlan"/>
    <n v="7733"/>
    <s v="322054883"/>
    <x v="2"/>
    <s v="סוכנים"/>
    <s v="514188952"/>
    <s v="גל אלמגור- סוכנות לביטוח (2008) בע&quot;מ "/>
    <s v="514188952"/>
    <s v="גל אלמגור- סוכנות לביטוח (2008) בע&quot;מ "/>
    <x v="5"/>
    <s v="Oz Erlan"/>
    <s v="סוכנים"/>
    <m/>
    <s v="514611383"/>
    <s v="מעבדות אנאפורנה בע&quot;מ"/>
    <s v="יובל לוי"/>
    <s v=""/>
    <s v="ללא"/>
  </r>
  <r>
    <s v="305975674"/>
    <s v="בנימין  פילטובסקי"/>
    <n v="227745"/>
    <d v="2020-11-23T17:02:21"/>
    <s v="קרן השתלמות"/>
    <d v="2020-11-23T00:00:00"/>
    <s v="הפקדה"/>
    <d v="2025-03-04T00:00:00"/>
    <d v="2025-03-06T00:00:00"/>
    <n v="6047.51"/>
    <s v="Oz Erlan"/>
    <n v="7733"/>
    <s v="322054883"/>
    <x v="2"/>
    <s v="סוכנים"/>
    <s v="514188952"/>
    <s v="גל אלמגור- סוכנות לביטוח (2008) בע&quot;מ "/>
    <s v="514188952"/>
    <s v="גל אלמגור- סוכנות לביטוח (2008) בע&quot;מ "/>
    <x v="7"/>
    <s v="Oz Erlan"/>
    <s v="סוכנים"/>
    <m/>
    <s v="514611383"/>
    <s v="מעבדות אנאפורנה בע&quot;מ"/>
    <s v="יובל לוי"/>
    <s v=""/>
    <s v="ללא"/>
  </r>
  <r>
    <s v="305975674"/>
    <s v="בנימין  פילטובסקי"/>
    <n v="227745"/>
    <d v="2020-11-23T17:02:21"/>
    <s v="קרן השתלמות"/>
    <d v="2020-11-23T00:00:00"/>
    <s v="הפקדה"/>
    <d v="2025-02-03T00:00:00"/>
    <d v="2025-02-05T00:00:00"/>
    <n v="6047.51"/>
    <s v="Oz Erlan"/>
    <n v="7733"/>
    <s v="322054883"/>
    <x v="2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s v="514611383"/>
    <s v="מעבדות אנאפורנה בע&quot;מ"/>
    <s v="יובל לוי"/>
    <s v=""/>
    <s v="ללא"/>
  </r>
  <r>
    <s v="305975674"/>
    <s v="בנימין  פילטובסקי"/>
    <n v="227745"/>
    <d v="2020-11-23T17:02:21"/>
    <s v="קרן השתלמות"/>
    <d v="2020-11-23T00:00:00"/>
    <s v="הפקדה"/>
    <d v="2025-01-07T00:00:00"/>
    <d v="2025-01-22T00:00:00"/>
    <n v="6047.51"/>
    <s v="Oz Erlan"/>
    <n v="7733"/>
    <s v="322054883"/>
    <x v="2"/>
    <s v="סוכנים"/>
    <s v="514188952"/>
    <s v="גל אלמגור- סוכנות לביטוח (2008) בע&quot;מ "/>
    <s v="514188952"/>
    <s v="גל אלמגור- סוכנות לביטוח (2008) בע&quot;מ "/>
    <x v="6"/>
    <s v="Oz Erlan"/>
    <s v="סוכנים"/>
    <m/>
    <s v="514611383"/>
    <s v="מעבדות אנאפורנה בע&quot;מ"/>
    <s v="יובל לוי"/>
    <s v=""/>
    <s v="ללא"/>
  </r>
  <r>
    <s v="324035989"/>
    <s v="אופיר סימי  סויסה"/>
    <n v="1301843"/>
    <d v="2025-08-07T07:09:42"/>
    <s v="קופת גמל תגמולים ופיצויים"/>
    <d v="2025-08-05T00:00:00"/>
    <s v="הפקדה ניוד חיצוני"/>
    <d v="2025-08-21T00:00:00"/>
    <d v="2025-08-24T00:00:00"/>
    <n v="29099.97"/>
    <s v="Oz Erlan"/>
    <n v="7675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m/>
    <m/>
    <s v=""/>
    <s v="ללא"/>
  </r>
  <r>
    <s v="324035989"/>
    <s v="אופיר סימי  סויסה"/>
    <n v="1287325"/>
    <d v="2025-07-23T12:51:54"/>
    <s v="קופת גמל תגמולים ופיצויים"/>
    <d v="2025-07-23T00:00:00"/>
    <s v="הפקדה ניוד חיצוני"/>
    <d v="2025-08-07T00:00:00"/>
    <d v="2025-08-10T00:00:00"/>
    <n v="16198.5"/>
    <s v="Oz Erlan"/>
    <n v="7675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m/>
    <m/>
    <s v=""/>
    <s v="ללא"/>
  </r>
  <r>
    <s v="300732815"/>
    <s v="דורון דוד  בלו"/>
    <n v="700629"/>
    <d v="2022-10-19T13:00:02"/>
    <s v="קופת גמל להשקעה"/>
    <d v="2022-10-19T00:00:00"/>
    <s v="הפקדה"/>
    <d v="2025-07-23T00:00:00"/>
    <d v="2025-07-27T00:00:00"/>
    <n v="57000"/>
    <s v="Oz Erlan"/>
    <n v="7671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m/>
    <m/>
    <s v=""/>
    <s v="ללא"/>
  </r>
  <r>
    <s v="200551778"/>
    <s v="אורן  פיטוסי"/>
    <n v="580434"/>
    <d v="2022-05-25T10:58:07"/>
    <s v="קופת גמל להשקעה"/>
    <m/>
    <s v="הפקדה"/>
    <d v="2025-01-26T00:00:00"/>
    <d v="2025-01-27T00:00:00"/>
    <n v="50000"/>
    <s v="Oz Erlan"/>
    <n v="7675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6"/>
    <s v="Oz Erlan"/>
    <s v="סוכנים"/>
    <m/>
    <m/>
    <m/>
    <m/>
    <s v=""/>
    <s v="ללא"/>
  </r>
  <r>
    <s v="058950684"/>
    <s v="יוסי  אביב"/>
    <n v="204195"/>
    <d v="2020-09-22T15:21:21"/>
    <s v="קופת גמל להשקעה"/>
    <d v="2020-09-22T00:00:00"/>
    <s v="הפקדה"/>
    <d v="2025-08-17T00:00:00"/>
    <d v="2025-08-17T00:00:00"/>
    <n v="5945"/>
    <s v="Oz Erlan"/>
    <n v="7675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m/>
    <m/>
    <s v=""/>
    <s v="ללא"/>
  </r>
  <r>
    <s v="058950684"/>
    <s v="יוסי  אביב"/>
    <n v="204195"/>
    <d v="2020-09-22T15:21:21"/>
    <s v="קופת גמל להשקעה"/>
    <d v="2020-09-22T00:00:00"/>
    <s v="הפקדה"/>
    <d v="2025-07-15T00:00:00"/>
    <d v="2025-07-15T00:00:00"/>
    <n v="5945"/>
    <s v="Oz Erlan"/>
    <n v="7675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m/>
    <m/>
    <s v=""/>
    <s v="ללא"/>
  </r>
  <r>
    <s v="058950684"/>
    <s v="יוסי  אביב"/>
    <n v="204195"/>
    <d v="2020-09-22T15:21:21"/>
    <s v="קופת גמל להשקעה"/>
    <d v="2020-09-22T00:00:00"/>
    <s v="הפקדה"/>
    <d v="2025-06-15T00:00:00"/>
    <d v="2025-06-15T00:00:00"/>
    <n v="5945"/>
    <s v="Oz Erlan"/>
    <n v="7675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4"/>
    <s v="Oz Erlan"/>
    <s v="סוכנים"/>
    <m/>
    <m/>
    <m/>
    <m/>
    <s v=""/>
    <s v="ללא"/>
  </r>
  <r>
    <s v="058950684"/>
    <s v="יוסי  אביב"/>
    <n v="204195"/>
    <d v="2020-09-22T15:21:21"/>
    <s v="קופת גמל להשקעה"/>
    <d v="2020-09-22T00:00:00"/>
    <s v="הפקדה"/>
    <d v="2025-05-15T00:00:00"/>
    <d v="2025-05-15T00:00:00"/>
    <n v="5945"/>
    <s v="Oz Erlan"/>
    <n v="7675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m/>
    <m/>
    <s v=""/>
    <s v="ללא"/>
  </r>
  <r>
    <s v="058950684"/>
    <s v="יוסי  אביב"/>
    <n v="204195"/>
    <d v="2020-09-22T15:21:21"/>
    <s v="קופת גמל להשקעה"/>
    <d v="2020-09-22T00:00:00"/>
    <s v="הפקדה"/>
    <d v="2025-04-15T00:00:00"/>
    <d v="2025-04-15T00:00:00"/>
    <n v="5945"/>
    <s v="Oz Erlan"/>
    <n v="7675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5"/>
    <s v="Oz Erlan"/>
    <s v="סוכנים"/>
    <m/>
    <m/>
    <m/>
    <m/>
    <s v=""/>
    <s v="ללא"/>
  </r>
  <r>
    <s v="058950684"/>
    <s v="יוסי  אביב"/>
    <n v="204195"/>
    <d v="2020-09-22T15:21:21"/>
    <s v="קופת גמל להשקעה"/>
    <d v="2020-09-22T00:00:00"/>
    <s v="הפקדה"/>
    <d v="2025-03-16T00:00:00"/>
    <d v="2025-03-16T00:00:00"/>
    <n v="5945"/>
    <s v="Oz Erlan"/>
    <n v="7675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7"/>
    <s v="Oz Erlan"/>
    <s v="סוכנים"/>
    <m/>
    <m/>
    <m/>
    <m/>
    <s v=""/>
    <s v="ללא"/>
  </r>
  <r>
    <s v="058950684"/>
    <s v="יוסי  אביב"/>
    <n v="204195"/>
    <d v="2020-09-22T15:21:21"/>
    <s v="קופת גמל להשקעה"/>
    <d v="2020-09-22T00:00:00"/>
    <s v="הפקדה"/>
    <d v="2025-02-16T00:00:00"/>
    <d v="2025-02-16T00:00:00"/>
    <n v="5945"/>
    <s v="Oz Erlan"/>
    <n v="7675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m/>
    <m/>
    <m/>
    <s v=""/>
    <s v="ללא"/>
  </r>
  <r>
    <s v="058950684"/>
    <s v="יוסי  אביב"/>
    <n v="204195"/>
    <d v="2020-09-22T15:21:21"/>
    <s v="קופת גמל להשקעה"/>
    <d v="2020-09-22T00:00:00"/>
    <s v="הפקדה"/>
    <d v="2025-01-15T00:00:00"/>
    <d v="2025-01-15T00:00:00"/>
    <n v="5945"/>
    <s v="Oz Erlan"/>
    <n v="7675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6"/>
    <s v="Oz Erlan"/>
    <s v="סוכנים"/>
    <m/>
    <m/>
    <m/>
    <m/>
    <s v=""/>
    <s v="ללא"/>
  </r>
  <r>
    <s v="038100996"/>
    <s v="רועי  פולק"/>
    <n v="826456"/>
    <d v="2023-01-25T16:38:10"/>
    <s v="קופת גמל להשקעה"/>
    <d v="2023-01-25T00:00:00"/>
    <s v="הפקדה"/>
    <d v="2025-03-10T00:00:00"/>
    <d v="2025-03-13T00:00:00"/>
    <n v="6600"/>
    <s v="Oz Erlan"/>
    <n v="7675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7"/>
    <s v="Oz Erlan"/>
    <s v="סוכנים"/>
    <m/>
    <m/>
    <m/>
    <m/>
    <s v=""/>
    <s v="ללא"/>
  </r>
  <r>
    <s v="038100996"/>
    <s v="רועי  פולק"/>
    <n v="826456"/>
    <d v="2023-01-25T16:38:10"/>
    <s v="קופת גמל להשקעה"/>
    <d v="2023-01-25T00:00:00"/>
    <s v="הפקדה"/>
    <d v="2025-02-10T00:00:00"/>
    <d v="2025-02-10T00:00:00"/>
    <n v="6300"/>
    <s v="Oz Erlan"/>
    <n v="7675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m/>
    <m/>
    <m/>
    <s v=""/>
    <s v="ללא"/>
  </r>
  <r>
    <s v="038100996"/>
    <s v="רועי  פולק"/>
    <n v="826456"/>
    <d v="2023-01-25T16:38:10"/>
    <s v="קופת גמל להשקעה"/>
    <d v="2023-01-25T00:00:00"/>
    <s v="הפקדה"/>
    <d v="2025-01-12T00:00:00"/>
    <d v="2025-01-12T00:00:00"/>
    <n v="6300"/>
    <s v="Oz Erlan"/>
    <n v="7675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6"/>
    <s v="Oz Erlan"/>
    <s v="סוכנים"/>
    <m/>
    <m/>
    <m/>
    <m/>
    <s v=""/>
    <s v="ללא"/>
  </r>
  <r>
    <s v="029980539"/>
    <s v="זיו  קזז"/>
    <n v="807287"/>
    <d v="2023-01-10T13:02:06"/>
    <s v="קופת גמל להשקעה"/>
    <d v="2023-01-10T00:00:00"/>
    <s v="הפקדה"/>
    <d v="2025-05-11T00:00:00"/>
    <d v="2025-05-11T00:00:00"/>
    <n v="5000"/>
    <s v="Oz Erlan"/>
    <n v="7671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m/>
    <m/>
    <s v=""/>
    <s v="ללא"/>
  </r>
  <r>
    <s v="029980539"/>
    <s v="זיו  קזז"/>
    <n v="807287"/>
    <d v="2023-01-10T13:02:06"/>
    <s v="קופת גמל להשקעה"/>
    <d v="2023-01-10T00:00:00"/>
    <s v="הפקדה"/>
    <d v="2025-04-10T00:00:00"/>
    <d v="2025-04-10T00:00:00"/>
    <n v="5000"/>
    <s v="Oz Erlan"/>
    <n v="7671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5"/>
    <s v="Oz Erlan"/>
    <s v="סוכנים"/>
    <m/>
    <m/>
    <m/>
    <m/>
    <s v=""/>
    <s v="ללא"/>
  </r>
  <r>
    <s v="029980539"/>
    <s v="זיו  קזז"/>
    <n v="807287"/>
    <d v="2023-01-10T13:02:06"/>
    <s v="קופת גמל להשקעה"/>
    <d v="2023-01-10T00:00:00"/>
    <s v="הפקדה"/>
    <d v="2025-03-10T00:00:00"/>
    <d v="2025-03-13T00:00:00"/>
    <n v="5000"/>
    <s v="Oz Erlan"/>
    <n v="7671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7"/>
    <s v="Oz Erlan"/>
    <s v="סוכנים"/>
    <m/>
    <m/>
    <m/>
    <m/>
    <s v=""/>
    <s v="ללא"/>
  </r>
  <r>
    <s v="029980539"/>
    <s v="זיו  קזז"/>
    <n v="807287"/>
    <d v="2023-01-10T13:02:06"/>
    <s v="קופת גמל להשקעה"/>
    <d v="2023-01-10T00:00:00"/>
    <s v="הפקדה"/>
    <d v="2025-02-10T00:00:00"/>
    <d v="2025-02-10T00:00:00"/>
    <n v="5000"/>
    <s v="Oz Erlan"/>
    <n v="7671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m/>
    <m/>
    <m/>
    <s v=""/>
    <s v="ללא"/>
  </r>
  <r>
    <s v="029980539"/>
    <s v="זיו  קזז"/>
    <n v="807287"/>
    <d v="2023-01-10T13:02:06"/>
    <s v="קופת גמל להשקעה"/>
    <d v="2023-01-10T00:00:00"/>
    <s v="הפקדה"/>
    <d v="2025-01-12T00:00:00"/>
    <d v="2025-01-12T00:00:00"/>
    <n v="5000"/>
    <s v="Oz Erlan"/>
    <n v="7671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6"/>
    <s v="Oz Erlan"/>
    <s v="סוכנים"/>
    <m/>
    <m/>
    <m/>
    <m/>
    <s v=""/>
    <s v="ללא"/>
  </r>
  <r>
    <s v="319122263"/>
    <s v="דניאל  נובק"/>
    <n v="1313412"/>
    <d v="2025-08-20T13:17:40"/>
    <s v="קופת גמל להשקעה"/>
    <d v="2025-08-20T00:00:00"/>
    <s v="הפקדה ניוד חיצוני"/>
    <d v="2025-08-31T00:00:00"/>
    <d v="2025-09-01T00:00:00"/>
    <n v="118036.31"/>
    <s v="Oz Erlan"/>
    <n v="24765"/>
    <s v="301649083"/>
    <x v="4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m/>
    <m/>
    <s v=""/>
    <s v="ללא"/>
  </r>
  <r>
    <s v="317205672"/>
    <s v="ילנה  נובק"/>
    <n v="1313070"/>
    <d v="2025-08-20T10:25:44"/>
    <s v="קופת גמל להשקעה"/>
    <d v="2025-08-20T00:00:00"/>
    <s v="הפקדה ניוד חיצוני"/>
    <d v="2025-08-31T00:00:00"/>
    <d v="2025-09-01T00:00:00"/>
    <n v="3985.52"/>
    <s v="Oz Erlan"/>
    <n v="24765"/>
    <s v="301649083"/>
    <x v="4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m/>
    <m/>
    <s v=""/>
    <s v="ללא"/>
  </r>
  <r>
    <s v="315478875"/>
    <s v="אליהו  דהן"/>
    <n v="1313242"/>
    <d v="2025-08-20T11:41:05"/>
    <s v="קופת גמל תגמולים ופיצויים"/>
    <d v="2025-08-20T00:00:00"/>
    <s v="הפקדה ניוד חיצוני"/>
    <d v="2025-08-28T00:00:00"/>
    <d v="2025-08-31T00:00:00"/>
    <n v="51605.440000000002"/>
    <s v="Oz Erlan"/>
    <n v="24765"/>
    <s v="301649083"/>
    <x v="4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s v="500000000"/>
    <s v="שכיר כללי"/>
    <m/>
    <s v=""/>
    <s v="ללא"/>
  </r>
  <r>
    <s v="315478875"/>
    <s v="אליהו  דהן"/>
    <n v="1309920"/>
    <d v="2025-08-17T12:40:06"/>
    <s v="קרן השתלמות"/>
    <d v="2025-08-14T00:00:00"/>
    <s v="הפקדה ניוד חיצוני"/>
    <d v="2025-08-31T00:00:00"/>
    <d v="2025-09-01T00:00:00"/>
    <n v="13458.39"/>
    <s v="Oz Erlan"/>
    <n v="24765"/>
    <s v="301649083"/>
    <x v="4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s v="500000000"/>
    <s v="שכיר כללי"/>
    <m/>
    <s v=""/>
    <s v="ללא"/>
  </r>
  <r>
    <s v="203243969"/>
    <s v="תם  בן יוסף"/>
    <n v="1304949"/>
    <d v="2025-08-11T12:02:34"/>
    <s v="קופת גמל תגמולים ופיצויים"/>
    <d v="2025-08-11T00:00:00"/>
    <s v="הפקדה ניוד חיצוני"/>
    <d v="2025-08-25T00:00:00"/>
    <d v="2025-08-26T00:00:00"/>
    <n v="70604.77"/>
    <s v="Oz Erlan"/>
    <n v="24765"/>
    <s v="301649083"/>
    <x v="4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s v="500000000"/>
    <s v="שכיר כללי"/>
    <m/>
    <s v=""/>
    <s v="ללא"/>
  </r>
  <r>
    <s v="203243969"/>
    <s v="תם  בן יוסף"/>
    <n v="1304875"/>
    <d v="2025-08-11T11:36:09"/>
    <s v="קופת גמל תגמולים ופיצויים"/>
    <d v="2025-08-11T00:00:00"/>
    <s v="הפקדה ניוד חיצוני"/>
    <d v="2025-08-25T00:00:00"/>
    <d v="2025-08-26T00:00:00"/>
    <n v="9915.52"/>
    <s v="Oz Erlan"/>
    <n v="24765"/>
    <s v="301649083"/>
    <x v="4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s v="500000000"/>
    <s v="שכיר כללי"/>
    <m/>
    <s v=""/>
    <s v="ללא"/>
  </r>
  <r>
    <s v="203243969"/>
    <s v="תם  בן יוסף"/>
    <n v="1304691"/>
    <d v="2025-08-11T10:16:43"/>
    <s v="קופת גמל תגמולים ופיצויים"/>
    <d v="2025-08-11T00:00:00"/>
    <s v="הפקדה ניוד חיצוני"/>
    <d v="2025-08-25T00:00:00"/>
    <d v="2025-08-26T00:00:00"/>
    <n v="670.13"/>
    <s v="Oz Erlan"/>
    <n v="24765"/>
    <s v="301649083"/>
    <x v="4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s v="500000000"/>
    <s v="שכיר כללי"/>
    <m/>
    <s v=""/>
    <s v="ללא"/>
  </r>
  <r>
    <s v="203243969"/>
    <s v="תם  בן יוסף"/>
    <n v="1304684"/>
    <d v="2025-08-11T10:14:51"/>
    <s v="קופת גמל תגמולים ופיצויים"/>
    <d v="2025-08-11T00:00:00"/>
    <s v="הפקדה ניוד חיצוני"/>
    <d v="2025-08-25T00:00:00"/>
    <d v="2025-08-26T00:00:00"/>
    <n v="1374.05"/>
    <s v="Oz Erlan"/>
    <n v="24765"/>
    <s v="301649083"/>
    <x v="4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s v="500000000"/>
    <s v="שכיר כללי"/>
    <m/>
    <s v=""/>
    <s v="ללא"/>
  </r>
  <r>
    <s v="203243969"/>
    <s v="תם  בן יוסף"/>
    <n v="1304682"/>
    <d v="2025-08-11T10:12:55"/>
    <s v="קופת גמל תגמולים ופיצויים"/>
    <d v="2025-08-11T00:00:00"/>
    <s v="הפקדה ניוד חיצוני"/>
    <d v="2025-08-25T00:00:00"/>
    <d v="2025-08-26T00:00:00"/>
    <n v="4486.95"/>
    <s v="Oz Erlan"/>
    <n v="24765"/>
    <s v="301649083"/>
    <x v="4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s v="500000000"/>
    <s v="שכיר כללי"/>
    <m/>
    <s v=""/>
    <s v="ללא"/>
  </r>
  <r>
    <s v="203243969"/>
    <s v="תם  בן יוסף"/>
    <n v="1304673"/>
    <d v="2025-08-11T10:10:41"/>
    <s v="קופת גמל תגמולים ופיצויים"/>
    <d v="2025-08-11T00:00:00"/>
    <s v="הפקדה ניוד חיצוני"/>
    <d v="2025-08-25T00:00:00"/>
    <d v="2025-08-26T00:00:00"/>
    <n v="4741.47"/>
    <s v="Oz Erlan"/>
    <n v="24765"/>
    <s v="301649083"/>
    <x v="4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s v="500000000"/>
    <s v="שכיר כללי"/>
    <m/>
    <s v=""/>
    <s v="ללא"/>
  </r>
  <r>
    <s v="203243969"/>
    <s v="תם  בן יוסף"/>
    <n v="1304670"/>
    <d v="2025-08-11T10:08:53"/>
    <s v="קופת גמל תגמולים ופיצויים"/>
    <d v="2025-08-11T00:00:00"/>
    <s v="הפקדה ניוד חיצוני"/>
    <d v="2025-08-25T00:00:00"/>
    <d v="2025-08-26T00:00:00"/>
    <n v="14017.9"/>
    <s v="Oz Erlan"/>
    <n v="24765"/>
    <s v="301649083"/>
    <x v="4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s v="500000000"/>
    <s v="שכיר כללי"/>
    <m/>
    <s v=""/>
    <s v="ללא"/>
  </r>
  <r>
    <s v="066027103"/>
    <s v="סוזי שלומית  בבליאן"/>
    <n v="1286958"/>
    <d v="2025-07-23T10:31:45"/>
    <s v="קרן השתלמות"/>
    <d v="2025-07-23T00:00:00"/>
    <s v="הפקדה ניוד חיצוני"/>
    <d v="2025-08-24T00:00:00"/>
    <d v="2025-08-25T00:00:00"/>
    <n v="130039.58"/>
    <s v="Oz Erlan"/>
    <n v="24765"/>
    <s v="301649083"/>
    <x v="4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s v="512905423"/>
    <s v="מקס איט פיננסים בע&quot;מ "/>
    <s v="יקירה ערגי"/>
    <s v=""/>
    <s v="ללא"/>
  </r>
  <r>
    <s v="058438904"/>
    <s v="אברהם  זיקרי"/>
    <n v="1278128"/>
    <d v="2025-07-15T07:49:31"/>
    <s v="קרן השתלמות"/>
    <d v="2025-07-13T00:00:00"/>
    <s v="הפקדה ניוד חיצוני"/>
    <d v="2025-07-29T00:00:00"/>
    <d v="2025-07-30T00:00:00"/>
    <n v="28778.28"/>
    <s v="Oz Erlan"/>
    <n v="24765"/>
    <s v="301649083"/>
    <x v="4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m/>
    <m/>
    <s v=""/>
    <s v="ללא"/>
  </r>
  <r>
    <s v="038101648"/>
    <s v="רן   סבג"/>
    <n v="1290381"/>
    <d v="2025-07-27T12:15:28"/>
    <s v="קופת גמל להשקעה"/>
    <d v="2025-07-27T00:00:00"/>
    <s v="הפקדה"/>
    <d v="2025-07-23T00:00:00"/>
    <d v="2025-07-28T00:00:00"/>
    <n v="30000"/>
    <s v="Oz Erlan"/>
    <n v="24765"/>
    <s v="301649083"/>
    <x v="4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m/>
    <m/>
    <s v=""/>
    <s v="ללא"/>
  </r>
  <r>
    <s v="036871705"/>
    <s v="רומי  חרצק"/>
    <n v="1301032"/>
    <d v="2025-08-06T12:01:03"/>
    <s v="קרן השתלמות"/>
    <d v="2025-08-06T00:00:00"/>
    <s v="הפקדה ניוד חיצוני"/>
    <d v="2025-08-20T00:00:00"/>
    <d v="2025-08-21T00:00:00"/>
    <n v="22057.21"/>
    <s v="Oz Erlan"/>
    <n v="24765"/>
    <s v="301649083"/>
    <x v="4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s v="500000000"/>
    <s v="שכיר כללי"/>
    <m/>
    <s v=""/>
    <s v="ללא"/>
  </r>
  <r>
    <s v="036871705"/>
    <s v="רומי  חרצק"/>
    <n v="1301022"/>
    <d v="2025-08-06T11:55:59"/>
    <s v="קרן השתלמות"/>
    <d v="2025-08-06T00:00:00"/>
    <s v="הפקדה ניוד חיצוני"/>
    <d v="2025-08-20T00:00:00"/>
    <d v="2025-08-21T00:00:00"/>
    <n v="25275.79"/>
    <s v="Oz Erlan"/>
    <n v="24765"/>
    <s v="301649083"/>
    <x v="4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s v="500000000"/>
    <s v="שכיר כללי"/>
    <m/>
    <s v=""/>
    <s v="ללא"/>
  </r>
  <r>
    <s v="036871705"/>
    <s v="רומי  חרצק"/>
    <n v="1301001"/>
    <d v="2025-08-06T11:50:15"/>
    <s v="קרן השתלמות"/>
    <d v="2025-08-06T00:00:00"/>
    <s v="הפקדה ניוד חיצוני"/>
    <d v="2025-08-20T00:00:00"/>
    <d v="2025-08-21T00:00:00"/>
    <n v="10401.379999999999"/>
    <s v="Oz Erlan"/>
    <n v="24765"/>
    <s v="301649083"/>
    <x v="4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s v="500000000"/>
    <s v="שכיר כללי"/>
    <m/>
    <s v=""/>
    <s v="ללא"/>
  </r>
  <r>
    <s v="036871705"/>
    <s v="רומי  חרצק"/>
    <n v="1300753"/>
    <d v="2025-08-06T09:55:24"/>
    <s v="קרן השתלמות"/>
    <d v="2025-08-04T00:00:00"/>
    <s v="הפקדה ניוד חיצוני"/>
    <d v="2025-08-20T00:00:00"/>
    <d v="2025-08-21T00:00:00"/>
    <n v="12812.86"/>
    <s v="Oz Erlan"/>
    <n v="24765"/>
    <s v="301649083"/>
    <x v="4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s v="500000000"/>
    <s v="שכיר כללי"/>
    <m/>
    <s v=""/>
    <s v="ללא"/>
  </r>
  <r>
    <s v="036871705"/>
    <s v="רומי  חרצק"/>
    <n v="1300222"/>
    <d v="2025-08-05T15:44:09"/>
    <s v="קופת גמל תגמולים ופיצויים"/>
    <d v="2025-08-04T00:00:00"/>
    <s v="הפקדה ניוד חיצוני"/>
    <d v="2025-08-11T00:00:00"/>
    <d v="2025-08-12T00:00:00"/>
    <n v="123439.38"/>
    <s v="Oz Erlan"/>
    <n v="24765"/>
    <s v="301649083"/>
    <x v="4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s v="500000000"/>
    <s v="שכיר כללי"/>
    <m/>
    <s v=""/>
    <s v="ללא"/>
  </r>
  <r>
    <s v="033763780"/>
    <s v="עינת  גרשוני"/>
    <n v="1286428"/>
    <d v="2025-07-22T18:33:10"/>
    <s v="קרן השתלמות"/>
    <d v="2025-07-23T00:00:00"/>
    <s v="הפקדה"/>
    <d v="2025-07-28T00:00:00"/>
    <d v="2025-07-30T00:00:00"/>
    <n v="20520"/>
    <s v="Oz Erlan"/>
    <n v="24765"/>
    <s v="301649083"/>
    <x v="4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m/>
    <m/>
    <s v=""/>
    <s v="ללא"/>
  </r>
  <r>
    <s v="027753110"/>
    <s v="דנה  רוקסה"/>
    <n v="1321937"/>
    <d v="2025-09-01T09:28:24"/>
    <s v="קופת גמל להשקעה"/>
    <d v="2025-09-01T00:00:00"/>
    <s v="הפקדה"/>
    <d v="2025-08-31T00:00:00"/>
    <d v="2025-09-02T00:00:00"/>
    <n v="80000"/>
    <s v="Oz Erlan"/>
    <n v="24765"/>
    <s v="301649083"/>
    <x v="4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m/>
    <m/>
    <s v=""/>
    <s v="ללא"/>
  </r>
  <r>
    <s v="027753110"/>
    <s v="דנה  רוקסה"/>
    <n v="1315262"/>
    <d v="2025-08-22T06:55:50"/>
    <s v="קופת גמל תגמולים ופיצויים"/>
    <d v="2025-08-22T00:00:00"/>
    <s v="הפקדה ניוד חיצוני"/>
    <d v="2025-08-27T00:00:00"/>
    <d v="2025-08-28T00:00:00"/>
    <n v="47999.26"/>
    <s v="Oz Erlan"/>
    <n v="24765"/>
    <s v="301649083"/>
    <x v="4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m/>
    <m/>
    <s v=""/>
    <s v="ללא"/>
  </r>
  <r>
    <s v="038553608"/>
    <s v="קרן  אביטן"/>
    <n v="1084272"/>
    <d v="2024-07-29T17:13:01"/>
    <s v="קרן השתלמות"/>
    <d v="2024-07-29T00:00:00"/>
    <s v="הפקדה"/>
    <d v="2025-08-13T00:00:00"/>
    <d v="2025-08-14T00:00:00"/>
    <n v="5460"/>
    <s v="Oz Erlan"/>
    <n v="19987"/>
    <s v="066234949"/>
    <x v="5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s v="514135862"/>
    <s v="מאזני שקל 2008 בע&quot;מ "/>
    <m/>
    <s v=""/>
    <s v="ללא"/>
  </r>
  <r>
    <s v="038553608"/>
    <s v="קרן  אביטן"/>
    <n v="1084272"/>
    <d v="2024-07-29T17:13:01"/>
    <s v="קרן השתלמות"/>
    <d v="2024-07-29T00:00:00"/>
    <s v="הפקדה"/>
    <d v="2025-07-15T00:00:00"/>
    <d v="2025-07-21T00:00:00"/>
    <n v="5200"/>
    <s v="Oz Erlan"/>
    <n v="19987"/>
    <s v="066234949"/>
    <x v="5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s v="514135862"/>
    <s v="מאזני שקל 2008 בע&quot;מ "/>
    <m/>
    <s v=""/>
    <s v="ללא"/>
  </r>
  <r>
    <s v="038553608"/>
    <s v="קרן  אביטן"/>
    <n v="1084272"/>
    <d v="2024-07-29T17:13:01"/>
    <s v="קרן השתלמות"/>
    <d v="2024-07-29T00:00:00"/>
    <s v="הפקדה"/>
    <d v="2025-06-15T00:00:00"/>
    <d v="2025-06-17T00:00:00"/>
    <n v="5200"/>
    <s v="Oz Erlan"/>
    <n v="19987"/>
    <s v="066234949"/>
    <x v="5"/>
    <s v="סוכנים"/>
    <s v="514188952"/>
    <s v="גל אלמגור- סוכנות לביטוח (2008) בע&quot;מ "/>
    <s v="514188952"/>
    <s v="גל אלמגור- סוכנות לביטוח (2008) בע&quot;מ "/>
    <x v="4"/>
    <s v="Oz Erlan"/>
    <s v="סוכנים"/>
    <m/>
    <s v="514135862"/>
    <s v="מאזני שקל 2008 בע&quot;מ "/>
    <m/>
    <s v=""/>
    <s v="ללא"/>
  </r>
  <r>
    <s v="038553608"/>
    <s v="קרן  אביטן"/>
    <n v="1084272"/>
    <d v="2024-07-29T17:13:01"/>
    <s v="קרן השתלמות"/>
    <d v="2024-07-29T00:00:00"/>
    <s v="הפקדה"/>
    <d v="2025-05-15T00:00:00"/>
    <d v="2025-05-17T00:00:00"/>
    <n v="5200"/>
    <s v="Oz Erlan"/>
    <n v="19987"/>
    <s v="066234949"/>
    <x v="5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s v="514135862"/>
    <s v="מאזני שקל 2008 בע&quot;מ "/>
    <m/>
    <s v=""/>
    <s v="ללא"/>
  </r>
  <r>
    <s v="038553608"/>
    <s v="קרן  אביטן"/>
    <n v="1084272"/>
    <d v="2024-07-29T17:13:01"/>
    <s v="קרן השתלמות"/>
    <d v="2024-07-29T00:00:00"/>
    <s v="הפקדה"/>
    <d v="2025-04-15T00:00:00"/>
    <d v="2025-04-17T00:00:00"/>
    <n v="5200"/>
    <s v="Oz Erlan"/>
    <n v="19987"/>
    <s v="066234949"/>
    <x v="5"/>
    <s v="סוכנים"/>
    <s v="514188952"/>
    <s v="גל אלמגור- סוכנות לביטוח (2008) בע&quot;מ "/>
    <s v="514188952"/>
    <s v="גל אלמגור- סוכנות לביטוח (2008) בע&quot;מ "/>
    <x v="5"/>
    <s v="Oz Erlan"/>
    <s v="סוכנים"/>
    <m/>
    <s v="514135862"/>
    <s v="מאזני שקל 2008 בע&quot;מ "/>
    <m/>
    <s v=""/>
    <s v="ללא"/>
  </r>
  <r>
    <s v="038553608"/>
    <s v="קרן  אביטן"/>
    <n v="1084272"/>
    <d v="2024-07-29T17:13:01"/>
    <s v="קרן השתלמות"/>
    <d v="2024-07-29T00:00:00"/>
    <s v="הפקדה"/>
    <d v="2025-03-16T00:00:00"/>
    <d v="2025-03-17T00:00:00"/>
    <n v="5200"/>
    <s v="Oz Erlan"/>
    <n v="19987"/>
    <s v="066234949"/>
    <x v="5"/>
    <s v="סוכנים"/>
    <s v="514188952"/>
    <s v="גל אלמגור- סוכנות לביטוח (2008) בע&quot;מ "/>
    <s v="514188952"/>
    <s v="גל אלמגור- סוכנות לביטוח (2008) בע&quot;מ "/>
    <x v="7"/>
    <s v="Oz Erlan"/>
    <s v="סוכנים"/>
    <m/>
    <s v="514135862"/>
    <s v="מאזני שקל 2008 בע&quot;מ "/>
    <m/>
    <s v=""/>
    <s v="ללא"/>
  </r>
  <r>
    <s v="038553608"/>
    <s v="קרן  אביטן"/>
    <n v="1084272"/>
    <d v="2024-07-29T17:13:01"/>
    <s v="קרן השתלמות"/>
    <d v="2024-07-29T00:00:00"/>
    <s v="הפקדה"/>
    <d v="2025-02-13T00:00:00"/>
    <d v="2025-02-17T00:00:00"/>
    <n v="5200"/>
    <s v="Oz Erlan"/>
    <n v="19987"/>
    <s v="066234949"/>
    <x v="5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s v="514135862"/>
    <s v="מאזני שקל 2008 בע&quot;מ "/>
    <m/>
    <s v=""/>
    <s v="ללא"/>
  </r>
  <r>
    <s v="038553608"/>
    <s v="קרן  אביטן"/>
    <n v="1084272"/>
    <d v="2024-07-29T17:13:01"/>
    <s v="קרן השתלמות"/>
    <d v="2024-07-29T00:00:00"/>
    <s v="הפקדה"/>
    <d v="2025-01-15T00:00:00"/>
    <d v="2025-01-18T00:00:00"/>
    <n v="5200"/>
    <s v="Oz Erlan"/>
    <n v="19987"/>
    <s v="066234949"/>
    <x v="5"/>
    <s v="סוכנים"/>
    <s v="514188952"/>
    <s v="גל אלמגור- סוכנות לביטוח (2008) בע&quot;מ "/>
    <s v="514188952"/>
    <s v="גל אלמגור- סוכנות לביטוח (2008) בע&quot;מ "/>
    <x v="6"/>
    <s v="Oz Erlan"/>
    <s v="סוכנים"/>
    <m/>
    <s v="514135862"/>
    <s v="מאזני שקל 2008 בע&quot;מ "/>
    <m/>
    <s v=""/>
    <s v="ללא"/>
  </r>
  <r>
    <s v="309801868"/>
    <s v="לריסה  גדלקין"/>
    <n v="339855"/>
    <d v="2021-05-09T11:22:42"/>
    <s v="קופת גמל להשקעה"/>
    <d v="2021-05-19T00:00:00"/>
    <s v="הפקדה"/>
    <d v="2025-02-12T00:00:00"/>
    <d v="2025-02-16T00:00:00"/>
    <n v="22000"/>
    <s v="Oz Erlan"/>
    <n v="11736"/>
    <s v="304062540"/>
    <x v="6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m/>
    <m/>
    <m/>
    <s v=""/>
    <s v="ללא"/>
  </r>
  <r>
    <s v="304260292"/>
    <s v="אלנה  פרי"/>
    <n v="967286"/>
    <d v="2023-09-06T08:28:31"/>
    <s v="קופת גמל להשקעה"/>
    <d v="2023-09-05T00:00:00"/>
    <s v="הפקדה"/>
    <d v="2025-01-22T00:00:00"/>
    <d v="2025-01-23T00:00:00"/>
    <n v="5000"/>
    <s v="Oz Erlan"/>
    <n v="11736"/>
    <s v="304062540"/>
    <x v="6"/>
    <s v="סוכנים"/>
    <s v="514188952"/>
    <s v="גל אלמגור- סוכנות לביטוח (2008) בע&quot;מ "/>
    <s v="514188952"/>
    <s v="גל אלמגור- סוכנות לביטוח (2008) בע&quot;מ "/>
    <x v="6"/>
    <s v="Oz Erlan"/>
    <s v="סוכנים"/>
    <m/>
    <m/>
    <m/>
    <m/>
    <s v=""/>
    <s v="ללא"/>
  </r>
  <r>
    <s v="022654149"/>
    <s v="ורד  וייס"/>
    <n v="1042670"/>
    <d v="2024-05-02T15:37:27"/>
    <s v="קופת גמל להשקעה"/>
    <m/>
    <s v="הפקדה"/>
    <d v="2025-01-29T00:00:00"/>
    <d v="2025-02-02T00:00:00"/>
    <n v="80000"/>
    <s v="Oz Erlan"/>
    <n v="14077"/>
    <s v="514507458"/>
    <x v="7"/>
    <s v="סוכנים"/>
    <s v="514188952"/>
    <s v="גל אלמגור- סוכנות לביטוח (2008) בע&quot;מ "/>
    <s v="514188952"/>
    <s v="גל אלמגור- סוכנות לביטוח (2008) בע&quot;מ "/>
    <x v="6"/>
    <s v="Oz Erlan"/>
    <s v="סוכנים"/>
    <m/>
    <m/>
    <m/>
    <m/>
    <s v=""/>
    <s v="ללא"/>
  </r>
  <r>
    <s v="016596678"/>
    <s v="מיכאל  בוסיק"/>
    <n v="1100934"/>
    <d v="2024-09-09T10:22:11"/>
    <s v="קופת גמל להשקעה"/>
    <d v="2024-09-09T00:00:00"/>
    <s v="הפקדה"/>
    <d v="2025-02-16T00:00:00"/>
    <d v="2025-02-20T00:00:00"/>
    <n v="81700"/>
    <s v="Oz Erlan"/>
    <n v="14077"/>
    <s v="514507458"/>
    <x v="7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m/>
    <m/>
    <m/>
    <s v=""/>
    <s v="ללא"/>
  </r>
  <r>
    <s v="036565760"/>
    <s v="עמית  פדידה"/>
    <n v="1166586"/>
    <d v="2025-01-30T12:10:49"/>
    <s v="קרן השתלמות"/>
    <d v="2025-01-30T00:00:00"/>
    <s v="הפקדה ניוד חיצוני"/>
    <d v="2025-03-31T00:00:00"/>
    <d v="2025-04-02T00:00:00"/>
    <n v="12055.51"/>
    <s v="Oz Erlan"/>
    <n v="17885"/>
    <s v="302623566"/>
    <x v="8"/>
    <s v="סוכנים"/>
    <s v="514188952"/>
    <s v="גל אלמגור- סוכנות לביטוח (2008) בע&quot;מ "/>
    <s v="514188952"/>
    <s v="גל אלמגור- סוכנות לביטוח (2008) בע&quot;מ "/>
    <x v="7"/>
    <s v="Oz Erlan"/>
    <s v="סוכנים"/>
    <m/>
    <s v="513910703"/>
    <s v="איי.די.איי. חברה לביטוח בע&quot;מ "/>
    <m/>
    <s v=""/>
    <s v="ללא"/>
  </r>
  <r>
    <s v="211621552"/>
    <s v="טמיר  נזרי"/>
    <n v="879036"/>
    <d v="2023-03-23T07:51:53"/>
    <s v="קופת גמל להשקעה"/>
    <d v="2023-03-22T00:00:00"/>
    <s v="הפקדה"/>
    <d v="2025-06-22T00:00:00"/>
    <d v="2025-06-25T00:00:00"/>
    <n v="5000"/>
    <s v="Oz Erlan"/>
    <n v="18058"/>
    <s v="206056566"/>
    <x v="9"/>
    <s v="סוכנים"/>
    <s v="514188952"/>
    <s v="גל אלמגור- סוכנות לביטוח (2008) בע&quot;מ "/>
    <s v="514188952"/>
    <s v="גל אלמגור- סוכנות לביטוח (2008) בע&quot;מ "/>
    <x v="4"/>
    <s v="Oz Erlan"/>
    <s v="סוכנים"/>
    <m/>
    <m/>
    <m/>
    <m/>
    <s v=""/>
    <s v="ללא"/>
  </r>
  <r>
    <s v="013106794"/>
    <s v="קורין  קונסטנטינו"/>
    <n v="1114337"/>
    <d v="2024-10-13T16:19:33"/>
    <s v="קופת גמל תגמולים ופיצויים"/>
    <d v="2024-10-10T00:00:00"/>
    <s v="הפקדה ניוד חיצוני"/>
    <d v="2025-01-07T00:00:00"/>
    <d v="2025-01-08T00:00:00"/>
    <n v="39632.61"/>
    <s v="Oz Erlan"/>
    <n v="18058"/>
    <s v="206056566"/>
    <x v="9"/>
    <s v="סוכנים"/>
    <s v="514188952"/>
    <s v="גל אלמגור- סוכנות לביטוח (2008) בע&quot;מ "/>
    <s v="514188952"/>
    <s v="גל אלמגור- סוכנות לביטוח (2008) בע&quot;מ "/>
    <x v="6"/>
    <s v="Oz Erlan"/>
    <s v="סוכנים"/>
    <m/>
    <s v="500283007"/>
    <s v="עיריית ראשון לציון "/>
    <s v="יקירה ערגי"/>
    <s v=""/>
    <s v="ללא"/>
  </r>
  <r>
    <s v="013106794"/>
    <s v="קורין  קונסטנטינו"/>
    <n v="1114336"/>
    <d v="2024-10-13T16:19:03"/>
    <s v="קופת גמל תגמולים ופיצויים"/>
    <d v="2024-10-10T00:00:00"/>
    <s v="הפקדה ניוד חיצוני"/>
    <d v="2025-01-07T00:00:00"/>
    <d v="2025-01-08T00:00:00"/>
    <n v="68969.64"/>
    <s v="Oz Erlan"/>
    <n v="18058"/>
    <s v="206056566"/>
    <x v="9"/>
    <s v="סוכנים"/>
    <s v="514188952"/>
    <s v="גל אלמגור- סוכנות לביטוח (2008) בע&quot;מ "/>
    <s v="514188952"/>
    <s v="גל אלמגור- סוכנות לביטוח (2008) בע&quot;מ "/>
    <x v="6"/>
    <s v="Oz Erlan"/>
    <s v="סוכנים"/>
    <m/>
    <s v="500283007"/>
    <s v="עיריית ראשון לציון "/>
    <s v="יקירה ערגי"/>
    <s v=""/>
    <s v="ללא"/>
  </r>
  <r>
    <s v="013106794"/>
    <s v="קורין  קונסטנטינו"/>
    <n v="1114327"/>
    <d v="2024-10-13T16:05:23"/>
    <s v="קופת גמל תגמולים ופיצויים"/>
    <d v="2024-10-10T00:00:00"/>
    <s v="הפקדה ניוד חיצוני"/>
    <d v="2025-01-07T00:00:00"/>
    <d v="2025-01-08T00:00:00"/>
    <n v="55421.37"/>
    <s v="Oz Erlan"/>
    <n v="18058"/>
    <s v="206056566"/>
    <x v="9"/>
    <s v="סוכנים"/>
    <s v="514188952"/>
    <s v="גל אלמגור- סוכנות לביטוח (2008) בע&quot;מ "/>
    <s v="514188952"/>
    <s v="גל אלמגור- סוכנות לביטוח (2008) בע&quot;מ "/>
    <x v="6"/>
    <s v="Oz Erlan"/>
    <s v="סוכנים"/>
    <m/>
    <s v="500283007"/>
    <s v="עיריית ראשון לציון "/>
    <s v="יקירה ערגי"/>
    <s v=""/>
    <s v="ללא"/>
  </r>
  <r>
    <s v="301119947"/>
    <s v="רוית  מנחם"/>
    <n v="1281315"/>
    <d v="2025-07-17T12:16:40"/>
    <s v="קרן השתלמות"/>
    <d v="2025-07-17T00:00:00"/>
    <s v="הפקדה ניוד חיצוני"/>
    <d v="2025-07-31T00:00:00"/>
    <d v="2025-08-03T00:00:00"/>
    <n v="18988.02"/>
    <s v="Oz Erlan"/>
    <n v="20737"/>
    <s v="300356912"/>
    <x v="10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s v="515127793"/>
    <s v="ביקאם פתרונות טכנולוגים בע&quot;מ"/>
    <m/>
    <s v=""/>
    <s v="ללא"/>
  </r>
  <r>
    <s v="301119947"/>
    <s v="רוית  מנחם"/>
    <n v="1281309"/>
    <d v="2025-07-17T12:15:33"/>
    <s v="קרן השתלמות"/>
    <d v="2025-07-17T00:00:00"/>
    <s v="הפקדה ניוד חיצוני"/>
    <d v="2025-07-31T00:00:00"/>
    <d v="2025-08-03T00:00:00"/>
    <n v="105855.46"/>
    <s v="Oz Erlan"/>
    <n v="20737"/>
    <s v="300356912"/>
    <x v="10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s v="515595577"/>
    <s v="די-איידנטיפקטיון בע&quot;מ"/>
    <m/>
    <s v=""/>
    <s v="ללא"/>
  </r>
  <r>
    <s v="215974312"/>
    <s v="יובל  טייכטל"/>
    <n v="1180541"/>
    <d v="2025-02-27T11:20:05"/>
    <s v="קופת גמל להשקעה"/>
    <d v="2025-02-27T00:00:00"/>
    <s v="הפקדה ניוד חיצוני"/>
    <d v="2025-03-17T00:00:00"/>
    <d v="2025-03-19T00:00:00"/>
    <n v="76046.05"/>
    <s v="Oz Erlan"/>
    <n v="20737"/>
    <s v="300356912"/>
    <x v="10"/>
    <s v="סוכנים"/>
    <s v="514188952"/>
    <s v="גל אלמגור- סוכנות לביטוח (2008) בע&quot;מ "/>
    <s v="514188952"/>
    <s v="גל אלמגור- סוכנות לביטוח (2008) בע&quot;מ "/>
    <x v="7"/>
    <s v="Oz Erlan"/>
    <s v="סוכנים"/>
    <m/>
    <m/>
    <m/>
    <m/>
    <s v=""/>
    <s v="ללא"/>
  </r>
  <r>
    <s v="215974312"/>
    <s v="יובל  טייכטל"/>
    <n v="1180537"/>
    <d v="2025-02-27T11:17:07"/>
    <s v="קופת גמל להשקעה"/>
    <d v="2025-02-27T00:00:00"/>
    <s v="הפקדה ניוד חיצוני"/>
    <d v="2025-03-16T00:00:00"/>
    <d v="2025-03-17T00:00:00"/>
    <n v="54834.75"/>
    <s v="Oz Erlan"/>
    <n v="20737"/>
    <s v="300356912"/>
    <x v="10"/>
    <s v="סוכנים"/>
    <s v="514188952"/>
    <s v="גל אלמגור- סוכנות לביטוח (2008) בע&quot;מ "/>
    <s v="514188952"/>
    <s v="גל אלמגור- סוכנות לביטוח (2008) בע&quot;מ "/>
    <x v="7"/>
    <s v="Oz Erlan"/>
    <s v="סוכנים"/>
    <m/>
    <m/>
    <m/>
    <m/>
    <s v=""/>
    <s v="ללא"/>
  </r>
  <r>
    <s v="211610258"/>
    <s v="לינור  כספי"/>
    <n v="1104390"/>
    <d v="2024-09-16T16:30:55"/>
    <s v="קופת גמל להשקעה"/>
    <d v="2024-09-16T00:00:00"/>
    <s v="הפקדה"/>
    <d v="2025-03-03T00:00:00"/>
    <d v="2025-03-04T00:00:00"/>
    <n v="50000"/>
    <s v="Oz Erlan"/>
    <n v="22922"/>
    <s v="516664521"/>
    <x v="11"/>
    <s v="סוכנים"/>
    <s v="514188952"/>
    <s v="גל אלמגור- סוכנות לביטוח (2008) בע&quot;מ "/>
    <s v="514188952"/>
    <s v="גל אלמגור- סוכנות לביטוח (2008) בע&quot;מ "/>
    <x v="7"/>
    <s v="Oz Erlan"/>
    <s v="סוכנים"/>
    <m/>
    <m/>
    <m/>
    <m/>
    <s v=""/>
    <s v="ללא"/>
  </r>
  <r>
    <m/>
    <m/>
    <m/>
    <m/>
    <m/>
    <m/>
    <m/>
    <m/>
    <m/>
    <m/>
    <m/>
    <m/>
    <m/>
    <x v="12"/>
    <m/>
    <m/>
    <m/>
    <s v="514188952"/>
    <s v="גל אלמגור- סוכנות לביטוח (2008) בע&quot;מ "/>
    <x v="4"/>
    <s v="Oz Erlan"/>
    <s v="סוכנים"/>
    <n v="632383.05378445087"/>
    <m/>
    <m/>
    <m/>
    <m/>
    <m/>
  </r>
  <r>
    <m/>
    <m/>
    <m/>
    <m/>
    <m/>
    <m/>
    <m/>
    <m/>
    <m/>
    <m/>
    <m/>
    <m/>
    <m/>
    <x v="12"/>
    <m/>
    <m/>
    <m/>
    <s v="514188952"/>
    <s v="גל אלמגור- סוכנות לביטוח (2008) בע&quot;מ "/>
    <x v="2"/>
    <s v="Oz Erlan"/>
    <s v="סוכנים"/>
    <n v="87000"/>
    <m/>
    <m/>
    <m/>
    <m/>
    <m/>
  </r>
  <r>
    <m/>
    <m/>
    <m/>
    <m/>
    <m/>
    <m/>
    <m/>
    <m/>
    <m/>
    <m/>
    <m/>
    <m/>
    <m/>
    <x v="12"/>
    <m/>
    <m/>
    <m/>
    <s v="514188952"/>
    <s v="גל אלמגור- סוכנות לביטוח (2008) בע&quot;מ "/>
    <x v="3"/>
    <s v="Oz Erlan"/>
    <s v="סוכנים"/>
    <n v="81000"/>
    <m/>
    <m/>
    <m/>
    <m/>
    <m/>
  </r>
  <r>
    <m/>
    <m/>
    <m/>
    <m/>
    <m/>
    <m/>
    <m/>
    <m/>
    <m/>
    <m/>
    <m/>
    <m/>
    <m/>
    <x v="12"/>
    <m/>
    <m/>
    <m/>
    <s v="514188952"/>
    <s v="גל אלמגור- סוכנות לביטוח (2008) בע&quot;מ "/>
    <x v="0"/>
    <s v="Oz Erlan"/>
    <s v="סוכנים"/>
    <n v="787203.76375051227"/>
    <m/>
    <m/>
    <m/>
    <m/>
    <m/>
  </r>
  <r>
    <m/>
    <m/>
    <m/>
    <m/>
    <m/>
    <m/>
    <m/>
    <m/>
    <m/>
    <m/>
    <m/>
    <m/>
    <m/>
    <x v="12"/>
    <m/>
    <m/>
    <m/>
    <s v="514188952"/>
    <s v="גל אלמגור- סוכנות לביטוח (2008) בע&quot;מ "/>
    <x v="5"/>
    <s v="Oz Erlan"/>
    <s v="סוכנים"/>
    <n v="783988.25669737114"/>
    <m/>
    <m/>
    <m/>
    <m/>
    <m/>
  </r>
  <r>
    <m/>
    <m/>
    <m/>
    <m/>
    <m/>
    <m/>
    <m/>
    <m/>
    <m/>
    <m/>
    <m/>
    <m/>
    <m/>
    <x v="12"/>
    <m/>
    <m/>
    <m/>
    <s v="514188952"/>
    <s v="גל אלמגור- סוכנות לביטוח (2008) בע&quot;מ "/>
    <x v="7"/>
    <s v="Oz Erlan"/>
    <s v="סוכנים"/>
    <n v="703362.39466119907"/>
    <m/>
    <m/>
    <m/>
    <m/>
    <m/>
  </r>
  <r>
    <m/>
    <m/>
    <m/>
    <m/>
    <m/>
    <m/>
    <m/>
    <m/>
    <m/>
    <m/>
    <m/>
    <m/>
    <m/>
    <x v="12"/>
    <m/>
    <m/>
    <m/>
    <s v="514188952"/>
    <s v="גל אלמגור- סוכנות לביטוח (2008) בע&quot;מ "/>
    <x v="1"/>
    <s v="Oz Erlan"/>
    <s v="סוכנים"/>
    <n v="632383.05378445087"/>
    <m/>
    <m/>
    <m/>
    <m/>
    <m/>
  </r>
  <r>
    <m/>
    <m/>
    <m/>
    <m/>
    <m/>
    <m/>
    <m/>
    <m/>
    <m/>
    <m/>
    <m/>
    <m/>
    <m/>
    <x v="12"/>
    <m/>
    <m/>
    <m/>
    <s v="514188952"/>
    <s v="גל אלמגור- סוכנות לביטוח (2008) בע&quot;מ "/>
    <x v="6"/>
    <s v="Oz Erlan"/>
    <s v="סוכנים"/>
    <n v="773031.71414592676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968737-3EB9-4F23-AABC-694EAF3DB134}" name="PivotTable1" cacheId="7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>
  <location ref="A3:J18" firstHeaderRow="1" firstDataRow="2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sortType="descending">
      <items count="14">
        <item x="5"/>
        <item x="0"/>
        <item x="1"/>
        <item x="2"/>
        <item x="3"/>
        <item x="7"/>
        <item x="11"/>
        <item x="4"/>
        <item x="6"/>
        <item x="10"/>
        <item x="9"/>
        <item x="8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axis="axisCol" numFmtId="14" showAll="0">
      <items count="9">
        <item x="6"/>
        <item x="1"/>
        <item x="7"/>
        <item x="5"/>
        <item x="0"/>
        <item x="4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3"/>
  </rowFields>
  <rowItems count="14">
    <i>
      <x v="7"/>
    </i>
    <i>
      <x v="2"/>
    </i>
    <i>
      <x v="1"/>
    </i>
    <i>
      <x v="9"/>
    </i>
    <i>
      <x v="4"/>
    </i>
    <i>
      <x v="10"/>
    </i>
    <i>
      <x v="5"/>
    </i>
    <i>
      <x v="3"/>
    </i>
    <i>
      <x v="6"/>
    </i>
    <i>
      <x/>
    </i>
    <i>
      <x v="8"/>
    </i>
    <i>
      <x v="11"/>
    </i>
    <i>
      <x v="12"/>
    </i>
    <i t="grand">
      <x/>
    </i>
  </rowItems>
  <colFields count="1">
    <field x="19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סכום של סכום תנועה" fld="9" baseField="0" baseItem="0" numFmtId="166"/>
  </dataFields>
  <formats count="4">
    <format dxfId="8">
      <pivotArea outline="0" collapsedLevelsAreSubtotals="1" fieldPosition="0"/>
    </format>
    <format dxfId="6">
      <pivotArea outline="0" collapsedLevelsAreSubtotals="1" fieldPosition="0"/>
    </format>
    <format dxfId="5">
      <pivotArea dataOnly="0" labelOnly="1" fieldPosition="0">
        <references count="1">
          <reference field="13" count="0"/>
        </references>
      </pivotArea>
    </format>
    <format dxfId="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38977B-AAC8-4E2E-AFBF-E931C8E057C1}" name="טבלה1" displayName="טבלה1" ref="A1:AB100" totalsRowShown="0">
  <autoFilter ref="A1:AB100" xr:uid="{C538977B-AAC8-4E2E-AFBF-E931C8E057C1}"/>
  <tableColumns count="28">
    <tableColumn id="1" xr3:uid="{8E84CECE-5FB1-4CD3-966D-C66603310942}" name="ת.זהות"/>
    <tableColumn id="2" xr3:uid="{699DF3D5-D5A1-4868-8BAD-9364DDD2E6E8}" name="שם עמית"/>
    <tableColumn id="3" xr3:uid="{503BADB1-93CF-4045-B814-8FECE7BC89E2}" name="מספר קופה"/>
    <tableColumn id="4" xr3:uid="{5A0588ED-467A-407C-BECC-749F316F56C8}" name="תאריך פתיחת קופה"/>
    <tableColumn id="5" xr3:uid="{163B518E-4F6D-4FEF-AABF-F38BA19E24C0}" name="סוג מוצר"/>
    <tableColumn id="6" xr3:uid="{923F38FD-BA74-49B1-9816-5B5C6142DA0C}" name="תאריך קבלת טפסים תקינים"/>
    <tableColumn id="7" xr3:uid="{69B73E27-DA53-40CD-8DFD-A22B450A67CE}" name="סוג תנועה"/>
    <tableColumn id="8" xr3:uid="{46B9B07F-D71A-4694-9E3A-6E2BDC32D15E}" name="תאריך ערך"/>
    <tableColumn id="9" xr3:uid="{0D26DED3-5966-47F4-9045-F9A371768766}" name="תאריך הזרמה"/>
    <tableColumn id="10" xr3:uid="{0858B97A-95FC-4343-B275-4311930C7E7A}" name="סכום תנועה"/>
    <tableColumn id="11" xr3:uid="{F3272103-BC5C-4D4D-8EF4-7ECECEB67B16}" name="סוכן מפקח"/>
    <tableColumn id="12" xr3:uid="{F6DAA306-2F83-41C1-A636-7B7504F0A4D1}" name="מספר סוכן מתוגמל"/>
    <tableColumn id="13" xr3:uid="{CC60230D-1F0C-480A-B149-C9F157712A3C}" name="מספר רשיון סוכן מתוגמל"/>
    <tableColumn id="14" xr3:uid="{1AAB6A52-7F71-4D6E-8507-1A6B6DF22337}" name="שם סוכן מתוגמל"/>
    <tableColumn id="15" xr3:uid="{241A7AA9-BDF4-44B0-815E-5FD8C81F7FDF}" name="סוג סוכן מתוגמל"/>
    <tableColumn id="16" xr3:uid="{F2937923-4552-4F86-8C43-1FD02E3634B5}" name="עמודה1"/>
    <tableColumn id="17" xr3:uid="{115E83AF-BB02-4630-BD3F-8642BBF0F3C4}" name="עמודה2"/>
    <tableColumn id="18" xr3:uid="{5C62BDAB-85D6-444F-A88A-882D2615BB64}" name="מספר רשיון בית סוכן מתוגמל"/>
    <tableColumn id="19" xr3:uid="{68038697-39AE-411A-AD91-073296FF699A}" name="שם בית סוכן מתוגמל"/>
    <tableColumn id="20" xr3:uid="{C9799278-627F-48F3-87BE-31F41FDAD7DF}" name="חודש גיוס" dataDxfId="16"/>
    <tableColumn id="21" xr3:uid="{67886659-7D9C-432D-99E6-C1A71BB3B11B}" name="מפקח"/>
    <tableColumn id="22" xr3:uid="{1E053D2E-A6BB-4E7C-8AEC-2965B924F9D3}" name="ערוץ הפצה"/>
    <tableColumn id="23" xr3:uid="{BF54C889-52BF-4AAB-BF58-E54E8F8388F5}" name="יעד חודשי"/>
    <tableColumn id="24" xr3:uid="{F10DE6FA-57EE-4D28-BFE9-17696D762444}" name="ח.פ מעסיק"/>
    <tableColumn id="25" xr3:uid="{EB9483A8-28F1-42B4-AC8F-CD2DF5DCD822}" name="שם מעסיק"/>
    <tableColumn id="26" xr3:uid="{57664B31-7CEB-418C-A9A7-9DC4EF8E7E4D}" name="מתמ"/>
    <tableColumn id="27" xr3:uid="{8F5DDABB-41A6-4B09-99EA-C4B017D509B1}" name="קבוצה"/>
    <tableColumn id="28" xr3:uid="{FD853503-D12A-44D4-92F3-9A810269E16D}" name="שם בית סוכן היררכיה שנייה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846D4-7B94-4B4B-B0EF-25A5EF58275D}">
  <dimension ref="A3:J18"/>
  <sheetViews>
    <sheetView rightToLeft="1" tabSelected="1" workbookViewId="0">
      <selection activeCell="J5" sqref="J5:J17"/>
    </sheetView>
  </sheetViews>
  <sheetFormatPr defaultRowHeight="14" x14ac:dyDescent="0.3"/>
  <cols>
    <col min="1" max="1" width="34.1640625" bestFit="1" customWidth="1"/>
    <col min="2" max="2" width="12.25" bestFit="1" customWidth="1"/>
    <col min="3" max="10" width="9.75" bestFit="1" customWidth="1"/>
  </cols>
  <sheetData>
    <row r="3" spans="1:10" x14ac:dyDescent="0.3">
      <c r="A3" s="3" t="s">
        <v>174</v>
      </c>
      <c r="B3" s="3" t="s">
        <v>178</v>
      </c>
    </row>
    <row r="4" spans="1:10" x14ac:dyDescent="0.3">
      <c r="A4" s="3" t="s">
        <v>175</v>
      </c>
      <c r="B4" s="2">
        <v>45658</v>
      </c>
      <c r="C4" s="2">
        <v>45689</v>
      </c>
      <c r="D4" s="2">
        <v>45717</v>
      </c>
      <c r="E4" s="2">
        <v>45748</v>
      </c>
      <c r="F4" s="2">
        <v>45778</v>
      </c>
      <c r="G4" s="2">
        <v>45809</v>
      </c>
      <c r="H4" s="2">
        <v>45839</v>
      </c>
      <c r="I4" s="2">
        <v>45870</v>
      </c>
      <c r="J4" s="2" t="s">
        <v>177</v>
      </c>
    </row>
    <row r="5" spans="1:10" x14ac:dyDescent="0.3">
      <c r="A5" s="4" t="s">
        <v>105</v>
      </c>
      <c r="B5" s="5"/>
      <c r="C5" s="5"/>
      <c r="D5" s="5"/>
      <c r="E5" s="5"/>
      <c r="F5" s="5"/>
      <c r="G5" s="5"/>
      <c r="H5" s="5">
        <v>79298.28</v>
      </c>
      <c r="I5" s="5">
        <v>744921.91000000015</v>
      </c>
      <c r="J5" s="5">
        <v>824220.19000000018</v>
      </c>
    </row>
    <row r="6" spans="1:10" x14ac:dyDescent="0.3">
      <c r="A6" s="4" t="s">
        <v>52</v>
      </c>
      <c r="B6" s="5">
        <v>28000</v>
      </c>
      <c r="C6" s="5">
        <v>338417.27</v>
      </c>
      <c r="D6" s="5"/>
      <c r="E6" s="5">
        <v>87773.35</v>
      </c>
      <c r="F6" s="5">
        <v>159715.31</v>
      </c>
      <c r="G6" s="5">
        <v>10000</v>
      </c>
      <c r="H6" s="5">
        <v>96000</v>
      </c>
      <c r="I6" s="5">
        <v>60000</v>
      </c>
      <c r="J6" s="5">
        <v>779905.92999999993</v>
      </c>
    </row>
    <row r="7" spans="1:10" x14ac:dyDescent="0.3">
      <c r="A7" s="4" t="s">
        <v>34</v>
      </c>
      <c r="B7" s="5"/>
      <c r="C7" s="5">
        <v>211463.53000000003</v>
      </c>
      <c r="D7" s="5"/>
      <c r="E7" s="5"/>
      <c r="F7" s="5">
        <v>37000</v>
      </c>
      <c r="G7" s="5"/>
      <c r="H7" s="5"/>
      <c r="I7" s="5">
        <v>20000</v>
      </c>
      <c r="J7" s="5">
        <v>268463.53000000003</v>
      </c>
    </row>
    <row r="8" spans="1:10" x14ac:dyDescent="0.3">
      <c r="A8" s="4" t="s">
        <v>163</v>
      </c>
      <c r="B8" s="5"/>
      <c r="C8" s="5"/>
      <c r="D8" s="5">
        <v>130880.8</v>
      </c>
      <c r="E8" s="5"/>
      <c r="F8" s="5"/>
      <c r="G8" s="5"/>
      <c r="H8" s="5">
        <v>124843.48000000001</v>
      </c>
      <c r="I8" s="5"/>
      <c r="J8" s="5">
        <v>255724.28000000003</v>
      </c>
    </row>
    <row r="9" spans="1:10" x14ac:dyDescent="0.3">
      <c r="A9" s="4" t="s">
        <v>37</v>
      </c>
      <c r="B9" s="5">
        <v>67245</v>
      </c>
      <c r="C9" s="5">
        <v>17245</v>
      </c>
      <c r="D9" s="5">
        <v>17545</v>
      </c>
      <c r="E9" s="5">
        <v>10945</v>
      </c>
      <c r="F9" s="5">
        <v>10945</v>
      </c>
      <c r="G9" s="5">
        <v>5945</v>
      </c>
      <c r="H9" s="5">
        <v>62945</v>
      </c>
      <c r="I9" s="5">
        <v>51243.47</v>
      </c>
      <c r="J9" s="5">
        <v>244058.47</v>
      </c>
    </row>
    <row r="10" spans="1:10" x14ac:dyDescent="0.3">
      <c r="A10" s="4" t="s">
        <v>155</v>
      </c>
      <c r="B10" s="5">
        <v>164023.62</v>
      </c>
      <c r="C10" s="5"/>
      <c r="D10" s="5"/>
      <c r="E10" s="5"/>
      <c r="F10" s="5"/>
      <c r="G10" s="5">
        <v>5000</v>
      </c>
      <c r="H10" s="5"/>
      <c r="I10" s="5"/>
      <c r="J10" s="5">
        <v>169023.62</v>
      </c>
    </row>
    <row r="11" spans="1:10" x14ac:dyDescent="0.3">
      <c r="A11" s="4" t="s">
        <v>143</v>
      </c>
      <c r="B11" s="5">
        <v>80000</v>
      </c>
      <c r="C11" s="5">
        <v>81700</v>
      </c>
      <c r="D11" s="5"/>
      <c r="E11" s="5"/>
      <c r="F11" s="5"/>
      <c r="G11" s="5"/>
      <c r="H11" s="5"/>
      <c r="I11" s="5"/>
      <c r="J11" s="5">
        <v>161700</v>
      </c>
    </row>
    <row r="12" spans="1:10" x14ac:dyDescent="0.3">
      <c r="A12" s="4" t="s">
        <v>80</v>
      </c>
      <c r="B12" s="5">
        <v>46567.51</v>
      </c>
      <c r="C12" s="5">
        <v>6047.51</v>
      </c>
      <c r="D12" s="5">
        <v>6047.51</v>
      </c>
      <c r="E12" s="5">
        <v>6289.33</v>
      </c>
      <c r="F12" s="5">
        <v>6289.33</v>
      </c>
      <c r="G12" s="5">
        <v>6289.33</v>
      </c>
      <c r="H12" s="5">
        <v>6289.33</v>
      </c>
      <c r="I12" s="5">
        <v>6289.33</v>
      </c>
      <c r="J12" s="5">
        <v>90109.180000000008</v>
      </c>
    </row>
    <row r="13" spans="1:10" x14ac:dyDescent="0.3">
      <c r="A13" s="4" t="s">
        <v>173</v>
      </c>
      <c r="B13" s="5"/>
      <c r="C13" s="5"/>
      <c r="D13" s="5">
        <v>50000</v>
      </c>
      <c r="E13" s="5"/>
      <c r="F13" s="5"/>
      <c r="G13" s="5"/>
      <c r="H13" s="5"/>
      <c r="I13" s="5"/>
      <c r="J13" s="5">
        <v>50000</v>
      </c>
    </row>
    <row r="14" spans="1:10" x14ac:dyDescent="0.3">
      <c r="A14" s="4" t="s">
        <v>131</v>
      </c>
      <c r="B14" s="5">
        <v>5200</v>
      </c>
      <c r="C14" s="5">
        <v>5200</v>
      </c>
      <c r="D14" s="5">
        <v>5200</v>
      </c>
      <c r="E14" s="5">
        <v>5200</v>
      </c>
      <c r="F14" s="5">
        <v>5200</v>
      </c>
      <c r="G14" s="5">
        <v>5200</v>
      </c>
      <c r="H14" s="5">
        <v>5200</v>
      </c>
      <c r="I14" s="5">
        <v>5460</v>
      </c>
      <c r="J14" s="5">
        <v>41860</v>
      </c>
    </row>
    <row r="15" spans="1:10" x14ac:dyDescent="0.3">
      <c r="A15" s="4" t="s">
        <v>137</v>
      </c>
      <c r="B15" s="5">
        <v>5000</v>
      </c>
      <c r="C15" s="5">
        <v>22000</v>
      </c>
      <c r="D15" s="5"/>
      <c r="E15" s="5"/>
      <c r="F15" s="5"/>
      <c r="G15" s="5"/>
      <c r="H15" s="5"/>
      <c r="I15" s="5"/>
      <c r="J15" s="5">
        <v>27000</v>
      </c>
    </row>
    <row r="16" spans="1:10" x14ac:dyDescent="0.3">
      <c r="A16" s="4" t="s">
        <v>149</v>
      </c>
      <c r="B16" s="5"/>
      <c r="C16" s="5"/>
      <c r="D16" s="5">
        <v>12055.51</v>
      </c>
      <c r="E16" s="5"/>
      <c r="F16" s="5"/>
      <c r="G16" s="5"/>
      <c r="H16" s="5"/>
      <c r="I16" s="5"/>
      <c r="J16" s="5">
        <v>12055.51</v>
      </c>
    </row>
    <row r="17" spans="1:10" x14ac:dyDescent="0.3">
      <c r="A17" s="4" t="s">
        <v>176</v>
      </c>
      <c r="B17" s="5"/>
      <c r="C17" s="5"/>
      <c r="D17" s="5"/>
      <c r="E17" s="5"/>
      <c r="F17" s="5"/>
      <c r="G17" s="5"/>
      <c r="H17" s="5"/>
      <c r="I17" s="5"/>
      <c r="J17" s="5"/>
    </row>
    <row r="18" spans="1:10" x14ac:dyDescent="0.3">
      <c r="A18" s="4" t="s">
        <v>177</v>
      </c>
      <c r="B18" s="5">
        <v>396036.13</v>
      </c>
      <c r="C18" s="5">
        <v>682073.31</v>
      </c>
      <c r="D18" s="5">
        <v>221728.82</v>
      </c>
      <c r="E18" s="5">
        <v>110207.68000000001</v>
      </c>
      <c r="F18" s="5">
        <v>219149.63999999998</v>
      </c>
      <c r="G18" s="5">
        <v>32434.33</v>
      </c>
      <c r="H18" s="5">
        <v>374576.09</v>
      </c>
      <c r="I18" s="5">
        <v>887914.7100000002</v>
      </c>
      <c r="J18" s="5">
        <v>2924120.71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149DB-C854-4D88-B7A4-2B1B8209F23A}">
  <dimension ref="A1:AB100"/>
  <sheetViews>
    <sheetView rightToLeft="1" topLeftCell="A2" workbookViewId="0">
      <selection sqref="A1:AB100"/>
    </sheetView>
  </sheetViews>
  <sheetFormatPr defaultRowHeight="1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 t="s">
        <v>29</v>
      </c>
      <c r="C2">
        <v>655928</v>
      </c>
      <c r="D2" s="1">
        <v>44787.630057870374</v>
      </c>
      <c r="E2" t="s">
        <v>30</v>
      </c>
      <c r="F2" s="2">
        <v>44783</v>
      </c>
      <c r="G2" t="s">
        <v>31</v>
      </c>
      <c r="H2" s="2">
        <v>45785</v>
      </c>
      <c r="I2" s="2">
        <v>45788</v>
      </c>
      <c r="J2">
        <v>37000</v>
      </c>
      <c r="K2" t="s">
        <v>32</v>
      </c>
      <c r="L2">
        <v>7732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36</v>
      </c>
      <c r="S2" t="s">
        <v>37</v>
      </c>
      <c r="T2" s="2">
        <v>45778</v>
      </c>
      <c r="U2" t="s">
        <v>32</v>
      </c>
      <c r="V2" t="s">
        <v>35</v>
      </c>
      <c r="AA2" t="s">
        <v>38</v>
      </c>
      <c r="AB2" t="s">
        <v>39</v>
      </c>
    </row>
    <row r="3" spans="1:28" x14ac:dyDescent="0.3">
      <c r="A3" t="s">
        <v>40</v>
      </c>
      <c r="B3" t="s">
        <v>41</v>
      </c>
      <c r="C3">
        <v>1170173</v>
      </c>
      <c r="D3" s="1">
        <v>45697.501377314817</v>
      </c>
      <c r="E3" t="s">
        <v>42</v>
      </c>
      <c r="F3" s="2">
        <v>45697</v>
      </c>
      <c r="G3" t="s">
        <v>43</v>
      </c>
      <c r="H3" s="2">
        <v>45711</v>
      </c>
      <c r="I3" s="2">
        <v>45715</v>
      </c>
      <c r="J3">
        <v>996.67</v>
      </c>
      <c r="K3" t="s">
        <v>32</v>
      </c>
      <c r="L3">
        <v>7732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  <c r="R3" t="s">
        <v>36</v>
      </c>
      <c r="S3" t="s">
        <v>37</v>
      </c>
      <c r="T3" s="2">
        <v>45689</v>
      </c>
      <c r="U3" t="s">
        <v>32</v>
      </c>
      <c r="V3" t="s">
        <v>35</v>
      </c>
      <c r="X3" t="s">
        <v>44</v>
      </c>
      <c r="Y3" t="s">
        <v>45</v>
      </c>
      <c r="AA3" t="s">
        <v>38</v>
      </c>
      <c r="AB3" t="s">
        <v>39</v>
      </c>
    </row>
    <row r="4" spans="1:28" x14ac:dyDescent="0.3">
      <c r="A4" t="s">
        <v>40</v>
      </c>
      <c r="B4" t="s">
        <v>41</v>
      </c>
      <c r="C4">
        <v>1167474</v>
      </c>
      <c r="D4" s="1">
        <v>45691.311701388891</v>
      </c>
      <c r="E4" t="s">
        <v>42</v>
      </c>
      <c r="F4" s="2">
        <v>45690</v>
      </c>
      <c r="G4" t="s">
        <v>43</v>
      </c>
      <c r="H4" s="2">
        <v>45705</v>
      </c>
      <c r="I4" s="2">
        <v>45706</v>
      </c>
      <c r="J4">
        <v>24092.41</v>
      </c>
      <c r="K4" t="s">
        <v>32</v>
      </c>
      <c r="L4">
        <v>7732</v>
      </c>
      <c r="M4" t="s">
        <v>33</v>
      </c>
      <c r="N4" t="s">
        <v>34</v>
      </c>
      <c r="O4" t="s">
        <v>35</v>
      </c>
      <c r="P4" t="s">
        <v>36</v>
      </c>
      <c r="Q4" t="s">
        <v>37</v>
      </c>
      <c r="R4" t="s">
        <v>36</v>
      </c>
      <c r="S4" t="s">
        <v>37</v>
      </c>
      <c r="T4" s="2">
        <v>45689</v>
      </c>
      <c r="U4" t="s">
        <v>32</v>
      </c>
      <c r="V4" t="s">
        <v>35</v>
      </c>
      <c r="X4" t="s">
        <v>44</v>
      </c>
      <c r="Y4" t="s">
        <v>45</v>
      </c>
      <c r="AA4" t="s">
        <v>38</v>
      </c>
      <c r="AB4" t="s">
        <v>39</v>
      </c>
    </row>
    <row r="5" spans="1:28" x14ac:dyDescent="0.3">
      <c r="A5" t="s">
        <v>40</v>
      </c>
      <c r="B5" t="s">
        <v>41</v>
      </c>
      <c r="C5">
        <v>1167225</v>
      </c>
      <c r="D5" s="1">
        <v>45690.569745370369</v>
      </c>
      <c r="E5" t="s">
        <v>30</v>
      </c>
      <c r="F5" s="2">
        <v>45690</v>
      </c>
      <c r="G5" t="s">
        <v>43</v>
      </c>
      <c r="H5" s="2">
        <v>45704</v>
      </c>
      <c r="I5" s="2">
        <v>45705</v>
      </c>
      <c r="J5">
        <v>27660.720000000001</v>
      </c>
      <c r="K5" t="s">
        <v>32</v>
      </c>
      <c r="L5">
        <v>7732</v>
      </c>
      <c r="M5" t="s">
        <v>33</v>
      </c>
      <c r="N5" t="s">
        <v>34</v>
      </c>
      <c r="O5" t="s">
        <v>35</v>
      </c>
      <c r="P5" t="s">
        <v>36</v>
      </c>
      <c r="Q5" t="s">
        <v>37</v>
      </c>
      <c r="R5" t="s">
        <v>36</v>
      </c>
      <c r="S5" t="s">
        <v>37</v>
      </c>
      <c r="T5" s="2">
        <v>45689</v>
      </c>
      <c r="U5" t="s">
        <v>32</v>
      </c>
      <c r="V5" t="s">
        <v>35</v>
      </c>
      <c r="X5" t="s">
        <v>44</v>
      </c>
      <c r="Y5" t="s">
        <v>45</v>
      </c>
      <c r="AA5" t="s">
        <v>38</v>
      </c>
      <c r="AB5" t="s">
        <v>39</v>
      </c>
    </row>
    <row r="6" spans="1:28" x14ac:dyDescent="0.3">
      <c r="A6" t="s">
        <v>40</v>
      </c>
      <c r="B6" t="s">
        <v>41</v>
      </c>
      <c r="C6">
        <v>1167222</v>
      </c>
      <c r="D6" s="1">
        <v>45690.56726851852</v>
      </c>
      <c r="E6" t="s">
        <v>30</v>
      </c>
      <c r="F6" s="2">
        <v>45690</v>
      </c>
      <c r="G6" t="s">
        <v>43</v>
      </c>
      <c r="H6" s="2">
        <v>45704</v>
      </c>
      <c r="I6" s="2">
        <v>45705</v>
      </c>
      <c r="J6">
        <v>158713.73000000001</v>
      </c>
      <c r="K6" t="s">
        <v>32</v>
      </c>
      <c r="L6">
        <v>7732</v>
      </c>
      <c r="M6" t="s">
        <v>33</v>
      </c>
      <c r="N6" t="s">
        <v>34</v>
      </c>
      <c r="O6" t="s">
        <v>35</v>
      </c>
      <c r="P6" t="s">
        <v>36</v>
      </c>
      <c r="Q6" t="s">
        <v>37</v>
      </c>
      <c r="R6" t="s">
        <v>36</v>
      </c>
      <c r="S6" t="s">
        <v>37</v>
      </c>
      <c r="T6" s="2">
        <v>45689</v>
      </c>
      <c r="U6" t="s">
        <v>32</v>
      </c>
      <c r="V6" t="s">
        <v>35</v>
      </c>
      <c r="X6" t="s">
        <v>44</v>
      </c>
      <c r="Y6" t="s">
        <v>45</v>
      </c>
      <c r="AA6" t="s">
        <v>38</v>
      </c>
      <c r="AB6" t="s">
        <v>39</v>
      </c>
    </row>
    <row r="7" spans="1:28" x14ac:dyDescent="0.3">
      <c r="A7" t="s">
        <v>46</v>
      </c>
      <c r="B7" t="s">
        <v>47</v>
      </c>
      <c r="C7">
        <v>810930</v>
      </c>
      <c r="D7" s="1">
        <v>44938.676481481481</v>
      </c>
      <c r="E7" t="s">
        <v>48</v>
      </c>
      <c r="F7" s="2">
        <v>44938</v>
      </c>
      <c r="G7" t="s">
        <v>31</v>
      </c>
      <c r="H7" s="2">
        <v>45882</v>
      </c>
      <c r="I7" s="2">
        <v>45901</v>
      </c>
      <c r="J7">
        <v>20000</v>
      </c>
      <c r="K7" t="s">
        <v>32</v>
      </c>
      <c r="L7">
        <v>7732</v>
      </c>
      <c r="M7" t="s">
        <v>33</v>
      </c>
      <c r="N7" t="s">
        <v>34</v>
      </c>
      <c r="O7" t="s">
        <v>35</v>
      </c>
      <c r="P7" t="s">
        <v>36</v>
      </c>
      <c r="Q7" t="s">
        <v>37</v>
      </c>
      <c r="R7" t="s">
        <v>36</v>
      </c>
      <c r="S7" t="s">
        <v>37</v>
      </c>
      <c r="T7" s="2">
        <v>45870</v>
      </c>
      <c r="U7" t="s">
        <v>32</v>
      </c>
      <c r="V7" t="s">
        <v>35</v>
      </c>
      <c r="AA7" t="s">
        <v>38</v>
      </c>
      <c r="AB7" t="s">
        <v>39</v>
      </c>
    </row>
    <row r="8" spans="1:28" x14ac:dyDescent="0.3">
      <c r="A8" t="s">
        <v>49</v>
      </c>
      <c r="B8" t="s">
        <v>50</v>
      </c>
      <c r="C8">
        <v>1082658</v>
      </c>
      <c r="D8" s="1">
        <v>45498.474282407406</v>
      </c>
      <c r="E8" t="s">
        <v>30</v>
      </c>
      <c r="F8" s="2">
        <v>45497</v>
      </c>
      <c r="G8" t="s">
        <v>31</v>
      </c>
      <c r="H8" s="2">
        <v>45844</v>
      </c>
      <c r="I8" s="2">
        <v>45845</v>
      </c>
      <c r="J8">
        <v>15000</v>
      </c>
      <c r="K8" t="s">
        <v>32</v>
      </c>
      <c r="L8">
        <v>10014</v>
      </c>
      <c r="M8" t="s">
        <v>51</v>
      </c>
      <c r="N8" t="s">
        <v>52</v>
      </c>
      <c r="O8" t="s">
        <v>35</v>
      </c>
      <c r="P8" t="s">
        <v>36</v>
      </c>
      <c r="Q8" t="s">
        <v>37</v>
      </c>
      <c r="R8" t="s">
        <v>36</v>
      </c>
      <c r="S8" t="s">
        <v>37</v>
      </c>
      <c r="T8" s="2">
        <v>45839</v>
      </c>
      <c r="U8" t="s">
        <v>32</v>
      </c>
      <c r="V8" t="s">
        <v>35</v>
      </c>
      <c r="AA8" t="s">
        <v>38</v>
      </c>
      <c r="AB8" t="s">
        <v>39</v>
      </c>
    </row>
    <row r="9" spans="1:28" x14ac:dyDescent="0.3">
      <c r="A9" t="s">
        <v>53</v>
      </c>
      <c r="B9" t="s">
        <v>54</v>
      </c>
      <c r="C9">
        <v>1282451</v>
      </c>
      <c r="D9" s="1">
        <v>45858.392650462964</v>
      </c>
      <c r="E9" t="s">
        <v>48</v>
      </c>
      <c r="F9" s="2">
        <v>45858</v>
      </c>
      <c r="G9" t="s">
        <v>31</v>
      </c>
      <c r="H9" s="2">
        <v>45851</v>
      </c>
      <c r="I9" s="2">
        <v>45865</v>
      </c>
      <c r="J9">
        <v>81000</v>
      </c>
      <c r="K9" t="s">
        <v>32</v>
      </c>
      <c r="L9">
        <v>10014</v>
      </c>
      <c r="M9" t="s">
        <v>51</v>
      </c>
      <c r="N9" t="s">
        <v>52</v>
      </c>
      <c r="O9" t="s">
        <v>35</v>
      </c>
      <c r="P9" t="s">
        <v>36</v>
      </c>
      <c r="Q9" t="s">
        <v>37</v>
      </c>
      <c r="R9" t="s">
        <v>36</v>
      </c>
      <c r="S9" t="s">
        <v>37</v>
      </c>
      <c r="T9" s="2">
        <v>45839</v>
      </c>
      <c r="U9" t="s">
        <v>32</v>
      </c>
      <c r="V9" t="s">
        <v>35</v>
      </c>
      <c r="AA9" t="s">
        <v>38</v>
      </c>
      <c r="AB9" t="s">
        <v>39</v>
      </c>
    </row>
    <row r="10" spans="1:28" x14ac:dyDescent="0.3">
      <c r="A10" t="s">
        <v>55</v>
      </c>
      <c r="B10" t="s">
        <v>56</v>
      </c>
      <c r="C10">
        <v>1233524</v>
      </c>
      <c r="D10" s="1">
        <v>45802.41542824074</v>
      </c>
      <c r="E10" t="s">
        <v>48</v>
      </c>
      <c r="F10" s="2">
        <v>45803</v>
      </c>
      <c r="G10" t="s">
        <v>31</v>
      </c>
      <c r="H10" s="2">
        <v>45817</v>
      </c>
      <c r="I10" s="2">
        <v>45818</v>
      </c>
      <c r="J10">
        <v>10000</v>
      </c>
      <c r="K10" t="s">
        <v>32</v>
      </c>
      <c r="L10">
        <v>10014</v>
      </c>
      <c r="M10" t="s">
        <v>51</v>
      </c>
      <c r="N10" t="s">
        <v>52</v>
      </c>
      <c r="O10" t="s">
        <v>35</v>
      </c>
      <c r="P10" t="s">
        <v>36</v>
      </c>
      <c r="Q10" t="s">
        <v>37</v>
      </c>
      <c r="R10" t="s">
        <v>36</v>
      </c>
      <c r="S10" t="s">
        <v>37</v>
      </c>
      <c r="T10" s="2">
        <v>45809</v>
      </c>
      <c r="U10" t="s">
        <v>32</v>
      </c>
      <c r="V10" t="s">
        <v>35</v>
      </c>
      <c r="AA10" t="s">
        <v>38</v>
      </c>
      <c r="AB10" t="s">
        <v>39</v>
      </c>
    </row>
    <row r="11" spans="1:28" x14ac:dyDescent="0.3">
      <c r="A11" t="s">
        <v>55</v>
      </c>
      <c r="B11" t="s">
        <v>56</v>
      </c>
      <c r="C11">
        <v>1233524</v>
      </c>
      <c r="D11" s="1">
        <v>45802.41542824074</v>
      </c>
      <c r="E11" t="s">
        <v>48</v>
      </c>
      <c r="F11" s="2">
        <v>45803</v>
      </c>
      <c r="G11" t="s">
        <v>31</v>
      </c>
      <c r="H11" s="2">
        <v>45804</v>
      </c>
      <c r="I11" s="2">
        <v>45809</v>
      </c>
      <c r="J11">
        <v>8000</v>
      </c>
      <c r="K11" t="s">
        <v>32</v>
      </c>
      <c r="L11">
        <v>10014</v>
      </c>
      <c r="M11" t="s">
        <v>51</v>
      </c>
      <c r="N11" t="s">
        <v>52</v>
      </c>
      <c r="O11" t="s">
        <v>35</v>
      </c>
      <c r="P11" t="s">
        <v>36</v>
      </c>
      <c r="Q11" t="s">
        <v>37</v>
      </c>
      <c r="R11" t="s">
        <v>36</v>
      </c>
      <c r="S11" t="s">
        <v>37</v>
      </c>
      <c r="T11" s="2">
        <v>45778</v>
      </c>
      <c r="U11" t="s">
        <v>32</v>
      </c>
      <c r="V11" t="s">
        <v>35</v>
      </c>
      <c r="AA11" t="s">
        <v>38</v>
      </c>
      <c r="AB11" t="s">
        <v>39</v>
      </c>
    </row>
    <row r="12" spans="1:28" x14ac:dyDescent="0.3">
      <c r="A12" t="s">
        <v>57</v>
      </c>
      <c r="B12" t="s">
        <v>58</v>
      </c>
      <c r="C12">
        <v>1224697</v>
      </c>
      <c r="D12" s="1">
        <v>45791.446550925924</v>
      </c>
      <c r="E12" t="s">
        <v>48</v>
      </c>
      <c r="F12" s="2">
        <v>45789</v>
      </c>
      <c r="G12" t="s">
        <v>31</v>
      </c>
      <c r="H12" s="2">
        <v>45785</v>
      </c>
      <c r="I12" s="2">
        <v>45792</v>
      </c>
      <c r="J12">
        <v>30000</v>
      </c>
      <c r="K12" t="s">
        <v>32</v>
      </c>
      <c r="L12">
        <v>10014</v>
      </c>
      <c r="M12" t="s">
        <v>51</v>
      </c>
      <c r="N12" t="s">
        <v>52</v>
      </c>
      <c r="O12" t="s">
        <v>35</v>
      </c>
      <c r="P12" t="s">
        <v>36</v>
      </c>
      <c r="Q12" t="s">
        <v>37</v>
      </c>
      <c r="R12" t="s">
        <v>36</v>
      </c>
      <c r="S12" t="s">
        <v>37</v>
      </c>
      <c r="T12" s="2">
        <v>45778</v>
      </c>
      <c r="U12" t="s">
        <v>32</v>
      </c>
      <c r="V12" t="s">
        <v>35</v>
      </c>
      <c r="AA12" t="s">
        <v>38</v>
      </c>
      <c r="AB12" t="s">
        <v>39</v>
      </c>
    </row>
    <row r="13" spans="1:28" x14ac:dyDescent="0.3">
      <c r="A13" t="s">
        <v>59</v>
      </c>
      <c r="B13" t="s">
        <v>60</v>
      </c>
      <c r="C13">
        <v>1187451</v>
      </c>
      <c r="D13" s="1">
        <v>45729.51766203704</v>
      </c>
      <c r="E13" t="s">
        <v>30</v>
      </c>
      <c r="F13" s="2">
        <v>45727</v>
      </c>
      <c r="G13" t="s">
        <v>43</v>
      </c>
      <c r="H13" s="2">
        <v>45775</v>
      </c>
      <c r="I13" s="2">
        <v>45776</v>
      </c>
      <c r="J13">
        <v>87773.35</v>
      </c>
      <c r="K13" t="s">
        <v>32</v>
      </c>
      <c r="L13">
        <v>10014</v>
      </c>
      <c r="M13" t="s">
        <v>51</v>
      </c>
      <c r="N13" t="s">
        <v>52</v>
      </c>
      <c r="O13" t="s">
        <v>35</v>
      </c>
      <c r="P13" t="s">
        <v>36</v>
      </c>
      <c r="Q13" t="s">
        <v>37</v>
      </c>
      <c r="R13" t="s">
        <v>36</v>
      </c>
      <c r="S13" t="s">
        <v>37</v>
      </c>
      <c r="T13" s="2">
        <v>45748</v>
      </c>
      <c r="U13" t="s">
        <v>32</v>
      </c>
      <c r="V13" t="s">
        <v>35</v>
      </c>
      <c r="X13" t="s">
        <v>61</v>
      </c>
      <c r="Y13" t="s">
        <v>62</v>
      </c>
      <c r="AA13" t="s">
        <v>38</v>
      </c>
      <c r="AB13" t="s">
        <v>39</v>
      </c>
    </row>
    <row r="14" spans="1:28" x14ac:dyDescent="0.3">
      <c r="A14" t="s">
        <v>63</v>
      </c>
      <c r="B14" t="s">
        <v>64</v>
      </c>
      <c r="C14">
        <v>1216539</v>
      </c>
      <c r="D14" s="1">
        <v>45781.446793981479</v>
      </c>
      <c r="E14" t="s">
        <v>30</v>
      </c>
      <c r="F14" s="2">
        <v>45776</v>
      </c>
      <c r="G14" t="s">
        <v>43</v>
      </c>
      <c r="H14" s="2">
        <v>45795</v>
      </c>
      <c r="I14" s="2">
        <v>45796</v>
      </c>
      <c r="J14">
        <v>121715.31</v>
      </c>
      <c r="K14" t="s">
        <v>32</v>
      </c>
      <c r="L14">
        <v>10014</v>
      </c>
      <c r="M14" t="s">
        <v>51</v>
      </c>
      <c r="N14" t="s">
        <v>52</v>
      </c>
      <c r="O14" t="s">
        <v>35</v>
      </c>
      <c r="P14" t="s">
        <v>36</v>
      </c>
      <c r="Q14" t="s">
        <v>37</v>
      </c>
      <c r="R14" t="s">
        <v>36</v>
      </c>
      <c r="S14" t="s">
        <v>37</v>
      </c>
      <c r="T14" s="2">
        <v>45778</v>
      </c>
      <c r="U14" t="s">
        <v>32</v>
      </c>
      <c r="V14" t="s">
        <v>35</v>
      </c>
      <c r="X14" t="s">
        <v>65</v>
      </c>
      <c r="Y14" t="s">
        <v>66</v>
      </c>
      <c r="Z14" t="s">
        <v>67</v>
      </c>
      <c r="AA14" t="s">
        <v>38</v>
      </c>
      <c r="AB14" t="s">
        <v>39</v>
      </c>
    </row>
    <row r="15" spans="1:28" x14ac:dyDescent="0.3">
      <c r="A15" t="s">
        <v>68</v>
      </c>
      <c r="B15" t="s">
        <v>69</v>
      </c>
      <c r="C15">
        <v>1155164</v>
      </c>
      <c r="D15" s="1">
        <v>45669.640405092592</v>
      </c>
      <c r="E15" t="s">
        <v>30</v>
      </c>
      <c r="F15" s="2">
        <v>45669</v>
      </c>
      <c r="G15" t="s">
        <v>43</v>
      </c>
      <c r="H15" s="2">
        <v>45707</v>
      </c>
      <c r="I15" s="2">
        <v>45712</v>
      </c>
      <c r="J15">
        <v>338417.27</v>
      </c>
      <c r="K15" t="s">
        <v>32</v>
      </c>
      <c r="L15">
        <v>10014</v>
      </c>
      <c r="M15" t="s">
        <v>51</v>
      </c>
      <c r="N15" t="s">
        <v>52</v>
      </c>
      <c r="O15" t="s">
        <v>35</v>
      </c>
      <c r="P15" t="s">
        <v>36</v>
      </c>
      <c r="Q15" t="s">
        <v>37</v>
      </c>
      <c r="R15" t="s">
        <v>36</v>
      </c>
      <c r="S15" t="s">
        <v>37</v>
      </c>
      <c r="T15" s="2">
        <v>45689</v>
      </c>
      <c r="U15" t="s">
        <v>32</v>
      </c>
      <c r="V15" t="s">
        <v>35</v>
      </c>
      <c r="X15" t="s">
        <v>70</v>
      </c>
      <c r="Y15" t="s">
        <v>71</v>
      </c>
      <c r="Z15" t="s">
        <v>72</v>
      </c>
      <c r="AA15" t="s">
        <v>38</v>
      </c>
      <c r="AB15" t="s">
        <v>39</v>
      </c>
    </row>
    <row r="16" spans="1:28" x14ac:dyDescent="0.3">
      <c r="A16" t="s">
        <v>73</v>
      </c>
      <c r="B16" t="s">
        <v>74</v>
      </c>
      <c r="C16">
        <v>1163358</v>
      </c>
      <c r="D16" s="1">
        <v>45679.606319444443</v>
      </c>
      <c r="E16" t="s">
        <v>48</v>
      </c>
      <c r="G16" t="s">
        <v>31</v>
      </c>
      <c r="H16" s="2">
        <v>45671</v>
      </c>
      <c r="I16" s="2">
        <v>45680</v>
      </c>
      <c r="J16">
        <v>28000</v>
      </c>
      <c r="K16" t="s">
        <v>32</v>
      </c>
      <c r="L16">
        <v>10014</v>
      </c>
      <c r="M16" t="s">
        <v>51</v>
      </c>
      <c r="N16" t="s">
        <v>52</v>
      </c>
      <c r="O16" t="s">
        <v>35</v>
      </c>
      <c r="P16" t="s">
        <v>36</v>
      </c>
      <c r="Q16" t="s">
        <v>37</v>
      </c>
      <c r="R16" t="s">
        <v>36</v>
      </c>
      <c r="S16" t="s">
        <v>37</v>
      </c>
      <c r="T16" s="2">
        <v>45658</v>
      </c>
      <c r="U16" t="s">
        <v>32</v>
      </c>
      <c r="V16" t="s">
        <v>35</v>
      </c>
      <c r="AA16" t="s">
        <v>38</v>
      </c>
      <c r="AB16" t="s">
        <v>39</v>
      </c>
    </row>
    <row r="17" spans="1:28" x14ac:dyDescent="0.3">
      <c r="A17" t="s">
        <v>75</v>
      </c>
      <c r="B17" t="s">
        <v>76</v>
      </c>
      <c r="C17">
        <v>1313660</v>
      </c>
      <c r="D17" s="1">
        <v>45889.643807870372</v>
      </c>
      <c r="E17" t="s">
        <v>48</v>
      </c>
      <c r="F17" s="2">
        <v>45889</v>
      </c>
      <c r="G17" t="s">
        <v>31</v>
      </c>
      <c r="H17" s="2">
        <v>45888</v>
      </c>
      <c r="I17" s="2">
        <v>45890</v>
      </c>
      <c r="J17">
        <v>60000</v>
      </c>
      <c r="K17" t="s">
        <v>32</v>
      </c>
      <c r="L17">
        <v>10014</v>
      </c>
      <c r="M17" t="s">
        <v>51</v>
      </c>
      <c r="N17" t="s">
        <v>52</v>
      </c>
      <c r="O17" t="s">
        <v>35</v>
      </c>
      <c r="P17" t="s">
        <v>36</v>
      </c>
      <c r="Q17" t="s">
        <v>37</v>
      </c>
      <c r="R17" t="s">
        <v>36</v>
      </c>
      <c r="S17" t="s">
        <v>37</v>
      </c>
      <c r="T17" s="2">
        <v>45870</v>
      </c>
      <c r="U17" t="s">
        <v>32</v>
      </c>
      <c r="V17" t="s">
        <v>35</v>
      </c>
      <c r="AA17" t="s">
        <v>38</v>
      </c>
      <c r="AB17" t="s">
        <v>39</v>
      </c>
    </row>
    <row r="18" spans="1:28" x14ac:dyDescent="0.3">
      <c r="A18" t="s">
        <v>77</v>
      </c>
      <c r="B18" t="s">
        <v>78</v>
      </c>
      <c r="C18">
        <v>221896</v>
      </c>
      <c r="D18" s="1">
        <v>44145.474062499998</v>
      </c>
      <c r="E18" t="s">
        <v>30</v>
      </c>
      <c r="F18" s="2">
        <v>44145</v>
      </c>
      <c r="G18" t="s">
        <v>31</v>
      </c>
      <c r="H18" s="2">
        <v>45671</v>
      </c>
      <c r="I18" s="2">
        <v>45673</v>
      </c>
      <c r="J18">
        <v>20520</v>
      </c>
      <c r="K18" t="s">
        <v>32</v>
      </c>
      <c r="L18">
        <v>7733</v>
      </c>
      <c r="M18" t="s">
        <v>79</v>
      </c>
      <c r="N18" t="s">
        <v>80</v>
      </c>
      <c r="O18" t="s">
        <v>35</v>
      </c>
      <c r="P18" t="s">
        <v>36</v>
      </c>
      <c r="Q18" t="s">
        <v>37</v>
      </c>
      <c r="R18" t="s">
        <v>36</v>
      </c>
      <c r="S18" t="s">
        <v>37</v>
      </c>
      <c r="T18" s="2">
        <v>45658</v>
      </c>
      <c r="U18" t="s">
        <v>32</v>
      </c>
      <c r="V18" t="s">
        <v>35</v>
      </c>
      <c r="AA18" t="s">
        <v>38</v>
      </c>
      <c r="AB18" t="s">
        <v>39</v>
      </c>
    </row>
    <row r="19" spans="1:28" x14ac:dyDescent="0.3">
      <c r="A19" t="s">
        <v>81</v>
      </c>
      <c r="B19" t="s">
        <v>82</v>
      </c>
      <c r="C19">
        <v>238569</v>
      </c>
      <c r="D19" s="1">
        <v>44180.450868055559</v>
      </c>
      <c r="E19" t="s">
        <v>30</v>
      </c>
      <c r="F19" s="2">
        <v>44180</v>
      </c>
      <c r="G19" t="s">
        <v>31</v>
      </c>
      <c r="H19" s="2">
        <v>45678</v>
      </c>
      <c r="I19" s="2">
        <v>45692</v>
      </c>
      <c r="J19">
        <v>10000</v>
      </c>
      <c r="K19" t="s">
        <v>32</v>
      </c>
      <c r="L19">
        <v>7733</v>
      </c>
      <c r="M19" t="s">
        <v>79</v>
      </c>
      <c r="N19" t="s">
        <v>80</v>
      </c>
      <c r="O19" t="s">
        <v>35</v>
      </c>
      <c r="P19" t="s">
        <v>36</v>
      </c>
      <c r="Q19" t="s">
        <v>37</v>
      </c>
      <c r="R19" t="s">
        <v>36</v>
      </c>
      <c r="S19" t="s">
        <v>37</v>
      </c>
      <c r="T19" s="2">
        <v>45658</v>
      </c>
      <c r="U19" t="s">
        <v>32</v>
      </c>
      <c r="V19" t="s">
        <v>35</v>
      </c>
      <c r="AA19" t="s">
        <v>38</v>
      </c>
      <c r="AB19" t="s">
        <v>39</v>
      </c>
    </row>
    <row r="20" spans="1:28" x14ac:dyDescent="0.3">
      <c r="A20" t="s">
        <v>83</v>
      </c>
      <c r="B20" t="s">
        <v>84</v>
      </c>
      <c r="C20">
        <v>358658</v>
      </c>
      <c r="D20" s="1">
        <v>44364.496053240742</v>
      </c>
      <c r="E20" t="s">
        <v>30</v>
      </c>
      <c r="F20" s="2">
        <v>44362</v>
      </c>
      <c r="G20" t="s">
        <v>31</v>
      </c>
      <c r="H20" s="2">
        <v>45687</v>
      </c>
      <c r="I20" s="2">
        <v>45691</v>
      </c>
      <c r="J20">
        <v>10000</v>
      </c>
      <c r="K20" t="s">
        <v>32</v>
      </c>
      <c r="L20">
        <v>7733</v>
      </c>
      <c r="M20" t="s">
        <v>79</v>
      </c>
      <c r="N20" t="s">
        <v>80</v>
      </c>
      <c r="O20" t="s">
        <v>35</v>
      </c>
      <c r="P20" t="s">
        <v>36</v>
      </c>
      <c r="Q20" t="s">
        <v>37</v>
      </c>
      <c r="R20" t="s">
        <v>36</v>
      </c>
      <c r="S20" t="s">
        <v>37</v>
      </c>
      <c r="T20" s="2">
        <v>45658</v>
      </c>
      <c r="U20" t="s">
        <v>32</v>
      </c>
      <c r="V20" t="s">
        <v>35</v>
      </c>
      <c r="AA20" t="s">
        <v>38</v>
      </c>
      <c r="AB20" t="s">
        <v>39</v>
      </c>
    </row>
    <row r="21" spans="1:28" x14ac:dyDescent="0.3">
      <c r="A21" t="s">
        <v>85</v>
      </c>
      <c r="B21" t="s">
        <v>86</v>
      </c>
      <c r="C21">
        <v>227745</v>
      </c>
      <c r="D21" s="1">
        <v>44158.709965277776</v>
      </c>
      <c r="E21" t="s">
        <v>30</v>
      </c>
      <c r="F21" s="2">
        <v>44158</v>
      </c>
      <c r="G21" t="s">
        <v>31</v>
      </c>
      <c r="H21" s="2">
        <v>45873</v>
      </c>
      <c r="I21" s="2">
        <v>45879</v>
      </c>
      <c r="J21">
        <v>6289.33</v>
      </c>
      <c r="K21" t="s">
        <v>32</v>
      </c>
      <c r="L21">
        <v>7733</v>
      </c>
      <c r="M21" t="s">
        <v>79</v>
      </c>
      <c r="N21" t="s">
        <v>80</v>
      </c>
      <c r="O21" t="s">
        <v>35</v>
      </c>
      <c r="P21" t="s">
        <v>36</v>
      </c>
      <c r="Q21" t="s">
        <v>37</v>
      </c>
      <c r="R21" t="s">
        <v>36</v>
      </c>
      <c r="S21" t="s">
        <v>37</v>
      </c>
      <c r="T21" s="2">
        <v>45870</v>
      </c>
      <c r="U21" t="s">
        <v>32</v>
      </c>
      <c r="V21" t="s">
        <v>35</v>
      </c>
      <c r="X21" t="s">
        <v>87</v>
      </c>
      <c r="Y21" t="s">
        <v>88</v>
      </c>
      <c r="Z21" t="s">
        <v>89</v>
      </c>
      <c r="AA21" t="s">
        <v>38</v>
      </c>
      <c r="AB21" t="s">
        <v>39</v>
      </c>
    </row>
    <row r="22" spans="1:28" x14ac:dyDescent="0.3">
      <c r="A22" t="s">
        <v>85</v>
      </c>
      <c r="B22" t="s">
        <v>86</v>
      </c>
      <c r="C22">
        <v>227745</v>
      </c>
      <c r="D22" s="1">
        <v>44158.709965277776</v>
      </c>
      <c r="E22" t="s">
        <v>30</v>
      </c>
      <c r="F22" s="2">
        <v>44158</v>
      </c>
      <c r="G22" t="s">
        <v>31</v>
      </c>
      <c r="H22" s="2">
        <v>45841</v>
      </c>
      <c r="I22" s="2">
        <v>45848</v>
      </c>
      <c r="J22">
        <v>6289.33</v>
      </c>
      <c r="K22" t="s">
        <v>32</v>
      </c>
      <c r="L22">
        <v>7733</v>
      </c>
      <c r="M22" t="s">
        <v>79</v>
      </c>
      <c r="N22" t="s">
        <v>80</v>
      </c>
      <c r="O22" t="s">
        <v>35</v>
      </c>
      <c r="P22" t="s">
        <v>36</v>
      </c>
      <c r="Q22" t="s">
        <v>37</v>
      </c>
      <c r="R22" t="s">
        <v>36</v>
      </c>
      <c r="S22" t="s">
        <v>37</v>
      </c>
      <c r="T22" s="2">
        <v>45839</v>
      </c>
      <c r="U22" t="s">
        <v>32</v>
      </c>
      <c r="V22" t="s">
        <v>35</v>
      </c>
      <c r="X22" t="s">
        <v>87</v>
      </c>
      <c r="Y22" t="s">
        <v>88</v>
      </c>
      <c r="Z22" t="s">
        <v>89</v>
      </c>
      <c r="AA22" t="s">
        <v>38</v>
      </c>
      <c r="AB22" t="s">
        <v>39</v>
      </c>
    </row>
    <row r="23" spans="1:28" x14ac:dyDescent="0.3">
      <c r="A23" t="s">
        <v>85</v>
      </c>
      <c r="B23" t="s">
        <v>86</v>
      </c>
      <c r="C23">
        <v>227745</v>
      </c>
      <c r="D23" s="1">
        <v>44158.709965277776</v>
      </c>
      <c r="E23" t="s">
        <v>30</v>
      </c>
      <c r="F23" s="2">
        <v>44158</v>
      </c>
      <c r="G23" t="s">
        <v>31</v>
      </c>
      <c r="H23" s="2">
        <v>45811</v>
      </c>
      <c r="I23" s="2">
        <v>45817</v>
      </c>
      <c r="J23">
        <v>6289.33</v>
      </c>
      <c r="K23" t="s">
        <v>32</v>
      </c>
      <c r="L23">
        <v>7733</v>
      </c>
      <c r="M23" t="s">
        <v>79</v>
      </c>
      <c r="N23" t="s">
        <v>80</v>
      </c>
      <c r="O23" t="s">
        <v>35</v>
      </c>
      <c r="P23" t="s">
        <v>36</v>
      </c>
      <c r="Q23" t="s">
        <v>37</v>
      </c>
      <c r="R23" t="s">
        <v>36</v>
      </c>
      <c r="S23" t="s">
        <v>37</v>
      </c>
      <c r="T23" s="2">
        <v>45809</v>
      </c>
      <c r="U23" t="s">
        <v>32</v>
      </c>
      <c r="V23" t="s">
        <v>35</v>
      </c>
      <c r="X23" t="s">
        <v>87</v>
      </c>
      <c r="Y23" t="s">
        <v>88</v>
      </c>
      <c r="Z23" t="s">
        <v>89</v>
      </c>
      <c r="AA23" t="s">
        <v>38</v>
      </c>
      <c r="AB23" t="s">
        <v>39</v>
      </c>
    </row>
    <row r="24" spans="1:28" x14ac:dyDescent="0.3">
      <c r="A24" t="s">
        <v>85</v>
      </c>
      <c r="B24" t="s">
        <v>86</v>
      </c>
      <c r="C24">
        <v>227745</v>
      </c>
      <c r="D24" s="1">
        <v>44158.709965277776</v>
      </c>
      <c r="E24" t="s">
        <v>30</v>
      </c>
      <c r="F24" s="2">
        <v>44158</v>
      </c>
      <c r="G24" t="s">
        <v>31</v>
      </c>
      <c r="H24" s="2">
        <v>45782</v>
      </c>
      <c r="I24" s="2">
        <v>45788</v>
      </c>
      <c r="J24">
        <v>6289.33</v>
      </c>
      <c r="K24" t="s">
        <v>32</v>
      </c>
      <c r="L24">
        <v>7733</v>
      </c>
      <c r="M24" t="s">
        <v>79</v>
      </c>
      <c r="N24" t="s">
        <v>80</v>
      </c>
      <c r="O24" t="s">
        <v>35</v>
      </c>
      <c r="P24" t="s">
        <v>36</v>
      </c>
      <c r="Q24" t="s">
        <v>37</v>
      </c>
      <c r="R24" t="s">
        <v>36</v>
      </c>
      <c r="S24" t="s">
        <v>37</v>
      </c>
      <c r="T24" s="2">
        <v>45778</v>
      </c>
      <c r="U24" t="s">
        <v>32</v>
      </c>
      <c r="V24" t="s">
        <v>35</v>
      </c>
      <c r="X24" t="s">
        <v>87</v>
      </c>
      <c r="Y24" t="s">
        <v>88</v>
      </c>
      <c r="Z24" t="s">
        <v>89</v>
      </c>
      <c r="AA24" t="s">
        <v>38</v>
      </c>
      <c r="AB24" t="s">
        <v>39</v>
      </c>
    </row>
    <row r="25" spans="1:28" x14ac:dyDescent="0.3">
      <c r="A25" t="s">
        <v>85</v>
      </c>
      <c r="B25" t="s">
        <v>86</v>
      </c>
      <c r="C25">
        <v>227745</v>
      </c>
      <c r="D25" s="1">
        <v>44158.709965277776</v>
      </c>
      <c r="E25" t="s">
        <v>30</v>
      </c>
      <c r="F25" s="2">
        <v>44158</v>
      </c>
      <c r="G25" t="s">
        <v>31</v>
      </c>
      <c r="H25" s="2">
        <v>45750</v>
      </c>
      <c r="I25" s="2">
        <v>45756</v>
      </c>
      <c r="J25">
        <v>6289.33</v>
      </c>
      <c r="K25" t="s">
        <v>32</v>
      </c>
      <c r="L25">
        <v>7733</v>
      </c>
      <c r="M25" t="s">
        <v>79</v>
      </c>
      <c r="N25" t="s">
        <v>80</v>
      </c>
      <c r="O25" t="s">
        <v>35</v>
      </c>
      <c r="P25" t="s">
        <v>36</v>
      </c>
      <c r="Q25" t="s">
        <v>37</v>
      </c>
      <c r="R25" t="s">
        <v>36</v>
      </c>
      <c r="S25" t="s">
        <v>37</v>
      </c>
      <c r="T25" s="2">
        <v>45748</v>
      </c>
      <c r="U25" t="s">
        <v>32</v>
      </c>
      <c r="V25" t="s">
        <v>35</v>
      </c>
      <c r="X25" t="s">
        <v>87</v>
      </c>
      <c r="Y25" t="s">
        <v>88</v>
      </c>
      <c r="Z25" t="s">
        <v>89</v>
      </c>
      <c r="AA25" t="s">
        <v>38</v>
      </c>
      <c r="AB25" t="s">
        <v>39</v>
      </c>
    </row>
    <row r="26" spans="1:28" x14ac:dyDescent="0.3">
      <c r="A26" t="s">
        <v>85</v>
      </c>
      <c r="B26" t="s">
        <v>86</v>
      </c>
      <c r="C26">
        <v>227745</v>
      </c>
      <c r="D26" s="1">
        <v>44158.709965277776</v>
      </c>
      <c r="E26" t="s">
        <v>30</v>
      </c>
      <c r="F26" s="2">
        <v>44158</v>
      </c>
      <c r="G26" t="s">
        <v>31</v>
      </c>
      <c r="H26" s="2">
        <v>45720</v>
      </c>
      <c r="I26" s="2">
        <v>45722</v>
      </c>
      <c r="J26">
        <v>6047.51</v>
      </c>
      <c r="K26" t="s">
        <v>32</v>
      </c>
      <c r="L26">
        <v>7733</v>
      </c>
      <c r="M26" t="s">
        <v>79</v>
      </c>
      <c r="N26" t="s">
        <v>80</v>
      </c>
      <c r="O26" t="s">
        <v>35</v>
      </c>
      <c r="P26" t="s">
        <v>36</v>
      </c>
      <c r="Q26" t="s">
        <v>37</v>
      </c>
      <c r="R26" t="s">
        <v>36</v>
      </c>
      <c r="S26" t="s">
        <v>37</v>
      </c>
      <c r="T26" s="2">
        <v>45717</v>
      </c>
      <c r="U26" t="s">
        <v>32</v>
      </c>
      <c r="V26" t="s">
        <v>35</v>
      </c>
      <c r="X26" t="s">
        <v>87</v>
      </c>
      <c r="Y26" t="s">
        <v>88</v>
      </c>
      <c r="Z26" t="s">
        <v>89</v>
      </c>
      <c r="AA26" t="s">
        <v>38</v>
      </c>
      <c r="AB26" t="s">
        <v>39</v>
      </c>
    </row>
    <row r="27" spans="1:28" x14ac:dyDescent="0.3">
      <c r="A27" t="s">
        <v>85</v>
      </c>
      <c r="B27" t="s">
        <v>86</v>
      </c>
      <c r="C27">
        <v>227745</v>
      </c>
      <c r="D27" s="1">
        <v>44158.709965277776</v>
      </c>
      <c r="E27" t="s">
        <v>30</v>
      </c>
      <c r="F27" s="2">
        <v>44158</v>
      </c>
      <c r="G27" t="s">
        <v>31</v>
      </c>
      <c r="H27" s="2">
        <v>45691</v>
      </c>
      <c r="I27" s="2">
        <v>45693</v>
      </c>
      <c r="J27">
        <v>6047.51</v>
      </c>
      <c r="K27" t="s">
        <v>32</v>
      </c>
      <c r="L27">
        <v>7733</v>
      </c>
      <c r="M27" t="s">
        <v>79</v>
      </c>
      <c r="N27" t="s">
        <v>80</v>
      </c>
      <c r="O27" t="s">
        <v>35</v>
      </c>
      <c r="P27" t="s">
        <v>36</v>
      </c>
      <c r="Q27" t="s">
        <v>37</v>
      </c>
      <c r="R27" t="s">
        <v>36</v>
      </c>
      <c r="S27" t="s">
        <v>37</v>
      </c>
      <c r="T27" s="2">
        <v>45689</v>
      </c>
      <c r="U27" t="s">
        <v>32</v>
      </c>
      <c r="V27" t="s">
        <v>35</v>
      </c>
      <c r="X27" t="s">
        <v>87</v>
      </c>
      <c r="Y27" t="s">
        <v>88</v>
      </c>
      <c r="Z27" t="s">
        <v>89</v>
      </c>
      <c r="AA27" t="s">
        <v>38</v>
      </c>
      <c r="AB27" t="s">
        <v>39</v>
      </c>
    </row>
    <row r="28" spans="1:28" x14ac:dyDescent="0.3">
      <c r="A28" t="s">
        <v>85</v>
      </c>
      <c r="B28" t="s">
        <v>86</v>
      </c>
      <c r="C28">
        <v>227745</v>
      </c>
      <c r="D28" s="1">
        <v>44158.709965277776</v>
      </c>
      <c r="E28" t="s">
        <v>30</v>
      </c>
      <c r="F28" s="2">
        <v>44158</v>
      </c>
      <c r="G28" t="s">
        <v>31</v>
      </c>
      <c r="H28" s="2">
        <v>45664</v>
      </c>
      <c r="I28" s="2">
        <v>45679</v>
      </c>
      <c r="J28">
        <v>6047.51</v>
      </c>
      <c r="K28" t="s">
        <v>32</v>
      </c>
      <c r="L28">
        <v>7733</v>
      </c>
      <c r="M28" t="s">
        <v>79</v>
      </c>
      <c r="N28" t="s">
        <v>80</v>
      </c>
      <c r="O28" t="s">
        <v>35</v>
      </c>
      <c r="P28" t="s">
        <v>36</v>
      </c>
      <c r="Q28" t="s">
        <v>37</v>
      </c>
      <c r="R28" t="s">
        <v>36</v>
      </c>
      <c r="S28" t="s">
        <v>37</v>
      </c>
      <c r="T28" s="2">
        <v>45658</v>
      </c>
      <c r="U28" t="s">
        <v>32</v>
      </c>
      <c r="V28" t="s">
        <v>35</v>
      </c>
      <c r="X28" t="s">
        <v>87</v>
      </c>
      <c r="Y28" t="s">
        <v>88</v>
      </c>
      <c r="Z28" t="s">
        <v>89</v>
      </c>
      <c r="AA28" t="s">
        <v>38</v>
      </c>
      <c r="AB28" t="s">
        <v>39</v>
      </c>
    </row>
    <row r="29" spans="1:28" x14ac:dyDescent="0.3">
      <c r="A29" t="s">
        <v>90</v>
      </c>
      <c r="B29" t="s">
        <v>91</v>
      </c>
      <c r="C29">
        <v>1301843</v>
      </c>
      <c r="D29" s="1">
        <v>45876.298402777778</v>
      </c>
      <c r="E29" t="s">
        <v>42</v>
      </c>
      <c r="F29" s="2">
        <v>45874</v>
      </c>
      <c r="G29" t="s">
        <v>43</v>
      </c>
      <c r="H29" s="2">
        <v>45890</v>
      </c>
      <c r="I29" s="2">
        <v>45893</v>
      </c>
      <c r="J29">
        <v>29099.97</v>
      </c>
      <c r="K29" t="s">
        <v>32</v>
      </c>
      <c r="L29">
        <v>7675</v>
      </c>
      <c r="M29" t="s">
        <v>36</v>
      </c>
      <c r="N29" t="s">
        <v>37</v>
      </c>
      <c r="O29" t="s">
        <v>35</v>
      </c>
      <c r="P29" t="s">
        <v>36</v>
      </c>
      <c r="Q29" t="s">
        <v>37</v>
      </c>
      <c r="R29" t="s">
        <v>36</v>
      </c>
      <c r="S29" t="s">
        <v>37</v>
      </c>
      <c r="T29" s="2">
        <v>45870</v>
      </c>
      <c r="U29" t="s">
        <v>32</v>
      </c>
      <c r="V29" t="s">
        <v>35</v>
      </c>
      <c r="AA29" t="s">
        <v>38</v>
      </c>
      <c r="AB29" t="s">
        <v>39</v>
      </c>
    </row>
    <row r="30" spans="1:28" x14ac:dyDescent="0.3">
      <c r="A30" t="s">
        <v>90</v>
      </c>
      <c r="B30" t="s">
        <v>91</v>
      </c>
      <c r="C30">
        <v>1287325</v>
      </c>
      <c r="D30" s="1">
        <v>45861.536041666666</v>
      </c>
      <c r="E30" t="s">
        <v>42</v>
      </c>
      <c r="F30" s="2">
        <v>45861</v>
      </c>
      <c r="G30" t="s">
        <v>43</v>
      </c>
      <c r="H30" s="2">
        <v>45876</v>
      </c>
      <c r="I30" s="2">
        <v>45879</v>
      </c>
      <c r="J30">
        <v>16198.5</v>
      </c>
      <c r="K30" t="s">
        <v>32</v>
      </c>
      <c r="L30">
        <v>7675</v>
      </c>
      <c r="M30" t="s">
        <v>36</v>
      </c>
      <c r="N30" t="s">
        <v>37</v>
      </c>
      <c r="O30" t="s">
        <v>35</v>
      </c>
      <c r="P30" t="s">
        <v>36</v>
      </c>
      <c r="Q30" t="s">
        <v>37</v>
      </c>
      <c r="R30" t="s">
        <v>36</v>
      </c>
      <c r="S30" t="s">
        <v>37</v>
      </c>
      <c r="T30" s="2">
        <v>45870</v>
      </c>
      <c r="U30" t="s">
        <v>32</v>
      </c>
      <c r="V30" t="s">
        <v>35</v>
      </c>
      <c r="AA30" t="s">
        <v>38</v>
      </c>
      <c r="AB30" t="s">
        <v>39</v>
      </c>
    </row>
    <row r="31" spans="1:28" x14ac:dyDescent="0.3">
      <c r="A31" t="s">
        <v>92</v>
      </c>
      <c r="B31" t="s">
        <v>93</v>
      </c>
      <c r="C31">
        <v>700629</v>
      </c>
      <c r="D31" s="1">
        <v>44853.541689814818</v>
      </c>
      <c r="E31" t="s">
        <v>48</v>
      </c>
      <c r="F31" s="2">
        <v>44853</v>
      </c>
      <c r="G31" t="s">
        <v>31</v>
      </c>
      <c r="H31" s="2">
        <v>45861</v>
      </c>
      <c r="I31" s="2">
        <v>45865</v>
      </c>
      <c r="J31">
        <v>57000</v>
      </c>
      <c r="K31" t="s">
        <v>32</v>
      </c>
      <c r="L31">
        <v>7671</v>
      </c>
      <c r="M31" t="s">
        <v>36</v>
      </c>
      <c r="N31" t="s">
        <v>37</v>
      </c>
      <c r="O31" t="s">
        <v>35</v>
      </c>
      <c r="P31" t="s">
        <v>36</v>
      </c>
      <c r="Q31" t="s">
        <v>37</v>
      </c>
      <c r="R31" t="s">
        <v>36</v>
      </c>
      <c r="S31" t="s">
        <v>37</v>
      </c>
      <c r="T31" s="2">
        <v>45839</v>
      </c>
      <c r="U31" t="s">
        <v>32</v>
      </c>
      <c r="V31" t="s">
        <v>35</v>
      </c>
      <c r="AA31" t="s">
        <v>38</v>
      </c>
      <c r="AB31" t="s">
        <v>39</v>
      </c>
    </row>
    <row r="32" spans="1:28" x14ac:dyDescent="0.3">
      <c r="A32" t="s">
        <v>94</v>
      </c>
      <c r="B32" t="s">
        <v>95</v>
      </c>
      <c r="C32">
        <v>580434</v>
      </c>
      <c r="D32" s="1">
        <v>44706.457025462965</v>
      </c>
      <c r="E32" t="s">
        <v>48</v>
      </c>
      <c r="G32" t="s">
        <v>31</v>
      </c>
      <c r="H32" s="2">
        <v>45683</v>
      </c>
      <c r="I32" s="2">
        <v>45684</v>
      </c>
      <c r="J32">
        <v>50000</v>
      </c>
      <c r="K32" t="s">
        <v>32</v>
      </c>
      <c r="L32">
        <v>7675</v>
      </c>
      <c r="M32" t="s">
        <v>36</v>
      </c>
      <c r="N32" t="s">
        <v>37</v>
      </c>
      <c r="O32" t="s">
        <v>35</v>
      </c>
      <c r="P32" t="s">
        <v>36</v>
      </c>
      <c r="Q32" t="s">
        <v>37</v>
      </c>
      <c r="R32" t="s">
        <v>36</v>
      </c>
      <c r="S32" t="s">
        <v>37</v>
      </c>
      <c r="T32" s="2">
        <v>45658</v>
      </c>
      <c r="U32" t="s">
        <v>32</v>
      </c>
      <c r="V32" t="s">
        <v>35</v>
      </c>
      <c r="AA32" t="s">
        <v>38</v>
      </c>
      <c r="AB32" t="s">
        <v>39</v>
      </c>
    </row>
    <row r="33" spans="1:28" x14ac:dyDescent="0.3">
      <c r="A33" t="s">
        <v>96</v>
      </c>
      <c r="B33" t="s">
        <v>97</v>
      </c>
      <c r="C33">
        <v>204195</v>
      </c>
      <c r="D33" s="1">
        <v>44096.639826388891</v>
      </c>
      <c r="E33" t="s">
        <v>48</v>
      </c>
      <c r="F33" s="2">
        <v>44096</v>
      </c>
      <c r="G33" t="s">
        <v>31</v>
      </c>
      <c r="H33" s="2">
        <v>45886</v>
      </c>
      <c r="I33" s="2">
        <v>45886</v>
      </c>
      <c r="J33">
        <v>5945</v>
      </c>
      <c r="K33" t="s">
        <v>32</v>
      </c>
      <c r="L33">
        <v>7675</v>
      </c>
      <c r="M33" t="s">
        <v>36</v>
      </c>
      <c r="N33" t="s">
        <v>37</v>
      </c>
      <c r="O33" t="s">
        <v>35</v>
      </c>
      <c r="P33" t="s">
        <v>36</v>
      </c>
      <c r="Q33" t="s">
        <v>37</v>
      </c>
      <c r="R33" t="s">
        <v>36</v>
      </c>
      <c r="S33" t="s">
        <v>37</v>
      </c>
      <c r="T33" s="2">
        <v>45870</v>
      </c>
      <c r="U33" t="s">
        <v>32</v>
      </c>
      <c r="V33" t="s">
        <v>35</v>
      </c>
      <c r="AA33" t="s">
        <v>38</v>
      </c>
      <c r="AB33" t="s">
        <v>39</v>
      </c>
    </row>
    <row r="34" spans="1:28" x14ac:dyDescent="0.3">
      <c r="A34" t="s">
        <v>96</v>
      </c>
      <c r="B34" t="s">
        <v>97</v>
      </c>
      <c r="C34">
        <v>204195</v>
      </c>
      <c r="D34" s="1">
        <v>44096.639826388891</v>
      </c>
      <c r="E34" t="s">
        <v>48</v>
      </c>
      <c r="F34" s="2">
        <v>44096</v>
      </c>
      <c r="G34" t="s">
        <v>31</v>
      </c>
      <c r="H34" s="2">
        <v>45853</v>
      </c>
      <c r="I34" s="2">
        <v>45853</v>
      </c>
      <c r="J34">
        <v>5945</v>
      </c>
      <c r="K34" t="s">
        <v>32</v>
      </c>
      <c r="L34">
        <v>7675</v>
      </c>
      <c r="M34" t="s">
        <v>36</v>
      </c>
      <c r="N34" t="s">
        <v>37</v>
      </c>
      <c r="O34" t="s">
        <v>35</v>
      </c>
      <c r="P34" t="s">
        <v>36</v>
      </c>
      <c r="Q34" t="s">
        <v>37</v>
      </c>
      <c r="R34" t="s">
        <v>36</v>
      </c>
      <c r="S34" t="s">
        <v>37</v>
      </c>
      <c r="T34" s="2">
        <v>45839</v>
      </c>
      <c r="U34" t="s">
        <v>32</v>
      </c>
      <c r="V34" t="s">
        <v>35</v>
      </c>
      <c r="AA34" t="s">
        <v>38</v>
      </c>
      <c r="AB34" t="s">
        <v>39</v>
      </c>
    </row>
    <row r="35" spans="1:28" x14ac:dyDescent="0.3">
      <c r="A35" t="s">
        <v>96</v>
      </c>
      <c r="B35" t="s">
        <v>97</v>
      </c>
      <c r="C35">
        <v>204195</v>
      </c>
      <c r="D35" s="1">
        <v>44096.639826388891</v>
      </c>
      <c r="E35" t="s">
        <v>48</v>
      </c>
      <c r="F35" s="2">
        <v>44096</v>
      </c>
      <c r="G35" t="s">
        <v>31</v>
      </c>
      <c r="H35" s="2">
        <v>45823</v>
      </c>
      <c r="I35" s="2">
        <v>45823</v>
      </c>
      <c r="J35">
        <v>5945</v>
      </c>
      <c r="K35" t="s">
        <v>32</v>
      </c>
      <c r="L35">
        <v>7675</v>
      </c>
      <c r="M35" t="s">
        <v>36</v>
      </c>
      <c r="N35" t="s">
        <v>37</v>
      </c>
      <c r="O35" t="s">
        <v>35</v>
      </c>
      <c r="P35" t="s">
        <v>36</v>
      </c>
      <c r="Q35" t="s">
        <v>37</v>
      </c>
      <c r="R35" t="s">
        <v>36</v>
      </c>
      <c r="S35" t="s">
        <v>37</v>
      </c>
      <c r="T35" s="2">
        <v>45809</v>
      </c>
      <c r="U35" t="s">
        <v>32</v>
      </c>
      <c r="V35" t="s">
        <v>35</v>
      </c>
      <c r="AA35" t="s">
        <v>38</v>
      </c>
      <c r="AB35" t="s">
        <v>39</v>
      </c>
    </row>
    <row r="36" spans="1:28" x14ac:dyDescent="0.3">
      <c r="A36" t="s">
        <v>96</v>
      </c>
      <c r="B36" t="s">
        <v>97</v>
      </c>
      <c r="C36">
        <v>204195</v>
      </c>
      <c r="D36" s="1">
        <v>44096.639826388891</v>
      </c>
      <c r="E36" t="s">
        <v>48</v>
      </c>
      <c r="F36" s="2">
        <v>44096</v>
      </c>
      <c r="G36" t="s">
        <v>31</v>
      </c>
      <c r="H36" s="2">
        <v>45792</v>
      </c>
      <c r="I36" s="2">
        <v>45792</v>
      </c>
      <c r="J36">
        <v>5945</v>
      </c>
      <c r="K36" t="s">
        <v>32</v>
      </c>
      <c r="L36">
        <v>7675</v>
      </c>
      <c r="M36" t="s">
        <v>36</v>
      </c>
      <c r="N36" t="s">
        <v>37</v>
      </c>
      <c r="O36" t="s">
        <v>35</v>
      </c>
      <c r="P36" t="s">
        <v>36</v>
      </c>
      <c r="Q36" t="s">
        <v>37</v>
      </c>
      <c r="R36" t="s">
        <v>36</v>
      </c>
      <c r="S36" t="s">
        <v>37</v>
      </c>
      <c r="T36" s="2">
        <v>45778</v>
      </c>
      <c r="U36" t="s">
        <v>32</v>
      </c>
      <c r="V36" t="s">
        <v>35</v>
      </c>
      <c r="AA36" t="s">
        <v>38</v>
      </c>
      <c r="AB36" t="s">
        <v>39</v>
      </c>
    </row>
    <row r="37" spans="1:28" x14ac:dyDescent="0.3">
      <c r="A37" t="s">
        <v>96</v>
      </c>
      <c r="B37" t="s">
        <v>97</v>
      </c>
      <c r="C37">
        <v>204195</v>
      </c>
      <c r="D37" s="1">
        <v>44096.639826388891</v>
      </c>
      <c r="E37" t="s">
        <v>48</v>
      </c>
      <c r="F37" s="2">
        <v>44096</v>
      </c>
      <c r="G37" t="s">
        <v>31</v>
      </c>
      <c r="H37" s="2">
        <v>45762</v>
      </c>
      <c r="I37" s="2">
        <v>45762</v>
      </c>
      <c r="J37">
        <v>5945</v>
      </c>
      <c r="K37" t="s">
        <v>32</v>
      </c>
      <c r="L37">
        <v>7675</v>
      </c>
      <c r="M37" t="s">
        <v>36</v>
      </c>
      <c r="N37" t="s">
        <v>37</v>
      </c>
      <c r="O37" t="s">
        <v>35</v>
      </c>
      <c r="P37" t="s">
        <v>36</v>
      </c>
      <c r="Q37" t="s">
        <v>37</v>
      </c>
      <c r="R37" t="s">
        <v>36</v>
      </c>
      <c r="S37" t="s">
        <v>37</v>
      </c>
      <c r="T37" s="2">
        <v>45748</v>
      </c>
      <c r="U37" t="s">
        <v>32</v>
      </c>
      <c r="V37" t="s">
        <v>35</v>
      </c>
      <c r="AA37" t="s">
        <v>38</v>
      </c>
      <c r="AB37" t="s">
        <v>39</v>
      </c>
    </row>
    <row r="38" spans="1:28" x14ac:dyDescent="0.3">
      <c r="A38" t="s">
        <v>96</v>
      </c>
      <c r="B38" t="s">
        <v>97</v>
      </c>
      <c r="C38">
        <v>204195</v>
      </c>
      <c r="D38" s="1">
        <v>44096.639826388891</v>
      </c>
      <c r="E38" t="s">
        <v>48</v>
      </c>
      <c r="F38" s="2">
        <v>44096</v>
      </c>
      <c r="G38" t="s">
        <v>31</v>
      </c>
      <c r="H38" s="2">
        <v>45732</v>
      </c>
      <c r="I38" s="2">
        <v>45732</v>
      </c>
      <c r="J38">
        <v>5945</v>
      </c>
      <c r="K38" t="s">
        <v>32</v>
      </c>
      <c r="L38">
        <v>7675</v>
      </c>
      <c r="M38" t="s">
        <v>36</v>
      </c>
      <c r="N38" t="s">
        <v>37</v>
      </c>
      <c r="O38" t="s">
        <v>35</v>
      </c>
      <c r="P38" t="s">
        <v>36</v>
      </c>
      <c r="Q38" t="s">
        <v>37</v>
      </c>
      <c r="R38" t="s">
        <v>36</v>
      </c>
      <c r="S38" t="s">
        <v>37</v>
      </c>
      <c r="T38" s="2">
        <v>45717</v>
      </c>
      <c r="U38" t="s">
        <v>32</v>
      </c>
      <c r="V38" t="s">
        <v>35</v>
      </c>
      <c r="AA38" t="s">
        <v>38</v>
      </c>
      <c r="AB38" t="s">
        <v>39</v>
      </c>
    </row>
    <row r="39" spans="1:28" x14ac:dyDescent="0.3">
      <c r="A39" t="s">
        <v>96</v>
      </c>
      <c r="B39" t="s">
        <v>97</v>
      </c>
      <c r="C39">
        <v>204195</v>
      </c>
      <c r="D39" s="1">
        <v>44096.639826388891</v>
      </c>
      <c r="E39" t="s">
        <v>48</v>
      </c>
      <c r="F39" s="2">
        <v>44096</v>
      </c>
      <c r="G39" t="s">
        <v>31</v>
      </c>
      <c r="H39" s="2">
        <v>45704</v>
      </c>
      <c r="I39" s="2">
        <v>45704</v>
      </c>
      <c r="J39">
        <v>5945</v>
      </c>
      <c r="K39" t="s">
        <v>32</v>
      </c>
      <c r="L39">
        <v>7675</v>
      </c>
      <c r="M39" t="s">
        <v>36</v>
      </c>
      <c r="N39" t="s">
        <v>37</v>
      </c>
      <c r="O39" t="s">
        <v>35</v>
      </c>
      <c r="P39" t="s">
        <v>36</v>
      </c>
      <c r="Q39" t="s">
        <v>37</v>
      </c>
      <c r="R39" t="s">
        <v>36</v>
      </c>
      <c r="S39" t="s">
        <v>37</v>
      </c>
      <c r="T39" s="2">
        <v>45689</v>
      </c>
      <c r="U39" t="s">
        <v>32</v>
      </c>
      <c r="V39" t="s">
        <v>35</v>
      </c>
      <c r="AA39" t="s">
        <v>38</v>
      </c>
      <c r="AB39" t="s">
        <v>39</v>
      </c>
    </row>
    <row r="40" spans="1:28" x14ac:dyDescent="0.3">
      <c r="A40" t="s">
        <v>96</v>
      </c>
      <c r="B40" t="s">
        <v>97</v>
      </c>
      <c r="C40">
        <v>204195</v>
      </c>
      <c r="D40" s="1">
        <v>44096.639826388891</v>
      </c>
      <c r="E40" t="s">
        <v>48</v>
      </c>
      <c r="F40" s="2">
        <v>44096</v>
      </c>
      <c r="G40" t="s">
        <v>31</v>
      </c>
      <c r="H40" s="2">
        <v>45672</v>
      </c>
      <c r="I40" s="2">
        <v>45672</v>
      </c>
      <c r="J40">
        <v>5945</v>
      </c>
      <c r="K40" t="s">
        <v>32</v>
      </c>
      <c r="L40">
        <v>7675</v>
      </c>
      <c r="M40" t="s">
        <v>36</v>
      </c>
      <c r="N40" t="s">
        <v>37</v>
      </c>
      <c r="O40" t="s">
        <v>35</v>
      </c>
      <c r="P40" t="s">
        <v>36</v>
      </c>
      <c r="Q40" t="s">
        <v>37</v>
      </c>
      <c r="R40" t="s">
        <v>36</v>
      </c>
      <c r="S40" t="s">
        <v>37</v>
      </c>
      <c r="T40" s="2">
        <v>45658</v>
      </c>
      <c r="U40" t="s">
        <v>32</v>
      </c>
      <c r="V40" t="s">
        <v>35</v>
      </c>
      <c r="AA40" t="s">
        <v>38</v>
      </c>
      <c r="AB40" t="s">
        <v>39</v>
      </c>
    </row>
    <row r="41" spans="1:28" x14ac:dyDescent="0.3">
      <c r="A41" t="s">
        <v>98</v>
      </c>
      <c r="B41" t="s">
        <v>99</v>
      </c>
      <c r="C41">
        <v>826456</v>
      </c>
      <c r="D41" s="1">
        <v>44951.693171296298</v>
      </c>
      <c r="E41" t="s">
        <v>48</v>
      </c>
      <c r="F41" s="2">
        <v>44951</v>
      </c>
      <c r="G41" t="s">
        <v>31</v>
      </c>
      <c r="H41" s="2">
        <v>45726</v>
      </c>
      <c r="I41" s="2">
        <v>45729</v>
      </c>
      <c r="J41">
        <v>6600</v>
      </c>
      <c r="K41" t="s">
        <v>32</v>
      </c>
      <c r="L41">
        <v>7675</v>
      </c>
      <c r="M41" t="s">
        <v>36</v>
      </c>
      <c r="N41" t="s">
        <v>37</v>
      </c>
      <c r="O41" t="s">
        <v>35</v>
      </c>
      <c r="P41" t="s">
        <v>36</v>
      </c>
      <c r="Q41" t="s">
        <v>37</v>
      </c>
      <c r="R41" t="s">
        <v>36</v>
      </c>
      <c r="S41" t="s">
        <v>37</v>
      </c>
      <c r="T41" s="2">
        <v>45717</v>
      </c>
      <c r="U41" t="s">
        <v>32</v>
      </c>
      <c r="V41" t="s">
        <v>35</v>
      </c>
      <c r="AA41" t="s">
        <v>38</v>
      </c>
      <c r="AB41" t="s">
        <v>39</v>
      </c>
    </row>
    <row r="42" spans="1:28" x14ac:dyDescent="0.3">
      <c r="A42" t="s">
        <v>98</v>
      </c>
      <c r="B42" t="s">
        <v>99</v>
      </c>
      <c r="C42">
        <v>826456</v>
      </c>
      <c r="D42" s="1">
        <v>44951.693171296298</v>
      </c>
      <c r="E42" t="s">
        <v>48</v>
      </c>
      <c r="F42" s="2">
        <v>44951</v>
      </c>
      <c r="G42" t="s">
        <v>31</v>
      </c>
      <c r="H42" s="2">
        <v>45698</v>
      </c>
      <c r="I42" s="2">
        <v>45698</v>
      </c>
      <c r="J42">
        <v>6300</v>
      </c>
      <c r="K42" t="s">
        <v>32</v>
      </c>
      <c r="L42">
        <v>7675</v>
      </c>
      <c r="M42" t="s">
        <v>36</v>
      </c>
      <c r="N42" t="s">
        <v>37</v>
      </c>
      <c r="O42" t="s">
        <v>35</v>
      </c>
      <c r="P42" t="s">
        <v>36</v>
      </c>
      <c r="Q42" t="s">
        <v>37</v>
      </c>
      <c r="R42" t="s">
        <v>36</v>
      </c>
      <c r="S42" t="s">
        <v>37</v>
      </c>
      <c r="T42" s="2">
        <v>45689</v>
      </c>
      <c r="U42" t="s">
        <v>32</v>
      </c>
      <c r="V42" t="s">
        <v>35</v>
      </c>
      <c r="AA42" t="s">
        <v>38</v>
      </c>
      <c r="AB42" t="s">
        <v>39</v>
      </c>
    </row>
    <row r="43" spans="1:28" x14ac:dyDescent="0.3">
      <c r="A43" t="s">
        <v>98</v>
      </c>
      <c r="B43" t="s">
        <v>99</v>
      </c>
      <c r="C43">
        <v>826456</v>
      </c>
      <c r="D43" s="1">
        <v>44951.693171296298</v>
      </c>
      <c r="E43" t="s">
        <v>48</v>
      </c>
      <c r="F43" s="2">
        <v>44951</v>
      </c>
      <c r="G43" t="s">
        <v>31</v>
      </c>
      <c r="H43" s="2">
        <v>45669</v>
      </c>
      <c r="I43" s="2">
        <v>45669</v>
      </c>
      <c r="J43">
        <v>6300</v>
      </c>
      <c r="K43" t="s">
        <v>32</v>
      </c>
      <c r="L43">
        <v>7675</v>
      </c>
      <c r="M43" t="s">
        <v>36</v>
      </c>
      <c r="N43" t="s">
        <v>37</v>
      </c>
      <c r="O43" t="s">
        <v>35</v>
      </c>
      <c r="P43" t="s">
        <v>36</v>
      </c>
      <c r="Q43" t="s">
        <v>37</v>
      </c>
      <c r="R43" t="s">
        <v>36</v>
      </c>
      <c r="S43" t="s">
        <v>37</v>
      </c>
      <c r="T43" s="2">
        <v>45658</v>
      </c>
      <c r="U43" t="s">
        <v>32</v>
      </c>
      <c r="V43" t="s">
        <v>35</v>
      </c>
      <c r="AA43" t="s">
        <v>38</v>
      </c>
      <c r="AB43" t="s">
        <v>39</v>
      </c>
    </row>
    <row r="44" spans="1:28" x14ac:dyDescent="0.3">
      <c r="A44" t="s">
        <v>100</v>
      </c>
      <c r="B44" t="s">
        <v>101</v>
      </c>
      <c r="C44">
        <v>807287</v>
      </c>
      <c r="D44" s="1">
        <v>44936.543124999997</v>
      </c>
      <c r="E44" t="s">
        <v>48</v>
      </c>
      <c r="F44" s="2">
        <v>44936</v>
      </c>
      <c r="G44" t="s">
        <v>31</v>
      </c>
      <c r="H44" s="2">
        <v>45788</v>
      </c>
      <c r="I44" s="2">
        <v>45788</v>
      </c>
      <c r="J44">
        <v>5000</v>
      </c>
      <c r="K44" t="s">
        <v>32</v>
      </c>
      <c r="L44">
        <v>7671</v>
      </c>
      <c r="M44" t="s">
        <v>36</v>
      </c>
      <c r="N44" t="s">
        <v>37</v>
      </c>
      <c r="O44" t="s">
        <v>35</v>
      </c>
      <c r="P44" t="s">
        <v>36</v>
      </c>
      <c r="Q44" t="s">
        <v>37</v>
      </c>
      <c r="R44" t="s">
        <v>36</v>
      </c>
      <c r="S44" t="s">
        <v>37</v>
      </c>
      <c r="T44" s="2">
        <v>45778</v>
      </c>
      <c r="U44" t="s">
        <v>32</v>
      </c>
      <c r="V44" t="s">
        <v>35</v>
      </c>
      <c r="AA44" t="s">
        <v>38</v>
      </c>
      <c r="AB44" t="s">
        <v>39</v>
      </c>
    </row>
    <row r="45" spans="1:28" x14ac:dyDescent="0.3">
      <c r="A45" t="s">
        <v>100</v>
      </c>
      <c r="B45" t="s">
        <v>101</v>
      </c>
      <c r="C45">
        <v>807287</v>
      </c>
      <c r="D45" s="1">
        <v>44936.543124999997</v>
      </c>
      <c r="E45" t="s">
        <v>48</v>
      </c>
      <c r="F45" s="2">
        <v>44936</v>
      </c>
      <c r="G45" t="s">
        <v>31</v>
      </c>
      <c r="H45" s="2">
        <v>45757</v>
      </c>
      <c r="I45" s="2">
        <v>45757</v>
      </c>
      <c r="J45">
        <v>5000</v>
      </c>
      <c r="K45" t="s">
        <v>32</v>
      </c>
      <c r="L45">
        <v>7671</v>
      </c>
      <c r="M45" t="s">
        <v>36</v>
      </c>
      <c r="N45" t="s">
        <v>37</v>
      </c>
      <c r="O45" t="s">
        <v>35</v>
      </c>
      <c r="P45" t="s">
        <v>36</v>
      </c>
      <c r="Q45" t="s">
        <v>37</v>
      </c>
      <c r="R45" t="s">
        <v>36</v>
      </c>
      <c r="S45" t="s">
        <v>37</v>
      </c>
      <c r="T45" s="2">
        <v>45748</v>
      </c>
      <c r="U45" t="s">
        <v>32</v>
      </c>
      <c r="V45" t="s">
        <v>35</v>
      </c>
      <c r="AA45" t="s">
        <v>38</v>
      </c>
      <c r="AB45" t="s">
        <v>39</v>
      </c>
    </row>
    <row r="46" spans="1:28" x14ac:dyDescent="0.3">
      <c r="A46" t="s">
        <v>100</v>
      </c>
      <c r="B46" t="s">
        <v>101</v>
      </c>
      <c r="C46">
        <v>807287</v>
      </c>
      <c r="D46" s="1">
        <v>44936.543124999997</v>
      </c>
      <c r="E46" t="s">
        <v>48</v>
      </c>
      <c r="F46" s="2">
        <v>44936</v>
      </c>
      <c r="G46" t="s">
        <v>31</v>
      </c>
      <c r="H46" s="2">
        <v>45726</v>
      </c>
      <c r="I46" s="2">
        <v>45729</v>
      </c>
      <c r="J46">
        <v>5000</v>
      </c>
      <c r="K46" t="s">
        <v>32</v>
      </c>
      <c r="L46">
        <v>7671</v>
      </c>
      <c r="M46" t="s">
        <v>36</v>
      </c>
      <c r="N46" t="s">
        <v>37</v>
      </c>
      <c r="O46" t="s">
        <v>35</v>
      </c>
      <c r="P46" t="s">
        <v>36</v>
      </c>
      <c r="Q46" t="s">
        <v>37</v>
      </c>
      <c r="R46" t="s">
        <v>36</v>
      </c>
      <c r="S46" t="s">
        <v>37</v>
      </c>
      <c r="T46" s="2">
        <v>45717</v>
      </c>
      <c r="U46" t="s">
        <v>32</v>
      </c>
      <c r="V46" t="s">
        <v>35</v>
      </c>
      <c r="AA46" t="s">
        <v>38</v>
      </c>
      <c r="AB46" t="s">
        <v>39</v>
      </c>
    </row>
    <row r="47" spans="1:28" x14ac:dyDescent="0.3">
      <c r="A47" t="s">
        <v>100</v>
      </c>
      <c r="B47" t="s">
        <v>101</v>
      </c>
      <c r="C47">
        <v>807287</v>
      </c>
      <c r="D47" s="1">
        <v>44936.543124999997</v>
      </c>
      <c r="E47" t="s">
        <v>48</v>
      </c>
      <c r="F47" s="2">
        <v>44936</v>
      </c>
      <c r="G47" t="s">
        <v>31</v>
      </c>
      <c r="H47" s="2">
        <v>45698</v>
      </c>
      <c r="I47" s="2">
        <v>45698</v>
      </c>
      <c r="J47">
        <v>5000</v>
      </c>
      <c r="K47" t="s">
        <v>32</v>
      </c>
      <c r="L47">
        <v>7671</v>
      </c>
      <c r="M47" t="s">
        <v>36</v>
      </c>
      <c r="N47" t="s">
        <v>37</v>
      </c>
      <c r="O47" t="s">
        <v>35</v>
      </c>
      <c r="P47" t="s">
        <v>36</v>
      </c>
      <c r="Q47" t="s">
        <v>37</v>
      </c>
      <c r="R47" t="s">
        <v>36</v>
      </c>
      <c r="S47" t="s">
        <v>37</v>
      </c>
      <c r="T47" s="2">
        <v>45689</v>
      </c>
      <c r="U47" t="s">
        <v>32</v>
      </c>
      <c r="V47" t="s">
        <v>35</v>
      </c>
      <c r="AA47" t="s">
        <v>38</v>
      </c>
      <c r="AB47" t="s">
        <v>39</v>
      </c>
    </row>
    <row r="48" spans="1:28" x14ac:dyDescent="0.3">
      <c r="A48" t="s">
        <v>100</v>
      </c>
      <c r="B48" t="s">
        <v>101</v>
      </c>
      <c r="C48">
        <v>807287</v>
      </c>
      <c r="D48" s="1">
        <v>44936.543124999997</v>
      </c>
      <c r="E48" t="s">
        <v>48</v>
      </c>
      <c r="F48" s="2">
        <v>44936</v>
      </c>
      <c r="G48" t="s">
        <v>31</v>
      </c>
      <c r="H48" s="2">
        <v>45669</v>
      </c>
      <c r="I48" s="2">
        <v>45669</v>
      </c>
      <c r="J48">
        <v>5000</v>
      </c>
      <c r="K48" t="s">
        <v>32</v>
      </c>
      <c r="L48">
        <v>7671</v>
      </c>
      <c r="M48" t="s">
        <v>36</v>
      </c>
      <c r="N48" t="s">
        <v>37</v>
      </c>
      <c r="O48" t="s">
        <v>35</v>
      </c>
      <c r="P48" t="s">
        <v>36</v>
      </c>
      <c r="Q48" t="s">
        <v>37</v>
      </c>
      <c r="R48" t="s">
        <v>36</v>
      </c>
      <c r="S48" t="s">
        <v>37</v>
      </c>
      <c r="T48" s="2">
        <v>45658</v>
      </c>
      <c r="U48" t="s">
        <v>32</v>
      </c>
      <c r="V48" t="s">
        <v>35</v>
      </c>
      <c r="AA48" t="s">
        <v>38</v>
      </c>
      <c r="AB48" t="s">
        <v>39</v>
      </c>
    </row>
    <row r="49" spans="1:28" x14ac:dyDescent="0.3">
      <c r="A49" t="s">
        <v>102</v>
      </c>
      <c r="B49" t="s">
        <v>103</v>
      </c>
      <c r="C49">
        <v>1313412</v>
      </c>
      <c r="D49" s="1">
        <v>45889.553935185184</v>
      </c>
      <c r="E49" t="s">
        <v>48</v>
      </c>
      <c r="F49" s="2">
        <v>45889</v>
      </c>
      <c r="G49" t="s">
        <v>43</v>
      </c>
      <c r="H49" s="2">
        <v>45900</v>
      </c>
      <c r="I49" s="2">
        <v>45901</v>
      </c>
      <c r="J49">
        <v>118036.31</v>
      </c>
      <c r="K49" t="s">
        <v>32</v>
      </c>
      <c r="L49">
        <v>24765</v>
      </c>
      <c r="M49" t="s">
        <v>104</v>
      </c>
      <c r="N49" t="s">
        <v>105</v>
      </c>
      <c r="O49" t="s">
        <v>35</v>
      </c>
      <c r="P49" t="s">
        <v>36</v>
      </c>
      <c r="Q49" t="s">
        <v>37</v>
      </c>
      <c r="R49" t="s">
        <v>36</v>
      </c>
      <c r="S49" t="s">
        <v>37</v>
      </c>
      <c r="T49" s="2">
        <v>45870</v>
      </c>
      <c r="U49" t="s">
        <v>32</v>
      </c>
      <c r="V49" t="s">
        <v>35</v>
      </c>
      <c r="AA49" t="s">
        <v>38</v>
      </c>
      <c r="AB49" t="s">
        <v>39</v>
      </c>
    </row>
    <row r="50" spans="1:28" x14ac:dyDescent="0.3">
      <c r="A50" t="s">
        <v>106</v>
      </c>
      <c r="B50" t="s">
        <v>107</v>
      </c>
      <c r="C50">
        <v>1313070</v>
      </c>
      <c r="D50" s="1">
        <v>45889.434537037036</v>
      </c>
      <c r="E50" t="s">
        <v>48</v>
      </c>
      <c r="F50" s="2">
        <v>45889</v>
      </c>
      <c r="G50" t="s">
        <v>43</v>
      </c>
      <c r="H50" s="2">
        <v>45900</v>
      </c>
      <c r="I50" s="2">
        <v>45901</v>
      </c>
      <c r="J50">
        <v>3985.52</v>
      </c>
      <c r="K50" t="s">
        <v>32</v>
      </c>
      <c r="L50">
        <v>24765</v>
      </c>
      <c r="M50" t="s">
        <v>104</v>
      </c>
      <c r="N50" t="s">
        <v>105</v>
      </c>
      <c r="O50" t="s">
        <v>35</v>
      </c>
      <c r="P50" t="s">
        <v>36</v>
      </c>
      <c r="Q50" t="s">
        <v>37</v>
      </c>
      <c r="R50" t="s">
        <v>36</v>
      </c>
      <c r="S50" t="s">
        <v>37</v>
      </c>
      <c r="T50" s="2">
        <v>45870</v>
      </c>
      <c r="U50" t="s">
        <v>32</v>
      </c>
      <c r="V50" t="s">
        <v>35</v>
      </c>
      <c r="AA50" t="s">
        <v>38</v>
      </c>
      <c r="AB50" t="s">
        <v>39</v>
      </c>
    </row>
    <row r="51" spans="1:28" x14ac:dyDescent="0.3">
      <c r="A51" t="s">
        <v>108</v>
      </c>
      <c r="B51" t="s">
        <v>109</v>
      </c>
      <c r="C51">
        <v>1313242</v>
      </c>
      <c r="D51" s="1">
        <v>45889.486863425926</v>
      </c>
      <c r="E51" t="s">
        <v>42</v>
      </c>
      <c r="F51" s="2">
        <v>45889</v>
      </c>
      <c r="G51" t="s">
        <v>43</v>
      </c>
      <c r="H51" s="2">
        <v>45897</v>
      </c>
      <c r="I51" s="2">
        <v>45900</v>
      </c>
      <c r="J51">
        <v>51605.440000000002</v>
      </c>
      <c r="K51" t="s">
        <v>32</v>
      </c>
      <c r="L51">
        <v>24765</v>
      </c>
      <c r="M51" t="s">
        <v>104</v>
      </c>
      <c r="N51" t="s">
        <v>105</v>
      </c>
      <c r="O51" t="s">
        <v>35</v>
      </c>
      <c r="P51" t="s">
        <v>36</v>
      </c>
      <c r="Q51" t="s">
        <v>37</v>
      </c>
      <c r="R51" t="s">
        <v>36</v>
      </c>
      <c r="S51" t="s">
        <v>37</v>
      </c>
      <c r="T51" s="2">
        <v>45870</v>
      </c>
      <c r="U51" t="s">
        <v>32</v>
      </c>
      <c r="V51" t="s">
        <v>35</v>
      </c>
      <c r="X51" t="s">
        <v>110</v>
      </c>
      <c r="Y51" t="s">
        <v>111</v>
      </c>
      <c r="AA51" t="s">
        <v>38</v>
      </c>
      <c r="AB51" t="s">
        <v>39</v>
      </c>
    </row>
    <row r="52" spans="1:28" x14ac:dyDescent="0.3">
      <c r="A52" t="s">
        <v>108</v>
      </c>
      <c r="B52" t="s">
        <v>109</v>
      </c>
      <c r="C52">
        <v>1309920</v>
      </c>
      <c r="D52" s="1">
        <v>45886.52784722222</v>
      </c>
      <c r="E52" t="s">
        <v>30</v>
      </c>
      <c r="F52" s="2">
        <v>45883</v>
      </c>
      <c r="G52" t="s">
        <v>43</v>
      </c>
      <c r="H52" s="2">
        <v>45900</v>
      </c>
      <c r="I52" s="2">
        <v>45901</v>
      </c>
      <c r="J52">
        <v>13458.39</v>
      </c>
      <c r="K52" t="s">
        <v>32</v>
      </c>
      <c r="L52">
        <v>24765</v>
      </c>
      <c r="M52" t="s">
        <v>104</v>
      </c>
      <c r="N52" t="s">
        <v>105</v>
      </c>
      <c r="O52" t="s">
        <v>35</v>
      </c>
      <c r="P52" t="s">
        <v>36</v>
      </c>
      <c r="Q52" t="s">
        <v>37</v>
      </c>
      <c r="R52" t="s">
        <v>36</v>
      </c>
      <c r="S52" t="s">
        <v>37</v>
      </c>
      <c r="T52" s="2">
        <v>45870</v>
      </c>
      <c r="U52" t="s">
        <v>32</v>
      </c>
      <c r="V52" t="s">
        <v>35</v>
      </c>
      <c r="X52" t="s">
        <v>110</v>
      </c>
      <c r="Y52" t="s">
        <v>111</v>
      </c>
      <c r="AA52" t="s">
        <v>38</v>
      </c>
      <c r="AB52" t="s">
        <v>39</v>
      </c>
    </row>
    <row r="53" spans="1:28" x14ac:dyDescent="0.3">
      <c r="A53" t="s">
        <v>112</v>
      </c>
      <c r="B53" t="s">
        <v>113</v>
      </c>
      <c r="C53">
        <v>1304949</v>
      </c>
      <c r="D53" s="1">
        <v>45880.501782407409</v>
      </c>
      <c r="E53" t="s">
        <v>42</v>
      </c>
      <c r="F53" s="2">
        <v>45880</v>
      </c>
      <c r="G53" t="s">
        <v>43</v>
      </c>
      <c r="H53" s="2">
        <v>45894</v>
      </c>
      <c r="I53" s="2">
        <v>45895</v>
      </c>
      <c r="J53">
        <v>70604.77</v>
      </c>
      <c r="K53" t="s">
        <v>32</v>
      </c>
      <c r="L53">
        <v>24765</v>
      </c>
      <c r="M53" t="s">
        <v>104</v>
      </c>
      <c r="N53" t="s">
        <v>105</v>
      </c>
      <c r="O53" t="s">
        <v>35</v>
      </c>
      <c r="P53" t="s">
        <v>36</v>
      </c>
      <c r="Q53" t="s">
        <v>37</v>
      </c>
      <c r="R53" t="s">
        <v>36</v>
      </c>
      <c r="S53" t="s">
        <v>37</v>
      </c>
      <c r="T53" s="2">
        <v>45870</v>
      </c>
      <c r="U53" t="s">
        <v>32</v>
      </c>
      <c r="V53" t="s">
        <v>35</v>
      </c>
      <c r="X53" t="s">
        <v>110</v>
      </c>
      <c r="Y53" t="s">
        <v>111</v>
      </c>
      <c r="AA53" t="s">
        <v>38</v>
      </c>
      <c r="AB53" t="s">
        <v>39</v>
      </c>
    </row>
    <row r="54" spans="1:28" x14ac:dyDescent="0.3">
      <c r="A54" t="s">
        <v>112</v>
      </c>
      <c r="B54" t="s">
        <v>113</v>
      </c>
      <c r="C54">
        <v>1304875</v>
      </c>
      <c r="D54" s="1">
        <v>45880.483437499999</v>
      </c>
      <c r="E54" t="s">
        <v>42</v>
      </c>
      <c r="F54" s="2">
        <v>45880</v>
      </c>
      <c r="G54" t="s">
        <v>43</v>
      </c>
      <c r="H54" s="2">
        <v>45894</v>
      </c>
      <c r="I54" s="2">
        <v>45895</v>
      </c>
      <c r="J54">
        <v>9915.52</v>
      </c>
      <c r="K54" t="s">
        <v>32</v>
      </c>
      <c r="L54">
        <v>24765</v>
      </c>
      <c r="M54" t="s">
        <v>104</v>
      </c>
      <c r="N54" t="s">
        <v>105</v>
      </c>
      <c r="O54" t="s">
        <v>35</v>
      </c>
      <c r="P54" t="s">
        <v>36</v>
      </c>
      <c r="Q54" t="s">
        <v>37</v>
      </c>
      <c r="R54" t="s">
        <v>36</v>
      </c>
      <c r="S54" t="s">
        <v>37</v>
      </c>
      <c r="T54" s="2">
        <v>45870</v>
      </c>
      <c r="U54" t="s">
        <v>32</v>
      </c>
      <c r="V54" t="s">
        <v>35</v>
      </c>
      <c r="X54" t="s">
        <v>110</v>
      </c>
      <c r="Y54" t="s">
        <v>111</v>
      </c>
      <c r="AA54" t="s">
        <v>38</v>
      </c>
      <c r="AB54" t="s">
        <v>39</v>
      </c>
    </row>
    <row r="55" spans="1:28" x14ac:dyDescent="0.3">
      <c r="A55" t="s">
        <v>112</v>
      </c>
      <c r="B55" t="s">
        <v>113</v>
      </c>
      <c r="C55">
        <v>1304691</v>
      </c>
      <c r="D55" s="1">
        <v>45880.42827546296</v>
      </c>
      <c r="E55" t="s">
        <v>42</v>
      </c>
      <c r="F55" s="2">
        <v>45880</v>
      </c>
      <c r="G55" t="s">
        <v>43</v>
      </c>
      <c r="H55" s="2">
        <v>45894</v>
      </c>
      <c r="I55" s="2">
        <v>45895</v>
      </c>
      <c r="J55">
        <v>670.13</v>
      </c>
      <c r="K55" t="s">
        <v>32</v>
      </c>
      <c r="L55">
        <v>24765</v>
      </c>
      <c r="M55" t="s">
        <v>104</v>
      </c>
      <c r="N55" t="s">
        <v>105</v>
      </c>
      <c r="O55" t="s">
        <v>35</v>
      </c>
      <c r="P55" t="s">
        <v>36</v>
      </c>
      <c r="Q55" t="s">
        <v>37</v>
      </c>
      <c r="R55" t="s">
        <v>36</v>
      </c>
      <c r="S55" t="s">
        <v>37</v>
      </c>
      <c r="T55" s="2">
        <v>45870</v>
      </c>
      <c r="U55" t="s">
        <v>32</v>
      </c>
      <c r="V55" t="s">
        <v>35</v>
      </c>
      <c r="X55" t="s">
        <v>110</v>
      </c>
      <c r="Y55" t="s">
        <v>111</v>
      </c>
      <c r="AA55" t="s">
        <v>38</v>
      </c>
      <c r="AB55" t="s">
        <v>39</v>
      </c>
    </row>
    <row r="56" spans="1:28" x14ac:dyDescent="0.3">
      <c r="A56" t="s">
        <v>112</v>
      </c>
      <c r="B56" t="s">
        <v>113</v>
      </c>
      <c r="C56">
        <v>1304684</v>
      </c>
      <c r="D56" s="1">
        <v>45880.426979166667</v>
      </c>
      <c r="E56" t="s">
        <v>42</v>
      </c>
      <c r="F56" s="2">
        <v>45880</v>
      </c>
      <c r="G56" t="s">
        <v>43</v>
      </c>
      <c r="H56" s="2">
        <v>45894</v>
      </c>
      <c r="I56" s="2">
        <v>45895</v>
      </c>
      <c r="J56">
        <v>1374.05</v>
      </c>
      <c r="K56" t="s">
        <v>32</v>
      </c>
      <c r="L56">
        <v>24765</v>
      </c>
      <c r="M56" t="s">
        <v>104</v>
      </c>
      <c r="N56" t="s">
        <v>105</v>
      </c>
      <c r="O56" t="s">
        <v>35</v>
      </c>
      <c r="P56" t="s">
        <v>36</v>
      </c>
      <c r="Q56" t="s">
        <v>37</v>
      </c>
      <c r="R56" t="s">
        <v>36</v>
      </c>
      <c r="S56" t="s">
        <v>37</v>
      </c>
      <c r="T56" s="2">
        <v>45870</v>
      </c>
      <c r="U56" t="s">
        <v>32</v>
      </c>
      <c r="V56" t="s">
        <v>35</v>
      </c>
      <c r="X56" t="s">
        <v>110</v>
      </c>
      <c r="Y56" t="s">
        <v>111</v>
      </c>
      <c r="AA56" t="s">
        <v>38</v>
      </c>
      <c r="AB56" t="s">
        <v>39</v>
      </c>
    </row>
    <row r="57" spans="1:28" x14ac:dyDescent="0.3">
      <c r="A57" t="s">
        <v>112</v>
      </c>
      <c r="B57" t="s">
        <v>113</v>
      </c>
      <c r="C57">
        <v>1304682</v>
      </c>
      <c r="D57" s="1">
        <v>45880.425636574073</v>
      </c>
      <c r="E57" t="s">
        <v>42</v>
      </c>
      <c r="F57" s="2">
        <v>45880</v>
      </c>
      <c r="G57" t="s">
        <v>43</v>
      </c>
      <c r="H57" s="2">
        <v>45894</v>
      </c>
      <c r="I57" s="2">
        <v>45895</v>
      </c>
      <c r="J57">
        <v>4486.95</v>
      </c>
      <c r="K57" t="s">
        <v>32</v>
      </c>
      <c r="L57">
        <v>24765</v>
      </c>
      <c r="M57" t="s">
        <v>104</v>
      </c>
      <c r="N57" t="s">
        <v>105</v>
      </c>
      <c r="O57" t="s">
        <v>35</v>
      </c>
      <c r="P57" t="s">
        <v>36</v>
      </c>
      <c r="Q57" t="s">
        <v>37</v>
      </c>
      <c r="R57" t="s">
        <v>36</v>
      </c>
      <c r="S57" t="s">
        <v>37</v>
      </c>
      <c r="T57" s="2">
        <v>45870</v>
      </c>
      <c r="U57" t="s">
        <v>32</v>
      </c>
      <c r="V57" t="s">
        <v>35</v>
      </c>
      <c r="X57" t="s">
        <v>110</v>
      </c>
      <c r="Y57" t="s">
        <v>111</v>
      </c>
      <c r="AA57" t="s">
        <v>38</v>
      </c>
      <c r="AB57" t="s">
        <v>39</v>
      </c>
    </row>
    <row r="58" spans="1:28" x14ac:dyDescent="0.3">
      <c r="A58" t="s">
        <v>112</v>
      </c>
      <c r="B58" t="s">
        <v>113</v>
      </c>
      <c r="C58">
        <v>1304673</v>
      </c>
      <c r="D58" s="1">
        <v>45880.424085648148</v>
      </c>
      <c r="E58" t="s">
        <v>42</v>
      </c>
      <c r="F58" s="2">
        <v>45880</v>
      </c>
      <c r="G58" t="s">
        <v>43</v>
      </c>
      <c r="H58" s="2">
        <v>45894</v>
      </c>
      <c r="I58" s="2">
        <v>45895</v>
      </c>
      <c r="J58">
        <v>4741.47</v>
      </c>
      <c r="K58" t="s">
        <v>32</v>
      </c>
      <c r="L58">
        <v>24765</v>
      </c>
      <c r="M58" t="s">
        <v>104</v>
      </c>
      <c r="N58" t="s">
        <v>105</v>
      </c>
      <c r="O58" t="s">
        <v>35</v>
      </c>
      <c r="P58" t="s">
        <v>36</v>
      </c>
      <c r="Q58" t="s">
        <v>37</v>
      </c>
      <c r="R58" t="s">
        <v>36</v>
      </c>
      <c r="S58" t="s">
        <v>37</v>
      </c>
      <c r="T58" s="2">
        <v>45870</v>
      </c>
      <c r="U58" t="s">
        <v>32</v>
      </c>
      <c r="V58" t="s">
        <v>35</v>
      </c>
      <c r="X58" t="s">
        <v>110</v>
      </c>
      <c r="Y58" t="s">
        <v>111</v>
      </c>
      <c r="AA58" t="s">
        <v>38</v>
      </c>
      <c r="AB58" t="s">
        <v>39</v>
      </c>
    </row>
    <row r="59" spans="1:28" x14ac:dyDescent="0.3">
      <c r="A59" t="s">
        <v>112</v>
      </c>
      <c r="B59" t="s">
        <v>113</v>
      </c>
      <c r="C59">
        <v>1304670</v>
      </c>
      <c r="D59" s="1">
        <v>45880.422835648147</v>
      </c>
      <c r="E59" t="s">
        <v>42</v>
      </c>
      <c r="F59" s="2">
        <v>45880</v>
      </c>
      <c r="G59" t="s">
        <v>43</v>
      </c>
      <c r="H59" s="2">
        <v>45894</v>
      </c>
      <c r="I59" s="2">
        <v>45895</v>
      </c>
      <c r="J59">
        <v>14017.9</v>
      </c>
      <c r="K59" t="s">
        <v>32</v>
      </c>
      <c r="L59">
        <v>24765</v>
      </c>
      <c r="M59" t="s">
        <v>104</v>
      </c>
      <c r="N59" t="s">
        <v>105</v>
      </c>
      <c r="O59" t="s">
        <v>35</v>
      </c>
      <c r="P59" t="s">
        <v>36</v>
      </c>
      <c r="Q59" t="s">
        <v>37</v>
      </c>
      <c r="R59" t="s">
        <v>36</v>
      </c>
      <c r="S59" t="s">
        <v>37</v>
      </c>
      <c r="T59" s="2">
        <v>45870</v>
      </c>
      <c r="U59" t="s">
        <v>32</v>
      </c>
      <c r="V59" t="s">
        <v>35</v>
      </c>
      <c r="X59" t="s">
        <v>110</v>
      </c>
      <c r="Y59" t="s">
        <v>111</v>
      </c>
      <c r="AA59" t="s">
        <v>38</v>
      </c>
      <c r="AB59" t="s">
        <v>39</v>
      </c>
    </row>
    <row r="60" spans="1:28" x14ac:dyDescent="0.3">
      <c r="A60" t="s">
        <v>114</v>
      </c>
      <c r="B60" t="s">
        <v>115</v>
      </c>
      <c r="C60">
        <v>1286958</v>
      </c>
      <c r="D60" s="1">
        <v>45861.438715277778</v>
      </c>
      <c r="E60" t="s">
        <v>30</v>
      </c>
      <c r="F60" s="2">
        <v>45861</v>
      </c>
      <c r="G60" t="s">
        <v>43</v>
      </c>
      <c r="H60" s="2">
        <v>45893</v>
      </c>
      <c r="I60" s="2">
        <v>45894</v>
      </c>
      <c r="J60">
        <v>130039.58</v>
      </c>
      <c r="K60" t="s">
        <v>32</v>
      </c>
      <c r="L60">
        <v>24765</v>
      </c>
      <c r="M60" t="s">
        <v>104</v>
      </c>
      <c r="N60" t="s">
        <v>105</v>
      </c>
      <c r="O60" t="s">
        <v>35</v>
      </c>
      <c r="P60" t="s">
        <v>36</v>
      </c>
      <c r="Q60" t="s">
        <v>37</v>
      </c>
      <c r="R60" t="s">
        <v>36</v>
      </c>
      <c r="S60" t="s">
        <v>37</v>
      </c>
      <c r="T60" s="2">
        <v>45870</v>
      </c>
      <c r="U60" t="s">
        <v>32</v>
      </c>
      <c r="V60" t="s">
        <v>35</v>
      </c>
      <c r="X60" t="s">
        <v>116</v>
      </c>
      <c r="Y60" t="s">
        <v>117</v>
      </c>
      <c r="Z60" t="s">
        <v>67</v>
      </c>
      <c r="AA60" t="s">
        <v>38</v>
      </c>
      <c r="AB60" t="s">
        <v>39</v>
      </c>
    </row>
    <row r="61" spans="1:28" x14ac:dyDescent="0.3">
      <c r="A61" t="s">
        <v>118</v>
      </c>
      <c r="B61" t="s">
        <v>119</v>
      </c>
      <c r="C61">
        <v>1278128</v>
      </c>
      <c r="D61" s="1">
        <v>45853.326053240744</v>
      </c>
      <c r="E61" t="s">
        <v>30</v>
      </c>
      <c r="F61" s="2">
        <v>45851</v>
      </c>
      <c r="G61" t="s">
        <v>43</v>
      </c>
      <c r="H61" s="2">
        <v>45867</v>
      </c>
      <c r="I61" s="2">
        <v>45868</v>
      </c>
      <c r="J61">
        <v>28778.28</v>
      </c>
      <c r="K61" t="s">
        <v>32</v>
      </c>
      <c r="L61">
        <v>24765</v>
      </c>
      <c r="M61" t="s">
        <v>104</v>
      </c>
      <c r="N61" t="s">
        <v>105</v>
      </c>
      <c r="O61" t="s">
        <v>35</v>
      </c>
      <c r="P61" t="s">
        <v>36</v>
      </c>
      <c r="Q61" t="s">
        <v>37</v>
      </c>
      <c r="R61" t="s">
        <v>36</v>
      </c>
      <c r="S61" t="s">
        <v>37</v>
      </c>
      <c r="T61" s="2">
        <v>45839</v>
      </c>
      <c r="U61" t="s">
        <v>32</v>
      </c>
      <c r="V61" t="s">
        <v>35</v>
      </c>
      <c r="AA61" t="s">
        <v>38</v>
      </c>
      <c r="AB61" t="s">
        <v>39</v>
      </c>
    </row>
    <row r="62" spans="1:28" x14ac:dyDescent="0.3">
      <c r="A62" t="s">
        <v>120</v>
      </c>
      <c r="B62" t="s">
        <v>121</v>
      </c>
      <c r="C62">
        <v>1290381</v>
      </c>
      <c r="D62" s="1">
        <v>45865.510740740741</v>
      </c>
      <c r="E62" t="s">
        <v>48</v>
      </c>
      <c r="F62" s="2">
        <v>45865</v>
      </c>
      <c r="G62" t="s">
        <v>31</v>
      </c>
      <c r="H62" s="2">
        <v>45861</v>
      </c>
      <c r="I62" s="2">
        <v>45866</v>
      </c>
      <c r="J62">
        <v>30000</v>
      </c>
      <c r="K62" t="s">
        <v>32</v>
      </c>
      <c r="L62">
        <v>24765</v>
      </c>
      <c r="M62" t="s">
        <v>104</v>
      </c>
      <c r="N62" t="s">
        <v>105</v>
      </c>
      <c r="O62" t="s">
        <v>35</v>
      </c>
      <c r="P62" t="s">
        <v>36</v>
      </c>
      <c r="Q62" t="s">
        <v>37</v>
      </c>
      <c r="R62" t="s">
        <v>36</v>
      </c>
      <c r="S62" t="s">
        <v>37</v>
      </c>
      <c r="T62" s="2">
        <v>45839</v>
      </c>
      <c r="U62" t="s">
        <v>32</v>
      </c>
      <c r="V62" t="s">
        <v>35</v>
      </c>
      <c r="AA62" t="s">
        <v>38</v>
      </c>
      <c r="AB62" t="s">
        <v>39</v>
      </c>
    </row>
    <row r="63" spans="1:28" x14ac:dyDescent="0.3">
      <c r="A63" t="s">
        <v>122</v>
      </c>
      <c r="B63" t="s">
        <v>123</v>
      </c>
      <c r="C63">
        <v>1301032</v>
      </c>
      <c r="D63" s="1">
        <v>45875.50072916667</v>
      </c>
      <c r="E63" t="s">
        <v>30</v>
      </c>
      <c r="F63" s="2">
        <v>45875</v>
      </c>
      <c r="G63" t="s">
        <v>43</v>
      </c>
      <c r="H63" s="2">
        <v>45889</v>
      </c>
      <c r="I63" s="2">
        <v>45890</v>
      </c>
      <c r="J63">
        <v>22057.21</v>
      </c>
      <c r="K63" t="s">
        <v>32</v>
      </c>
      <c r="L63">
        <v>24765</v>
      </c>
      <c r="M63" t="s">
        <v>104</v>
      </c>
      <c r="N63" t="s">
        <v>105</v>
      </c>
      <c r="O63" t="s">
        <v>35</v>
      </c>
      <c r="P63" t="s">
        <v>36</v>
      </c>
      <c r="Q63" t="s">
        <v>37</v>
      </c>
      <c r="R63" t="s">
        <v>36</v>
      </c>
      <c r="S63" t="s">
        <v>37</v>
      </c>
      <c r="T63" s="2">
        <v>45870</v>
      </c>
      <c r="U63" t="s">
        <v>32</v>
      </c>
      <c r="V63" t="s">
        <v>35</v>
      </c>
      <c r="X63" t="s">
        <v>110</v>
      </c>
      <c r="Y63" t="s">
        <v>111</v>
      </c>
      <c r="AA63" t="s">
        <v>38</v>
      </c>
      <c r="AB63" t="s">
        <v>39</v>
      </c>
    </row>
    <row r="64" spans="1:28" x14ac:dyDescent="0.3">
      <c r="A64" t="s">
        <v>122</v>
      </c>
      <c r="B64" t="s">
        <v>123</v>
      </c>
      <c r="C64">
        <v>1301022</v>
      </c>
      <c r="D64" s="1">
        <v>45875.497210648151</v>
      </c>
      <c r="E64" t="s">
        <v>30</v>
      </c>
      <c r="F64" s="2">
        <v>45875</v>
      </c>
      <c r="G64" t="s">
        <v>43</v>
      </c>
      <c r="H64" s="2">
        <v>45889</v>
      </c>
      <c r="I64" s="2">
        <v>45890</v>
      </c>
      <c r="J64">
        <v>25275.79</v>
      </c>
      <c r="K64" t="s">
        <v>32</v>
      </c>
      <c r="L64">
        <v>24765</v>
      </c>
      <c r="M64" t="s">
        <v>104</v>
      </c>
      <c r="N64" t="s">
        <v>105</v>
      </c>
      <c r="O64" t="s">
        <v>35</v>
      </c>
      <c r="P64" t="s">
        <v>36</v>
      </c>
      <c r="Q64" t="s">
        <v>37</v>
      </c>
      <c r="R64" t="s">
        <v>36</v>
      </c>
      <c r="S64" t="s">
        <v>37</v>
      </c>
      <c r="T64" s="2">
        <v>45870</v>
      </c>
      <c r="U64" t="s">
        <v>32</v>
      </c>
      <c r="V64" t="s">
        <v>35</v>
      </c>
      <c r="X64" t="s">
        <v>110</v>
      </c>
      <c r="Y64" t="s">
        <v>111</v>
      </c>
      <c r="AA64" t="s">
        <v>38</v>
      </c>
      <c r="AB64" t="s">
        <v>39</v>
      </c>
    </row>
    <row r="65" spans="1:28" x14ac:dyDescent="0.3">
      <c r="A65" t="s">
        <v>122</v>
      </c>
      <c r="B65" t="s">
        <v>123</v>
      </c>
      <c r="C65">
        <v>1301001</v>
      </c>
      <c r="D65" s="1">
        <v>45875.49322916667</v>
      </c>
      <c r="E65" t="s">
        <v>30</v>
      </c>
      <c r="F65" s="2">
        <v>45875</v>
      </c>
      <c r="G65" t="s">
        <v>43</v>
      </c>
      <c r="H65" s="2">
        <v>45889</v>
      </c>
      <c r="I65" s="2">
        <v>45890</v>
      </c>
      <c r="J65">
        <v>10401.379999999999</v>
      </c>
      <c r="K65" t="s">
        <v>32</v>
      </c>
      <c r="L65">
        <v>24765</v>
      </c>
      <c r="M65" t="s">
        <v>104</v>
      </c>
      <c r="N65" t="s">
        <v>105</v>
      </c>
      <c r="O65" t="s">
        <v>35</v>
      </c>
      <c r="P65" t="s">
        <v>36</v>
      </c>
      <c r="Q65" t="s">
        <v>37</v>
      </c>
      <c r="R65" t="s">
        <v>36</v>
      </c>
      <c r="S65" t="s">
        <v>37</v>
      </c>
      <c r="T65" s="2">
        <v>45870</v>
      </c>
      <c r="U65" t="s">
        <v>32</v>
      </c>
      <c r="V65" t="s">
        <v>35</v>
      </c>
      <c r="X65" t="s">
        <v>110</v>
      </c>
      <c r="Y65" t="s">
        <v>111</v>
      </c>
      <c r="AA65" t="s">
        <v>38</v>
      </c>
      <c r="AB65" t="s">
        <v>39</v>
      </c>
    </row>
    <row r="66" spans="1:28" x14ac:dyDescent="0.3">
      <c r="A66" t="s">
        <v>122</v>
      </c>
      <c r="B66" t="s">
        <v>123</v>
      </c>
      <c r="C66">
        <v>1300753</v>
      </c>
      <c r="D66" s="1">
        <v>45875.413472222222</v>
      </c>
      <c r="E66" t="s">
        <v>30</v>
      </c>
      <c r="F66" s="2">
        <v>45873</v>
      </c>
      <c r="G66" t="s">
        <v>43</v>
      </c>
      <c r="H66" s="2">
        <v>45889</v>
      </c>
      <c r="I66" s="2">
        <v>45890</v>
      </c>
      <c r="J66">
        <v>12812.86</v>
      </c>
      <c r="K66" t="s">
        <v>32</v>
      </c>
      <c r="L66">
        <v>24765</v>
      </c>
      <c r="M66" t="s">
        <v>104</v>
      </c>
      <c r="N66" t="s">
        <v>105</v>
      </c>
      <c r="O66" t="s">
        <v>35</v>
      </c>
      <c r="P66" t="s">
        <v>36</v>
      </c>
      <c r="Q66" t="s">
        <v>37</v>
      </c>
      <c r="R66" t="s">
        <v>36</v>
      </c>
      <c r="S66" t="s">
        <v>37</v>
      </c>
      <c r="T66" s="2">
        <v>45870</v>
      </c>
      <c r="U66" t="s">
        <v>32</v>
      </c>
      <c r="V66" t="s">
        <v>35</v>
      </c>
      <c r="X66" t="s">
        <v>110</v>
      </c>
      <c r="Y66" t="s">
        <v>111</v>
      </c>
      <c r="AA66" t="s">
        <v>38</v>
      </c>
      <c r="AB66" t="s">
        <v>39</v>
      </c>
    </row>
    <row r="67" spans="1:28" x14ac:dyDescent="0.3">
      <c r="A67" t="s">
        <v>122</v>
      </c>
      <c r="B67" t="s">
        <v>123</v>
      </c>
      <c r="C67">
        <v>1300222</v>
      </c>
      <c r="D67" s="1">
        <v>45874.655659722222</v>
      </c>
      <c r="E67" t="s">
        <v>42</v>
      </c>
      <c r="F67" s="2">
        <v>45873</v>
      </c>
      <c r="G67" t="s">
        <v>43</v>
      </c>
      <c r="H67" s="2">
        <v>45880</v>
      </c>
      <c r="I67" s="2">
        <v>45881</v>
      </c>
      <c r="J67">
        <v>123439.38</v>
      </c>
      <c r="K67" t="s">
        <v>32</v>
      </c>
      <c r="L67">
        <v>24765</v>
      </c>
      <c r="M67" t="s">
        <v>104</v>
      </c>
      <c r="N67" t="s">
        <v>105</v>
      </c>
      <c r="O67" t="s">
        <v>35</v>
      </c>
      <c r="P67" t="s">
        <v>36</v>
      </c>
      <c r="Q67" t="s">
        <v>37</v>
      </c>
      <c r="R67" t="s">
        <v>36</v>
      </c>
      <c r="S67" t="s">
        <v>37</v>
      </c>
      <c r="T67" s="2">
        <v>45870</v>
      </c>
      <c r="U67" t="s">
        <v>32</v>
      </c>
      <c r="V67" t="s">
        <v>35</v>
      </c>
      <c r="X67" t="s">
        <v>110</v>
      </c>
      <c r="Y67" t="s">
        <v>111</v>
      </c>
      <c r="AA67" t="s">
        <v>38</v>
      </c>
      <c r="AB67" t="s">
        <v>39</v>
      </c>
    </row>
    <row r="68" spans="1:28" x14ac:dyDescent="0.3">
      <c r="A68" t="s">
        <v>124</v>
      </c>
      <c r="B68" t="s">
        <v>125</v>
      </c>
      <c r="C68">
        <v>1286428</v>
      </c>
      <c r="D68" s="1">
        <v>45860.773032407407</v>
      </c>
      <c r="E68" t="s">
        <v>30</v>
      </c>
      <c r="F68" s="2">
        <v>45861</v>
      </c>
      <c r="G68" t="s">
        <v>31</v>
      </c>
      <c r="H68" s="2">
        <v>45866</v>
      </c>
      <c r="I68" s="2">
        <v>45868</v>
      </c>
      <c r="J68">
        <v>20520</v>
      </c>
      <c r="K68" t="s">
        <v>32</v>
      </c>
      <c r="L68">
        <v>24765</v>
      </c>
      <c r="M68" t="s">
        <v>104</v>
      </c>
      <c r="N68" t="s">
        <v>105</v>
      </c>
      <c r="O68" t="s">
        <v>35</v>
      </c>
      <c r="P68" t="s">
        <v>36</v>
      </c>
      <c r="Q68" t="s">
        <v>37</v>
      </c>
      <c r="R68" t="s">
        <v>36</v>
      </c>
      <c r="S68" t="s">
        <v>37</v>
      </c>
      <c r="T68" s="2">
        <v>45839</v>
      </c>
      <c r="U68" t="s">
        <v>32</v>
      </c>
      <c r="V68" t="s">
        <v>35</v>
      </c>
      <c r="AA68" t="s">
        <v>38</v>
      </c>
      <c r="AB68" t="s">
        <v>39</v>
      </c>
    </row>
    <row r="69" spans="1:28" x14ac:dyDescent="0.3">
      <c r="A69" t="s">
        <v>126</v>
      </c>
      <c r="B69" t="s">
        <v>127</v>
      </c>
      <c r="C69">
        <v>1321937</v>
      </c>
      <c r="D69" s="1">
        <v>45901.39472222222</v>
      </c>
      <c r="E69" t="s">
        <v>48</v>
      </c>
      <c r="F69" s="2">
        <v>45901</v>
      </c>
      <c r="G69" t="s">
        <v>31</v>
      </c>
      <c r="H69" s="2">
        <v>45900</v>
      </c>
      <c r="I69" s="2">
        <v>45902</v>
      </c>
      <c r="J69">
        <v>80000</v>
      </c>
      <c r="K69" t="s">
        <v>32</v>
      </c>
      <c r="L69">
        <v>24765</v>
      </c>
      <c r="M69" t="s">
        <v>104</v>
      </c>
      <c r="N69" t="s">
        <v>105</v>
      </c>
      <c r="O69" t="s">
        <v>35</v>
      </c>
      <c r="P69" t="s">
        <v>36</v>
      </c>
      <c r="Q69" t="s">
        <v>37</v>
      </c>
      <c r="R69" t="s">
        <v>36</v>
      </c>
      <c r="S69" t="s">
        <v>37</v>
      </c>
      <c r="T69" s="2">
        <v>45870</v>
      </c>
      <c r="U69" t="s">
        <v>32</v>
      </c>
      <c r="V69" t="s">
        <v>35</v>
      </c>
      <c r="AA69" t="s">
        <v>38</v>
      </c>
      <c r="AB69" t="s">
        <v>39</v>
      </c>
    </row>
    <row r="70" spans="1:28" x14ac:dyDescent="0.3">
      <c r="A70" t="s">
        <v>126</v>
      </c>
      <c r="B70" t="s">
        <v>127</v>
      </c>
      <c r="C70">
        <v>1315262</v>
      </c>
      <c r="D70" s="1">
        <v>45891.288773148146</v>
      </c>
      <c r="E70" t="s">
        <v>42</v>
      </c>
      <c r="F70" s="2">
        <v>45891</v>
      </c>
      <c r="G70" t="s">
        <v>43</v>
      </c>
      <c r="H70" s="2">
        <v>45896</v>
      </c>
      <c r="I70" s="2">
        <v>45897</v>
      </c>
      <c r="J70">
        <v>47999.26</v>
      </c>
      <c r="K70" t="s">
        <v>32</v>
      </c>
      <c r="L70">
        <v>24765</v>
      </c>
      <c r="M70" t="s">
        <v>104</v>
      </c>
      <c r="N70" t="s">
        <v>105</v>
      </c>
      <c r="O70" t="s">
        <v>35</v>
      </c>
      <c r="P70" t="s">
        <v>36</v>
      </c>
      <c r="Q70" t="s">
        <v>37</v>
      </c>
      <c r="R70" t="s">
        <v>36</v>
      </c>
      <c r="S70" t="s">
        <v>37</v>
      </c>
      <c r="T70" s="2">
        <v>45870</v>
      </c>
      <c r="U70" t="s">
        <v>32</v>
      </c>
      <c r="V70" t="s">
        <v>35</v>
      </c>
      <c r="AA70" t="s">
        <v>38</v>
      </c>
      <c r="AB70" t="s">
        <v>39</v>
      </c>
    </row>
    <row r="71" spans="1:28" x14ac:dyDescent="0.3">
      <c r="A71" t="s">
        <v>128</v>
      </c>
      <c r="B71" t="s">
        <v>129</v>
      </c>
      <c r="C71">
        <v>1084272</v>
      </c>
      <c r="D71" s="1">
        <v>45502.717372685183</v>
      </c>
      <c r="E71" t="s">
        <v>30</v>
      </c>
      <c r="F71" s="2">
        <v>45502</v>
      </c>
      <c r="G71" t="s">
        <v>31</v>
      </c>
      <c r="H71" s="2">
        <v>45882</v>
      </c>
      <c r="I71" s="2">
        <v>45883</v>
      </c>
      <c r="J71">
        <v>5460</v>
      </c>
      <c r="K71" t="s">
        <v>32</v>
      </c>
      <c r="L71">
        <v>19987</v>
      </c>
      <c r="M71" t="s">
        <v>130</v>
      </c>
      <c r="N71" t="s">
        <v>131</v>
      </c>
      <c r="O71" t="s">
        <v>35</v>
      </c>
      <c r="P71" t="s">
        <v>36</v>
      </c>
      <c r="Q71" t="s">
        <v>37</v>
      </c>
      <c r="R71" t="s">
        <v>36</v>
      </c>
      <c r="S71" t="s">
        <v>37</v>
      </c>
      <c r="T71" s="2">
        <v>45870</v>
      </c>
      <c r="U71" t="s">
        <v>32</v>
      </c>
      <c r="V71" t="s">
        <v>35</v>
      </c>
      <c r="X71" t="s">
        <v>132</v>
      </c>
      <c r="Y71" t="s">
        <v>133</v>
      </c>
      <c r="AA71" t="s">
        <v>38</v>
      </c>
      <c r="AB71" t="s">
        <v>39</v>
      </c>
    </row>
    <row r="72" spans="1:28" x14ac:dyDescent="0.3">
      <c r="A72" t="s">
        <v>128</v>
      </c>
      <c r="B72" t="s">
        <v>129</v>
      </c>
      <c r="C72">
        <v>1084272</v>
      </c>
      <c r="D72" s="1">
        <v>45502.717372685183</v>
      </c>
      <c r="E72" t="s">
        <v>30</v>
      </c>
      <c r="F72" s="2">
        <v>45502</v>
      </c>
      <c r="G72" t="s">
        <v>31</v>
      </c>
      <c r="H72" s="2">
        <v>45853</v>
      </c>
      <c r="I72" s="2">
        <v>45859</v>
      </c>
      <c r="J72">
        <v>5200</v>
      </c>
      <c r="K72" t="s">
        <v>32</v>
      </c>
      <c r="L72">
        <v>19987</v>
      </c>
      <c r="M72" t="s">
        <v>130</v>
      </c>
      <c r="N72" t="s">
        <v>131</v>
      </c>
      <c r="O72" t="s">
        <v>35</v>
      </c>
      <c r="P72" t="s">
        <v>36</v>
      </c>
      <c r="Q72" t="s">
        <v>37</v>
      </c>
      <c r="R72" t="s">
        <v>36</v>
      </c>
      <c r="S72" t="s">
        <v>37</v>
      </c>
      <c r="T72" s="2">
        <v>45839</v>
      </c>
      <c r="U72" t="s">
        <v>32</v>
      </c>
      <c r="V72" t="s">
        <v>35</v>
      </c>
      <c r="X72" t="s">
        <v>132</v>
      </c>
      <c r="Y72" t="s">
        <v>133</v>
      </c>
      <c r="AA72" t="s">
        <v>38</v>
      </c>
      <c r="AB72" t="s">
        <v>39</v>
      </c>
    </row>
    <row r="73" spans="1:28" x14ac:dyDescent="0.3">
      <c r="A73" t="s">
        <v>128</v>
      </c>
      <c r="B73" t="s">
        <v>129</v>
      </c>
      <c r="C73">
        <v>1084272</v>
      </c>
      <c r="D73" s="1">
        <v>45502.717372685183</v>
      </c>
      <c r="E73" t="s">
        <v>30</v>
      </c>
      <c r="F73" s="2">
        <v>45502</v>
      </c>
      <c r="G73" t="s">
        <v>31</v>
      </c>
      <c r="H73" s="2">
        <v>45823</v>
      </c>
      <c r="I73" s="2">
        <v>45825</v>
      </c>
      <c r="J73">
        <v>5200</v>
      </c>
      <c r="K73" t="s">
        <v>32</v>
      </c>
      <c r="L73">
        <v>19987</v>
      </c>
      <c r="M73" t="s">
        <v>130</v>
      </c>
      <c r="N73" t="s">
        <v>131</v>
      </c>
      <c r="O73" t="s">
        <v>35</v>
      </c>
      <c r="P73" t="s">
        <v>36</v>
      </c>
      <c r="Q73" t="s">
        <v>37</v>
      </c>
      <c r="R73" t="s">
        <v>36</v>
      </c>
      <c r="S73" t="s">
        <v>37</v>
      </c>
      <c r="T73" s="2">
        <v>45809</v>
      </c>
      <c r="U73" t="s">
        <v>32</v>
      </c>
      <c r="V73" t="s">
        <v>35</v>
      </c>
      <c r="X73" t="s">
        <v>132</v>
      </c>
      <c r="Y73" t="s">
        <v>133</v>
      </c>
      <c r="AA73" t="s">
        <v>38</v>
      </c>
      <c r="AB73" t="s">
        <v>39</v>
      </c>
    </row>
    <row r="74" spans="1:28" x14ac:dyDescent="0.3">
      <c r="A74" t="s">
        <v>128</v>
      </c>
      <c r="B74" t="s">
        <v>129</v>
      </c>
      <c r="C74">
        <v>1084272</v>
      </c>
      <c r="D74" s="1">
        <v>45502.717372685183</v>
      </c>
      <c r="E74" t="s">
        <v>30</v>
      </c>
      <c r="F74" s="2">
        <v>45502</v>
      </c>
      <c r="G74" t="s">
        <v>31</v>
      </c>
      <c r="H74" s="2">
        <v>45792</v>
      </c>
      <c r="I74" s="2">
        <v>45794</v>
      </c>
      <c r="J74">
        <v>5200</v>
      </c>
      <c r="K74" t="s">
        <v>32</v>
      </c>
      <c r="L74">
        <v>19987</v>
      </c>
      <c r="M74" t="s">
        <v>130</v>
      </c>
      <c r="N74" t="s">
        <v>131</v>
      </c>
      <c r="O74" t="s">
        <v>35</v>
      </c>
      <c r="P74" t="s">
        <v>36</v>
      </c>
      <c r="Q74" t="s">
        <v>37</v>
      </c>
      <c r="R74" t="s">
        <v>36</v>
      </c>
      <c r="S74" t="s">
        <v>37</v>
      </c>
      <c r="T74" s="2">
        <v>45778</v>
      </c>
      <c r="U74" t="s">
        <v>32</v>
      </c>
      <c r="V74" t="s">
        <v>35</v>
      </c>
      <c r="X74" t="s">
        <v>132</v>
      </c>
      <c r="Y74" t="s">
        <v>133</v>
      </c>
      <c r="AA74" t="s">
        <v>38</v>
      </c>
      <c r="AB74" t="s">
        <v>39</v>
      </c>
    </row>
    <row r="75" spans="1:28" x14ac:dyDescent="0.3">
      <c r="A75" t="s">
        <v>128</v>
      </c>
      <c r="B75" t="s">
        <v>129</v>
      </c>
      <c r="C75">
        <v>1084272</v>
      </c>
      <c r="D75" s="1">
        <v>45502.717372685183</v>
      </c>
      <c r="E75" t="s">
        <v>30</v>
      </c>
      <c r="F75" s="2">
        <v>45502</v>
      </c>
      <c r="G75" t="s">
        <v>31</v>
      </c>
      <c r="H75" s="2">
        <v>45762</v>
      </c>
      <c r="I75" s="2">
        <v>45764</v>
      </c>
      <c r="J75">
        <v>5200</v>
      </c>
      <c r="K75" t="s">
        <v>32</v>
      </c>
      <c r="L75">
        <v>19987</v>
      </c>
      <c r="M75" t="s">
        <v>130</v>
      </c>
      <c r="N75" t="s">
        <v>131</v>
      </c>
      <c r="O75" t="s">
        <v>35</v>
      </c>
      <c r="P75" t="s">
        <v>36</v>
      </c>
      <c r="Q75" t="s">
        <v>37</v>
      </c>
      <c r="R75" t="s">
        <v>36</v>
      </c>
      <c r="S75" t="s">
        <v>37</v>
      </c>
      <c r="T75" s="2">
        <v>45748</v>
      </c>
      <c r="U75" t="s">
        <v>32</v>
      </c>
      <c r="V75" t="s">
        <v>35</v>
      </c>
      <c r="X75" t="s">
        <v>132</v>
      </c>
      <c r="Y75" t="s">
        <v>133</v>
      </c>
      <c r="AA75" t="s">
        <v>38</v>
      </c>
      <c r="AB75" t="s">
        <v>39</v>
      </c>
    </row>
    <row r="76" spans="1:28" x14ac:dyDescent="0.3">
      <c r="A76" t="s">
        <v>128</v>
      </c>
      <c r="B76" t="s">
        <v>129</v>
      </c>
      <c r="C76">
        <v>1084272</v>
      </c>
      <c r="D76" s="1">
        <v>45502.717372685183</v>
      </c>
      <c r="E76" t="s">
        <v>30</v>
      </c>
      <c r="F76" s="2">
        <v>45502</v>
      </c>
      <c r="G76" t="s">
        <v>31</v>
      </c>
      <c r="H76" s="2">
        <v>45732</v>
      </c>
      <c r="I76" s="2">
        <v>45733</v>
      </c>
      <c r="J76">
        <v>5200</v>
      </c>
      <c r="K76" t="s">
        <v>32</v>
      </c>
      <c r="L76">
        <v>19987</v>
      </c>
      <c r="M76" t="s">
        <v>130</v>
      </c>
      <c r="N76" t="s">
        <v>131</v>
      </c>
      <c r="O76" t="s">
        <v>35</v>
      </c>
      <c r="P76" t="s">
        <v>36</v>
      </c>
      <c r="Q76" t="s">
        <v>37</v>
      </c>
      <c r="R76" t="s">
        <v>36</v>
      </c>
      <c r="S76" t="s">
        <v>37</v>
      </c>
      <c r="T76" s="2">
        <v>45717</v>
      </c>
      <c r="U76" t="s">
        <v>32</v>
      </c>
      <c r="V76" t="s">
        <v>35</v>
      </c>
      <c r="X76" t="s">
        <v>132</v>
      </c>
      <c r="Y76" t="s">
        <v>133</v>
      </c>
      <c r="AA76" t="s">
        <v>38</v>
      </c>
      <c r="AB76" t="s">
        <v>39</v>
      </c>
    </row>
    <row r="77" spans="1:28" x14ac:dyDescent="0.3">
      <c r="A77" t="s">
        <v>128</v>
      </c>
      <c r="B77" t="s">
        <v>129</v>
      </c>
      <c r="C77">
        <v>1084272</v>
      </c>
      <c r="D77" s="1">
        <v>45502.717372685183</v>
      </c>
      <c r="E77" t="s">
        <v>30</v>
      </c>
      <c r="F77" s="2">
        <v>45502</v>
      </c>
      <c r="G77" t="s">
        <v>31</v>
      </c>
      <c r="H77" s="2">
        <v>45701</v>
      </c>
      <c r="I77" s="2">
        <v>45705</v>
      </c>
      <c r="J77">
        <v>5200</v>
      </c>
      <c r="K77" t="s">
        <v>32</v>
      </c>
      <c r="L77">
        <v>19987</v>
      </c>
      <c r="M77" t="s">
        <v>130</v>
      </c>
      <c r="N77" t="s">
        <v>131</v>
      </c>
      <c r="O77" t="s">
        <v>35</v>
      </c>
      <c r="P77" t="s">
        <v>36</v>
      </c>
      <c r="Q77" t="s">
        <v>37</v>
      </c>
      <c r="R77" t="s">
        <v>36</v>
      </c>
      <c r="S77" t="s">
        <v>37</v>
      </c>
      <c r="T77" s="2">
        <v>45689</v>
      </c>
      <c r="U77" t="s">
        <v>32</v>
      </c>
      <c r="V77" t="s">
        <v>35</v>
      </c>
      <c r="X77" t="s">
        <v>132</v>
      </c>
      <c r="Y77" t="s">
        <v>133</v>
      </c>
      <c r="AA77" t="s">
        <v>38</v>
      </c>
      <c r="AB77" t="s">
        <v>39</v>
      </c>
    </row>
    <row r="78" spans="1:28" x14ac:dyDescent="0.3">
      <c r="A78" t="s">
        <v>128</v>
      </c>
      <c r="B78" t="s">
        <v>129</v>
      </c>
      <c r="C78">
        <v>1084272</v>
      </c>
      <c r="D78" s="1">
        <v>45502.717372685183</v>
      </c>
      <c r="E78" t="s">
        <v>30</v>
      </c>
      <c r="F78" s="2">
        <v>45502</v>
      </c>
      <c r="G78" t="s">
        <v>31</v>
      </c>
      <c r="H78" s="2">
        <v>45672</v>
      </c>
      <c r="I78" s="2">
        <v>45675</v>
      </c>
      <c r="J78">
        <v>5200</v>
      </c>
      <c r="K78" t="s">
        <v>32</v>
      </c>
      <c r="L78">
        <v>19987</v>
      </c>
      <c r="M78" t="s">
        <v>130</v>
      </c>
      <c r="N78" t="s">
        <v>131</v>
      </c>
      <c r="O78" t="s">
        <v>35</v>
      </c>
      <c r="P78" t="s">
        <v>36</v>
      </c>
      <c r="Q78" t="s">
        <v>37</v>
      </c>
      <c r="R78" t="s">
        <v>36</v>
      </c>
      <c r="S78" t="s">
        <v>37</v>
      </c>
      <c r="T78" s="2">
        <v>45658</v>
      </c>
      <c r="U78" t="s">
        <v>32</v>
      </c>
      <c r="V78" t="s">
        <v>35</v>
      </c>
      <c r="X78" t="s">
        <v>132</v>
      </c>
      <c r="Y78" t="s">
        <v>133</v>
      </c>
      <c r="AA78" t="s">
        <v>38</v>
      </c>
      <c r="AB78" t="s">
        <v>39</v>
      </c>
    </row>
    <row r="79" spans="1:28" x14ac:dyDescent="0.3">
      <c r="A79" t="s">
        <v>134</v>
      </c>
      <c r="B79" t="s">
        <v>135</v>
      </c>
      <c r="C79">
        <v>339855</v>
      </c>
      <c r="D79" s="1">
        <v>44325.474097222221</v>
      </c>
      <c r="E79" t="s">
        <v>48</v>
      </c>
      <c r="F79" s="2">
        <v>44335</v>
      </c>
      <c r="G79" t="s">
        <v>31</v>
      </c>
      <c r="H79" s="2">
        <v>45700</v>
      </c>
      <c r="I79" s="2">
        <v>45704</v>
      </c>
      <c r="J79">
        <v>22000</v>
      </c>
      <c r="K79" t="s">
        <v>32</v>
      </c>
      <c r="L79">
        <v>11736</v>
      </c>
      <c r="M79" t="s">
        <v>136</v>
      </c>
      <c r="N79" t="s">
        <v>137</v>
      </c>
      <c r="O79" t="s">
        <v>35</v>
      </c>
      <c r="P79" t="s">
        <v>36</v>
      </c>
      <c r="Q79" t="s">
        <v>37</v>
      </c>
      <c r="R79" t="s">
        <v>36</v>
      </c>
      <c r="S79" t="s">
        <v>37</v>
      </c>
      <c r="T79" s="2">
        <v>45689</v>
      </c>
      <c r="U79" t="s">
        <v>32</v>
      </c>
      <c r="V79" t="s">
        <v>35</v>
      </c>
      <c r="AA79" t="s">
        <v>38</v>
      </c>
      <c r="AB79" t="s">
        <v>39</v>
      </c>
    </row>
    <row r="80" spans="1:28" x14ac:dyDescent="0.3">
      <c r="A80" t="s">
        <v>138</v>
      </c>
      <c r="B80" t="s">
        <v>139</v>
      </c>
      <c r="C80">
        <v>967286</v>
      </c>
      <c r="D80" s="1">
        <v>45175.353136574071</v>
      </c>
      <c r="E80" t="s">
        <v>48</v>
      </c>
      <c r="F80" s="2">
        <v>45174</v>
      </c>
      <c r="G80" t="s">
        <v>31</v>
      </c>
      <c r="H80" s="2">
        <v>45679</v>
      </c>
      <c r="I80" s="2">
        <v>45680</v>
      </c>
      <c r="J80">
        <v>5000</v>
      </c>
      <c r="K80" t="s">
        <v>32</v>
      </c>
      <c r="L80">
        <v>11736</v>
      </c>
      <c r="M80" t="s">
        <v>136</v>
      </c>
      <c r="N80" t="s">
        <v>137</v>
      </c>
      <c r="O80" t="s">
        <v>35</v>
      </c>
      <c r="P80" t="s">
        <v>36</v>
      </c>
      <c r="Q80" t="s">
        <v>37</v>
      </c>
      <c r="R80" t="s">
        <v>36</v>
      </c>
      <c r="S80" t="s">
        <v>37</v>
      </c>
      <c r="T80" s="2">
        <v>45658</v>
      </c>
      <c r="U80" t="s">
        <v>32</v>
      </c>
      <c r="V80" t="s">
        <v>35</v>
      </c>
      <c r="AA80" t="s">
        <v>38</v>
      </c>
      <c r="AB80" t="s">
        <v>39</v>
      </c>
    </row>
    <row r="81" spans="1:28" x14ac:dyDescent="0.3">
      <c r="A81" t="s">
        <v>140</v>
      </c>
      <c r="B81" t="s">
        <v>141</v>
      </c>
      <c r="C81">
        <v>1042670</v>
      </c>
      <c r="D81" s="1">
        <v>45414.651006944441</v>
      </c>
      <c r="E81" t="s">
        <v>48</v>
      </c>
      <c r="G81" t="s">
        <v>31</v>
      </c>
      <c r="H81" s="2">
        <v>45686</v>
      </c>
      <c r="I81" s="2">
        <v>45690</v>
      </c>
      <c r="J81">
        <v>80000</v>
      </c>
      <c r="K81" t="s">
        <v>32</v>
      </c>
      <c r="L81">
        <v>14077</v>
      </c>
      <c r="M81" t="s">
        <v>142</v>
      </c>
      <c r="N81" t="s">
        <v>143</v>
      </c>
      <c r="O81" t="s">
        <v>35</v>
      </c>
      <c r="P81" t="s">
        <v>36</v>
      </c>
      <c r="Q81" t="s">
        <v>37</v>
      </c>
      <c r="R81" t="s">
        <v>36</v>
      </c>
      <c r="S81" t="s">
        <v>37</v>
      </c>
      <c r="T81" s="2">
        <v>45658</v>
      </c>
      <c r="U81" t="s">
        <v>32</v>
      </c>
      <c r="V81" t="s">
        <v>35</v>
      </c>
      <c r="AA81" t="s">
        <v>38</v>
      </c>
      <c r="AB81" t="s">
        <v>39</v>
      </c>
    </row>
    <row r="82" spans="1:28" x14ac:dyDescent="0.3">
      <c r="A82" t="s">
        <v>144</v>
      </c>
      <c r="B82" t="s">
        <v>145</v>
      </c>
      <c r="C82">
        <v>1100934</v>
      </c>
      <c r="D82" s="1">
        <v>45544.432071759256</v>
      </c>
      <c r="E82" t="s">
        <v>48</v>
      </c>
      <c r="F82" s="2">
        <v>45544</v>
      </c>
      <c r="G82" t="s">
        <v>31</v>
      </c>
      <c r="H82" s="2">
        <v>45704</v>
      </c>
      <c r="I82" s="2">
        <v>45708</v>
      </c>
      <c r="J82">
        <v>81700</v>
      </c>
      <c r="K82" t="s">
        <v>32</v>
      </c>
      <c r="L82">
        <v>14077</v>
      </c>
      <c r="M82" t="s">
        <v>142</v>
      </c>
      <c r="N82" t="s">
        <v>143</v>
      </c>
      <c r="O82" t="s">
        <v>35</v>
      </c>
      <c r="P82" t="s">
        <v>36</v>
      </c>
      <c r="Q82" t="s">
        <v>37</v>
      </c>
      <c r="R82" t="s">
        <v>36</v>
      </c>
      <c r="S82" t="s">
        <v>37</v>
      </c>
      <c r="T82" s="2">
        <v>45689</v>
      </c>
      <c r="U82" t="s">
        <v>32</v>
      </c>
      <c r="V82" t="s">
        <v>35</v>
      </c>
      <c r="AA82" t="s">
        <v>38</v>
      </c>
      <c r="AB82" t="s">
        <v>39</v>
      </c>
    </row>
    <row r="83" spans="1:28" x14ac:dyDescent="0.3">
      <c r="A83" t="s">
        <v>146</v>
      </c>
      <c r="B83" t="s">
        <v>147</v>
      </c>
      <c r="C83">
        <v>1166586</v>
      </c>
      <c r="D83" s="1">
        <v>45687.507511574076</v>
      </c>
      <c r="E83" t="s">
        <v>30</v>
      </c>
      <c r="F83" s="2">
        <v>45687</v>
      </c>
      <c r="G83" t="s">
        <v>43</v>
      </c>
      <c r="H83" s="2">
        <v>45747</v>
      </c>
      <c r="I83" s="2">
        <v>45749</v>
      </c>
      <c r="J83">
        <v>12055.51</v>
      </c>
      <c r="K83" t="s">
        <v>32</v>
      </c>
      <c r="L83">
        <v>17885</v>
      </c>
      <c r="M83" t="s">
        <v>148</v>
      </c>
      <c r="N83" t="s">
        <v>149</v>
      </c>
      <c r="O83" t="s">
        <v>35</v>
      </c>
      <c r="P83" t="s">
        <v>36</v>
      </c>
      <c r="Q83" t="s">
        <v>37</v>
      </c>
      <c r="R83" t="s">
        <v>36</v>
      </c>
      <c r="S83" t="s">
        <v>37</v>
      </c>
      <c r="T83" s="2">
        <v>45717</v>
      </c>
      <c r="U83" t="s">
        <v>32</v>
      </c>
      <c r="V83" t="s">
        <v>35</v>
      </c>
      <c r="X83" t="s">
        <v>150</v>
      </c>
      <c r="Y83" t="s">
        <v>151</v>
      </c>
      <c r="AA83" t="s">
        <v>38</v>
      </c>
      <c r="AB83" t="s">
        <v>39</v>
      </c>
    </row>
    <row r="84" spans="1:28" x14ac:dyDescent="0.3">
      <c r="A84" t="s">
        <v>152</v>
      </c>
      <c r="B84" t="s">
        <v>153</v>
      </c>
      <c r="C84">
        <v>879036</v>
      </c>
      <c r="D84" s="1">
        <v>45008.327696759261</v>
      </c>
      <c r="E84" t="s">
        <v>48</v>
      </c>
      <c r="F84" s="2">
        <v>45007</v>
      </c>
      <c r="G84" t="s">
        <v>31</v>
      </c>
      <c r="H84" s="2">
        <v>45830</v>
      </c>
      <c r="I84" s="2">
        <v>45833</v>
      </c>
      <c r="J84">
        <v>5000</v>
      </c>
      <c r="K84" t="s">
        <v>32</v>
      </c>
      <c r="L84">
        <v>18058</v>
      </c>
      <c r="M84" t="s">
        <v>154</v>
      </c>
      <c r="N84" t="s">
        <v>155</v>
      </c>
      <c r="O84" t="s">
        <v>35</v>
      </c>
      <c r="P84" t="s">
        <v>36</v>
      </c>
      <c r="Q84" t="s">
        <v>37</v>
      </c>
      <c r="R84" t="s">
        <v>36</v>
      </c>
      <c r="S84" t="s">
        <v>37</v>
      </c>
      <c r="T84" s="2">
        <v>45809</v>
      </c>
      <c r="U84" t="s">
        <v>32</v>
      </c>
      <c r="V84" t="s">
        <v>35</v>
      </c>
      <c r="AA84" t="s">
        <v>38</v>
      </c>
      <c r="AB84" t="s">
        <v>39</v>
      </c>
    </row>
    <row r="85" spans="1:28" x14ac:dyDescent="0.3">
      <c r="A85" t="s">
        <v>156</v>
      </c>
      <c r="B85" t="s">
        <v>157</v>
      </c>
      <c r="C85">
        <v>1114337</v>
      </c>
      <c r="D85" s="1">
        <v>45578.680243055554</v>
      </c>
      <c r="E85" t="s">
        <v>42</v>
      </c>
      <c r="F85" s="2">
        <v>45575</v>
      </c>
      <c r="G85" t="s">
        <v>43</v>
      </c>
      <c r="H85" s="2">
        <v>45664</v>
      </c>
      <c r="I85" s="2">
        <v>45665</v>
      </c>
      <c r="J85">
        <v>39632.61</v>
      </c>
      <c r="K85" t="s">
        <v>32</v>
      </c>
      <c r="L85">
        <v>18058</v>
      </c>
      <c r="M85" t="s">
        <v>154</v>
      </c>
      <c r="N85" t="s">
        <v>155</v>
      </c>
      <c r="O85" t="s">
        <v>35</v>
      </c>
      <c r="P85" t="s">
        <v>36</v>
      </c>
      <c r="Q85" t="s">
        <v>37</v>
      </c>
      <c r="R85" t="s">
        <v>36</v>
      </c>
      <c r="S85" t="s">
        <v>37</v>
      </c>
      <c r="T85" s="2">
        <v>45658</v>
      </c>
      <c r="U85" t="s">
        <v>32</v>
      </c>
      <c r="V85" t="s">
        <v>35</v>
      </c>
      <c r="X85" t="s">
        <v>158</v>
      </c>
      <c r="Y85" t="s">
        <v>159</v>
      </c>
      <c r="Z85" t="s">
        <v>67</v>
      </c>
      <c r="AA85" t="s">
        <v>38</v>
      </c>
      <c r="AB85" t="s">
        <v>39</v>
      </c>
    </row>
    <row r="86" spans="1:28" x14ac:dyDescent="0.3">
      <c r="A86" t="s">
        <v>156</v>
      </c>
      <c r="B86" t="s">
        <v>157</v>
      </c>
      <c r="C86">
        <v>1114336</v>
      </c>
      <c r="D86" s="1">
        <v>45578.679895833331</v>
      </c>
      <c r="E86" t="s">
        <v>42</v>
      </c>
      <c r="F86" s="2">
        <v>45575</v>
      </c>
      <c r="G86" t="s">
        <v>43</v>
      </c>
      <c r="H86" s="2">
        <v>45664</v>
      </c>
      <c r="I86" s="2">
        <v>45665</v>
      </c>
      <c r="J86">
        <v>68969.64</v>
      </c>
      <c r="K86" t="s">
        <v>32</v>
      </c>
      <c r="L86">
        <v>18058</v>
      </c>
      <c r="M86" t="s">
        <v>154</v>
      </c>
      <c r="N86" t="s">
        <v>155</v>
      </c>
      <c r="O86" t="s">
        <v>35</v>
      </c>
      <c r="P86" t="s">
        <v>36</v>
      </c>
      <c r="Q86" t="s">
        <v>37</v>
      </c>
      <c r="R86" t="s">
        <v>36</v>
      </c>
      <c r="S86" t="s">
        <v>37</v>
      </c>
      <c r="T86" s="2">
        <v>45658</v>
      </c>
      <c r="U86" t="s">
        <v>32</v>
      </c>
      <c r="V86" t="s">
        <v>35</v>
      </c>
      <c r="X86" t="s">
        <v>158</v>
      </c>
      <c r="Y86" t="s">
        <v>159</v>
      </c>
      <c r="Z86" t="s">
        <v>67</v>
      </c>
      <c r="AA86" t="s">
        <v>38</v>
      </c>
      <c r="AB86" t="s">
        <v>39</v>
      </c>
    </row>
    <row r="87" spans="1:28" x14ac:dyDescent="0.3">
      <c r="A87" t="s">
        <v>156</v>
      </c>
      <c r="B87" t="s">
        <v>157</v>
      </c>
      <c r="C87">
        <v>1114327</v>
      </c>
      <c r="D87" s="1">
        <v>45578.670405092591</v>
      </c>
      <c r="E87" t="s">
        <v>42</v>
      </c>
      <c r="F87" s="2">
        <v>45575</v>
      </c>
      <c r="G87" t="s">
        <v>43</v>
      </c>
      <c r="H87" s="2">
        <v>45664</v>
      </c>
      <c r="I87" s="2">
        <v>45665</v>
      </c>
      <c r="J87">
        <v>55421.37</v>
      </c>
      <c r="K87" t="s">
        <v>32</v>
      </c>
      <c r="L87">
        <v>18058</v>
      </c>
      <c r="M87" t="s">
        <v>154</v>
      </c>
      <c r="N87" t="s">
        <v>155</v>
      </c>
      <c r="O87" t="s">
        <v>35</v>
      </c>
      <c r="P87" t="s">
        <v>36</v>
      </c>
      <c r="Q87" t="s">
        <v>37</v>
      </c>
      <c r="R87" t="s">
        <v>36</v>
      </c>
      <c r="S87" t="s">
        <v>37</v>
      </c>
      <c r="T87" s="2">
        <v>45658</v>
      </c>
      <c r="U87" t="s">
        <v>32</v>
      </c>
      <c r="V87" t="s">
        <v>35</v>
      </c>
      <c r="X87" t="s">
        <v>158</v>
      </c>
      <c r="Y87" t="s">
        <v>159</v>
      </c>
      <c r="Z87" t="s">
        <v>67</v>
      </c>
      <c r="AA87" t="s">
        <v>38</v>
      </c>
      <c r="AB87" t="s">
        <v>39</v>
      </c>
    </row>
    <row r="88" spans="1:28" x14ac:dyDescent="0.3">
      <c r="A88" t="s">
        <v>160</v>
      </c>
      <c r="B88" t="s">
        <v>161</v>
      </c>
      <c r="C88">
        <v>1281315</v>
      </c>
      <c r="D88" s="1">
        <v>45855.511574074073</v>
      </c>
      <c r="E88" t="s">
        <v>30</v>
      </c>
      <c r="F88" s="2">
        <v>45855</v>
      </c>
      <c r="G88" t="s">
        <v>43</v>
      </c>
      <c r="H88" s="2">
        <v>45869</v>
      </c>
      <c r="I88" s="2">
        <v>45872</v>
      </c>
      <c r="J88">
        <v>18988.02</v>
      </c>
      <c r="K88" t="s">
        <v>32</v>
      </c>
      <c r="L88">
        <v>20737</v>
      </c>
      <c r="M88" t="s">
        <v>162</v>
      </c>
      <c r="N88" t="s">
        <v>163</v>
      </c>
      <c r="O88" t="s">
        <v>35</v>
      </c>
      <c r="P88" t="s">
        <v>36</v>
      </c>
      <c r="Q88" t="s">
        <v>37</v>
      </c>
      <c r="R88" t="s">
        <v>36</v>
      </c>
      <c r="S88" t="s">
        <v>37</v>
      </c>
      <c r="T88" s="2">
        <v>45839</v>
      </c>
      <c r="U88" t="s">
        <v>32</v>
      </c>
      <c r="V88" t="s">
        <v>35</v>
      </c>
      <c r="X88" t="s">
        <v>164</v>
      </c>
      <c r="Y88" t="s">
        <v>165</v>
      </c>
      <c r="AA88" t="s">
        <v>38</v>
      </c>
      <c r="AB88" t="s">
        <v>39</v>
      </c>
    </row>
    <row r="89" spans="1:28" x14ac:dyDescent="0.3">
      <c r="A89" t="s">
        <v>160</v>
      </c>
      <c r="B89" t="s">
        <v>161</v>
      </c>
      <c r="C89">
        <v>1281309</v>
      </c>
      <c r="D89" s="1">
        <v>45855.510798611111</v>
      </c>
      <c r="E89" t="s">
        <v>30</v>
      </c>
      <c r="F89" s="2">
        <v>45855</v>
      </c>
      <c r="G89" t="s">
        <v>43</v>
      </c>
      <c r="H89" s="2">
        <v>45869</v>
      </c>
      <c r="I89" s="2">
        <v>45872</v>
      </c>
      <c r="J89">
        <v>105855.46</v>
      </c>
      <c r="K89" t="s">
        <v>32</v>
      </c>
      <c r="L89">
        <v>20737</v>
      </c>
      <c r="M89" t="s">
        <v>162</v>
      </c>
      <c r="N89" t="s">
        <v>163</v>
      </c>
      <c r="O89" t="s">
        <v>35</v>
      </c>
      <c r="P89" t="s">
        <v>36</v>
      </c>
      <c r="Q89" t="s">
        <v>37</v>
      </c>
      <c r="R89" t="s">
        <v>36</v>
      </c>
      <c r="S89" t="s">
        <v>37</v>
      </c>
      <c r="T89" s="2">
        <v>45839</v>
      </c>
      <c r="U89" t="s">
        <v>32</v>
      </c>
      <c r="V89" t="s">
        <v>35</v>
      </c>
      <c r="X89" t="s">
        <v>166</v>
      </c>
      <c r="Y89" t="s">
        <v>167</v>
      </c>
      <c r="AA89" t="s">
        <v>38</v>
      </c>
      <c r="AB89" t="s">
        <v>39</v>
      </c>
    </row>
    <row r="90" spans="1:28" x14ac:dyDescent="0.3">
      <c r="A90" t="s">
        <v>168</v>
      </c>
      <c r="B90" t="s">
        <v>169</v>
      </c>
      <c r="C90">
        <v>1180541</v>
      </c>
      <c r="D90" s="1">
        <v>45715.472280092596</v>
      </c>
      <c r="E90" t="s">
        <v>48</v>
      </c>
      <c r="F90" s="2">
        <v>45715</v>
      </c>
      <c r="G90" t="s">
        <v>43</v>
      </c>
      <c r="H90" s="2">
        <v>45733</v>
      </c>
      <c r="I90" s="2">
        <v>45735</v>
      </c>
      <c r="J90">
        <v>76046.05</v>
      </c>
      <c r="K90" t="s">
        <v>32</v>
      </c>
      <c r="L90">
        <v>20737</v>
      </c>
      <c r="M90" t="s">
        <v>162</v>
      </c>
      <c r="N90" t="s">
        <v>163</v>
      </c>
      <c r="O90" t="s">
        <v>35</v>
      </c>
      <c r="P90" t="s">
        <v>36</v>
      </c>
      <c r="Q90" t="s">
        <v>37</v>
      </c>
      <c r="R90" t="s">
        <v>36</v>
      </c>
      <c r="S90" t="s">
        <v>37</v>
      </c>
      <c r="T90" s="2">
        <v>45717</v>
      </c>
      <c r="U90" t="s">
        <v>32</v>
      </c>
      <c r="V90" t="s">
        <v>35</v>
      </c>
      <c r="AA90" t="s">
        <v>38</v>
      </c>
      <c r="AB90" t="s">
        <v>39</v>
      </c>
    </row>
    <row r="91" spans="1:28" x14ac:dyDescent="0.3">
      <c r="A91" t="s">
        <v>168</v>
      </c>
      <c r="B91" t="s">
        <v>169</v>
      </c>
      <c r="C91">
        <v>1180537</v>
      </c>
      <c r="D91" s="1">
        <v>45715.470219907409</v>
      </c>
      <c r="E91" t="s">
        <v>48</v>
      </c>
      <c r="F91" s="2">
        <v>45715</v>
      </c>
      <c r="G91" t="s">
        <v>43</v>
      </c>
      <c r="H91" s="2">
        <v>45732</v>
      </c>
      <c r="I91" s="2">
        <v>45733</v>
      </c>
      <c r="J91">
        <v>54834.75</v>
      </c>
      <c r="K91" t="s">
        <v>32</v>
      </c>
      <c r="L91">
        <v>20737</v>
      </c>
      <c r="M91" t="s">
        <v>162</v>
      </c>
      <c r="N91" t="s">
        <v>163</v>
      </c>
      <c r="O91" t="s">
        <v>35</v>
      </c>
      <c r="P91" t="s">
        <v>36</v>
      </c>
      <c r="Q91" t="s">
        <v>37</v>
      </c>
      <c r="R91" t="s">
        <v>36</v>
      </c>
      <c r="S91" t="s">
        <v>37</v>
      </c>
      <c r="T91" s="2">
        <v>45717</v>
      </c>
      <c r="U91" t="s">
        <v>32</v>
      </c>
      <c r="V91" t="s">
        <v>35</v>
      </c>
      <c r="AA91" t="s">
        <v>38</v>
      </c>
      <c r="AB91" t="s">
        <v>39</v>
      </c>
    </row>
    <row r="92" spans="1:28" x14ac:dyDescent="0.3">
      <c r="A92" t="s">
        <v>170</v>
      </c>
      <c r="B92" t="s">
        <v>171</v>
      </c>
      <c r="C92">
        <v>1104390</v>
      </c>
      <c r="D92" s="1">
        <v>45551.688136574077</v>
      </c>
      <c r="E92" t="s">
        <v>48</v>
      </c>
      <c r="F92" s="2">
        <v>45551</v>
      </c>
      <c r="G92" t="s">
        <v>31</v>
      </c>
      <c r="H92" s="2">
        <v>45719</v>
      </c>
      <c r="I92" s="2">
        <v>45720</v>
      </c>
      <c r="J92">
        <v>50000</v>
      </c>
      <c r="K92" t="s">
        <v>32</v>
      </c>
      <c r="L92">
        <v>22922</v>
      </c>
      <c r="M92" t="s">
        <v>172</v>
      </c>
      <c r="N92" t="s">
        <v>173</v>
      </c>
      <c r="O92" t="s">
        <v>35</v>
      </c>
      <c r="P92" t="s">
        <v>36</v>
      </c>
      <c r="Q92" t="s">
        <v>37</v>
      </c>
      <c r="R92" t="s">
        <v>36</v>
      </c>
      <c r="S92" t="s">
        <v>37</v>
      </c>
      <c r="T92" s="2">
        <v>45717</v>
      </c>
      <c r="U92" t="s">
        <v>32</v>
      </c>
      <c r="V92" t="s">
        <v>35</v>
      </c>
      <c r="AA92" t="s">
        <v>38</v>
      </c>
      <c r="AB92" t="s">
        <v>39</v>
      </c>
    </row>
    <row r="93" spans="1:28" x14ac:dyDescent="0.3">
      <c r="R93" t="s">
        <v>36</v>
      </c>
      <c r="S93" t="s">
        <v>37</v>
      </c>
      <c r="T93" s="2">
        <v>45809</v>
      </c>
      <c r="U93" t="s">
        <v>32</v>
      </c>
      <c r="V93" t="s">
        <v>35</v>
      </c>
      <c r="W93">
        <v>632383.05378445087</v>
      </c>
    </row>
    <row r="94" spans="1:28" x14ac:dyDescent="0.3">
      <c r="R94" t="s">
        <v>36</v>
      </c>
      <c r="S94" t="s">
        <v>37</v>
      </c>
      <c r="T94" s="2">
        <v>45870</v>
      </c>
      <c r="U94" t="s">
        <v>32</v>
      </c>
      <c r="V94" t="s">
        <v>35</v>
      </c>
      <c r="W94">
        <v>87000</v>
      </c>
    </row>
    <row r="95" spans="1:28" x14ac:dyDescent="0.3">
      <c r="R95" t="s">
        <v>36</v>
      </c>
      <c r="S95" t="s">
        <v>37</v>
      </c>
      <c r="T95" s="2">
        <v>45839</v>
      </c>
      <c r="U95" t="s">
        <v>32</v>
      </c>
      <c r="V95" t="s">
        <v>35</v>
      </c>
      <c r="W95">
        <v>81000</v>
      </c>
    </row>
    <row r="96" spans="1:28" x14ac:dyDescent="0.3">
      <c r="R96" t="s">
        <v>36</v>
      </c>
      <c r="S96" t="s">
        <v>37</v>
      </c>
      <c r="T96" s="2">
        <v>45778</v>
      </c>
      <c r="U96" t="s">
        <v>32</v>
      </c>
      <c r="V96" t="s">
        <v>35</v>
      </c>
      <c r="W96">
        <v>787203.76375051227</v>
      </c>
    </row>
    <row r="97" spans="18:23" x14ac:dyDescent="0.3">
      <c r="R97" t="s">
        <v>36</v>
      </c>
      <c r="S97" t="s">
        <v>37</v>
      </c>
      <c r="T97" s="2">
        <v>45748</v>
      </c>
      <c r="U97" t="s">
        <v>32</v>
      </c>
      <c r="V97" t="s">
        <v>35</v>
      </c>
      <c r="W97">
        <v>783988.25669737114</v>
      </c>
    </row>
    <row r="98" spans="18:23" x14ac:dyDescent="0.3">
      <c r="R98" t="s">
        <v>36</v>
      </c>
      <c r="S98" t="s">
        <v>37</v>
      </c>
      <c r="T98" s="2">
        <v>45717</v>
      </c>
      <c r="U98" t="s">
        <v>32</v>
      </c>
      <c r="V98" t="s">
        <v>35</v>
      </c>
      <c r="W98">
        <v>703362.39466119907</v>
      </c>
    </row>
    <row r="99" spans="18:23" x14ac:dyDescent="0.3">
      <c r="R99" t="s">
        <v>36</v>
      </c>
      <c r="S99" t="s">
        <v>37</v>
      </c>
      <c r="T99" s="2">
        <v>45689</v>
      </c>
      <c r="U99" t="s">
        <v>32</v>
      </c>
      <c r="V99" t="s">
        <v>35</v>
      </c>
      <c r="W99">
        <v>632383.05378445087</v>
      </c>
    </row>
    <row r="100" spans="18:23" x14ac:dyDescent="0.3">
      <c r="R100" t="s">
        <v>36</v>
      </c>
      <c r="S100" t="s">
        <v>37</v>
      </c>
      <c r="T100" s="2">
        <v>45658</v>
      </c>
      <c r="U100" t="s">
        <v>32</v>
      </c>
      <c r="V100" t="s">
        <v>35</v>
      </c>
      <c r="W100">
        <v>773031.71414592676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גיליון2</vt:lpstr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 Erlan</dc:creator>
  <cp:lastModifiedBy>Oz Erlan</cp:lastModifiedBy>
  <dcterms:created xsi:type="dcterms:W3CDTF">2025-09-13T22:11:21Z</dcterms:created>
  <dcterms:modified xsi:type="dcterms:W3CDTF">2025-09-13T22:14:23Z</dcterms:modified>
</cp:coreProperties>
</file>